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Kangol\09.08.2022\"/>
    </mc:Choice>
  </mc:AlternateContent>
  <xr:revisionPtr revIDLastSave="0" documentId="13_ncr:1_{549C4036-7849-4C0D-A918-64C87EA02AA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tyleMatch" sheetId="10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  <sheet name="Перенос в 1С" sheetId="9" r:id="rId10"/>
    <sheet name="TDSheet" sheetId="11" r:id="rId11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5" hidden="1">Colors!$A$1:$B$1</definedName>
    <definedName name="_xlnm._FilterDatabase" localSheetId="3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3" i="1"/>
  <c r="AY6" i="1" l="1"/>
  <c r="BA6" i="1" s="1"/>
  <c r="AY5" i="1"/>
  <c r="BA5" i="1" s="1"/>
  <c r="AY4" i="1"/>
  <c r="BA4" i="1" s="1"/>
  <c r="AY3" i="1"/>
  <c r="BA3" i="1" s="1"/>
  <c r="AY10" i="1"/>
  <c r="BA10" i="1" s="1"/>
  <c r="AY9" i="1"/>
  <c r="BA9" i="1" s="1"/>
  <c r="AY8" i="1"/>
  <c r="BA8" i="1" s="1"/>
  <c r="AY7" i="1"/>
  <c r="BA7" i="1" s="1"/>
  <c r="AX6" i="1"/>
  <c r="AX5" i="1"/>
  <c r="AX4" i="1"/>
  <c r="AX3" i="1"/>
  <c r="AX10" i="1"/>
  <c r="AX9" i="1"/>
  <c r="AX8" i="1"/>
  <c r="AX7" i="1"/>
  <c r="AU6" i="1"/>
  <c r="AT6" i="1"/>
  <c r="BC6" i="1" s="1"/>
  <c r="AT5" i="1"/>
  <c r="BC5" i="1" s="1"/>
  <c r="AT4" i="1"/>
  <c r="BC4" i="1" s="1"/>
  <c r="AT3" i="1"/>
  <c r="BC3" i="1" s="1"/>
  <c r="AT10" i="1"/>
  <c r="BC10" i="1" s="1"/>
  <c r="AT9" i="1"/>
  <c r="BC9" i="1" s="1"/>
  <c r="AT8" i="1"/>
  <c r="BC8" i="1" s="1"/>
  <c r="AT7" i="1"/>
  <c r="BC7" i="1" s="1"/>
  <c r="U6" i="1"/>
  <c r="S5" i="1"/>
  <c r="S8" i="1"/>
  <c r="Q7" i="1"/>
  <c r="J7" i="1"/>
  <c r="H7" i="1"/>
  <c r="G7" i="1"/>
  <c r="F7" i="1"/>
  <c r="E7" i="1" s="1"/>
  <c r="D7" i="1"/>
  <c r="A6" i="1"/>
  <c r="BD6" i="1" s="1"/>
  <c r="G6" i="1" s="1"/>
  <c r="A5" i="1"/>
  <c r="BD5" i="1" s="1"/>
  <c r="G5" i="1" s="1"/>
  <c r="A4" i="1"/>
  <c r="BD4" i="1" s="1"/>
  <c r="G4" i="1" s="1"/>
  <c r="A3" i="1"/>
  <c r="BD3" i="1" s="1"/>
  <c r="G3" i="1" s="1"/>
  <c r="A10" i="1"/>
  <c r="BD10" i="1" s="1"/>
  <c r="G10" i="1" s="1"/>
  <c r="A9" i="1"/>
  <c r="BD9" i="1" s="1"/>
  <c r="G9" i="1" s="1"/>
  <c r="A8" i="1"/>
  <c r="BD8" i="1" s="1"/>
  <c r="G8" i="1" s="1"/>
  <c r="A7" i="1"/>
  <c r="BD7" i="1" s="1"/>
  <c r="BE2" i="1"/>
  <c r="BE7" i="1"/>
  <c r="BF7" i="1" s="1"/>
  <c r="BE8" i="1"/>
  <c r="BF8" i="1" s="1"/>
  <c r="BE9" i="1"/>
  <c r="BF9" i="1" s="1"/>
  <c r="BE10" i="1"/>
  <c r="BF10" i="1" s="1"/>
  <c r="BE3" i="1"/>
  <c r="BF3" i="1" s="1"/>
  <c r="BE4" i="1"/>
  <c r="BF4" i="1" s="1"/>
  <c r="BE5" i="1"/>
  <c r="BF5" i="1" s="1"/>
  <c r="BE6" i="1"/>
  <c r="BF6" i="1" s="1"/>
  <c r="AS26" i="11"/>
  <c r="AS27" i="11"/>
  <c r="AS28" i="11"/>
  <c r="AS29" i="11"/>
  <c r="AS30" i="11"/>
  <c r="AS31" i="11"/>
  <c r="AS32" i="11"/>
  <c r="AS33" i="11"/>
  <c r="AS34" i="11"/>
  <c r="AS35" i="11"/>
  <c r="AS36" i="11"/>
  <c r="AS25" i="11"/>
  <c r="C3" i="10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AW10" i="1"/>
  <c r="AW9" i="1"/>
  <c r="AW8" i="1"/>
  <c r="AW7" i="1"/>
  <c r="AW6" i="1"/>
  <c r="AW5" i="1"/>
  <c r="AW4" i="1"/>
  <c r="AW3" i="1"/>
  <c r="D8" i="1" l="1"/>
  <c r="F8" i="1"/>
  <c r="E8" i="1" s="1"/>
  <c r="H8" i="1"/>
  <c r="J8" i="1"/>
  <c r="B4" i="1"/>
  <c r="Q8" i="1"/>
  <c r="S10" i="1"/>
  <c r="U7" i="1"/>
  <c r="AU7" i="1"/>
  <c r="AZ7" i="1"/>
  <c r="D9" i="1"/>
  <c r="F9" i="1"/>
  <c r="E9" i="1" s="1"/>
  <c r="H9" i="1"/>
  <c r="J9" i="1"/>
  <c r="L5" i="1"/>
  <c r="B5" i="1" s="1"/>
  <c r="Q9" i="1"/>
  <c r="S3" i="1"/>
  <c r="U8" i="1"/>
  <c r="AU8" i="1"/>
  <c r="AZ8" i="1"/>
  <c r="D10" i="1"/>
  <c r="F10" i="1"/>
  <c r="E10" i="1" s="1"/>
  <c r="H10" i="1"/>
  <c r="J10" i="1"/>
  <c r="L6" i="1"/>
  <c r="B6" i="1" s="1"/>
  <c r="Q10" i="1"/>
  <c r="S4" i="1"/>
  <c r="U9" i="1"/>
  <c r="AU9" i="1"/>
  <c r="AZ9" i="1"/>
  <c r="U10" i="1"/>
  <c r="AU10" i="1"/>
  <c r="AZ10" i="1"/>
  <c r="D3" i="1"/>
  <c r="F3" i="1"/>
  <c r="E3" i="1" s="1"/>
  <c r="H3" i="1"/>
  <c r="L7" i="1"/>
  <c r="B7" i="1" s="1"/>
  <c r="M7" i="1"/>
  <c r="Q3" i="1"/>
  <c r="D4" i="1"/>
  <c r="F4" i="1"/>
  <c r="E4" i="1" s="1"/>
  <c r="H4" i="1"/>
  <c r="L8" i="1"/>
  <c r="B8" i="1" s="1"/>
  <c r="M8" i="1"/>
  <c r="Q4" i="1"/>
  <c r="S6" i="1"/>
  <c r="U3" i="1"/>
  <c r="AU3" i="1"/>
  <c r="AZ3" i="1"/>
  <c r="L3" i="1"/>
  <c r="B3" i="1" s="1"/>
  <c r="D5" i="1"/>
  <c r="F5" i="1"/>
  <c r="E5" i="1" s="1"/>
  <c r="H5" i="1"/>
  <c r="L9" i="1"/>
  <c r="B9" i="1" s="1"/>
  <c r="M9" i="1"/>
  <c r="Q5" i="1"/>
  <c r="T5" i="1" s="1"/>
  <c r="U4" i="1"/>
  <c r="AU4" i="1"/>
  <c r="AZ4" i="1"/>
  <c r="D6" i="1"/>
  <c r="F6" i="1"/>
  <c r="E6" i="1" s="1"/>
  <c r="H6" i="1"/>
  <c r="L10" i="1"/>
  <c r="B10" i="1" s="1"/>
  <c r="M10" i="1"/>
  <c r="Q6" i="1"/>
  <c r="U5" i="1"/>
  <c r="AU5" i="1"/>
  <c r="AZ5" i="1"/>
  <c r="AZ6" i="1"/>
  <c r="D38" i="4"/>
  <c r="D39" i="4"/>
  <c r="D40" i="4"/>
  <c r="D41" i="4"/>
  <c r="D42" i="4"/>
  <c r="D43" i="4"/>
  <c r="D44" i="4"/>
  <c r="D45" i="4"/>
  <c r="D46" i="4"/>
  <c r="T6" i="1" l="1"/>
  <c r="T4" i="1"/>
  <c r="D37" i="4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V8070" i="8" s="1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V8102" i="8" s="1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V8142" i="8" s="1"/>
  <c r="W8143" i="8"/>
  <c r="W8144" i="8"/>
  <c r="W8145" i="8"/>
  <c r="W8146" i="8"/>
  <c r="W8147" i="8"/>
  <c r="W8148" i="8"/>
  <c r="V8148" i="8" s="1"/>
  <c r="W8149" i="8"/>
  <c r="W8150" i="8"/>
  <c r="V8150" i="8" s="1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V8174" i="8" s="1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V8206" i="8" s="1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V8230" i="8" s="1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V8238" i="8" s="1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V8246" i="8" s="1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V8254" i="8" s="1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V8270" i="8" s="1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V8302" i="8" s="1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V8310" i="8" s="1"/>
  <c r="W8311" i="8"/>
  <c r="W8312" i="8"/>
  <c r="W8313" i="8"/>
  <c r="W8314" i="8"/>
  <c r="W8315" i="8"/>
  <c r="W8316" i="8"/>
  <c r="V8316" i="8" s="1"/>
  <c r="W8317" i="8"/>
  <c r="V8317" i="8" s="1"/>
  <c r="W8318" i="8"/>
  <c r="V8318" i="8" s="1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V8342" i="8" s="1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V8358" i="8" s="1"/>
  <c r="W8359" i="8"/>
  <c r="W8360" i="8"/>
  <c r="V8360" i="8" s="1"/>
  <c r="W8361" i="8"/>
  <c r="W8362" i="8"/>
  <c r="W8363" i="8"/>
  <c r="W8364" i="8"/>
  <c r="V8364" i="8" s="1"/>
  <c r="W8365" i="8"/>
  <c r="W8366" i="8"/>
  <c r="V8366" i="8" s="1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V8382" i="8" s="1"/>
  <c r="W8383" i="8"/>
  <c r="W8384" i="8"/>
  <c r="W8385" i="8"/>
  <c r="V8385" i="8" s="1"/>
  <c r="W8386" i="8"/>
  <c r="W8387" i="8"/>
  <c r="W8388" i="8"/>
  <c r="V8388" i="8" s="1"/>
  <c r="W8389" i="8"/>
  <c r="W8390" i="8"/>
  <c r="V8390" i="8" s="1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V8398" i="8" s="1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V8406" i="8" s="1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V8438" i="8" s="1"/>
  <c r="W8439" i="8"/>
  <c r="W8440" i="8"/>
  <c r="W8441" i="8"/>
  <c r="V8441" i="8" s="1"/>
  <c r="W8442" i="8"/>
  <c r="W8443" i="8"/>
  <c r="W8444" i="8"/>
  <c r="V8444" i="8" s="1"/>
  <c r="W8445" i="8"/>
  <c r="W8446" i="8"/>
  <c r="V8446" i="8" s="1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V8454" i="8" s="1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V8462" i="8" s="1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V8478" i="8" s="1"/>
  <c r="W8479" i="8"/>
  <c r="W8480" i="8"/>
  <c r="W8481" i="8"/>
  <c r="W8482" i="8"/>
  <c r="W8483" i="8"/>
  <c r="W8484" i="8"/>
  <c r="V8484" i="8" s="1"/>
  <c r="W8485" i="8"/>
  <c r="W8486" i="8"/>
  <c r="V8486" i="8" s="1"/>
  <c r="W8487" i="8"/>
  <c r="W8488" i="8"/>
  <c r="V8488" i="8" s="1"/>
  <c r="W8489" i="8"/>
  <c r="W8490" i="8"/>
  <c r="W8491" i="8"/>
  <c r="W8492" i="8"/>
  <c r="V8492" i="8" s="1"/>
  <c r="W8493" i="8"/>
  <c r="W8494" i="8"/>
  <c r="V8494" i="8" s="1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V8502" i="8" s="1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V8510" i="8" s="1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V8526" i="8" s="1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V8534" i="8" s="1"/>
  <c r="W8535" i="8"/>
  <c r="W8536" i="8"/>
  <c r="V8536" i="8" s="1"/>
  <c r="W8537" i="8"/>
  <c r="W8538" i="8"/>
  <c r="W8539" i="8"/>
  <c r="W8540" i="8"/>
  <c r="V8540" i="8" s="1"/>
  <c r="W8541" i="8"/>
  <c r="W8542" i="8"/>
  <c r="V8542" i="8" s="1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V8558" i="8" s="1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V8590" i="8" s="1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V8598" i="8" s="1"/>
  <c r="W8599" i="8"/>
  <c r="W8600" i="8"/>
  <c r="V8600" i="8" s="1"/>
  <c r="W8601" i="8"/>
  <c r="W8602" i="8"/>
  <c r="W8603" i="8"/>
  <c r="W8604" i="8"/>
  <c r="V8604" i="8" s="1"/>
  <c r="W8605" i="8"/>
  <c r="W8606" i="8"/>
  <c r="V8606" i="8" s="1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V8654" i="8" s="1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V8662" i="8" s="1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V8670" i="8" s="1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V8694" i="8" s="1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V8710" i="8" s="1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V8718" i="8" s="1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V8734" i="8" s="1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V8742" i="8" s="1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V8750" i="8" s="1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V8766" i="8" s="1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V8814" i="8" s="1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V8822" i="8" s="1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V8830" i="8" s="1"/>
  <c r="W8831" i="8"/>
  <c r="W8832" i="8"/>
  <c r="W8833" i="8"/>
  <c r="W8834" i="8"/>
  <c r="W8835" i="8"/>
  <c r="W8836" i="8"/>
  <c r="V8836" i="8" s="1"/>
  <c r="W8837" i="8"/>
  <c r="V8837" i="8" s="1"/>
  <c r="W8838" i="8"/>
  <c r="V8838" i="8" s="1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V8846" i="8" s="1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V8854" i="8" s="1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V8878" i="8" s="1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V8894" i="8" s="1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V8934" i="8" s="1"/>
  <c r="W8935" i="8"/>
  <c r="W8936" i="8"/>
  <c r="V8936" i="8" s="1"/>
  <c r="W8937" i="8"/>
  <c r="W8938" i="8"/>
  <c r="W8939" i="8"/>
  <c r="W8940" i="8"/>
  <c r="V8940" i="8" s="1"/>
  <c r="W8941" i="8"/>
  <c r="W8942" i="8"/>
  <c r="V8942" i="8" s="1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V8950" i="8" s="1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V8958" i="8" s="1"/>
  <c r="W8959" i="8"/>
  <c r="W8960" i="8"/>
  <c r="W8961" i="8"/>
  <c r="W8962" i="8"/>
  <c r="W8963" i="8"/>
  <c r="W8964" i="8"/>
  <c r="V8964" i="8" s="1"/>
  <c r="W8965" i="8"/>
  <c r="V8965" i="8" s="1"/>
  <c r="W8966" i="8"/>
  <c r="V8966" i="8" s="1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V8974" i="8" s="1"/>
  <c r="W8975" i="8"/>
  <c r="W8976" i="8"/>
  <c r="V8976" i="8" s="1"/>
  <c r="W8977" i="8"/>
  <c r="W8978" i="8"/>
  <c r="W8979" i="8"/>
  <c r="W8980" i="8"/>
  <c r="V8980" i="8" s="1"/>
  <c r="W8981" i="8"/>
  <c r="W8982" i="8"/>
  <c r="V8982" i="8" s="1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V8990" i="8" s="1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V9006" i="8" s="1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V9014" i="8" s="1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V9022" i="8" s="1"/>
  <c r="W9023" i="8"/>
  <c r="W9024" i="8"/>
  <c r="W9025" i="8"/>
  <c r="V9025" i="8" s="1"/>
  <c r="W9026" i="8"/>
  <c r="W9027" i="8"/>
  <c r="W9028" i="8"/>
  <c r="V9028" i="8" s="1"/>
  <c r="W9029" i="8"/>
  <c r="W9030" i="8"/>
  <c r="V9030" i="8" s="1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V9038" i="8" s="1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V9046" i="8" s="1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V9054" i="8" s="1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V9070" i="8" s="1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V9078" i="8" s="1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V9214" i="8" s="1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V9230" i="8" s="1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V9246" i="8" s="1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V9254" i="8" s="1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V9270" i="8" s="1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V9294" i="8" s="1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V9310" i="8" s="1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V9342" i="8" s="1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V9366" i="8" s="1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V9382" i="8" s="1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V9422" i="8" s="1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V9438" i="8" s="1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V9446" i="8" s="1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V9478" i="8" s="1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V9486" i="8" s="1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V9518" i="8" s="1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V9566" i="8" s="1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V9574" i="8" s="1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V9590" i="8" s="1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V9622" i="8" s="1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V9670" i="8" s="1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V9718" i="8" s="1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V9774" i="8" s="1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V9798" i="8" s="1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V9814" i="8" s="1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V9870" i="8" s="1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V9894" i="8" s="1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V9950" i="8" s="1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V9974" i="8" s="1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86" i="8"/>
  <c r="V9297" i="8"/>
  <c r="V9323" i="8"/>
  <c r="V9406" i="8"/>
  <c r="V9454" i="8"/>
  <c r="V9526" i="8"/>
  <c r="V9532" i="8"/>
  <c r="V9750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5" i="8"/>
  <c r="V9221" i="8"/>
  <c r="V9223" i="8"/>
  <c r="V9225" i="8"/>
  <c r="V9227" i="8"/>
  <c r="V9229" i="8"/>
  <c r="V9239" i="8"/>
  <c r="V9241" i="8"/>
  <c r="V9243" i="8"/>
  <c r="V9247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3" i="8"/>
  <c r="V8144" i="8"/>
  <c r="V8145" i="8"/>
  <c r="V8147" i="8"/>
  <c r="V8149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1" i="8"/>
  <c r="V8233" i="8"/>
  <c r="V8235" i="8"/>
  <c r="V8239" i="8"/>
  <c r="V8240" i="8"/>
  <c r="V8243" i="8"/>
  <c r="V8247" i="8"/>
  <c r="V8248" i="8"/>
  <c r="V8251" i="8"/>
  <c r="V8255" i="8"/>
  <c r="V8256" i="8"/>
  <c r="V8259" i="8"/>
  <c r="V8261" i="8"/>
  <c r="V8262" i="8"/>
  <c r="V8263" i="8"/>
  <c r="V8265" i="8"/>
  <c r="V8267" i="8"/>
  <c r="V8269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3" i="8"/>
  <c r="V8304" i="8"/>
  <c r="V8307" i="8"/>
  <c r="V8311" i="8"/>
  <c r="V8312" i="8"/>
  <c r="V8313" i="8"/>
  <c r="V8315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3" i="8"/>
  <c r="V8345" i="8"/>
  <c r="V8347" i="8"/>
  <c r="V8349" i="8"/>
  <c r="V8350" i="8"/>
  <c r="V8351" i="8"/>
  <c r="V8355" i="8"/>
  <c r="V8357" i="8"/>
  <c r="V8359" i="8"/>
  <c r="V8361" i="8"/>
  <c r="V8363" i="8"/>
  <c r="V8365" i="8"/>
  <c r="V8367" i="8"/>
  <c r="V8368" i="8"/>
  <c r="V8369" i="8"/>
  <c r="V8371" i="8"/>
  <c r="V8374" i="8"/>
  <c r="V8375" i="8"/>
  <c r="V8376" i="8"/>
  <c r="V8379" i="8"/>
  <c r="V8381" i="8"/>
  <c r="V8383" i="8"/>
  <c r="V8384" i="8"/>
  <c r="V8387" i="8"/>
  <c r="V8389" i="8"/>
  <c r="V8391" i="8"/>
  <c r="V8395" i="8"/>
  <c r="V8397" i="8"/>
  <c r="V8399" i="8"/>
  <c r="V8401" i="8"/>
  <c r="V8403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9" i="8"/>
  <c r="V8440" i="8"/>
  <c r="V8443" i="8"/>
  <c r="V8445" i="8"/>
  <c r="V8447" i="8"/>
  <c r="V8449" i="8"/>
  <c r="V8451" i="8"/>
  <c r="V8455" i="8"/>
  <c r="V8457" i="8"/>
  <c r="V8459" i="8"/>
  <c r="V8463" i="8"/>
  <c r="V8464" i="8"/>
  <c r="V8465" i="8"/>
  <c r="V8467" i="8"/>
  <c r="V8469" i="8"/>
  <c r="V8470" i="8"/>
  <c r="V8471" i="8"/>
  <c r="V8475" i="8"/>
  <c r="V8479" i="8"/>
  <c r="V8480" i="8"/>
  <c r="V8481" i="8"/>
  <c r="V8483" i="8"/>
  <c r="V8485" i="8"/>
  <c r="V8487" i="8"/>
  <c r="V8489" i="8"/>
  <c r="V8491" i="8"/>
  <c r="V8493" i="8"/>
  <c r="V8495" i="8"/>
  <c r="V8499" i="8"/>
  <c r="V8501" i="8"/>
  <c r="V8503" i="8"/>
  <c r="V8504" i="8"/>
  <c r="V8507" i="8"/>
  <c r="V8511" i="8"/>
  <c r="V8512" i="8"/>
  <c r="V8515" i="8"/>
  <c r="V8516" i="8"/>
  <c r="V8517" i="8"/>
  <c r="V8518" i="8"/>
  <c r="V8519" i="8"/>
  <c r="V8521" i="8"/>
  <c r="V8523" i="8"/>
  <c r="V8525" i="8"/>
  <c r="V8527" i="8"/>
  <c r="V8531" i="8"/>
  <c r="V8533" i="8"/>
  <c r="V8535" i="8"/>
  <c r="V8537" i="8"/>
  <c r="V8539" i="8"/>
  <c r="V8541" i="8"/>
  <c r="V8543" i="8"/>
  <c r="V8544" i="8"/>
  <c r="V8545" i="8"/>
  <c r="V8547" i="8"/>
  <c r="V8550" i="8"/>
  <c r="V8551" i="8"/>
  <c r="V8555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1" i="8"/>
  <c r="V8595" i="8"/>
  <c r="V8597" i="8"/>
  <c r="V8599" i="8"/>
  <c r="V8601" i="8"/>
  <c r="V8603" i="8"/>
  <c r="V8605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5" i="8"/>
  <c r="V8659" i="8"/>
  <c r="V8663" i="8"/>
  <c r="V8667" i="8"/>
  <c r="V8671" i="8"/>
  <c r="V8675" i="8"/>
  <c r="V8678" i="8"/>
  <c r="V8679" i="8"/>
  <c r="V8681" i="8"/>
  <c r="V8683" i="8"/>
  <c r="V8686" i="8"/>
  <c r="V8687" i="8"/>
  <c r="V8691" i="8"/>
  <c r="V8695" i="8"/>
  <c r="V8696" i="8"/>
  <c r="V8697" i="8"/>
  <c r="V8699" i="8"/>
  <c r="V8702" i="8"/>
  <c r="V8703" i="8"/>
  <c r="V8704" i="8"/>
  <c r="V8705" i="8"/>
  <c r="V8707" i="8"/>
  <c r="V8709" i="8"/>
  <c r="V8711" i="8"/>
  <c r="V8715" i="8"/>
  <c r="V8719" i="8"/>
  <c r="V8723" i="8"/>
  <c r="V8726" i="8"/>
  <c r="V8727" i="8"/>
  <c r="V8731" i="8"/>
  <c r="V8735" i="8"/>
  <c r="V8739" i="8"/>
  <c r="V8743" i="8"/>
  <c r="V8747" i="8"/>
  <c r="V8751" i="8"/>
  <c r="V8755" i="8"/>
  <c r="V8758" i="8"/>
  <c r="V8759" i="8"/>
  <c r="V8763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5" i="8"/>
  <c r="V8819" i="8"/>
  <c r="V8821" i="8"/>
  <c r="V8823" i="8"/>
  <c r="V8824" i="8"/>
  <c r="V8827" i="8"/>
  <c r="V8831" i="8"/>
  <c r="V8832" i="8"/>
  <c r="V8833" i="8"/>
  <c r="V8835" i="8"/>
  <c r="V8839" i="8"/>
  <c r="V8843" i="8"/>
  <c r="V8847" i="8"/>
  <c r="V8849" i="8"/>
  <c r="V8851" i="8"/>
  <c r="V8855" i="8"/>
  <c r="V8859" i="8"/>
  <c r="V8862" i="8"/>
  <c r="V8863" i="8"/>
  <c r="V8865" i="8"/>
  <c r="V8867" i="8"/>
  <c r="V8870" i="8"/>
  <c r="V8871" i="8"/>
  <c r="V8875" i="8"/>
  <c r="V8879" i="8"/>
  <c r="V8881" i="8"/>
  <c r="V8883" i="8"/>
  <c r="V8885" i="8"/>
  <c r="V8886" i="8"/>
  <c r="V8887" i="8"/>
  <c r="V8891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5" i="8"/>
  <c r="V8937" i="8"/>
  <c r="V8939" i="8"/>
  <c r="V8941" i="8"/>
  <c r="V8943" i="8"/>
  <c r="V8947" i="8"/>
  <c r="V8951" i="8"/>
  <c r="V8955" i="8"/>
  <c r="V8957" i="8"/>
  <c r="V8959" i="8"/>
  <c r="V8960" i="8"/>
  <c r="V8961" i="8"/>
  <c r="V8963" i="8"/>
  <c r="V8967" i="8"/>
  <c r="V8971" i="8"/>
  <c r="V8975" i="8"/>
  <c r="V8977" i="8"/>
  <c r="V8979" i="8"/>
  <c r="V8981" i="8"/>
  <c r="V8983" i="8"/>
  <c r="V8989" i="8"/>
  <c r="V8991" i="8"/>
  <c r="V8995" i="8"/>
  <c r="V8998" i="8"/>
  <c r="V8999" i="8"/>
  <c r="V9003" i="8"/>
  <c r="V9007" i="8"/>
  <c r="V9011" i="8"/>
  <c r="V9015" i="8"/>
  <c r="V9017" i="8"/>
  <c r="V9019" i="8"/>
  <c r="V9023" i="8"/>
  <c r="V9024" i="8"/>
  <c r="V9027" i="8"/>
  <c r="V9029" i="8"/>
  <c r="V9031" i="8"/>
  <c r="V9035" i="8"/>
  <c r="V9037" i="8"/>
  <c r="V9039" i="8"/>
  <c r="V9043" i="8"/>
  <c r="V9047" i="8"/>
  <c r="V9051" i="8"/>
  <c r="V9055" i="8"/>
  <c r="V9059" i="8"/>
  <c r="V9062" i="8"/>
  <c r="V9063" i="8"/>
  <c r="V9067" i="8"/>
  <c r="V9071" i="8"/>
  <c r="V9075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376" i="8" l="1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269" i="8" l="1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<sst xmlns="http://schemas.openxmlformats.org/spreadsheetml/2006/main" count="20175" uniqueCount="2162">
  <si>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</si>
  <si>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</si>
  <si>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</si>
  <si>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</si>
  <si>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</si>
  <si>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</si>
  <si>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</si>
  <si>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</si>
  <si>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</si>
  <si>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</si>
  <si>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</si>
  <si>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</si>
  <si>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</si>
  <si>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</si>
  <si>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</si>
  <si>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</si>
  <si>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</si>
  <si>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</si>
  <si>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</si>
  <si>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</si>
  <si>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</si>
  <si>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</si>
  <si>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</si>
  <si>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</si>
  <si>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</si>
  <si>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</si>
  <si>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</si>
  <si>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</si>
  <si>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</si>
  <si>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</si>
  <si>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</si>
  <si>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</si>
  <si>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</si>
  <si>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</si>
  <si>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</si>
  <si>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</si>
  <si>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</si>
  <si>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</si>
  <si>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</si>
  <si>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</si>
  <si>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</si>
  <si>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</si>
  <si>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</si>
  <si>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</si>
  <si>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</si>
  <si>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</si>
  <si>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</si>
  <si>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</si>
  <si>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</si>
  <si>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</si>
  <si>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</si>
  <si>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</si>
  <si>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</si>
  <si>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</si>
  <si>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</si>
  <si>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</si>
  <si>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</si>
  <si>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</si>
  <si>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</si>
  <si>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</si>
  <si>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</si>
  <si>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</si>
  <si>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</si>
  <si>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</si>
  <si>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</si>
  <si>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</si>
  <si>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</si>
  <si>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</si>
  <si>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</si>
  <si>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</si>
  <si>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</si>
  <si>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</si>
  <si>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</si>
  <si>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</si>
  <si>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</si>
  <si>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</si>
  <si>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</si>
  <si>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</si>
  <si>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</si>
  <si>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</si>
  <si>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</si>
  <si>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</si>
  <si>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</si>
  <si>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</si>
  <si>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</si>
  <si>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</si>
  <si>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</si>
  <si>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</si>
  <si>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</si>
  <si>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</si>
  <si>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</si>
  <si>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</si>
  <si>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</si>
  <si>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</si>
  <si>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</si>
  <si>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</si>
  <si>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</si>
  <si>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</si>
  <si>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</si>
  <si>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</si>
  <si>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</si>
  <si>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</si>
  <si>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</si>
  <si>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</si>
  <si>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</si>
  <si>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</si>
  <si>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</si>
  <si>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</si>
  <si>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</si>
  <si>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</si>
  <si>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</si>
  <si>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</si>
  <si>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</si>
  <si>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</si>
  <si>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</si>
  <si>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</si>
  <si>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</si>
  <si>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</si>
  <si>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</si>
  <si>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</si>
  <si>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</si>
  <si>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</si>
  <si>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</si>
  <si>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</si>
  <si>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</si>
  <si>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</si>
  <si>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</si>
  <si>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</si>
  <si>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</si>
  <si>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</si>
  <si>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</si>
  <si>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</si>
  <si>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</si>
  <si>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</si>
  <si>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</si>
  <si>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</si>
  <si>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</si>
  <si>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</si>
  <si>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</si>
  <si>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</si>
  <si>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</si>
  <si>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</si>
  <si>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</si>
  <si>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</si>
  <si>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</si>
  <si>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</si>
  <si>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</si>
  <si>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</si>
  <si>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</si>
  <si>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</si>
  <si>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</si>
  <si>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</si>
  <si>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</si>
  <si>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</si>
  <si>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</si>
  <si>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</si>
  <si>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</si>
  <si>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</si>
  <si>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</si>
  <si>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</si>
  <si>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</si>
  <si>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</si>
  <si>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</si>
  <si>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</si>
  <si>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</si>
  <si>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</si>
  <si>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</si>
  <si>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</si>
  <si>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</si>
  <si>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</si>
  <si>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</si>
  <si>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</si>
  <si>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</si>
  <si>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</si>
  <si>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</si>
  <si>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</si>
  <si>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</si>
  <si>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</si>
  <si>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</si>
  <si>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</si>
  <si>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</si>
  <si>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</si>
  <si>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</si>
  <si>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</si>
  <si>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</si>
  <si>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</si>
  <si>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</si>
  <si>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</si>
  <si>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</si>
  <si>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</si>
  <si>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</si>
  <si>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</si>
  <si>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</si>
  <si>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</si>
  <si>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</si>
  <si>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</si>
  <si>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</si>
  <si>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</si>
  <si>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</si>
  <si>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</si>
  <si>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</si>
  <si>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</si>
  <si>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</si>
  <si>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</si>
  <si>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</si>
  <si>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</si>
  <si>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</si>
  <si>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</si>
  <si>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</si>
  <si>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</si>
  <si>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</si>
  <si>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</si>
  <si>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</si>
  <si>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</si>
  <si>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</si>
  <si>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</si>
  <si>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</si>
  <si>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</si>
  <si>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</si>
  <si>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</si>
  <si>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</si>
  <si>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</si>
  <si>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</si>
  <si>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</si>
  <si>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</si>
  <si>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</si>
  <si>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</si>
  <si>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</si>
  <si>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</si>
  <si>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</si>
  <si>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</si>
  <si>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</si>
  <si>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</si>
  <si>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</si>
  <si>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</si>
  <si>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</si>
  <si>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</si>
  <si>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</si>
  <si>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</si>
  <si>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</si>
  <si>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</si>
  <si>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</si>
  <si>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</si>
  <si>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</si>
  <si>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</si>
  <si>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</si>
  <si>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</si>
  <si>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</si>
  <si>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</si>
  <si>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</si>
  <si>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</si>
  <si>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</si>
  <si>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</si>
  <si>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</si>
  <si>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</si>
  <si>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</si>
  <si>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</si>
  <si>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</si>
  <si>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</si>
  <si>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</si>
  <si>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</si>
  <si>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</si>
  <si>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</si>
  <si>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</si>
  <si>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</si>
  <si>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</si>
  <si>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</si>
  <si>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</si>
  <si>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</si>
  <si>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</si>
  <si>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</si>
  <si>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</si>
  <si>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</si>
  <si>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</si>
  <si>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</si>
  <si>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</si>
  <si>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</si>
  <si>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</si>
  <si>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</si>
  <si>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</si>
  <si>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</si>
  <si>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</si>
  <si>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</si>
  <si>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</si>
  <si>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</si>
  <si>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</si>
  <si>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</si>
  <si>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</si>
  <si>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</si>
  <si>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</si>
  <si>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</si>
  <si>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</si>
  <si>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</si>
  <si>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</si>
  <si>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</si>
  <si>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</si>
  <si>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</si>
  <si>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</si>
  <si>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</si>
  <si>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</si>
  <si>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</si>
  <si>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</si>
  <si>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</si>
  <si>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</si>
  <si>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</si>
  <si>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</si>
  <si>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</si>
  <si>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</si>
  <si>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</si>
  <si>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</si>
  <si>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</si>
  <si>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</si>
  <si>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</si>
  <si>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</si>
  <si>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</si>
  <si>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</si>
  <si>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</si>
  <si>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</si>
  <si>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</si>
  <si>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</si>
  <si>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</si>
  <si>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</si>
  <si>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</si>
  <si>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</si>
  <si>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</si>
  <si>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</si>
  <si>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</si>
  <si>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</si>
  <si>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</si>
  <si>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</si>
  <si>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</si>
  <si>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</si>
  <si>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</si>
  <si>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</si>
  <si>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</si>
  <si>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</si>
  <si>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</si>
  <si>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</si>
  <si>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</si>
  <si>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</si>
  <si>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</si>
  <si>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</si>
  <si>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</si>
  <si>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</si>
  <si>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</si>
  <si>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</si>
  <si>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</si>
  <si>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</si>
  <si>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</si>
  <si>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</si>
  <si>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</si>
  <si>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</si>
  <si>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</si>
  <si>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</si>
  <si>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</si>
  <si>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</si>
  <si>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</si>
  <si>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</si>
  <si>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</si>
  <si>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</si>
  <si>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</si>
  <si>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</si>
  <si>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</si>
  <si>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</si>
  <si>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</si>
  <si>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</si>
  <si>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</si>
  <si>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</si>
  <si>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</si>
  <si>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</si>
  <si>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</si>
  <si>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</si>
  <si>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</si>
  <si>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</si>
  <si>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</si>
  <si>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</si>
  <si>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</si>
  <si>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</si>
  <si>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</si>
  <si>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</si>
  <si>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</si>
  <si>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</si>
  <si>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</si>
  <si>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</si>
  <si>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</si>
  <si>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</si>
  <si>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</si>
  <si>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</si>
  <si>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</si>
  <si>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</si>
  <si>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</si>
  <si>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</si>
  <si>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</si>
  <si>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</si>
  <si>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</si>
  <si>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</si>
  <si>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</si>
  <si>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</si>
  <si>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</si>
  <si>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</si>
  <si>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</si>
  <si>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</si>
  <si>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</si>
  <si>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</si>
  <si>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</si>
  <si>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</si>
  <si>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</si>
  <si>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</si>
  <si>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</si>
  <si>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</si>
  <si>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</si>
  <si>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</si>
  <si>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</si>
  <si>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</si>
  <si>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</si>
  <si>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</si>
  <si>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</si>
  <si>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</si>
  <si>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</si>
  <si>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</si>
  <si>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</si>
  <si>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</si>
  <si>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</si>
  <si>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</si>
  <si>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</si>
  <si>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</si>
  <si>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</si>
  <si>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</si>
  <si>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</si>
  <si>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</si>
  <si>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</si>
  <si>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</si>
  <si>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</si>
  <si>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</si>
  <si>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</si>
  <si>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</si>
  <si>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</si>
  <si>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</si>
  <si>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</si>
  <si>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</si>
  <si>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</si>
  <si>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</si>
  <si>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</si>
  <si>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</si>
  <si>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</si>
  <si>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</si>
  <si>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</si>
  <si>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</si>
  <si>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</si>
  <si>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</si>
  <si>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</si>
  <si>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</si>
  <si>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</si>
  <si>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</si>
  <si>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</si>
  <si>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</si>
  <si>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</si>
  <si>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</si>
  <si>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</si>
  <si>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</si>
  <si>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</si>
  <si>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</si>
  <si>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</si>
  <si>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</si>
  <si>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</si>
  <si>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</si>
  <si>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</si>
  <si>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</si>
  <si>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</si>
  <si>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</si>
  <si>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</si>
  <si>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</si>
  <si>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</si>
  <si>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</si>
  <si>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</si>
  <si>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</si>
  <si>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</si>
  <si>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</si>
  <si>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</si>
  <si>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</si>
  <si>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</si>
  <si>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</si>
  <si>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</si>
  <si>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</si>
  <si>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</si>
  <si>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</si>
  <si>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</si>
  <si>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</si>
  <si>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</si>
  <si>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</si>
  <si>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</si>
  <si>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</si>
  <si>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</si>
  <si>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</si>
  <si>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</si>
  <si>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</si>
  <si>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</si>
  <si>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</si>
  <si>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</si>
  <si>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</si>
  <si>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</si>
  <si>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</si>
  <si>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</si>
  <si>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</si>
  <si>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</si>
  <si>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</si>
  <si>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</si>
  <si>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</si>
  <si>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</si>
  <si>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</si>
  <si>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</si>
  <si>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</si>
  <si>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</si>
  <si>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</si>
  <si>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</si>
  <si>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</si>
  <si>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</si>
  <si>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</si>
  <si>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</si>
  <si>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</si>
  <si>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</si>
  <si>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</si>
  <si>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</si>
  <si>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</si>
  <si>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</si>
  <si>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</si>
  <si>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</si>
  <si>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</si>
  <si>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</si>
  <si>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</si>
  <si>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</si>
  <si>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</si>
  <si>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</si>
  <si>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</si>
  <si>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</si>
  <si>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</si>
  <si>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</si>
  <si>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</si>
  <si>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</si>
  <si>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</si>
  <si>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</si>
  <si>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</si>
  <si>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</si>
  <si>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</si>
  <si>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</si>
  <si>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</si>
  <si>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</si>
  <si>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</si>
  <si>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</si>
  <si>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</si>
  <si>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</si>
  <si>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</si>
  <si>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</si>
  <si>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</si>
  <si>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</si>
  <si>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</si>
  <si>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</si>
  <si>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</si>
  <si>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</si>
  <si>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</si>
  <si>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</si>
  <si>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</si>
  <si>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</si>
  <si>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</si>
  <si>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</si>
  <si>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</si>
  <si>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</si>
  <si>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</si>
  <si>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</si>
  <si>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</si>
  <si>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</si>
  <si>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</si>
  <si>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</si>
  <si>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</si>
  <si>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</si>
  <si>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</si>
  <si>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</si>
  <si>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</si>
  <si>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</si>
  <si>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</si>
  <si>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</si>
  <si>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</si>
  <si>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</si>
  <si>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</si>
  <si>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</si>
  <si>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</si>
  <si>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</si>
  <si>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</si>
  <si>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</si>
  <si>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</si>
  <si>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</si>
  <si>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</si>
  <si>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</si>
  <si>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</si>
  <si>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</si>
  <si>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</si>
  <si>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</si>
  <si>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</si>
  <si>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</si>
  <si>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</si>
  <si>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</si>
  <si>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</si>
  <si>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</si>
  <si>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</si>
  <si>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</si>
  <si>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</si>
  <si>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</si>
  <si>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</si>
  <si>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</si>
  <si>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</si>
  <si>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</si>
  <si>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</si>
  <si>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</si>
  <si>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</si>
  <si>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</si>
  <si>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</si>
  <si>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</si>
  <si>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</si>
  <si>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</si>
  <si>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</si>
  <si>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</si>
  <si>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</si>
  <si>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</si>
  <si>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</si>
  <si>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</si>
  <si>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</si>
  <si>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</si>
  <si>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</si>
  <si>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</si>
  <si>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</si>
  <si>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</si>
  <si>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</si>
  <si>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</si>
  <si>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</si>
  <si>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</si>
  <si>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</si>
  <si>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</si>
  <si>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</si>
  <si>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</si>
  <si>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</si>
  <si>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</si>
  <si>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</si>
  <si>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</si>
  <si>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</si>
  <si>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</si>
  <si>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</si>
  <si>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</si>
  <si>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</si>
  <si>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</si>
  <si>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</si>
  <si>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</si>
  <si>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</si>
  <si>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</si>
  <si>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</si>
  <si>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</si>
  <si>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</si>
  <si>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</si>
  <si>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</si>
  <si>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</si>
  <si>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</si>
  <si>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</si>
  <si>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</si>
  <si>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</si>
  <si>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</si>
  <si>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</si>
  <si>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</si>
  <si>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</si>
  <si>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</si>
  <si>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</si>
  <si>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</si>
  <si>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</si>
  <si>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</si>
  <si>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</si>
  <si>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</si>
  <si>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</si>
  <si>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</si>
  <si>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</si>
  <si>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</si>
  <si>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</si>
  <si>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</si>
  <si>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</si>
  <si>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</si>
  <si>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</si>
  <si>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</si>
  <si>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</si>
  <si>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</si>
  <si>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</si>
  <si>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</si>
  <si>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</si>
  <si>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</si>
  <si>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</si>
  <si>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</si>
  <si>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</si>
  <si>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</si>
  <si>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</si>
  <si>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</si>
  <si>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</si>
  <si>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</si>
  <si>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</si>
  <si>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</si>
  <si>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</si>
  <si>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</si>
  <si>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</si>
  <si>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</si>
  <si>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</si>
  <si>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</si>
  <si>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</si>
  <si>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</si>
  <si>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</si>
  <si>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</si>
  <si>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</si>
  <si>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</si>
  <si>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</si>
  <si>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</si>
  <si>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</si>
  <si>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</si>
  <si>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</si>
  <si>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</si>
  <si>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</si>
  <si>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</si>
  <si>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</si>
  <si>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</si>
  <si>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</si>
  <si>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</si>
  <si>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</si>
  <si>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</si>
  <si>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</si>
  <si>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</si>
  <si>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</si>
  <si>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</si>
  <si>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</si>
  <si>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</si>
  <si>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</si>
  <si>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</si>
  <si>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</si>
  <si>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</si>
  <si>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</si>
  <si>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</si>
  <si>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</si>
  <si>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</si>
  <si>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</si>
  <si>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</si>
  <si>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</si>
  <si>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</si>
  <si>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</si>
  <si>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</si>
  <si>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</si>
  <si>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</si>
  <si>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</si>
  <si>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</si>
  <si>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</si>
  <si>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</si>
  <si>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</si>
  <si>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</si>
  <si>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</si>
  <si>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</si>
  <si>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</si>
  <si>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</si>
  <si>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</si>
  <si>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</si>
  <si>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</si>
  <si>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</si>
  <si>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</si>
  <si>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</si>
  <si>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</si>
  <si>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</si>
  <si>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</si>
  <si>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</si>
  <si>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</si>
  <si>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</si>
  <si>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</si>
  <si>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</si>
  <si>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</si>
  <si>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</si>
  <si>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</si>
  <si>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</si>
  <si>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</si>
  <si>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</si>
  <si>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</si>
  <si>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</si>
  <si>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</si>
  <si>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</si>
  <si>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</si>
  <si>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</si>
  <si>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</si>
  <si>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</si>
  <si>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</si>
  <si>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</si>
  <si>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</si>
  <si>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</si>
  <si>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</si>
  <si>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</si>
  <si>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</si>
  <si>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</si>
  <si>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</si>
  <si>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</si>
  <si>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</si>
  <si>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</si>
  <si>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</si>
  <si>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</si>
  <si>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</si>
  <si>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</si>
  <si>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</si>
  <si>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</si>
  <si>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</si>
  <si>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</si>
  <si>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</si>
  <si>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</si>
  <si>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</si>
  <si>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</si>
  <si>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</si>
  <si>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</si>
  <si>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</si>
  <si>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</si>
  <si>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</si>
  <si>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</si>
  <si>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</si>
  <si>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</si>
  <si>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</si>
  <si>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</si>
  <si>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</si>
  <si>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</si>
  <si>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</si>
  <si>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</si>
  <si>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</si>
  <si>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</si>
  <si>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</si>
  <si>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</si>
  <si>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</si>
  <si>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</si>
  <si>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</si>
  <si>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</si>
  <si>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</si>
  <si>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</si>
  <si>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</si>
  <si>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</si>
  <si>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</si>
  <si>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</si>
  <si>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</si>
  <si>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</si>
  <si>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</si>
  <si>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</si>
  <si>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</si>
  <si>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</si>
  <si>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</si>
  <si>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</si>
  <si>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</si>
  <si>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</si>
  <si>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</si>
  <si>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</si>
  <si>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</si>
  <si>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</si>
  <si>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</si>
  <si>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</si>
  <si>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</si>
  <si>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</si>
  <si>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</si>
  <si>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</si>
  <si>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</si>
  <si>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</si>
  <si>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</si>
  <si>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</si>
  <si>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</si>
  <si>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</si>
  <si>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</si>
  <si>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</si>
  <si>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</si>
  <si>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</si>
  <si>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</si>
  <si>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</si>
  <si>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</si>
  <si>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</si>
  <si>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</si>
  <si>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</si>
  <si>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</si>
  <si>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</si>
  <si>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</si>
  <si>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</si>
  <si>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</si>
  <si>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</si>
  <si>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</si>
  <si>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</si>
  <si>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</si>
  <si>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</si>
  <si>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</si>
  <si>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</si>
  <si>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</si>
  <si>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</si>
  <si>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</si>
  <si>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</si>
  <si>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</si>
  <si>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</si>
  <si>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</si>
  <si>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</si>
  <si>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</si>
  <si>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</si>
  <si>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</si>
  <si>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</si>
  <si>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</si>
  <si>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</si>
  <si>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</si>
  <si>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</si>
  <si>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</si>
  <si>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</si>
  <si>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</si>
  <si>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</si>
  <si>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</si>
  <si>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</si>
  <si>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</si>
  <si>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</si>
  <si>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</si>
  <si>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85% акрил - 15% шерсть</t>
  </si>
  <si>
    <t>100% полиэстер</t>
  </si>
  <si>
    <t>Tech</t>
  </si>
  <si>
    <t>Найдено</t>
  </si>
  <si>
    <t xml:space="preserve">Spaces: </t>
  </si>
  <si>
    <t>HFT Cap IOI Modern Classics</t>
  </si>
  <si>
    <t>Modern Classics</t>
  </si>
  <si>
    <t>HFT Cap IOI Music is Life</t>
  </si>
  <si>
    <t>Music is Life</t>
  </si>
  <si>
    <t>6P TrueFit IOI Music is Life</t>
  </si>
  <si>
    <t>HFT Cap IOI Take a Hand</t>
  </si>
  <si>
    <t>Take a Hand</t>
  </si>
  <si>
    <t>5P CV Flo 2022</t>
  </si>
  <si>
    <t>CV Flo</t>
  </si>
  <si>
    <t>6P SB Frida Linen</t>
  </si>
  <si>
    <t>Frida Linen</t>
  </si>
  <si>
    <t>6P SB Frida Linen Rev.</t>
  </si>
  <si>
    <t>HFT Cap DNC New 1.1</t>
  </si>
  <si>
    <t>DNC New 1.1</t>
  </si>
  <si>
    <t>HFT Cap DNC New 1.2</t>
  </si>
  <si>
    <t>DNC New 1.2</t>
  </si>
  <si>
    <t>HFT Cap DNC New 1.3</t>
  </si>
  <si>
    <t>DNC New 1.3</t>
  </si>
  <si>
    <t>6P SB Ox-Diamond</t>
  </si>
  <si>
    <t>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</si>
  <si>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</si>
  <si>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</si>
  <si>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</si>
  <si>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</si>
  <si>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</si>
  <si>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</si>
  <si>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</si>
  <si>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</si>
  <si>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</si>
  <si>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</si>
  <si>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</si>
  <si>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</si>
  <si>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</si>
  <si>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</si>
  <si>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</si>
  <si>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</si>
  <si>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</si>
  <si>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</si>
  <si>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</si>
  <si>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</si>
  <si>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</si>
  <si>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</si>
  <si>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</si>
  <si>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</si>
  <si>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</si>
  <si>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</si>
  <si>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</si>
  <si>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</si>
  <si>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</si>
  <si>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</si>
  <si>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</si>
  <si>
    <t>03-024-20-57</t>
  </si>
  <si>
    <t>Панама KANGOL арт. 0397BC Bermuda Casual (золотой) {goldie}</t>
  </si>
  <si>
    <t>57 M</t>
  </si>
  <si>
    <t>0397BC Bermuda Casual</t>
  </si>
  <si>
    <t>85% акрил - 15% нейлон</t>
  </si>
  <si>
    <t>Street</t>
  </si>
  <si>
    <t>Bollman Headwear Europe Ltd; 2 Merchants drive, Caelisle, Cumbria CA3 0JW, UK</t>
  </si>
  <si>
    <t>goldie</t>
  </si>
  <si>
    <t>03-024-20-59</t>
  </si>
  <si>
    <t>59 L</t>
  </si>
  <si>
    <t>03-036-72-57</t>
  </si>
  <si>
    <t>Панама KANGOL арт. K4105SP Bold Stripe Bucket (синий / красный) {navy/white/red}</t>
  </si>
  <si>
    <t>K4105SP Bold Stripe Bucket</t>
  </si>
  <si>
    <t>100% нейлон</t>
  </si>
  <si>
    <t>Sport</t>
  </si>
  <si>
    <t>navy/white/red</t>
  </si>
  <si>
    <t>03-036-72-59</t>
  </si>
  <si>
    <t>03-033-17-59</t>
  </si>
  <si>
    <t>Кепка KANGOL арт. K3134HT Cut Up 507 (белый / зеленый) {white}</t>
  </si>
  <si>
    <t>K3134HT Cut Up 507</t>
  </si>
  <si>
    <t>50% полиэстер - 50% акрил</t>
  </si>
  <si>
    <t>Kangol Heritage</t>
  </si>
  <si>
    <t>white</t>
  </si>
  <si>
    <t>03-041-17-59</t>
  </si>
  <si>
    <t>Панама KANGOL арт. K4144ST Mix Tape Reversible Bucket (белый) {white}</t>
  </si>
  <si>
    <t>K4144ST Mix Tape Reversible Bucket</t>
  </si>
  <si>
    <t>03-041-17-57</t>
  </si>
  <si>
    <t>03-042-92-57</t>
  </si>
  <si>
    <t>Кепка KANGOL арт. K3130HT Rib Plaid 504 (коричневый / синий) {brown}</t>
  </si>
  <si>
    <t>K3130HT Rib Plaid 504</t>
  </si>
  <si>
    <t>60% полиэстер - 40% акрил</t>
  </si>
  <si>
    <t>brown</t>
  </si>
  <si>
    <t>03-042-92-59</t>
  </si>
  <si>
    <t>03-043-52-59</t>
  </si>
  <si>
    <t>Кепка KANGOL арт. 0289BC Tropic Spitfire (черный) {black}</t>
  </si>
  <si>
    <t>0289BC Tropic Spitfire</t>
  </si>
  <si>
    <t>65% полиэстер - 35% акрил</t>
  </si>
  <si>
    <t>Heritage</t>
  </si>
  <si>
    <t>black</t>
  </si>
  <si>
    <t>03-043-52-57</t>
  </si>
  <si>
    <t>03-023-11-59</t>
  </si>
  <si>
    <t>Кепка KANGOL арт. 0290BC Tropic 504 Ventair (зеленый) {algae}</t>
  </si>
  <si>
    <t>0290BC Tropic 504 Ventair</t>
  </si>
  <si>
    <t>70% полиэстер - 30% акрил</t>
  </si>
  <si>
    <t>algae</t>
  </si>
  <si>
    <t>03-023-11-57</t>
  </si>
  <si>
    <t>03-025-16-59</t>
  </si>
  <si>
    <t>Бейсболка KANGOL арт. 1456BC Tropic Ventair Spacecap (темно-синий) {navy}</t>
  </si>
  <si>
    <t>1456BC Tropic Ventair Spacecap</t>
  </si>
  <si>
    <t>75% полиэстер - 25% акрил</t>
  </si>
  <si>
    <t>navy</t>
  </si>
  <si>
    <t>03-025-16-57</t>
  </si>
  <si>
    <t>03-038-06-00</t>
  </si>
  <si>
    <t>Бейсболка KANGOL арт. K5165HT Washed Baseball (синий) {sky}</t>
  </si>
  <si>
    <t>K5165HT Washed Baseball</t>
  </si>
  <si>
    <t>sky</t>
  </si>
  <si>
    <t>03-038-17-00</t>
  </si>
  <si>
    <t>Бейсболка KANGOL арт. K5165HT Washed Baseball (белый) {white}</t>
  </si>
  <si>
    <t>03-056-09-59</t>
  </si>
  <si>
    <t>Кепка KANGOL арт. 0287BC Tropic 504 (черный) {black}</t>
  </si>
  <si>
    <t>0287BC Tropic 504</t>
  </si>
  <si>
    <t>03-056-09-57</t>
  </si>
  <si>
    <t>03-056-09-61</t>
  </si>
  <si>
    <t>61 XL</t>
  </si>
  <si>
    <t>03-056-09-55</t>
  </si>
  <si>
    <t>55 S</t>
  </si>
  <si>
    <t>03-057-09-55</t>
  </si>
  <si>
    <t>Берет KANGOL арт. 0284KG Tropic Monty (черный) {black}</t>
  </si>
  <si>
    <t>0284KG Tropic Monty</t>
  </si>
  <si>
    <t>03-057-09-57</t>
  </si>
  <si>
    <t>03-057-09-59</t>
  </si>
  <si>
    <t>03-057-09-61</t>
  </si>
  <si>
    <t>03-058-16-57</t>
  </si>
  <si>
    <t>Кепка KANGOL арт. K3211HT Travel Stripe 507 (темно-синий) {navy}</t>
  </si>
  <si>
    <t>K3211HT Travel Stripe 507</t>
  </si>
  <si>
    <t>40% акрил - 35% - вискоза - 25% полиэстер</t>
  </si>
  <si>
    <t>03-058-16-59</t>
  </si>
  <si>
    <t>03-059-17-00</t>
  </si>
  <si>
    <t>Бейсболка KANGOL арт. K2036CO Adjustable Baseball (белый) {white}</t>
  </si>
  <si>
    <t>K2036CO Adjustable Baseball</t>
  </si>
  <si>
    <t>03-059-16-00</t>
  </si>
  <si>
    <t>Бейсболка KANGOL арт. K2036CO Adjustable Baseball (темно-синий) {navy}</t>
  </si>
  <si>
    <t>03-059-09-00</t>
  </si>
  <si>
    <t>Бейсболка KANGOL арт. K2036CO Adjustable Baseball (черный) {black}</t>
  </si>
  <si>
    <t>03-060-03-56</t>
  </si>
  <si>
    <t>Бейсболка KANGOL арт. K5178HT Pattern Flexfit Baseball (камуфляж) {camo}</t>
  </si>
  <si>
    <t>56 S/M</t>
  </si>
  <si>
    <t>K5178HT Pattern Flexfit Baseball</t>
  </si>
  <si>
    <t>65% полиэстер - 32% вискоза - 3% эластан</t>
  </si>
  <si>
    <t>camo</t>
  </si>
  <si>
    <t>03-060-03-60</t>
  </si>
  <si>
    <t>60 L/XL</t>
  </si>
  <si>
    <t>03-061-03-56</t>
  </si>
  <si>
    <t>Кепка KANGOL арт. K5245HT Pattern Flexfit 504 (камуфляж) {camo}</t>
  </si>
  <si>
    <t>K5245HT Pattern Flexfit 504</t>
  </si>
  <si>
    <t>03-061-03-60</t>
  </si>
  <si>
    <t>03-062-09-55</t>
  </si>
  <si>
    <t>Берет KANGOL арт. K3226ST Tropic Beret (черный) {black}</t>
  </si>
  <si>
    <t>K3226ST Tropic Beret</t>
  </si>
  <si>
    <t>60%полиэстер - 40% акрил</t>
  </si>
  <si>
    <t>03-062-09-57</t>
  </si>
  <si>
    <t>03-062-09-59</t>
  </si>
  <si>
    <t>03-062-09-61</t>
  </si>
  <si>
    <t>03-063-09-55</t>
  </si>
  <si>
    <t>Берет KANGOL арт. K3143ST Bamboo Jax Beret (черный) {black}</t>
  </si>
  <si>
    <t>K3143ST Bamboo Jax Beret</t>
  </si>
  <si>
    <t>65% акрил - 35% вискоза</t>
  </si>
  <si>
    <t>03-063-09-57</t>
  </si>
  <si>
    <t>03-063-09-59</t>
  </si>
  <si>
    <t>03-063-09-61</t>
  </si>
  <si>
    <t>03-064-09-57</t>
  </si>
  <si>
    <t>Панама KANGOL арт. K4208ST Comet Rev Bucket (черный) {black}</t>
  </si>
  <si>
    <t>K4208ST Comet Rev Bucket</t>
  </si>
  <si>
    <t>03-064-09-59</t>
  </si>
  <si>
    <t>03-065-02-55</t>
  </si>
  <si>
    <t>Кепка KANGOL арт. K3217HT Bamboo Hawker (бежевый) {beige}</t>
  </si>
  <si>
    <t>K3217HT Bamboo Hawker</t>
  </si>
  <si>
    <t>65% вискоза - 35% акрил</t>
  </si>
  <si>
    <t>beige</t>
  </si>
  <si>
    <t>03-065-02-57</t>
  </si>
  <si>
    <t>03-065-02-59</t>
  </si>
  <si>
    <t>03-065-02-61</t>
  </si>
  <si>
    <t>03-066-16-57</t>
  </si>
  <si>
    <t>Панама KANGOL арт. K4202ST Denim Stitch Bucket (темно-синий) {indigo}</t>
  </si>
  <si>
    <t>K4202ST Denim Stitch Bucket</t>
  </si>
  <si>
    <t>indigo</t>
  </si>
  <si>
    <t>03-066-16-59</t>
  </si>
  <si>
    <t>03-067-19-55</t>
  </si>
  <si>
    <t>Кепка KANGOL арт. K3156HT Indigo 507 (голубой) {indigo wash}</t>
  </si>
  <si>
    <t>K3156HT Indigo 507</t>
  </si>
  <si>
    <t>65% хлопок - 35% акрил</t>
  </si>
  <si>
    <t>indigo wash</t>
  </si>
  <si>
    <t>03-067-19-57</t>
  </si>
  <si>
    <t>03-067-19-59</t>
  </si>
  <si>
    <t>03-067-19-61</t>
  </si>
  <si>
    <t>03-044-16-55</t>
  </si>
  <si>
    <t>Берет KANGOL арт. 0248HT Wool Monty (темно-синий) {dark blue}</t>
  </si>
  <si>
    <t>0248HT Wool Monty</t>
  </si>
  <si>
    <t>100% шерсть</t>
  </si>
  <si>
    <t>dark blue</t>
  </si>
  <si>
    <t>03-044-16-57</t>
  </si>
  <si>
    <t>03-044-16-59</t>
  </si>
  <si>
    <t>03-044-16-61</t>
  </si>
  <si>
    <t>03-044-11-59</t>
  </si>
  <si>
    <t>Берет KANGOL арт. 0248HT Wool Monty (зеленый) {forrester}</t>
  </si>
  <si>
    <t>forrester</t>
  </si>
  <si>
    <t>03-044-11-57</t>
  </si>
  <si>
    <t>03-044-11-55</t>
  </si>
  <si>
    <t>03-044-11-61</t>
  </si>
  <si>
    <t>03-002-08-55</t>
  </si>
  <si>
    <t>Кепка KANGOL арт. 0258BC Wool 504 (серый) {flannel}</t>
  </si>
  <si>
    <t>0258BC Wool 504</t>
  </si>
  <si>
    <t>flannel</t>
  </si>
  <si>
    <t>03-002-08-57</t>
  </si>
  <si>
    <t>03-002-08-59</t>
  </si>
  <si>
    <t>03-002-08-61</t>
  </si>
  <si>
    <t>03-002-88-55</t>
  </si>
  <si>
    <t>Кепка KANGOL арт. 0258BC Wool 504 (синий) {ultramarine}</t>
  </si>
  <si>
    <t>ultramarine</t>
  </si>
  <si>
    <t>03-002-88-57</t>
  </si>
  <si>
    <t>03-002-88-59</t>
  </si>
  <si>
    <t>03-002-88-61</t>
  </si>
  <si>
    <t>03-008-06-57</t>
  </si>
  <si>
    <t>Кепка KANGOL арт. K0875FA Seamless Wool 507  (синий) {ultramarine}</t>
  </si>
  <si>
    <t>K0875FA Seamless Wool 507</t>
  </si>
  <si>
    <t>70% шерсть - 30% акрил</t>
  </si>
  <si>
    <t>03-008-06-59</t>
  </si>
  <si>
    <t>03-008-90-55</t>
  </si>
  <si>
    <t>Кепка KANGOL арт. K0875FA Seamless Wool 507  (коньячный) {wood}</t>
  </si>
  <si>
    <t>wood</t>
  </si>
  <si>
    <t>03-008-90-57</t>
  </si>
  <si>
    <t>03-008-90-59</t>
  </si>
  <si>
    <t>03-008-90-61</t>
  </si>
  <si>
    <t>03-045-09-55</t>
  </si>
  <si>
    <t>Кепка KANGOL арт. K3124HT Wool Enfield (черный) {black}</t>
  </si>
  <si>
    <t>K3124HT Wool Enfield</t>
  </si>
  <si>
    <t>03-045-09-57</t>
  </si>
  <si>
    <t>03-045-09-59</t>
  </si>
  <si>
    <t>03-045-09-61</t>
  </si>
  <si>
    <t>03-045-05-57</t>
  </si>
  <si>
    <t>Кепка KANGOL арт. K3124HT Wool Enfield (темно-серый) {dk.flannel}</t>
  </si>
  <si>
    <t>dk.flannel</t>
  </si>
  <si>
    <t>03-045-05-59</t>
  </si>
  <si>
    <t>03-046-08-55</t>
  </si>
  <si>
    <t>Кепка KANGOL арт. K3164HT Wool Hawker (серый) {flannel}</t>
  </si>
  <si>
    <t>K3164HT Wool Hawker</t>
  </si>
  <si>
    <t>03-046-08-57</t>
  </si>
  <si>
    <t>03-046-08-59</t>
  </si>
  <si>
    <t>03-046-08-61</t>
  </si>
  <si>
    <t>03-047-26-57</t>
  </si>
  <si>
    <t>Кепка KANGOL арт. K3167HT Code Stripe 504 (серый / синий) {ether/deep}</t>
  </si>
  <si>
    <t>K3167HT Code Stripe 504</t>
  </si>
  <si>
    <t>50% шерсть - 50% акрил</t>
  </si>
  <si>
    <t>ether/deep</t>
  </si>
  <si>
    <t>03-047-26-59</t>
  </si>
  <si>
    <t>03-048-05-57</t>
  </si>
  <si>
    <t>Кепка KANGOL арт. K3175HT Boiled Wool Earlap 507 (темно-серый) {dk.flannel}</t>
  </si>
  <si>
    <t>K3175HT Boiled Wool Earlap 507</t>
  </si>
  <si>
    <t>80% акрил - 14% шерсть - 6% нейлон</t>
  </si>
  <si>
    <t>03-048-05-59</t>
  </si>
  <si>
    <t>03-049-09-56</t>
  </si>
  <si>
    <t>Бейсболка KANGOL арт. K5142HT Textured Wool Baseball (черный) {black}</t>
  </si>
  <si>
    <t>K5142HT Textured Wool Baseball</t>
  </si>
  <si>
    <t>60% шерсть - 38% акрил - 2% спандекс</t>
  </si>
  <si>
    <t>03-049-09-60</t>
  </si>
  <si>
    <t>03-049-16-56</t>
  </si>
  <si>
    <t>Бейсболка KANGOL арт. K5142HT Textured Wool Baseball (темно-синий) {navy}</t>
  </si>
  <si>
    <t>03-049-16-60</t>
  </si>
  <si>
    <t>03-050-16-60</t>
  </si>
  <si>
    <t>Бейсболка KANGOL арт. K5143HT Pattern Flexfit Baseball (темно-синий) {navy check}</t>
  </si>
  <si>
    <t>K5143HT Pattern Flexfit Baseball</t>
  </si>
  <si>
    <t>60% полиэстер - 40% иск.шелк</t>
  </si>
  <si>
    <t>navy check</t>
  </si>
  <si>
    <t>03-050-16-56</t>
  </si>
  <si>
    <t>03-050-08-56</t>
  </si>
  <si>
    <t>Бейсболка KANGOL арт. K5143HT Pattern Flexfit Baseball (серый) {waffle marl}</t>
  </si>
  <si>
    <t>75% полиэстер - 22% хлопок - 3% спандекс</t>
  </si>
  <si>
    <t>waffle marl</t>
  </si>
  <si>
    <t>03-050-08-60</t>
  </si>
  <si>
    <t>03-044-09-55</t>
  </si>
  <si>
    <t>Берет KANGOL арт. 0248HT Wool Monty (черный) {black}</t>
  </si>
  <si>
    <t>03-044-09-57</t>
  </si>
  <si>
    <t>03-044-09-59</t>
  </si>
  <si>
    <t>03-044-09-61</t>
  </si>
  <si>
    <t>03-015-16-55</t>
  </si>
  <si>
    <t>Кепка KANGOL арт. 0259BC Wool Spitfire (темно-синий) {navy}</t>
  </si>
  <si>
    <t>0259BC Wool Spitfire</t>
  </si>
  <si>
    <t>75% шерсть - 25% акрил</t>
  </si>
  <si>
    <t>03-015-16-59</t>
  </si>
  <si>
    <t>03-015-16-57</t>
  </si>
  <si>
    <t>03-015-16-61</t>
  </si>
  <si>
    <t>03-046-09-55</t>
  </si>
  <si>
    <t>Кепка KANGOL арт. K3164HT Wool Hawker (черный) {black}</t>
  </si>
  <si>
    <t>03-046-09-57</t>
  </si>
  <si>
    <t>03-046-09-59</t>
  </si>
  <si>
    <t>03-046-09-61</t>
  </si>
  <si>
    <t>03-046-11-55</t>
  </si>
  <si>
    <t>Кепка KANGOL арт. K3164HT Wool Hawker (зеленый) {hunter mix}</t>
  </si>
  <si>
    <t>hunter mix</t>
  </si>
  <si>
    <t>03-046-11-57</t>
  </si>
  <si>
    <t>03-046-11-59</t>
  </si>
  <si>
    <t>03-046-11-61</t>
  </si>
  <si>
    <t>03-047-96-57</t>
  </si>
  <si>
    <t>Кепка KANGOL арт. K3167HT Code Stripe 504 (черный / коричневый) {black/wood}</t>
  </si>
  <si>
    <t>black/wood</t>
  </si>
  <si>
    <t>03-047-96-59</t>
  </si>
  <si>
    <t>03-051-09-00</t>
  </si>
  <si>
    <t>Шапка KANGOL арт. K3119HT Reefer Cuff (черный) {black}</t>
  </si>
  <si>
    <t>K3119HT Reefer Cuff</t>
  </si>
  <si>
    <t>03-051-16-00</t>
  </si>
  <si>
    <t>Шапка KANGOL арт. K3119HT Reefer Cuff (темно-синий) {dark blue}</t>
  </si>
  <si>
    <t>03-052-09-00</t>
  </si>
  <si>
    <t>Шапка KANGOL арт. K4180ST Gold Beanie (черный) {black}</t>
  </si>
  <si>
    <t>K4180ST Gold Beanie</t>
  </si>
  <si>
    <t>100% акрил</t>
  </si>
  <si>
    <t>03-053-09-00</t>
  </si>
  <si>
    <t>Шапка KANGOL арт. K3020ST Patch Beanie (черный) {black}</t>
  </si>
  <si>
    <t>K3020ST Patch Beanie</t>
  </si>
  <si>
    <t>03-053-16-00</t>
  </si>
  <si>
    <t>Шапка KANGOL арт. K3020ST Patch Beanie (темно-синий) {navy}</t>
  </si>
  <si>
    <t>03-053-08-00</t>
  </si>
  <si>
    <t>Шапка KANGOL арт. K3020ST Patch Beanie (серый) {light flannel}</t>
  </si>
  <si>
    <t>light flannel</t>
  </si>
  <si>
    <t>03-054-16-60</t>
  </si>
  <si>
    <t>Бейсболка KANGOL арт. K5206HT Cord Baseball (темно-синий) {navy}</t>
  </si>
  <si>
    <t>K5206HT Cord Baseball</t>
  </si>
  <si>
    <t>98% хлопок - 2% эластан</t>
  </si>
  <si>
    <t>03-054-16-00</t>
  </si>
  <si>
    <t>03-054-02-00</t>
  </si>
  <si>
    <t>Бейсболка KANGOL арт. K5206HT Cord Baseball (бежевый) {beige}</t>
  </si>
  <si>
    <t>03-054-11-00</t>
  </si>
  <si>
    <t>Бейсболка KANGOL арт. K5206HT Cord Baseball (зеленый) {forrester}</t>
  </si>
  <si>
    <t>03-054-09-00</t>
  </si>
  <si>
    <t>Бейсболка KANGOL арт. K5206HT Cord Baseball (черный) {black}</t>
  </si>
  <si>
    <t>03-055-09-55</t>
  </si>
  <si>
    <t>Кепка KANGOL арт. K4177HT Cord Hawker (черный) {black}</t>
  </si>
  <si>
    <t>K4177HT Cord Hawker</t>
  </si>
  <si>
    <t>вельветовые</t>
  </si>
  <si>
    <t>03-055-09-57</t>
  </si>
  <si>
    <t>03-055-09-59</t>
  </si>
  <si>
    <t>03-055-09-61</t>
  </si>
  <si>
    <t>03-055-16-55</t>
  </si>
  <si>
    <t>Кепка KANGOL арт. K4177HT Cord Hawker (темно-синий) {navy}</t>
  </si>
  <si>
    <t>03-055-16-57</t>
  </si>
  <si>
    <t>03-055-16-59</t>
  </si>
  <si>
    <t>03-055-16-61</t>
  </si>
  <si>
    <t>03-044-18-55</t>
  </si>
  <si>
    <t>Берет KANGOL арт. 0248HT Wool Monty (красный) {red}</t>
  </si>
  <si>
    <t>red</t>
  </si>
  <si>
    <t>03-044-18-57</t>
  </si>
  <si>
    <t>03-044-18-59</t>
  </si>
  <si>
    <t>03-044-18-61</t>
  </si>
  <si>
    <t>03-068-09-00</t>
  </si>
  <si>
    <t>Шапка KANGOL арт. K3259HT Cord Rib Toque (черный) {black}</t>
  </si>
  <si>
    <t>K3259HT Cord Rib Toque</t>
  </si>
  <si>
    <t>99% полиэстер - 1% эластан</t>
  </si>
  <si>
    <t>03-069-09-56</t>
  </si>
  <si>
    <t>Шапка KANGOL арт. K5240SL Wool Docker (черный) {black}</t>
  </si>
  <si>
    <t>K5240SL Wool Docker</t>
  </si>
  <si>
    <t>03-069-09-60</t>
  </si>
  <si>
    <t>03-070-09-00</t>
  </si>
  <si>
    <t>Шапка KANGOL арт. K3179ST Furgora Cuff Pull-on (черный) {black}</t>
  </si>
  <si>
    <t>K3179ST Furgora Cuff Pull-on</t>
  </si>
  <si>
    <t>65% шерсть Ангора - 35% нейлон</t>
  </si>
  <si>
    <t>03-071-09-60</t>
  </si>
  <si>
    <t>Бейсболка KANGOL арт. K3201ST Furgora Spacecap (черный) {black}</t>
  </si>
  <si>
    <t>K3201ST Furgora Spacecap</t>
  </si>
  <si>
    <t>70% шерсть Ангора - 20% нейлон - 10% эластан</t>
  </si>
  <si>
    <t>03-071-09-56</t>
  </si>
  <si>
    <t>03-072-09-00</t>
  </si>
  <si>
    <t>Шапка KANGOL арт. K4238ST Urban Legend Balaclava (черный) {black}</t>
  </si>
  <si>
    <t>K4238ST Urban Legend Balaclava</t>
  </si>
  <si>
    <t>03-073-09-59</t>
  </si>
  <si>
    <t>Кепка KANGOL арт. K3208HT Tropic 507 Ventair (черный) {black}</t>
  </si>
  <si>
    <t>K3208HT Tropic 507 Ventair</t>
  </si>
  <si>
    <t>03-073-09-57</t>
  </si>
  <si>
    <t>03-073-09-61</t>
  </si>
  <si>
    <t>03-073-16-59</t>
  </si>
  <si>
    <t>Кепка KANGOL арт. K3208HT Tropic 507 Ventair (темно-синий) {navy}</t>
  </si>
  <si>
    <t>03-073-16-57</t>
  </si>
  <si>
    <t>03-073-16-61</t>
  </si>
  <si>
    <t>03-038-13-00</t>
  </si>
  <si>
    <t>Бейсболка KANGOL арт. K5165HT Washed Baseball (кирпичный) {clay}</t>
  </si>
  <si>
    <t>clay</t>
  </si>
  <si>
    <t>03-074-14-00</t>
  </si>
  <si>
    <t>Бейсболка KANGOL арт. K3219HT Indigo Adj Spacecap (коричневый) {brown}</t>
  </si>
  <si>
    <t>K3219HT Indigo Adj Spacecap</t>
  </si>
  <si>
    <t>03-002-94-57</t>
  </si>
  <si>
    <t>Кепка KANGOL арт. 0258BC Wool 504 (темно-розовый) {dark berry}</t>
  </si>
  <si>
    <t>dark berry</t>
  </si>
  <si>
    <t>03-002-94-59</t>
  </si>
  <si>
    <t>03-002-94-55</t>
  </si>
  <si>
    <t>03-002-94-61</t>
  </si>
  <si>
    <t>03-002-07-63</t>
  </si>
  <si>
    <t>Кепка KANGOL арт. 0258BC Wool 504 (темно-зеленый) {loden}</t>
  </si>
  <si>
    <t>63 XXL</t>
  </si>
  <si>
    <t>loden</t>
  </si>
  <si>
    <t>03-002-07-55</t>
  </si>
  <si>
    <t>03-002-07-59</t>
  </si>
  <si>
    <t>03-002-07-57</t>
  </si>
  <si>
    <t>03-002-07-61</t>
  </si>
  <si>
    <t>03-002-12-63</t>
  </si>
  <si>
    <t>Кепка KANGOL арт. 0258BC Wool 504 (бордовый) {vino}</t>
  </si>
  <si>
    <t>vino</t>
  </si>
  <si>
    <t>03-002-12-55</t>
  </si>
  <si>
    <t>03-002-12-59</t>
  </si>
  <si>
    <t>03-002-12-57</t>
  </si>
  <si>
    <t>03-002-12-61</t>
  </si>
  <si>
    <t>03-005-06-00</t>
  </si>
  <si>
    <t>Шапка KANGOL арт. 2978BC Acrylic Cuff Pull-On (оранжевый) {safety}</t>
  </si>
  <si>
    <t>2978BC Acrylic Cuff Pull-On</t>
  </si>
  <si>
    <t>safety</t>
  </si>
  <si>
    <t>03-070-12-00</t>
  </si>
  <si>
    <t>Шапка KANGOL арт. K3179ST Furgora Cuff Pull-on (фиолетовый) {dark berry}</t>
  </si>
  <si>
    <t>03-050-01-56</t>
  </si>
  <si>
    <t>Бейсболка KANGOL арт. K5143HT Pattern Flexfit Baseball (светло-серый) {plaid grey}</t>
  </si>
  <si>
    <t>plaid grey</t>
  </si>
  <si>
    <t>03-050-01-60</t>
  </si>
  <si>
    <t>03-054-13-00</t>
  </si>
  <si>
    <t>Бейсболка KANGOL арт. K5206HT Cord Baseball (рыжий) {wood}</t>
  </si>
  <si>
    <t>03-075-09-57</t>
  </si>
  <si>
    <t>Кепка KANGOL арт. 0238KG Wool 504 Earlap (черный) {black}</t>
  </si>
  <si>
    <t>0238KG Wool 504 Earlap</t>
  </si>
  <si>
    <t>03-075-09-59</t>
  </si>
  <si>
    <t>03-075-09-55</t>
  </si>
  <si>
    <t>03-075-09-61</t>
  </si>
  <si>
    <t>03-075-09-63</t>
  </si>
  <si>
    <t>03-075-05-57</t>
  </si>
  <si>
    <t>Кепка KANGOL арт. 0238KG Wool 504 Earlap (серый) {dk.flannel}</t>
  </si>
  <si>
    <t>03-075-05-59</t>
  </si>
  <si>
    <t>03-075-05-55</t>
  </si>
  <si>
    <t>03-075-05-61</t>
  </si>
  <si>
    <t>03-075-16-57</t>
  </si>
  <si>
    <t>Кепка KANGOL арт. 0238KG Wool 504 Earlap (синий) {navy}</t>
  </si>
  <si>
    <t>03-075-16-59</t>
  </si>
  <si>
    <t>03-075-16-55</t>
  </si>
  <si>
    <t>03-075-16-61</t>
  </si>
  <si>
    <t>03-076-09-57</t>
  </si>
  <si>
    <t>Кепка KANGOL арт. 6845BC Wool 507 (черный) {black}</t>
  </si>
  <si>
    <t>6845BC Wool 507</t>
  </si>
  <si>
    <t>03-076-09-59</t>
  </si>
  <si>
    <t>03-076-09-55</t>
  </si>
  <si>
    <t>03-076-09-61</t>
  </si>
  <si>
    <t>03-077-16-00</t>
  </si>
  <si>
    <t>Шапка KANGOL арт. K0702CO Squad Fully Fashioned Cuff Pull-On (синий) {deep sea}</t>
  </si>
  <si>
    <t>K0702CO Squad Fully Fashioned Cuff Pull-On</t>
  </si>
  <si>
    <t>deep sea</t>
  </si>
  <si>
    <t>03-077-08-00</t>
  </si>
  <si>
    <t>Шапка KANGOL арт. K0702CO Squad Fully Fashioned Cuff Pull-On (серый) {flannel}</t>
  </si>
  <si>
    <t>03-077-09-00</t>
  </si>
  <si>
    <t>Шапка KANGOL арт. K0702CO Squad Fully Fashioned Cuff Pull-On (черный) {black}</t>
  </si>
  <si>
    <t>03-078-16-00</t>
  </si>
  <si>
    <t>Бейсболка KANGOL арт. K4313ST Vintage Script Logo Baseball (темно-синий) {dark blue}</t>
  </si>
  <si>
    <t>K4313ST Vintage Script Logo Baseball</t>
  </si>
  <si>
    <t>03-005-99-00</t>
  </si>
  <si>
    <t>Шапка KANGOL арт. 2978BC Acrylic Cuff Pull-On (черный / черный) {black/black}</t>
  </si>
  <si>
    <t>black/black</t>
  </si>
  <si>
    <t>03-078-09-00</t>
  </si>
  <si>
    <t>Бейсболка KANGOL арт. K4313ST Vintage Script Logo Baseball (черный) {black}</t>
  </si>
  <si>
    <t>03-049-08-56</t>
  </si>
  <si>
    <t>Бейсболка KANGOL арт. K5142HT Textured Wool Baseball (серый) {flannel}</t>
  </si>
  <si>
    <t>03-049-08-60</t>
  </si>
  <si>
    <t>03-050-09-56</t>
  </si>
  <si>
    <t>Бейсболка KANGOL арт. K5143HT Pattern Flexfit Baseball (черный) {black plaid}</t>
  </si>
  <si>
    <t>black plaid</t>
  </si>
  <si>
    <t>03-050-09-60</t>
  </si>
  <si>
    <t>03-046-06-55</t>
  </si>
  <si>
    <t>Кепка KANGOL арт. K3164HT Wool Hawker (синий) {navy marl}</t>
  </si>
  <si>
    <t>navy marl</t>
  </si>
  <si>
    <t>03-046-06-57</t>
  </si>
  <si>
    <t>03-046-06-59</t>
  </si>
  <si>
    <t>03-046-06-61</t>
  </si>
  <si>
    <t>03-079-09-00</t>
  </si>
  <si>
    <t>Шапка KANGOL арт. K3363ST Vintage Script Logo Beanie (черный) {black}</t>
  </si>
  <si>
    <t>K3363ST Vintage Script Logo Beanie</t>
  </si>
  <si>
    <t>03-080-05-00</t>
  </si>
  <si>
    <t>Шапка KANGOL арт. K3375ST Hidden Beanie (серый) {dark flannel}</t>
  </si>
  <si>
    <t>K3375ST Hidden Beanie</t>
  </si>
  <si>
    <t>dark flannel</t>
  </si>
  <si>
    <t>03-081-05-56</t>
  </si>
  <si>
    <t>Кепка KANGOL арт. K4269HT Pattern Flexfit Cap (серый) {black plaid}</t>
  </si>
  <si>
    <t>K4269HT Pattern Flexfit Cap</t>
  </si>
  <si>
    <t>03-081-05-60</t>
  </si>
  <si>
    <t>03-082-09-60</t>
  </si>
  <si>
    <t>Бейсболка KANGOL арт. 8650BC Wool Flexfit Baseball (черный) {black}</t>
  </si>
  <si>
    <t>8650BC Wool Flexfit Baseball</t>
  </si>
  <si>
    <t>83% акрил - 15% шерсть - 2% спандекс</t>
  </si>
  <si>
    <t>03-082-09-56</t>
  </si>
  <si>
    <t>03-083-09-60</t>
  </si>
  <si>
    <t>Кепка KANGOL арт. K0533CO Ripstop Flexfit Army (черный) {black}</t>
  </si>
  <si>
    <t>K0533CO Ripstop Flexfit Army</t>
  </si>
  <si>
    <t>98% хлопок - 2% спандекс</t>
  </si>
  <si>
    <t>03-083-09-56</t>
  </si>
  <si>
    <t>03-084-09-59</t>
  </si>
  <si>
    <t>Панама KANGOL арт. K2094ST  Tropic Casual (черный) {black}</t>
  </si>
  <si>
    <t>K2094ST  Tropic Casual</t>
  </si>
  <si>
    <t>03-084-09-57</t>
  </si>
  <si>
    <t>03-084-09-61</t>
  </si>
  <si>
    <t>03-084-17-59</t>
  </si>
  <si>
    <t>Панама KANGOL арт. K2094ST  Tropic Casual (белый) {white}</t>
  </si>
  <si>
    <t>03-084-17-57</t>
  </si>
  <si>
    <t>03-085-48-00</t>
  </si>
  <si>
    <t>Бейсболка KANGOL арт. K3398 Chekered Tropic Adj Spacecap (черный / белый) {black}</t>
  </si>
  <si>
    <t>K3398 Chekered Tropic Adj Spacecap</t>
  </si>
  <si>
    <t>55% акрил - 45% полиэстер</t>
  </si>
  <si>
    <t>03-086-78-59</t>
  </si>
  <si>
    <t>Кепка KANGOL арт. K3404 Sym Stripe 504 (черный / синий) {black}</t>
  </si>
  <si>
    <t>K3404 Sym Stripe 504</t>
  </si>
  <si>
    <t>69% полиэстер - 31% акрил</t>
  </si>
  <si>
    <t>03-086-78-57</t>
  </si>
  <si>
    <t>03-005-12-00</t>
  </si>
  <si>
    <t>Шапка KANGOL арт. 2978BC Acrylic Cuff Pull-On (бордовый) {red velvet}</t>
  </si>
  <si>
    <t>red velvet</t>
  </si>
  <si>
    <t>03-005-20-00</t>
  </si>
  <si>
    <t>Шапка KANGOL арт. 2978BC Acrylic Cuff Pull-On (желтый) {old gold}</t>
  </si>
  <si>
    <t>old gold</t>
  </si>
  <si>
    <t>03-013-07-00</t>
  </si>
  <si>
    <t>Шапка KANGOL арт. K3019ST Furgora Skull Cap (темно-зеленый) {dark lichen}</t>
  </si>
  <si>
    <t>K3019ST Furgora Skull Cap</t>
  </si>
  <si>
    <t>70% ангора - 30% нейлон</t>
  </si>
  <si>
    <t>dark lichen</t>
  </si>
  <si>
    <t>03-008-12-61</t>
  </si>
  <si>
    <t>Кепка KANGOL арт. K0875FA Seamless Wool 507 (бордовый) {red velvet}</t>
  </si>
  <si>
    <t>03-008-12-57</t>
  </si>
  <si>
    <t>03-008-12-59</t>
  </si>
  <si>
    <t>03-008-12-55</t>
  </si>
  <si>
    <t>03-013-34-00</t>
  </si>
  <si>
    <t>Шапка KANGOL арт. K3019ST Furgora Skull Cap (розовый) {dusty rose}</t>
  </si>
  <si>
    <t>dusty rose</t>
  </si>
  <si>
    <t>03-082-05-60</t>
  </si>
  <si>
    <t>Бейсболка KANGOL арт. 8650BC Wool Flexfit Baseball (темно-серый) {dark heather grey}</t>
  </si>
  <si>
    <t>85% акрил - 15% шерсть - 2% спандекс</t>
  </si>
  <si>
    <t>dark heather grey</t>
  </si>
  <si>
    <t>03-082-05-56</t>
  </si>
  <si>
    <t>03-087-09-61</t>
  </si>
  <si>
    <t>Панама KANGOL арт. K3451 Wool Casual (черный) {black}</t>
  </si>
  <si>
    <t>K3451 Wool Casual</t>
  </si>
  <si>
    <t>60% шерсть - 40% акрил</t>
  </si>
  <si>
    <t>03-087-09-57</t>
  </si>
  <si>
    <t>03-087-09-59</t>
  </si>
  <si>
    <t>03-087-09-55</t>
  </si>
  <si>
    <t>03-088-09-61</t>
  </si>
  <si>
    <t>Кепка KANGOL арт. K3460 Wool Mixed 504 (черный) {black}</t>
  </si>
  <si>
    <t>K3460 Wool Mixed 504</t>
  </si>
  <si>
    <t>54% акрил - 37% шерсть - 9% нейлон</t>
  </si>
  <si>
    <t>03-088-09-57</t>
  </si>
  <si>
    <t>03-088-09-59</t>
  </si>
  <si>
    <t>03-088-09-55</t>
  </si>
  <si>
    <t>03-089-09-61</t>
  </si>
  <si>
    <t>Кепка KANGOL арт. K3463 Safety Stripe 504 (черный) {black}</t>
  </si>
  <si>
    <t>K3463 Safety Stripe 504</t>
  </si>
  <si>
    <t>79% акрил - 11% полиэстер - 10% шерсть</t>
  </si>
  <si>
    <t>03-089-09-57</t>
  </si>
  <si>
    <t>03-089-09-59</t>
  </si>
  <si>
    <t>03-089-09-55</t>
  </si>
  <si>
    <t>03-089-05-61</t>
  </si>
  <si>
    <t>Кепка KANGOL арт. K3463 Safety Stripe 504 (темно-серый) {dark flannel}</t>
  </si>
  <si>
    <t>03-089-05-57</t>
  </si>
  <si>
    <t>03-089-05-59</t>
  </si>
  <si>
    <t>03-089-05-55</t>
  </si>
  <si>
    <t>03-082-16-60</t>
  </si>
  <si>
    <t>Бейсболка KANGOL арт. 8650BC Wool Flexfit Baseball (темно-синий) {dark blue}</t>
  </si>
  <si>
    <t>03-082-16-56</t>
  </si>
  <si>
    <t>03-038-03-00</t>
  </si>
  <si>
    <t>Бейсболка KANGOL арт. K5165HT Washed Baseball (оливковый) {smog}</t>
  </si>
  <si>
    <t>smog</t>
  </si>
  <si>
    <t>03-056-05-59</t>
  </si>
  <si>
    <t>Кепка KANGOL арт. 0287BC Tropic 504 (темно-серый) {charcoal}</t>
  </si>
  <si>
    <t>charcoal</t>
  </si>
  <si>
    <t>03-056-05-57</t>
  </si>
  <si>
    <t>03-056-05-61</t>
  </si>
  <si>
    <t>03-056-05-55</t>
  </si>
  <si>
    <t>03-023-08-59</t>
  </si>
  <si>
    <t>Кепка KANGOL арт. 0290BC Tropic 504 Ventair (серый) {grey}</t>
  </si>
  <si>
    <t>grey</t>
  </si>
  <si>
    <t>03-023-08-57</t>
  </si>
  <si>
    <t>03-023-08-61</t>
  </si>
  <si>
    <t>03-083-16-60</t>
  </si>
  <si>
    <t>Кепка KANGOL арт. K0533CO Ripstop Flexfit Army (темно-синий) {navy}</t>
  </si>
  <si>
    <t>03-083-16-56</t>
  </si>
  <si>
    <t>03-083-03-60</t>
  </si>
  <si>
    <t>Кепка KANGOL арт. K0533CO Ripstop Flexfit Army (оливковый) {green}</t>
  </si>
  <si>
    <t>green</t>
  </si>
  <si>
    <t>03-083-03-56</t>
  </si>
  <si>
    <t>03-073-08-59</t>
  </si>
  <si>
    <t>Кепка KANGOL арт. K3208HT Tropic 507 Ventair (серый) {cliff}</t>
  </si>
  <si>
    <t>cliff</t>
  </si>
  <si>
    <t>03-073-08-57</t>
  </si>
  <si>
    <t>03-073-08-61</t>
  </si>
  <si>
    <t>03-024-19-59</t>
  </si>
  <si>
    <t>Панама KANGOL арт. 0397BC Bermuda Casual (голубой) {blue tint}</t>
  </si>
  <si>
    <t>blue tint</t>
  </si>
  <si>
    <t>03-024-19-57</t>
  </si>
  <si>
    <t>03-024-18-59</t>
  </si>
  <si>
    <t>Панама KANGOL арт. 0397BC Bermuda Casual (красный) {scarlet}</t>
  </si>
  <si>
    <t>scarlet</t>
  </si>
  <si>
    <t>03-024-18-57</t>
  </si>
  <si>
    <t>03-026-09-60</t>
  </si>
  <si>
    <t>Бейсболка KANGOL арт. 5128BC 3D Flexfit Baseball (черный) {black/black}</t>
  </si>
  <si>
    <t>5128BC 3D Flexfit Baseball</t>
  </si>
  <si>
    <t>03-026-09-56</t>
  </si>
  <si>
    <t>03-090-09-60</t>
  </si>
  <si>
    <t>Кепка KANGOL арт. 9720BC Cotton Twill Army Cap (черный) {black}</t>
  </si>
  <si>
    <t>9720BC Cotton Twill Army Cap</t>
  </si>
  <si>
    <t>97% хлопок - 3% спандекс</t>
  </si>
  <si>
    <t>03-090-09-56</t>
  </si>
  <si>
    <t>03-091-16-60</t>
  </si>
  <si>
    <t>Бейсболка KANGOL арт. K4093SP Denim Baseball (темно-синий) {indigo}</t>
  </si>
  <si>
    <t>K4093SP Denim Baseball</t>
  </si>
  <si>
    <t>70% хлопок - 28% полиэстер - 2% эластан</t>
  </si>
  <si>
    <t>03-091-16-56</t>
  </si>
  <si>
    <t>03-056-16-59</t>
  </si>
  <si>
    <t>Кепка KANGOL арт. 0287BC Tropic 504 (темно-синий) {navy}</t>
  </si>
  <si>
    <t>03-056-16-57</t>
  </si>
  <si>
    <t>03-056-16-61</t>
  </si>
  <si>
    <t>03-056-16-55</t>
  </si>
  <si>
    <t>03-023-05-59</t>
  </si>
  <si>
    <t>Кепка KANGOL арт. 0290BC Tropic 504 Ventair (темно-серый) {charcoal}</t>
  </si>
  <si>
    <t>03-023-05-57</t>
  </si>
  <si>
    <t>03-023-05-61</t>
  </si>
  <si>
    <t>03-059-08-00</t>
  </si>
  <si>
    <t>Бейсболка KANGOL арт. K2036CO Adjustable Baseball (серый) {grey}</t>
  </si>
  <si>
    <t>03-002-22-57</t>
  </si>
  <si>
    <t>Кепка KANGOL арт. 0258BC Wool 504 (голубой) {blue tint}</t>
  </si>
  <si>
    <t>03-002-22-59</t>
  </si>
  <si>
    <t>03-002-23-59</t>
  </si>
  <si>
    <t>Кепка KANGOL арт. 0258BC Wool 504 (бирюзовый) {fanfare}</t>
  </si>
  <si>
    <t>fanfare</t>
  </si>
  <si>
    <t>03-092-00-57</t>
  </si>
  <si>
    <t>Кепка KANGOL арт. K3520 Abstract houndstooth 504 (кремовый / черный) {cream/black}</t>
  </si>
  <si>
    <t>K3520 Abstract houndstooth 504</t>
  </si>
  <si>
    <t>66% акрил - 31% полиэстер - 3% шерсть</t>
  </si>
  <si>
    <t>Kangol Street</t>
  </si>
  <si>
    <t>cream/black</t>
  </si>
  <si>
    <t>03-092-00-59</t>
  </si>
  <si>
    <t>03-093-06-59</t>
  </si>
  <si>
    <t>Кепка KANGOL арт. K3518 Vortex 504 (синий) {navy}</t>
  </si>
  <si>
    <t>K3518 Vortex 504</t>
  </si>
  <si>
    <t>89% акрил - 11% шерсть</t>
  </si>
  <si>
    <t>03-094-36-57</t>
  </si>
  <si>
    <t>Кепка KANGOL арт. K3521 Birds eye stripe 507 (кремовый) {cream}</t>
  </si>
  <si>
    <t>K3521 Birds eye stripe 507</t>
  </si>
  <si>
    <t>87% акрил - 13% шерсть</t>
  </si>
  <si>
    <t>cream</t>
  </si>
  <si>
    <t>03-094-36-59</t>
  </si>
  <si>
    <t>03-095-06-57</t>
  </si>
  <si>
    <t>Кепка KANGOL арт. K3522 Tiled 507 (синий) {navy}</t>
  </si>
  <si>
    <t>K3522 Tiled 507</t>
  </si>
  <si>
    <t>88% акрил - 12% шерсть</t>
  </si>
  <si>
    <t>03-095-06-59</t>
  </si>
  <si>
    <t>03-096-09-55</t>
  </si>
  <si>
    <t>Берет KANGOL арт. K3107ST Wool jax beret (черный) {black}</t>
  </si>
  <si>
    <t>K3107ST Wool jax beret</t>
  </si>
  <si>
    <t>03-096-09-57</t>
  </si>
  <si>
    <t>03-096-09-59</t>
  </si>
  <si>
    <t>03-096-09-61</t>
  </si>
  <si>
    <t>03-097-03-00</t>
  </si>
  <si>
    <t>Шапка KANGOL арт. K3526 Sliced peak beanie (оливковый) {oil green}</t>
  </si>
  <si>
    <t>K3526 Sliced peak beanie</t>
  </si>
  <si>
    <t>80% акрил - 20% нейлон</t>
  </si>
  <si>
    <t>Kangol Sport</t>
  </si>
  <si>
    <t>oil green</t>
  </si>
  <si>
    <t>03-098-09-00</t>
  </si>
  <si>
    <t>Шапка KANGOL арт. K3454 Cardinal 2 way beanie (черный) {black}</t>
  </si>
  <si>
    <t>K3454 Cardinal 2 way beanie</t>
  </si>
  <si>
    <t>03-098-23-00</t>
  </si>
  <si>
    <t>Шапка KANGOL арт. K3454 Cardinal 2 way beanie (бирюзовый) {fanfare}</t>
  </si>
  <si>
    <t>03-098-08-00</t>
  </si>
  <si>
    <t>Шапка KANGOL арт. K3454 Cardinal 2 way beanie (серый) {grey}</t>
  </si>
  <si>
    <t>03-098-20-00</t>
  </si>
  <si>
    <t>Шапка KANGOL арт. K3454 Cardinal 2 way beanie (желтый) {old gold}</t>
  </si>
  <si>
    <t>03-098-93-00</t>
  </si>
  <si>
    <t>Шапка KANGOL арт. K3454 Cardinal 2 way beanie (бордовый) {red velvet}</t>
  </si>
  <si>
    <t>03-012-06-55</t>
  </si>
  <si>
    <t>Панама KANGOL арт. K3017ST Furgora Casual (синий) {blue tint}</t>
  </si>
  <si>
    <t>K3017ST Furgora Casual</t>
  </si>
  <si>
    <t>45% ангора - 35% акрил - 20% нейлон</t>
  </si>
  <si>
    <t>03-012-06-57</t>
  </si>
  <si>
    <t>03-012-06-59</t>
  </si>
  <si>
    <t>03-012-47-55</t>
  </si>
  <si>
    <t>Панама KANGOL арт. K3017ST Furgora Casual (молочный) {ivory}</t>
  </si>
  <si>
    <t>ivory</t>
  </si>
  <si>
    <t>03-012-47-57</t>
  </si>
  <si>
    <t>03-099-09-55</t>
  </si>
  <si>
    <t>Панама KANGOL арт. K3477 Furgora bucket (черный) {black}</t>
  </si>
  <si>
    <t>K3477 Furgora bucket</t>
  </si>
  <si>
    <t>03-099-09-57</t>
  </si>
  <si>
    <t>03-099-09-59</t>
  </si>
  <si>
    <t>03-099-17-55</t>
  </si>
  <si>
    <t>Панама KANGOL арт. K3477 Furgora bucket (белый) {ivory}</t>
  </si>
  <si>
    <t>03-099-17-57</t>
  </si>
  <si>
    <t>03-099-17-59</t>
  </si>
  <si>
    <t>03-099-06-55</t>
  </si>
  <si>
    <t>Панама KANGOL арт. K3477 Furgora bucket (синий) {navy}</t>
  </si>
  <si>
    <t>03-099-06-57</t>
  </si>
  <si>
    <t>03-099-06-59</t>
  </si>
  <si>
    <t>03-012-19-55</t>
  </si>
  <si>
    <t>Панама KANGOL арт. K3017ST Furgora Casual (голубой) {blue tint}</t>
  </si>
  <si>
    <t>03-012-19-57</t>
  </si>
  <si>
    <t>03-012-19-59</t>
  </si>
  <si>
    <t>03-100-41-55</t>
  </si>
  <si>
    <t>Панама KANGOL арт. K4370 Faux Fur Bucket (сиреневый) {lavender leopard}</t>
  </si>
  <si>
    <t>K4370 Faux Fur Bucket</t>
  </si>
  <si>
    <t>98% полиэстер - 2% полиуретан</t>
  </si>
  <si>
    <t>lavender leopard</t>
  </si>
  <si>
    <t>03-100-41-57</t>
  </si>
  <si>
    <t>03-100-38-55</t>
  </si>
  <si>
    <t>Панама KANGOL арт. K4370 Faux Fur Bucket (синий / белый) {blue houndstooth}</t>
  </si>
  <si>
    <t>blue houndstooth</t>
  </si>
  <si>
    <t>03-100-38-57</t>
  </si>
  <si>
    <t>03-100-38-59</t>
  </si>
  <si>
    <t>03-101-41-55</t>
  </si>
  <si>
    <t>Берет KANGOL арт. K4369 Faux Fur Beret (сиреневый) {lavender leopard}</t>
  </si>
  <si>
    <t>K4369 Faux Fur Beret</t>
  </si>
  <si>
    <t>03-101-41-57</t>
  </si>
  <si>
    <t>03-101-41-59</t>
  </si>
  <si>
    <t>03-101-41-56</t>
  </si>
  <si>
    <t>03-101-11-55</t>
  </si>
  <si>
    <t>Берет KANGOL арт. K4369 Faux Fur Beret (зеленый) {taupe plaid}</t>
  </si>
  <si>
    <t>taupe plaid</t>
  </si>
  <si>
    <t>03-101-11-57</t>
  </si>
  <si>
    <t>03-101-11-59</t>
  </si>
  <si>
    <t>03-101-11-56</t>
  </si>
  <si>
    <t>03-071-36-60</t>
  </si>
  <si>
    <t>Бейсболка KANGOL арт. K3201ST Furgora Spacecap (кремовый) {cream}</t>
  </si>
  <si>
    <t>03-071-36-56</t>
  </si>
  <si>
    <t>03-102-09-00</t>
  </si>
  <si>
    <t>Шапка KANGOL арт. K3523 Furgora Cuff Beanie (черный) {black}</t>
  </si>
  <si>
    <t>K3523 Furgora Cuff Beanie</t>
  </si>
  <si>
    <t>64% Шерсть ангора  - 28% нейлон - 8% эластан</t>
  </si>
  <si>
    <t>03-103-09-55</t>
  </si>
  <si>
    <t>Панама KANGOL арт. K4228HT CORD BUCKET (черный) {black}</t>
  </si>
  <si>
    <t>K4228HT Cord Bucket</t>
  </si>
  <si>
    <t>03-103-09-57</t>
  </si>
  <si>
    <t>03-103-09-59</t>
  </si>
  <si>
    <t>03-104-09-00</t>
  </si>
  <si>
    <t>Шапка KANGOL арт. K3528 Service-k Rib Beanie (черный) {black}</t>
  </si>
  <si>
    <t>K3528 Service-k Rib Beanie</t>
  </si>
  <si>
    <t>03-104-06-00</t>
  </si>
  <si>
    <t>Шапка KANGOL арт. K3528 Service-k Rib Beanie (синий) {navy}</t>
  </si>
  <si>
    <t>03-105-10-00</t>
  </si>
  <si>
    <t>Шапка KANGOL арт. K3524 Rib Stripe Rev Beanie (черный / серый) {black}</t>
  </si>
  <si>
    <t>K3524 Rib Stripe Rev Beanie</t>
  </si>
  <si>
    <t>03-106-80-59</t>
  </si>
  <si>
    <t>Панама KANGOL арт. K4224HT Washed Bucket (серый) {smog}</t>
  </si>
  <si>
    <t>K4224HT Washed Bucket</t>
  </si>
  <si>
    <t>03-106-80-57</t>
  </si>
  <si>
    <t>03-030-16-59</t>
  </si>
  <si>
    <t>Панама KANGOL арт. K3050ST Bermuda Bucket (темно-синий) {navy}</t>
  </si>
  <si>
    <t>K3050ST Bermuda Bucket</t>
  </si>
  <si>
    <t>03-030-16-57</t>
  </si>
  <si>
    <t>03-027-06-59</t>
  </si>
  <si>
    <t>Кепка KANGOL арт. 6736BC Bamboo 507 (синий) {dark blue}</t>
  </si>
  <si>
    <t>6736BC Bamboo 507</t>
  </si>
  <si>
    <t>54% бамбук - 46% акрил</t>
  </si>
  <si>
    <t>03-005-16-00</t>
  </si>
  <si>
    <t>Шапка KANGOL арт. 2978BC Acrylic Cuff Pull-On (темно-синий) {dark blue}</t>
  </si>
  <si>
    <t>03-013-09-00</t>
  </si>
  <si>
    <t>Шапка KANGOL арт. K3019ST Furgora Skull Cap (черный) {black}</t>
  </si>
  <si>
    <t>65% шерсть Ангора - 25% нейлон - 10% спандекс</t>
  </si>
  <si>
    <t>03-014-08-00</t>
  </si>
  <si>
    <t>Шапка KANGOL арт. K3027ST Eyelet Beanie (серый / красный) {dk.flannel}</t>
  </si>
  <si>
    <t>K3027ST Eyelet Beanie</t>
  </si>
  <si>
    <t>03-022-17-00</t>
  </si>
  <si>
    <t>Шапка KANGOL арт. K3102ST Col Eyelet Beanie (белый) {white}</t>
  </si>
  <si>
    <t>K3102ST Col Eyelet Beanie</t>
  </si>
  <si>
    <t>03-011-18-57</t>
  </si>
  <si>
    <t>Кепка KANGOL арт. K3016ST Furgora 504 (красный) {scarlet}</t>
  </si>
  <si>
    <t>K3016ST Furgora 504</t>
  </si>
  <si>
    <t>55% шерсть Ангора - 40% акрил - 5% нейлон</t>
  </si>
  <si>
    <t>03-008-01-57</t>
  </si>
  <si>
    <t>Кепка KANGOL арт. K0875FA Seamless Wool 507 (светло-серый) {flannel}</t>
  </si>
  <si>
    <t>03-008-01-59</t>
  </si>
  <si>
    <t>03-008-15-61</t>
  </si>
  <si>
    <t>Кепка KANGOL арт. K0875FA Seamless Wool 507 (темно-коричневый) {espresso}</t>
  </si>
  <si>
    <t>espresso</t>
  </si>
  <si>
    <t>03-008-15-57</t>
  </si>
  <si>
    <t>03-008-15-59</t>
  </si>
  <si>
    <t>03-008-15-55</t>
  </si>
  <si>
    <t>03-002-84-63</t>
  </si>
  <si>
    <t>Кепка KANGOL арт. 0258BC Wool 504 (черный) {black}</t>
  </si>
  <si>
    <t>03-002-84-55</t>
  </si>
  <si>
    <t>03-002-84-59</t>
  </si>
  <si>
    <t>03-002-84-57</t>
  </si>
  <si>
    <t>03-002-84-61</t>
  </si>
  <si>
    <t>03-002-06-55</t>
  </si>
  <si>
    <t>Кепка KANGOL арт. 0258BC Wool 504 (темно-синий) {dark blue}</t>
  </si>
  <si>
    <t>03-002-06-59</t>
  </si>
  <si>
    <t>03-002-06-57</t>
  </si>
  <si>
    <t>03-002-06-61</t>
  </si>
  <si>
    <t>03-001-12-55</t>
  </si>
  <si>
    <t>Берет KANGOL арт. 0252HT Anglobasque Beret (бордовый) {vino}</t>
  </si>
  <si>
    <t>0252HT Anglobasque Beret</t>
  </si>
  <si>
    <t>03-001-12-59</t>
  </si>
  <si>
    <t>03-001-12-57</t>
  </si>
  <si>
    <t>03-001-02-55</t>
  </si>
  <si>
    <t>Берет KANGOL арт. 0252HT Anglobasque Beret (песочный) {camel}</t>
  </si>
  <si>
    <t>camel</t>
  </si>
  <si>
    <t>03-001-02-61</t>
  </si>
  <si>
    <t>03-001-02-59</t>
  </si>
  <si>
    <t>03-001-02-57</t>
  </si>
  <si>
    <t>03-001-16-55</t>
  </si>
  <si>
    <t>Берет KANGOL арт. 0252HT Anglobasque Beret (темно-синий) {dark blue}</t>
  </si>
  <si>
    <t>03-001-16-61</t>
  </si>
  <si>
    <t>03-001-16-59</t>
  </si>
  <si>
    <t>03-001-16-57</t>
  </si>
  <si>
    <t>03-002-91-55</t>
  </si>
  <si>
    <t>Кепка KANGOL арт. 0258BC Wool 504 (темно-коричневый) {espresso}</t>
  </si>
  <si>
    <t>03-002-91-57</t>
  </si>
  <si>
    <t>03-002-91-59</t>
  </si>
  <si>
    <t>03-002-91-61</t>
  </si>
  <si>
    <t>03-015-05-55</t>
  </si>
  <si>
    <t>Кепка KANGOL арт. 0259BC Wool Spitfire (темно-серый) {dk.flannel}</t>
  </si>
  <si>
    <t>03-015-05-59</t>
  </si>
  <si>
    <t>03-015-05-57</t>
  </si>
  <si>
    <t>03-015-05-61</t>
  </si>
  <si>
    <t>03-005-10-00</t>
  </si>
  <si>
    <t>Шапка KANGOL арт. 2978BC Acrylic Cuff Pull-On (черный / серый) {black/dk.flannel}</t>
  </si>
  <si>
    <t>black/dk.flannel</t>
  </si>
  <si>
    <t>03-005-19-00</t>
  </si>
  <si>
    <t>Шапка KANGOL арт. 2978BC Acrylic Cuff Pull-On (голубой) {prussian}</t>
  </si>
  <si>
    <t>prussian</t>
  </si>
  <si>
    <t>03-006-09-00</t>
  </si>
  <si>
    <t>Берет KANGOL арт. 3388BC Modelaine Beret (черный) {black}</t>
  </si>
  <si>
    <t>3388BC Modelaine Beret</t>
  </si>
  <si>
    <t>03-010-20-00</t>
  </si>
  <si>
    <t>Шапка KANGOL арт. K1901ST Cuff Beanie (желтый) {amarillo}</t>
  </si>
  <si>
    <t>K1901ST Cuff Beanie</t>
  </si>
  <si>
    <t>amarillo</t>
  </si>
  <si>
    <t>03-010-11-00</t>
  </si>
  <si>
    <t>Шапка KANGOL арт. K1901ST Cuff Beanie (зеленый) {vert}</t>
  </si>
  <si>
    <t>vert</t>
  </si>
  <si>
    <t>03-016-09-00</t>
  </si>
  <si>
    <t>Шапка KANGOL арт. K3115ST Pixel Reversible Beanie (черный / серый) {black}</t>
  </si>
  <si>
    <t>K3115ST Pixel Reversible Beanie</t>
  </si>
  <si>
    <t>03-016-16-00</t>
  </si>
  <si>
    <t>Шапка KANGOL арт. K3115ST Pixel Reversible Beanie (темно-синий / розовый) {navy}</t>
  </si>
  <si>
    <t>03-016-11-00</t>
  </si>
  <si>
    <t>Шапка KANGOL арт. K3115ST Pixel Reversible Beanie (зеленый / желтый) {phthalo}</t>
  </si>
  <si>
    <t>phthalo</t>
  </si>
  <si>
    <t>03-017-09-59</t>
  </si>
  <si>
    <t>Кепка KANGOL арт. K4097HT Stretch Ripley (черный) {black}</t>
  </si>
  <si>
    <t>K4097HT Stretch Ripley</t>
  </si>
  <si>
    <t>50% полиэстер - 50% нейлон</t>
  </si>
  <si>
    <t>03-017-09-57</t>
  </si>
  <si>
    <t>03-017-09-61</t>
  </si>
  <si>
    <t>03-017-09-60</t>
  </si>
  <si>
    <t>03-017-09-56</t>
  </si>
  <si>
    <t>03-017-08-59</t>
  </si>
  <si>
    <t>Кепка KANGOL арт. K4097HT Stretch Ripley (серый) {grey}</t>
  </si>
  <si>
    <t>80% полиэстер - 17% иск.шелк - 3% спандекс</t>
  </si>
  <si>
    <t>03-017-08-57</t>
  </si>
  <si>
    <t>03-017-08-61</t>
  </si>
  <si>
    <t>03-017-08-60</t>
  </si>
  <si>
    <t>03-017-08-56</t>
  </si>
  <si>
    <t>03-017-16-59</t>
  </si>
  <si>
    <t>Кепка KANGOL арт. K4097HT Stretch Ripley (темно-синий) {navy}</t>
  </si>
  <si>
    <t>03-017-16-57</t>
  </si>
  <si>
    <t>03-017-16-61</t>
  </si>
  <si>
    <t>03-017-16-60</t>
  </si>
  <si>
    <t>03-017-16-56</t>
  </si>
  <si>
    <t>03-018-09-00</t>
  </si>
  <si>
    <t>Шапка KANGOL арт. K4108SP Rev Stripe Slouch Beanie (черный / белый) {black}</t>
  </si>
  <si>
    <t>K4108SP Rev Stripe Slouch Beanie</t>
  </si>
  <si>
    <t>03-018-08-00</t>
  </si>
  <si>
    <t>Шапка KANGOL арт. K4108SP Rev Stripe Slouch Beanie (серый / синий) {grey}</t>
  </si>
  <si>
    <t>03-018-16-00</t>
  </si>
  <si>
    <t>Шапка KANGOL арт. K4108SP Rev Stripe Slouch Beanie (темно-синий / желтый) {navy}</t>
  </si>
  <si>
    <t>03-019-09-00</t>
  </si>
  <si>
    <t>Шапка KANGOL арт. K6015HT Lambswool FF Pull-On (черный) {black}</t>
  </si>
  <si>
    <t>K6015HT Lambswool FF Pull-On</t>
  </si>
  <si>
    <t>03-019-08-00</t>
  </si>
  <si>
    <t>Шапка KANGOL арт. K6015HT Lambswool FF Pull-On (серый) {flannel}</t>
  </si>
  <si>
    <t>03-019-16-00</t>
  </si>
  <si>
    <t>Шапка KANGOL арт. K6015HT Lambswool FF Pull-On (темно-синий) {navy}</t>
  </si>
  <si>
    <t>03-020-09-00</t>
  </si>
  <si>
    <t>Шапка KANGOL арт. K6016SP Sport Stripe Beanie (черный / серый) {black}</t>
  </si>
  <si>
    <t>K6016SP Sport Stripe Beanie</t>
  </si>
  <si>
    <t>03-020-08-00</t>
  </si>
  <si>
    <t>Шапка KANGOL арт. K6016SP Sport Stripe Beanie (серый / синий) {grey}</t>
  </si>
  <si>
    <t>03-020-06-00</t>
  </si>
  <si>
    <t>Шапка KANGOL арт. K6016SP Sport Stripe Beanie (синий / черный) {marine}</t>
  </si>
  <si>
    <t>marine</t>
  </si>
  <si>
    <t>03-021-09-00</t>
  </si>
  <si>
    <t>Шапка KANGOL арт. K6017HT Long Pull-On (черный) {black}</t>
  </si>
  <si>
    <t>K6017HT Long Pull-On</t>
  </si>
  <si>
    <t>90% акрил - 10% нейлон</t>
  </si>
  <si>
    <t>03-021-02-00</t>
  </si>
  <si>
    <t>Шапка KANGOL арт. K6017HT Long Pull-On (бежевый) {morel}</t>
  </si>
  <si>
    <t>morel</t>
  </si>
  <si>
    <t>03-021-12-00</t>
  </si>
  <si>
    <t>Шапка KANGOL арт. K6017HT Long Pull-On (бордовый) {vino}</t>
  </si>
  <si>
    <t>03-001-09-61</t>
  </si>
  <si>
    <t>Берет KANGOL арт. 0252HT Anglobasque Beret (черный) {black}</t>
  </si>
  <si>
    <t>03-001-09-55</t>
  </si>
  <si>
    <t>03-001-09-59</t>
  </si>
  <si>
    <t>03-001-09-57</t>
  </si>
  <si>
    <t>03-002-16-55</t>
  </si>
  <si>
    <t>Кепка KANGOL арт. 0258BC Wool 504 (синевато-черный) {atlantis}</t>
  </si>
  <si>
    <t>atlantis</t>
  </si>
  <si>
    <t>03-002-16-59</t>
  </si>
  <si>
    <t>03-002-16-57</t>
  </si>
  <si>
    <t>03-002-16-61</t>
  </si>
  <si>
    <t>03-002-20-59</t>
  </si>
  <si>
    <t>Кепка KANGOL арт. 0258BC Wool 504 (желтый) {moutarde}</t>
  </si>
  <si>
    <t>moutarde</t>
  </si>
  <si>
    <t>03-002-20-57</t>
  </si>
  <si>
    <t>03-002-20-61</t>
  </si>
  <si>
    <t>03-002-02-59</t>
  </si>
  <si>
    <t>Кепка KANGOL арт. 0258BC Wool 504 (бежевый) {camel}</t>
  </si>
  <si>
    <t>03-002-02-57</t>
  </si>
  <si>
    <t>03-002-02-55</t>
  </si>
  <si>
    <t>03-002-02-61</t>
  </si>
  <si>
    <t>03-002-05-61</t>
  </si>
  <si>
    <t>Кепка KANGOL арт. 0258BC Wool 504 (темно-серый) {dk.flannel}</t>
  </si>
  <si>
    <t>03-002-05-55</t>
  </si>
  <si>
    <t>03-002-05-57</t>
  </si>
  <si>
    <t>03-002-05-59</t>
  </si>
  <si>
    <t>03-002-18-57</t>
  </si>
  <si>
    <t>Кепка KANGOL арт. 0258BC Wool 504 (красный) {red}</t>
  </si>
  <si>
    <t>03-002-18-55</t>
  </si>
  <si>
    <t>03-002-18-59</t>
  </si>
  <si>
    <t>03-002-17-55</t>
  </si>
  <si>
    <t>Кепка KANGOL арт. 0258BC Wool 504 (белый) {white}</t>
  </si>
  <si>
    <t>03-002-17-61</t>
  </si>
  <si>
    <t>03-002-17-57</t>
  </si>
  <si>
    <t>03-002-17-59</t>
  </si>
  <si>
    <t>03-015-09-55</t>
  </si>
  <si>
    <t>Кепка KANGOL арт. 0259BC Wool Spitfire (черный) {black}</t>
  </si>
  <si>
    <t>03-015-09-63</t>
  </si>
  <si>
    <t>03-015-09-59</t>
  </si>
  <si>
    <t>03-015-09-57</t>
  </si>
  <si>
    <t>03-015-09-61</t>
  </si>
  <si>
    <t>03-003-14-59</t>
  </si>
  <si>
    <t>Кепка KANGOL арт. 0264KG Herringbone 504 (коричневый) {brown}</t>
  </si>
  <si>
    <t>0264KG Herringbone 504</t>
  </si>
  <si>
    <t>50% шерсть - 25% акрил - 15% другие - 10% хлопок</t>
  </si>
  <si>
    <t>03-003-14-57</t>
  </si>
  <si>
    <t>03-003-14-61</t>
  </si>
  <si>
    <t>03-003-06-55</t>
  </si>
  <si>
    <t>Кепка KANGOL арт. 0264KG Herringbone 504 (синий) {dk.blue}</t>
  </si>
  <si>
    <t>dk.blue</t>
  </si>
  <si>
    <t>03-003-06-59</t>
  </si>
  <si>
    <t>03-003-06-57</t>
  </si>
  <si>
    <t>03-003-06-61</t>
  </si>
  <si>
    <t>03-004-02-00</t>
  </si>
  <si>
    <t>Шапка KANGOL арт. 2301BC Acrylic Cuffless Pull-On (бежевый) {beige}</t>
  </si>
  <si>
    <t>2301BC Acrylic Cuffless Pull-On</t>
  </si>
  <si>
    <t>03-004-09-00</t>
  </si>
  <si>
    <t>Шапка KANGOL арт. 2301BC Acrylic Cuffless Pull-On (черный) {black}</t>
  </si>
  <si>
    <t>03-004-16-00</t>
  </si>
  <si>
    <t>Шапка KANGOL арт. 2301BC Acrylic Cuffless Pull-On (темно-синий) {dk.blue}</t>
  </si>
  <si>
    <t>03-005-09-00</t>
  </si>
  <si>
    <t>Шапка KANGOL арт. 2978BC Acrylic Cuff Pull-On (черный) {black}</t>
  </si>
  <si>
    <t>03-005-05-00</t>
  </si>
  <si>
    <t>Шапка KANGOL арт. 2978BC Acrylic Cuff Pull-On (темно-серый) {dk.flannel}</t>
  </si>
  <si>
    <t>03-006-02-00</t>
  </si>
  <si>
    <t>Берет KANGOL арт. 3388BC Modelaine Beret (бежевый) {camel}</t>
  </si>
  <si>
    <t>03-006-16-00</t>
  </si>
  <si>
    <t>Берет KANGOL арт. 3388BC Modelaine Beret (темно-синий) {dk.blue}</t>
  </si>
  <si>
    <t>03-006-05-00</t>
  </si>
  <si>
    <t>Берет KANGOL арт. 3388BC Modelaine Beret (темно-серый) {dk.flannel}</t>
  </si>
  <si>
    <t>03-006-08-00</t>
  </si>
  <si>
    <t>Берет KANGOL арт. 3388BC Modelaine Beret (серый) {flannel}</t>
  </si>
  <si>
    <t>03-006-18-00</t>
  </si>
  <si>
    <t>Берет KANGOL арт. 3388BC Modelaine Beret (красный) {red}</t>
  </si>
  <si>
    <t>03-007-09-57</t>
  </si>
  <si>
    <t>Шляпа KANGOL арт. K0710ST Wool Bombin (черный) {black}</t>
  </si>
  <si>
    <t>K0710ST Wool Bombin</t>
  </si>
  <si>
    <t>03-007-09-59</t>
  </si>
  <si>
    <t>03-008-09-57</t>
  </si>
  <si>
    <t>Кепка KANGOL арт. K0875FA Seamless Wool 507 (черный) {black}</t>
  </si>
  <si>
    <t>03-008-09-55</t>
  </si>
  <si>
    <t>03-008-09-59</t>
  </si>
  <si>
    <t>03-008-09-61</t>
  </si>
  <si>
    <t>03-008-20-55</t>
  </si>
  <si>
    <t>Кепка KANGOL арт. K0875FA Seamless Wool 507 (черный / золотой) {black/gold}</t>
  </si>
  <si>
    <t>black/gold</t>
  </si>
  <si>
    <t>03-008-20-57</t>
  </si>
  <si>
    <t>03-008-20-59</t>
  </si>
  <si>
    <t>03-008-20-61</t>
  </si>
  <si>
    <t>03-008-16-55</t>
  </si>
  <si>
    <t>Кепка KANGOL арт. K0875FA Seamless Wool 507 (темно-синий) {dk.blue}</t>
  </si>
  <si>
    <t>03-008-16-61</t>
  </si>
  <si>
    <t>03-008-16-59</t>
  </si>
  <si>
    <t>03-008-16-57</t>
  </si>
  <si>
    <t>03-008-05-55</t>
  </si>
  <si>
    <t>Кепка KANGOL арт. K0875FA Seamless Wool 507 (темно-серый) {dk.flannel}</t>
  </si>
  <si>
    <t>03-008-05-61</t>
  </si>
  <si>
    <t>03-008-05-59</t>
  </si>
  <si>
    <t>03-008-05-57</t>
  </si>
  <si>
    <t>03-009-09-59</t>
  </si>
  <si>
    <t>Кепка KANGOL арт. K1221CO Herringbone 507 (черный) {black}</t>
  </si>
  <si>
    <t>K1221CO Herringbone 507</t>
  </si>
  <si>
    <t>03-009-09-57</t>
  </si>
  <si>
    <t>03-009-09-61</t>
  </si>
  <si>
    <t>03-009-14-57</t>
  </si>
  <si>
    <t>Кепка KANGOL арт. K1221CO Herringbone 507 (коричневый) {brown}</t>
  </si>
  <si>
    <t>03-009-14-59</t>
  </si>
  <si>
    <t>03-009-14-61</t>
  </si>
  <si>
    <t>03-009-16-61</t>
  </si>
  <si>
    <t>Кепка KANGOL арт. K1221CO Herringbone 507 (темно-синий) {dk.blue}</t>
  </si>
  <si>
    <t>03-009-16-59</t>
  </si>
  <si>
    <t>03-009-16-57</t>
  </si>
  <si>
    <t>03-010-09-00</t>
  </si>
  <si>
    <t>Шапка KANGOL арт. K1901ST Cuff Beanie (черный) {black}</t>
  </si>
  <si>
    <t>03-011-09-55</t>
  </si>
  <si>
    <t>Кепка KANGOL арт. K3016ST Furgora 504 (черный) {black}</t>
  </si>
  <si>
    <t>03-011-09-59</t>
  </si>
  <si>
    <t>03-011-09-57</t>
  </si>
  <si>
    <t>03-011-17-59</t>
  </si>
  <si>
    <t>Кепка KANGOL арт. K3016ST Furgora 504 (белый) {cream}</t>
  </si>
  <si>
    <t>03-011-17-57</t>
  </si>
  <si>
    <t>03-011-17-55</t>
  </si>
  <si>
    <t>03-011-08-57</t>
  </si>
  <si>
    <t>Кепка KANGOL арт. K3016ST Furgora 504 (серый) {slate grey}</t>
  </si>
  <si>
    <t>slate grey</t>
  </si>
  <si>
    <t>03-012-09-61</t>
  </si>
  <si>
    <t>Панама KANGOL арт. K3017ST Furgora Casual (черный) {black}</t>
  </si>
  <si>
    <t>03-012-09-57</t>
  </si>
  <si>
    <t>03-012-09-59</t>
  </si>
  <si>
    <t>03-012-09-55</t>
  </si>
  <si>
    <t>03-012-17-59</t>
  </si>
  <si>
    <t>Панама KANGOL арт. K3017ST Furgora Casual (белый) {cream}</t>
  </si>
  <si>
    <t>03-012-17-57</t>
  </si>
  <si>
    <t>03-012-17-55</t>
  </si>
  <si>
    <t>03-012-18-55</t>
  </si>
  <si>
    <t>Панама KANGOL арт. K3017ST Furgora Casual (красный) {scarlet}</t>
  </si>
  <si>
    <t>03-012-18-59</t>
  </si>
  <si>
    <t>03-012-18-57</t>
  </si>
  <si>
    <t>03-012-08-57</t>
  </si>
  <si>
    <t>Панама KANGOL арт. K3017ST Furgora Casual (серый) {slate grey}</t>
  </si>
  <si>
    <t>03-013-17-00</t>
  </si>
  <si>
    <t>Шапка KANGOL арт. K3019ST Furgora Skull Cap (белый) {cream}</t>
  </si>
  <si>
    <t>03-014-09-00</t>
  </si>
  <si>
    <t>Шапка KANGOL арт. K3027ST Eyelet Beanie (черный) {black}</t>
  </si>
  <si>
    <t>03-003-09-55</t>
  </si>
  <si>
    <t>Кепка KANGOL арт. 0264KG Herringbone 504 (черный) {black}</t>
  </si>
  <si>
    <t>03-003-09-61</t>
  </si>
  <si>
    <t>03-003-09-59</t>
  </si>
  <si>
    <t>03-003-09-57</t>
  </si>
  <si>
    <t>03-002-09-55</t>
  </si>
  <si>
    <t>Кепка KANGOL арт. 0258BC Wool 504 (черный / золотой) {black/gold}</t>
  </si>
  <si>
    <t>03-002-09-59</t>
  </si>
  <si>
    <t>03-002-09-57</t>
  </si>
  <si>
    <t>03-002-09-61</t>
  </si>
  <si>
    <t>03-023-02-57</t>
  </si>
  <si>
    <t>Кепка KANGOL арт. 0290BC Tropic 504 Ventair (бежевый) {biscuit}</t>
  </si>
  <si>
    <t>biscuit</t>
  </si>
  <si>
    <t>03-023-02-59</t>
  </si>
  <si>
    <t>03-023-09-59</t>
  </si>
  <si>
    <t>Кепка KANGOL арт. 0290BC Tropic 504 Ventair (черный) {black}</t>
  </si>
  <si>
    <t>03-023-09-57</t>
  </si>
  <si>
    <t>03-023-09-61</t>
  </si>
  <si>
    <t>03-023-19-59</t>
  </si>
  <si>
    <t>Кепка KANGOL арт. 0290BC Tropic 504 Ventair (голубой) {light blue}</t>
  </si>
  <si>
    <t>light blue</t>
  </si>
  <si>
    <t>03-023-19-57</t>
  </si>
  <si>
    <t>03-023-19-61</t>
  </si>
  <si>
    <t>03-023-16-57</t>
  </si>
  <si>
    <t>Кепка KANGOL арт. 0290BC Tropic 504 Ventair (темно-синий) {navy}</t>
  </si>
  <si>
    <t>03-023-16-59</t>
  </si>
  <si>
    <t>03-023-16-61</t>
  </si>
  <si>
    <t>03-023-17-59</t>
  </si>
  <si>
    <t>Кепка KANGOL арт. 0290BC Tropic 504 Ventair (белый) {white}</t>
  </si>
  <si>
    <t>03-023-17-57</t>
  </si>
  <si>
    <t>03-024-09-59</t>
  </si>
  <si>
    <t>Панама KANGOL арт. 0397BC Bermuda Casual (черный) {black}</t>
  </si>
  <si>
    <t>03-024-09-57</t>
  </si>
  <si>
    <t>03-024-17-59</t>
  </si>
  <si>
    <t>Панама KANGOL арт. 0397BC Bermuda Casual (белый) {white}</t>
  </si>
  <si>
    <t>03-024-17-57</t>
  </si>
  <si>
    <t>03-025-09-59</t>
  </si>
  <si>
    <t>Бейсболка KANGOL арт. 1456BC Tropic Ventair Spacecap (черный) {black}</t>
  </si>
  <si>
    <t>03-025-09-57</t>
  </si>
  <si>
    <t>03-026-08-60</t>
  </si>
  <si>
    <t>Бейсболка KANGOL арт. 5128BC 3D Flexfit Baseball (серый) {flannel}</t>
  </si>
  <si>
    <t>03-026-08-56</t>
  </si>
  <si>
    <t>03-027-09-59</t>
  </si>
  <si>
    <t>Кепка KANGOL арт. 6736BC Bamboo 507 (черный) {black}</t>
  </si>
  <si>
    <t>03-027-09-57</t>
  </si>
  <si>
    <t>03-027-09-61</t>
  </si>
  <si>
    <t>03-027-16-59</t>
  </si>
  <si>
    <t>Кепка KANGOL арт. 6736BC Bamboo 507 (темно-синий) {navy}</t>
  </si>
  <si>
    <t>03-027-16-57</t>
  </si>
  <si>
    <t>03-028-02-59</t>
  </si>
  <si>
    <t>Кепка KANGOL арт. 6915BC Tropic 507 (бежевый) {beige}</t>
  </si>
  <si>
    <t>6915BC Tropic 507</t>
  </si>
  <si>
    <t>03-028-02-57</t>
  </si>
  <si>
    <t>03-028-09-59</t>
  </si>
  <si>
    <t>Кепка KANGOL арт. 6915BC Tropic 507 (черный) {black}</t>
  </si>
  <si>
    <t>03-028-09-57</t>
  </si>
  <si>
    <t>03-028-09-61</t>
  </si>
  <si>
    <t>03-028-16-57</t>
  </si>
  <si>
    <t>Кепка KANGOL арт. 6915BC Tropic 507 (темно-синий) {navy}</t>
  </si>
  <si>
    <t>03-028-16-59</t>
  </si>
  <si>
    <t>03-029-00-00</t>
  </si>
  <si>
    <t>Бейсболка KANGOL арт. K1373FAA Championship Links (черный / оранжевый) {black/orange}</t>
  </si>
  <si>
    <t>K1373FAA Championship Links</t>
  </si>
  <si>
    <t>black/orange</t>
  </si>
  <si>
    <t>03-029-26-00</t>
  </si>
  <si>
    <t>Бейсболка KANGOL арт. K1373FAA Championship Links (серый / синий) {grey/navy}</t>
  </si>
  <si>
    <t>grey/navy</t>
  </si>
  <si>
    <t>03-029-21-00</t>
  </si>
  <si>
    <t>Бейсболка KANGOL арт. K1373FAA Championship Links (синий / красный) {navy/red}</t>
  </si>
  <si>
    <t>navy/red</t>
  </si>
  <si>
    <t>03-030-09-57</t>
  </si>
  <si>
    <t>Панама KANGOL арт. K3050ST Bermuda Bucket (черный) {black}</t>
  </si>
  <si>
    <t>03-030-09-59</t>
  </si>
  <si>
    <t>03-030-18-59</t>
  </si>
  <si>
    <t>Панама KANGOL арт. K3050ST Bermuda Bucket (красный) {scarlet}</t>
  </si>
  <si>
    <t>45% акрил - 35% акрил - 20% нейлон</t>
  </si>
  <si>
    <t>03-030-18-57</t>
  </si>
  <si>
    <t>03-030-17-59</t>
  </si>
  <si>
    <t>Панама KANGOL арт. K3050ST Bermuda Bucket (белый) {white}</t>
  </si>
  <si>
    <t>03-030-17-57</t>
  </si>
  <si>
    <t>03-031-18-57</t>
  </si>
  <si>
    <t>Кепка KANGOL арт. K3075ST Bermuda 504 (красный) {scarlet}</t>
  </si>
  <si>
    <t>K3075ST Bermuda 504</t>
  </si>
  <si>
    <t>03-031-18-55</t>
  </si>
  <si>
    <t>03-031-17-57</t>
  </si>
  <si>
    <t>Кепка KANGOL арт. K3075ST Bermuda 504 (белый) {white}</t>
  </si>
  <si>
    <t>03-031-17-55</t>
  </si>
  <si>
    <t>03-032-09-59</t>
  </si>
  <si>
    <t>Кепка KANGOL арт. K3132HT Path Stripe 504 (черный) {black}</t>
  </si>
  <si>
    <t>K3132HT Path Stripe 504</t>
  </si>
  <si>
    <t>03-032-16-59</t>
  </si>
  <si>
    <t>Кепка KANGOL арт. K3132HT Path Stripe 504 (темно-синий) {navy}</t>
  </si>
  <si>
    <t>03-032-16-57</t>
  </si>
  <si>
    <t>03-033-16-57</t>
  </si>
  <si>
    <t>Кепка KANGOL арт. K3134HT Cut Up 507 (темно-синий) {navy}</t>
  </si>
  <si>
    <t>50% акрил - 50% полиэстер</t>
  </si>
  <si>
    <t>03-034-06-57</t>
  </si>
  <si>
    <t>Кепка KANGOL арт. K3139HT Indigo Enfield (синий) {indigo wash}</t>
  </si>
  <si>
    <t>K3139HT Indigo Enfield</t>
  </si>
  <si>
    <t>55% хлопок - 45% акрил</t>
  </si>
  <si>
    <t>03-035-48-59</t>
  </si>
  <si>
    <t>Бейсболка KANGOL арт. K3140ST Phonation Spacecap (черный / белый) {Black/White}</t>
  </si>
  <si>
    <t>K3140ST Phonation Spacecap</t>
  </si>
  <si>
    <t>black/white</t>
  </si>
  <si>
    <t>03-036-48-57</t>
  </si>
  <si>
    <t>Панама KANGOL арт. K4105SP Bold Stripe Bucket (черный / белый) {black/grey/white}</t>
  </si>
  <si>
    <t>black/grey/white</t>
  </si>
  <si>
    <t>03-036-48-59</t>
  </si>
  <si>
    <t>03-037-00-55</t>
  </si>
  <si>
    <t>Панама KANGOL арт. K4155ST 1983 Hero Bucket (зеленый / желтый) {goldie}</t>
  </si>
  <si>
    <t>K4155ST 1983 Hero Bucket</t>
  </si>
  <si>
    <t>03-037-00-57</t>
  </si>
  <si>
    <t>03-037-00-59</t>
  </si>
  <si>
    <t>03-037-00-61</t>
  </si>
  <si>
    <t>03-037-21-57</t>
  </si>
  <si>
    <t>Панама KANGOL арт. K4155ST 1983 Hero Bucket (синий / красный) {navy}</t>
  </si>
  <si>
    <t>03-037-21-59</t>
  </si>
  <si>
    <t>03-038-11-00</t>
  </si>
  <si>
    <t>Бейсболка KANGOL арт. K5165HT Washed Baseball (зеленый) {algae}</t>
  </si>
  <si>
    <t>03-038-09-00</t>
  </si>
  <si>
    <t>Бейсболка KANGOL арт. K5165HT Washed Baseball (черный) {black}</t>
  </si>
  <si>
    <t>03-038-02-00</t>
  </si>
  <si>
    <t>Бейсболка KANGOL арт. K5165HT Washed Baseball (бежевый) {khaki}</t>
  </si>
  <si>
    <t>khaki</t>
  </si>
  <si>
    <t>03-038-16-00</t>
  </si>
  <si>
    <t>Бейсболка KANGOL арт. K5165HT Washed Baseball (темно-синий) {navy}</t>
  </si>
  <si>
    <t>03-039-02-60</t>
  </si>
  <si>
    <t>Кепка KANGOL арт. K5177HT Pattern Flexfit Cap (бежевый) {houndstooth check}</t>
  </si>
  <si>
    <t>K5177HT Pattern Flexfit Cap</t>
  </si>
  <si>
    <t>houndstooth check</t>
  </si>
  <si>
    <t>03-039-02-56</t>
  </si>
  <si>
    <t>03-039-19-60</t>
  </si>
  <si>
    <t>Кепка KANGOL арт. K5177HT Pattern Flexfit Cap (голубой) {prince plaid}</t>
  </si>
  <si>
    <t>prince plaid</t>
  </si>
  <si>
    <t>03-039-19-56</t>
  </si>
  <si>
    <t>Внимание! Счет действителен до 09.08.2022. 
Оплата данного счета означает согласие с условиями поставки товара. 
Уведомление об оплате обязательно, в противном случае не гарантируется
наличие товара на складе. Товар отпускается по факту прихода денег 
на р/с Поставщика, самовывозом, при наличии доверенности и паспорта.</t>
  </si>
  <si>
    <t>Образец заполнения платежного поручения</t>
  </si>
  <si>
    <t>ТОЧКА ПАО БАНКА "ФК ОТКРЫТИЕ" г. Москва</t>
  </si>
  <si>
    <t>БИК</t>
  </si>
  <si>
    <t>044525999</t>
  </si>
  <si>
    <t>Сч. №</t>
  </si>
  <si>
    <t>30101810845250000999</t>
  </si>
  <si>
    <t>Банк получателя</t>
  </si>
  <si>
    <t>ИНН</t>
  </si>
  <si>
    <t>773065081984</t>
  </si>
  <si>
    <t>КПП</t>
  </si>
  <si>
    <t>40802810601500121059</t>
  </si>
  <si>
    <t>Индивидуальный предприниматель Макаров Максим Валериевич</t>
  </si>
  <si>
    <t>Вид оп.</t>
  </si>
  <si>
    <t>Срок плат.</t>
  </si>
  <si>
    <t>Наз. пл.</t>
  </si>
  <si>
    <t>Очер. плат.</t>
  </si>
  <si>
    <t>5</t>
  </si>
  <si>
    <t>НК220800ОФ0009160002</t>
  </si>
  <si>
    <t>Рез. поле</t>
  </si>
  <si>
    <t>Получатель</t>
  </si>
  <si>
    <t>Оплата по реализации товаров и услуг №ОФ-916</t>
  </si>
  <si>
    <t>Назначение платежа</t>
  </si>
  <si>
    <t>Счет на оплату № ОФ-916 от 9 августа 2022 г.</t>
  </si>
  <si>
    <t>Поставщик:</t>
  </si>
  <si>
    <t>Индивидуальный предприниматель Макаров Максим Валериевич, ИНН 773065081984, тел.: +79151793465</t>
  </si>
  <si>
    <t>Покупатель:</t>
  </si>
  <si>
    <t>ИП Сбитенков Владимир Владимирович, ИНН 780218965247</t>
  </si>
  <si>
    <t>№</t>
  </si>
  <si>
    <t>Товары (работы, услуги)</t>
  </si>
  <si>
    <t>Количество</t>
  </si>
  <si>
    <t>0287BC</t>
  </si>
  <si>
    <t>TROPIC 504 (BLACK, M)</t>
  </si>
  <si>
    <t>шт</t>
  </si>
  <si>
    <t>TROPIC 504 (BLACK, L)</t>
  </si>
  <si>
    <t>K3156HT</t>
  </si>
  <si>
    <t>INDIGO 507 (INDIGO WASH, L)</t>
  </si>
  <si>
    <t>K3208HT</t>
  </si>
  <si>
    <t>TROPIC 507 VENTAIR (BLACK, L)</t>
  </si>
  <si>
    <t>K0533CO</t>
  </si>
  <si>
    <t>RIPSTOP ARMY CAP (BLACK, S/M)</t>
  </si>
  <si>
    <t>RIPSTOP ARMY CAP (BLACK, L/XL)</t>
  </si>
  <si>
    <t>9720BC</t>
  </si>
  <si>
    <t>COTTON TWILL ARMY CAP (NAVY, L/XL)</t>
  </si>
  <si>
    <t>K5165HT</t>
  </si>
  <si>
    <t>WASHED BASEBALL (CORDOVAN ,1SFM)</t>
  </si>
  <si>
    <t>K4224HT</t>
  </si>
  <si>
    <t>WASHED BUCKET (NAVY, M)</t>
  </si>
  <si>
    <t>WASHED BUCKET (NAVY, L)</t>
  </si>
  <si>
    <t>WASHED BUCKET (BLACK, M)</t>
  </si>
  <si>
    <t>WASHED BUCKET (BLACK, L)</t>
  </si>
  <si>
    <t>Итого:</t>
  </si>
  <si>
    <t>Без налога (НДС)</t>
  </si>
  <si>
    <t>Всего наименований 12, на сумму 42 674,00 RUB</t>
  </si>
  <si>
    <t xml:space="preserve">Сорок две тысячи шестьсот семьдесят четыре  00 </t>
  </si>
  <si>
    <t>Руководитель</t>
  </si>
  <si>
    <t>Макаров М. В.</t>
  </si>
  <si>
    <t>подпись</t>
  </si>
  <si>
    <t>расшифровка подписи</t>
  </si>
  <si>
    <t>Бухгалтер</t>
  </si>
  <si>
    <t>Менеджер</t>
  </si>
  <si>
    <t>Макаров М.В.</t>
  </si>
  <si>
    <t>BLACK</t>
  </si>
  <si>
    <t>INDIGO WASH</t>
  </si>
  <si>
    <t>NAVY</t>
  </si>
  <si>
    <t>CORDOVAN</t>
  </si>
  <si>
    <t>M</t>
  </si>
  <si>
    <t>L</t>
  </si>
  <si>
    <t>S/M</t>
  </si>
  <si>
    <t>L/XL</t>
  </si>
  <si>
    <t>TROPIC 504</t>
  </si>
  <si>
    <t>INDIGO 507</t>
  </si>
  <si>
    <t>TROPIC 507 VENTAIR</t>
  </si>
  <si>
    <t>RIPSTOP ARMY CAP</t>
  </si>
  <si>
    <t>COTTON TWILL ARMY CAP</t>
  </si>
  <si>
    <t>WASHED BASEBALL</t>
  </si>
  <si>
    <t>WASHED BUCKET</t>
  </si>
  <si>
    <t>Counts</t>
  </si>
  <si>
    <t>Price</t>
  </si>
  <si>
    <t>Colors</t>
  </si>
  <si>
    <t>Size</t>
  </si>
  <si>
    <t>StyleColor</t>
  </si>
  <si>
    <t>O/S</t>
  </si>
  <si>
    <t>KANGOL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</si>
</sst>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42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sz val="9"/>
      <name val="Arial"/>
      <family val="2"/>
    </font>
    <font>
      <sz val="7"/>
      <name val="Arial"/>
      <family val="2"/>
      <charset val="204"/>
    </font>
    <font>
      <b/>
      <sz val="14"/>
      <name val="Arial"/>
      <family val="2"/>
    </font>
    <font>
      <b/>
      <sz val="9"/>
      <name val="Arial"/>
      <family val="2"/>
    </font>
    <font>
      <b/>
      <sz val="8"/>
      <name val="Arial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41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  <xf numFmtId="0" fontId="10" fillId="0" borderId="0"/>
  </cellStyleXfs>
  <cellXfs count="248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33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 wrapText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1" fontId="11" fillId="17" borderId="26" xfId="39" applyNumberFormat="1" applyFont="1" applyFill="1" applyBorder="1" applyAlignment="1">
      <alignment horizontal="right" vertical="top"/>
    </xf>
    <xf numFmtId="0" fontId="10" fillId="0" borderId="0" xfId="40"/>
    <xf numFmtId="0" fontId="10" fillId="0" borderId="0" xfId="40" applyAlignment="1">
      <alignment horizontal="center" vertical="center" wrapText="1"/>
    </xf>
    <xf numFmtId="0" fontId="4" fillId="0" borderId="0" xfId="40" applyFont="1" applyAlignment="1">
      <alignment horizontal="center"/>
    </xf>
    <xf numFmtId="0" fontId="6" fillId="0" borderId="13" xfId="40" applyFont="1" applyBorder="1" applyAlignment="1">
      <alignment horizontal="left" vertical="top" wrapText="1"/>
    </xf>
    <xf numFmtId="0" fontId="6" fillId="0" borderId="1" xfId="40" applyFont="1" applyBorder="1" applyAlignment="1">
      <alignment horizontal="left" vertical="center"/>
    </xf>
    <xf numFmtId="0" fontId="6" fillId="0" borderId="13" xfId="40" applyFont="1" applyBorder="1" applyAlignment="1">
      <alignment horizontal="left" vertical="center"/>
    </xf>
    <xf numFmtId="0" fontId="6" fillId="0" borderId="7" xfId="40" applyFont="1" applyBorder="1" applyAlignment="1">
      <alignment horizontal="left" vertical="top" wrapText="1"/>
    </xf>
    <xf numFmtId="0" fontId="6" fillId="0" borderId="0" xfId="40" applyFont="1" applyAlignment="1">
      <alignment horizontal="left" vertical="top" wrapText="1"/>
    </xf>
    <xf numFmtId="0" fontId="6" fillId="0" borderId="27" xfId="40" applyFont="1" applyBorder="1" applyAlignment="1">
      <alignment horizontal="left" vertical="top" wrapText="1"/>
    </xf>
    <xf numFmtId="0" fontId="6" fillId="0" borderId="13" xfId="40" applyFont="1" applyBorder="1" applyAlignment="1">
      <alignment vertical="top"/>
    </xf>
    <xf numFmtId="0" fontId="6" fillId="0" borderId="8" xfId="40" applyFont="1" applyBorder="1" applyAlignment="1">
      <alignment horizontal="left" vertical="top"/>
    </xf>
    <xf numFmtId="0" fontId="10" fillId="0" borderId="14" xfId="40" applyBorder="1"/>
    <xf numFmtId="0" fontId="6" fillId="0" borderId="19" xfId="40" applyFont="1" applyBorder="1" applyAlignment="1">
      <alignment vertical="top"/>
    </xf>
    <xf numFmtId="0" fontId="6" fillId="0" borderId="2" xfId="40" applyFont="1" applyBorder="1" applyAlignment="1">
      <alignment vertical="top"/>
    </xf>
    <xf numFmtId="0" fontId="6" fillId="0" borderId="28" xfId="40" applyFont="1" applyBorder="1" applyAlignment="1">
      <alignment vertical="top"/>
    </xf>
    <xf numFmtId="0" fontId="6" fillId="0" borderId="19" xfId="40" applyFont="1" applyBorder="1" applyAlignment="1">
      <alignment horizontal="left" vertical="top"/>
    </xf>
    <xf numFmtId="0" fontId="6" fillId="0" borderId="2" xfId="40" applyFont="1" applyBorder="1" applyAlignment="1">
      <alignment horizontal="left" vertical="top"/>
    </xf>
    <xf numFmtId="0" fontId="6" fillId="0" borderId="28" xfId="40" applyFont="1" applyBorder="1" applyAlignment="1">
      <alignment horizontal="left" vertical="top"/>
    </xf>
    <xf numFmtId="0" fontId="6" fillId="0" borderId="9" xfId="40" applyFont="1" applyBorder="1" applyAlignment="1">
      <alignment horizontal="left" vertical="center"/>
    </xf>
    <xf numFmtId="0" fontId="6" fillId="0" borderId="4" xfId="40" applyFont="1" applyBorder="1" applyAlignment="1">
      <alignment horizontal="left" vertical="center"/>
    </xf>
    <xf numFmtId="0" fontId="6" fillId="0" borderId="13" xfId="40" applyFont="1" applyBorder="1" applyAlignment="1">
      <alignment horizontal="left" vertical="top"/>
    </xf>
    <xf numFmtId="0" fontId="36" fillId="0" borderId="29" xfId="40" applyFont="1" applyBorder="1" applyAlignment="1">
      <alignment vertical="center"/>
    </xf>
    <xf numFmtId="0" fontId="37" fillId="0" borderId="13" xfId="40" applyFont="1" applyBorder="1" applyAlignment="1">
      <alignment horizontal="left" vertical="center"/>
    </xf>
    <xf numFmtId="0" fontId="36" fillId="0" borderId="6" xfId="40" applyFont="1" applyBorder="1" applyAlignment="1">
      <alignment vertical="center"/>
    </xf>
    <xf numFmtId="0" fontId="37" fillId="0" borderId="8" xfId="40" applyFont="1" applyBorder="1" applyAlignment="1">
      <alignment horizontal="left" vertical="center"/>
    </xf>
    <xf numFmtId="0" fontId="36" fillId="0" borderId="1" xfId="40" applyFont="1" applyBorder="1" applyAlignment="1">
      <alignment vertical="center"/>
    </xf>
    <xf numFmtId="0" fontId="38" fillId="0" borderId="8" xfId="40" applyFont="1" applyBorder="1" applyAlignment="1">
      <alignment horizontal="left" vertical="top" wrapText="1"/>
    </xf>
    <xf numFmtId="0" fontId="36" fillId="0" borderId="13" xfId="40" applyFont="1" applyBorder="1" applyAlignment="1">
      <alignment vertical="center"/>
    </xf>
    <xf numFmtId="0" fontId="36" fillId="0" borderId="0" xfId="40" applyFont="1" applyAlignment="1">
      <alignment vertical="center"/>
    </xf>
    <xf numFmtId="0" fontId="38" fillId="0" borderId="19" xfId="40" applyFont="1" applyBorder="1" applyAlignment="1">
      <alignment horizontal="left" vertical="top" wrapText="1"/>
    </xf>
    <xf numFmtId="0" fontId="38" fillId="0" borderId="2" xfId="40" applyFont="1" applyBorder="1" applyAlignment="1">
      <alignment horizontal="left" vertical="top" wrapText="1"/>
    </xf>
    <xf numFmtId="0" fontId="38" fillId="0" borderId="28" xfId="40" applyFont="1" applyBorder="1" applyAlignment="1">
      <alignment horizontal="left" vertical="top" wrapText="1"/>
    </xf>
    <xf numFmtId="0" fontId="36" fillId="0" borderId="19" xfId="40" applyFont="1" applyBorder="1" applyAlignment="1">
      <alignment vertical="center"/>
    </xf>
    <xf numFmtId="0" fontId="36" fillId="0" borderId="2" xfId="40" applyFont="1" applyBorder="1" applyAlignment="1">
      <alignment vertical="center"/>
    </xf>
    <xf numFmtId="0" fontId="36" fillId="0" borderId="28" xfId="40" applyFont="1" applyBorder="1" applyAlignment="1">
      <alignment vertical="center"/>
    </xf>
    <xf numFmtId="0" fontId="37" fillId="0" borderId="19" xfId="40" applyFont="1" applyBorder="1" applyAlignment="1">
      <alignment horizontal="left" vertical="center"/>
    </xf>
    <xf numFmtId="0" fontId="37" fillId="0" borderId="2" xfId="40" applyFont="1" applyBorder="1" applyAlignment="1">
      <alignment horizontal="left" vertical="center"/>
    </xf>
    <xf numFmtId="0" fontId="37" fillId="0" borderId="28" xfId="40" applyFont="1" applyBorder="1" applyAlignment="1">
      <alignment horizontal="left" vertical="center"/>
    </xf>
    <xf numFmtId="0" fontId="6" fillId="0" borderId="13" xfId="40" applyFont="1" applyBorder="1" applyAlignment="1">
      <alignment vertical="center"/>
    </xf>
    <xf numFmtId="0" fontId="6" fillId="0" borderId="7" xfId="40" applyFont="1" applyBorder="1" applyAlignment="1">
      <alignment vertical="center"/>
    </xf>
    <xf numFmtId="0" fontId="6" fillId="0" borderId="0" xfId="40" applyFont="1" applyAlignment="1">
      <alignment vertical="center"/>
    </xf>
    <xf numFmtId="0" fontId="6" fillId="0" borderId="27" xfId="40" applyFont="1" applyBorder="1" applyAlignment="1">
      <alignment vertical="center"/>
    </xf>
    <xf numFmtId="0" fontId="39" fillId="0" borderId="30" xfId="40" applyFont="1" applyBorder="1" applyAlignment="1">
      <alignment vertical="center"/>
    </xf>
    <xf numFmtId="0" fontId="37" fillId="0" borderId="0" xfId="40" applyFont="1" applyAlignment="1">
      <alignment vertical="center"/>
    </xf>
    <xf numFmtId="0" fontId="40" fillId="0" borderId="0" xfId="40" applyFont="1" applyAlignment="1">
      <alignment vertical="top" wrapText="1"/>
    </xf>
    <xf numFmtId="0" fontId="4" fillId="0" borderId="31" xfId="40" applyFont="1" applyBorder="1" applyAlignment="1">
      <alignment horizontal="center" vertical="center" wrapText="1"/>
    </xf>
    <xf numFmtId="0" fontId="4" fillId="0" borderId="32" xfId="40" applyFont="1" applyBorder="1" applyAlignment="1">
      <alignment horizontal="center" vertical="center" wrapText="1"/>
    </xf>
    <xf numFmtId="0" fontId="4" fillId="0" borderId="33" xfId="40" applyFont="1" applyBorder="1" applyAlignment="1">
      <alignment horizontal="center" vertical="center" wrapText="1"/>
    </xf>
    <xf numFmtId="0" fontId="4" fillId="0" borderId="34" xfId="40" applyFont="1" applyBorder="1" applyAlignment="1">
      <alignment horizontal="center" vertical="center" wrapText="1"/>
    </xf>
    <xf numFmtId="0" fontId="4" fillId="0" borderId="28" xfId="40" applyFont="1" applyBorder="1" applyAlignment="1">
      <alignment horizontal="center" vertical="center" wrapText="1"/>
    </xf>
    <xf numFmtId="0" fontId="4" fillId="0" borderId="19" xfId="40" applyFont="1" applyBorder="1" applyAlignment="1">
      <alignment horizontal="center" vertical="center" wrapText="1"/>
    </xf>
    <xf numFmtId="0" fontId="4" fillId="0" borderId="2" xfId="40" applyFont="1" applyBorder="1" applyAlignment="1">
      <alignment horizontal="center" vertical="center" wrapText="1"/>
    </xf>
    <xf numFmtId="0" fontId="4" fillId="0" borderId="35" xfId="40" applyFont="1" applyBorder="1" applyAlignment="1">
      <alignment horizontal="center" vertical="center" wrapText="1"/>
    </xf>
    <xf numFmtId="1" fontId="10" fillId="0" borderId="36" xfId="40" applyNumberFormat="1" applyBorder="1" applyAlignment="1">
      <alignment horizontal="right"/>
    </xf>
    <xf numFmtId="0" fontId="10" fillId="0" borderId="37" xfId="40" applyBorder="1"/>
    <xf numFmtId="0" fontId="10" fillId="0" borderId="38" xfId="40" applyBorder="1" applyAlignment="1">
      <alignment wrapText="1"/>
    </xf>
    <xf numFmtId="1" fontId="10" fillId="0" borderId="37" xfId="40" applyNumberFormat="1" applyBorder="1" applyAlignment="1">
      <alignment horizontal="right"/>
    </xf>
    <xf numFmtId="0" fontId="10" fillId="0" borderId="37" xfId="40" applyBorder="1" applyAlignment="1">
      <alignment horizontal="right"/>
    </xf>
    <xf numFmtId="4" fontId="10" fillId="0" borderId="37" xfId="40" applyNumberFormat="1" applyBorder="1" applyAlignment="1">
      <alignment horizontal="right"/>
    </xf>
    <xf numFmtId="4" fontId="10" fillId="0" borderId="39" xfId="40" applyNumberFormat="1" applyBorder="1" applyAlignment="1">
      <alignment horizontal="right"/>
    </xf>
    <xf numFmtId="0" fontId="10" fillId="0" borderId="40" xfId="40" applyBorder="1"/>
    <xf numFmtId="0" fontId="4" fillId="0" borderId="0" xfId="40" applyFont="1" applyAlignment="1">
      <alignment horizontal="right"/>
    </xf>
    <xf numFmtId="4" fontId="4" fillId="0" borderId="0" xfId="40" applyNumberFormat="1" applyFont="1" applyAlignment="1">
      <alignment horizontal="right"/>
    </xf>
    <xf numFmtId="0" fontId="4" fillId="0" borderId="0" xfId="40" applyFont="1" applyAlignment="1">
      <alignment horizontal="right"/>
    </xf>
    <xf numFmtId="0" fontId="4" fillId="0" borderId="0" xfId="40" applyFont="1" applyAlignment="1">
      <alignment horizontal="right" wrapText="1"/>
    </xf>
    <xf numFmtId="0" fontId="6" fillId="0" borderId="0" xfId="40" applyFont="1" applyAlignment="1">
      <alignment horizontal="left"/>
    </xf>
    <xf numFmtId="0" fontId="4" fillId="0" borderId="0" xfId="40" applyFont="1" applyAlignment="1">
      <alignment vertical="top"/>
    </xf>
    <xf numFmtId="0" fontId="40" fillId="0" borderId="0" xfId="40" applyFont="1" applyAlignment="1">
      <alignment vertical="center" wrapText="1"/>
    </xf>
    <xf numFmtId="0" fontId="37" fillId="0" borderId="2" xfId="40" applyFont="1" applyBorder="1"/>
    <xf numFmtId="0" fontId="10" fillId="0" borderId="2" xfId="40" applyBorder="1"/>
    <xf numFmtId="0" fontId="4" fillId="0" borderId="2" xfId="40" applyFont="1" applyBorder="1" applyAlignment="1">
      <alignment horizontal="center" wrapText="1"/>
    </xf>
    <xf numFmtId="0" fontId="10" fillId="0" borderId="0" xfId="40" applyAlignment="1">
      <alignment horizontal="center" vertical="top"/>
    </xf>
    <xf numFmtId="0" fontId="40" fillId="0" borderId="0" xfId="40" applyFont="1" applyAlignment="1">
      <alignment vertical="center"/>
    </xf>
    <xf numFmtId="0" fontId="10" fillId="0" borderId="37" xfId="40" applyBorder="1" applyAlignment="1">
      <alignment horizontal="left" vertical="center"/>
    </xf>
    <xf numFmtId="0" fontId="41" fillId="0" borderId="37" xfId="40" applyFont="1" applyBorder="1" applyAlignment="1">
      <alignment horizontal="left" vertical="center"/>
    </xf>
  </cellXfs>
  <cellStyles count="41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12" xfId="40" xr:uid="{020CA96C-239A-40C7-8876-4C54D48E097F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S1" zoomScale="65" zoomScaleNormal="65" workbookViewId="0">
      <pane ySplit="1" topLeftCell="A2" activePane="bottomLeft" state="frozen"/>
      <selection pane="bottomLeft" activeCell="V3" sqref="V3:AI10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9" style="106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1"/>
    <col min="12" max="12" width="9" style="119"/>
    <col min="13" max="13" width="9" style="107"/>
    <col min="14" max="15" width="6.7109375" style="107" customWidth="1"/>
    <col min="16" max="16" width="11.28515625" style="107" customWidth="1"/>
    <col min="17" max="17" width="13.7109375" style="121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35" width="9" style="106" customWidth="1"/>
    <col min="36" max="45" width="9" style="106" hidden="1" customWidth="1"/>
    <col min="46" max="46" width="9" style="115"/>
    <col min="47" max="47" width="9" style="106"/>
    <col min="48" max="48" width="16.5703125" style="112" bestFit="1" customWidth="1"/>
    <col min="49" max="49" width="9.7109375" style="112" customWidth="1"/>
    <col min="50" max="50" width="9" style="116" customWidth="1"/>
    <col min="51" max="51" width="9.85546875" style="112" customWidth="1"/>
    <col min="52" max="53" width="10" style="112" customWidth="1"/>
    <col min="54" max="54" width="14" style="117" bestFit="1" customWidth="1"/>
    <col min="55" max="55" width="16.5703125" style="117" customWidth="1"/>
    <col min="56" max="56" width="9" style="105"/>
    <col min="57" max="57" width="9" style="122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3" t="s">
        <v>462</v>
      </c>
      <c r="C1" s="124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5" t="s">
        <v>479</v>
      </c>
      <c r="L1" s="126" t="s">
        <v>585</v>
      </c>
      <c r="M1" s="103" t="s">
        <v>381</v>
      </c>
      <c r="N1" s="103" t="s">
        <v>842</v>
      </c>
      <c r="O1" s="103" t="s">
        <v>840</v>
      </c>
      <c r="P1" s="103" t="s">
        <v>841</v>
      </c>
      <c r="Q1" s="124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7" t="s">
        <v>820</v>
      </c>
      <c r="AK1" s="127" t="s">
        <v>821</v>
      </c>
      <c r="AL1" s="127" t="s">
        <v>822</v>
      </c>
      <c r="AM1" s="127" t="s">
        <v>823</v>
      </c>
      <c r="AN1" s="127" t="s">
        <v>824</v>
      </c>
      <c r="AO1" s="127" t="s">
        <v>825</v>
      </c>
      <c r="AP1" s="127" t="s">
        <v>826</v>
      </c>
      <c r="AQ1" s="127" t="s">
        <v>827</v>
      </c>
      <c r="AR1" s="127" t="s">
        <v>550</v>
      </c>
      <c r="AS1" s="127" t="s">
        <v>549</v>
      </c>
      <c r="AT1" s="103" t="s">
        <v>467</v>
      </c>
      <c r="AU1" s="124" t="s">
        <v>497</v>
      </c>
      <c r="AV1" s="103" t="s">
        <v>468</v>
      </c>
      <c r="AW1" s="103" t="s">
        <v>469</v>
      </c>
      <c r="AX1" s="128" t="s">
        <v>498</v>
      </c>
      <c r="AY1" s="103" t="s">
        <v>470</v>
      </c>
      <c r="AZ1" s="103" t="s">
        <v>471</v>
      </c>
      <c r="BA1" s="103" t="s">
        <v>472</v>
      </c>
      <c r="BB1" s="129" t="s">
        <v>499</v>
      </c>
      <c r="BC1" s="129" t="s">
        <v>473</v>
      </c>
      <c r="BD1" s="103" t="s">
        <v>500</v>
      </c>
      <c r="BE1" s="102" t="s">
        <v>584</v>
      </c>
      <c r="BF1" s="103" t="s">
        <v>501</v>
      </c>
      <c r="BG1" s="104" t="s">
        <v>850</v>
      </c>
    </row>
    <row r="2" spans="1:59" s="111" customFormat="1" ht="22.15" hidden="1" customHeight="1">
      <c r="A2" s="130" t="str">
        <f t="shared" ref="A2:A14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1"/>
      <c r="D2" s="106" t="str">
        <f>IF(A2&lt;&gt;"",_xlfn.XLOOKUP(C2,'1C'!W:W,'1C'!X:X,"",0),"")</f>
        <v/>
      </c>
      <c r="E2" s="114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4" t="str">
        <f>IF(C2&lt;&gt;"",IF(BD2&gt;0,_xlfn.XLOOKUP(A2,'1C'!A:A,'1C'!L:L,"",0),_xlfn.XLOOKUP(C2,'1C'!W:W,'1C'!L:L,"",0)),"")</f>
        <v/>
      </c>
      <c r="H2" s="106" t="str">
        <f>IF(A2&lt;&gt;"",_xlfn.XLOOKUP(A2,'1C'!A:A,'1C'!M:M,_xlfn.XLOOKUP(C2,'1C'!W:W,'1C'!M:M,"",0),0),"")</f>
        <v/>
      </c>
      <c r="I2" s="132"/>
      <c r="J2" s="106" t="str">
        <f>_xlfn.LET(_xlpm.itemName,_xlfn.XLOOKUP(A2,'1C'!A:A,'1C'!D:D,"",0),IFERROR(MID(_xlpm.itemName,FIND(" ",_xlpm.itemName)+1,FIND("арт.",_xlpm.itemName)-(FIND(" ",_xlpm.itemName)+2)),""))</f>
        <v/>
      </c>
      <c r="K2" s="133"/>
      <c r="L2" s="134" t="str">
        <f>IF(K2&lt;&gt;"",IFERROR(VLOOKUP(A2,'1C'!A:X,8,0),IFERROR(VLOOKUP(K2,Colors!D:E,2,0),"")),"")</f>
        <v/>
      </c>
      <c r="M2" s="135" t="str">
        <f>IF(K2&lt;&gt;"",_xlfn.XLOOKUP(A2,'1C'!A:A,'1C'!R:R,"",0),"")</f>
        <v/>
      </c>
      <c r="N2" s="135" t="str">
        <f>_xlfn.LET(_xlpm.RES,IF($A2&lt;&gt;"",_xlfn.XLOOKUP($A2,'1C'!$A:$A,'1C'!S:S,"",0),""),IF(_xlpm.RES=0,"",_xlpm.RES))</f>
        <v/>
      </c>
      <c r="O2" s="135" t="str">
        <f>_xlfn.LET(_xlpm.RES,IF($A2&lt;&gt;"",_xlfn.XLOOKUP($A2,'1C'!$A:$A,'1C'!T:T,"",0),""),IF(_xlpm.RES=0,"",_xlpm.RES))</f>
        <v/>
      </c>
      <c r="P2" s="135" t="str">
        <f>_xlfn.LET(_xlpm.RES,IF($A2&lt;&gt;"",_xlfn.XLOOKUP($A2,'1C'!$A:$A,'1C'!U:U,"",0),""),IF(_xlpm.RES=0,"",_xlpm.RES))</f>
        <v/>
      </c>
      <c r="Q2" s="136" t="str">
        <f>IF(A2&lt;&gt;"",_xlfn.XLOOKUP(A2,'1C'!A:A,'1C'!I:I,_xlfn.XLOOKUP(C2,'1C'!W:W,'1C'!I:I,"",0),0),"")</f>
        <v/>
      </c>
      <c r="R2" s="135" t="str">
        <f>IF(D2&lt;&gt;"",IFERROR(IF(VLOOKUP(D2,'1C'!D:D,1,0)&lt;&gt;"",1,0),""),"")</f>
        <v/>
      </c>
      <c r="S2" s="135" t="str">
        <f>_xlfn.LET(_xlpm.RES,IF(A2&lt;&gt;"",_xlfn.XLOOKUP(A2,'1C'!A:A,'1C'!N:N,_xlfn.XLOOKUP(C2,'1C'!W:W,'1C'!N:N,"",0),0),""),IF(_xlpm.RES=0,"",_xlpm.RES))</f>
        <v/>
      </c>
      <c r="T2" s="135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14" t="str">
        <f t="shared" ref="AT2:AT14" si="1">IF(COUNTBLANK(V2:AS2)&lt;24,SUM(V2:AS2),"")</f>
        <v/>
      </c>
      <c r="AU2" s="130" t="str">
        <f>IF(A2&lt;&gt;"",_xlfn.XLOOKUP(_xlfn.XLOOKUP(A2,'1C'!A:A,'1C'!O:O,_xlfn.XLOOKUP(C2,'1C'!W:W,'1C'!O:O,"",0),0),Settings!N:N,Settings!O:O,"",0),"")</f>
        <v/>
      </c>
      <c r="AV2" s="114" t="str">
        <f ca="1">IF(AU2&lt;&gt;"",VLOOKUP(AU2,INDIRECT(SUBSTITUTE(IF(ISNUMBER(IFERROR(VALUE(LEFT(J2,1)),FALSE)),"_"&amp;J2,J2)," ","")&amp;"Manufactures"),3,0),"Требуется код страны")</f>
        <v>Требуется код страны</v>
      </c>
      <c r="AW2" s="114" t="str">
        <f ca="1">IF(AU2&lt;&gt;"",VLOOKUP(AU2,INDIRECT(SUBSTITUTE(IF(ISNUMBER(IFERROR(VALUE(LEFT(J2,1)),FALSE)),"_"&amp;J2,J2)," ","")&amp;"Manufactures"),2,0),"Требуется код страны")</f>
        <v>Требуется код страны</v>
      </c>
      <c r="AX2" s="137">
        <f t="shared" ref="AX2:AX14" si="2">0.05+0.05</f>
        <v>0.1</v>
      </c>
      <c r="AY2" s="114">
        <f t="shared" ref="AY2:AY14" si="3">IF(AX2&lt;&gt;"",AX2*1.5,"Требуется нетто")</f>
        <v>0.15000000000000002</v>
      </c>
      <c r="AZ2" s="114" t="str">
        <f t="shared" ref="AZ2:AZ14" si="4">+IF(AX2&lt;&gt;"",IFERROR(AT2*AX2,"Требуются кол-во и нетто"),"Требуются кол-во и нетто")</f>
        <v>Требуются кол-во и нетто</v>
      </c>
      <c r="BA2" s="114" t="str">
        <f t="shared" ref="BA2:BA14" si="5">IF(AY2&lt;&gt;"",IFERROR(AT2*AY2,"Требуются кол-во и брутто"),"Требуются кол-во и брутто")</f>
        <v>Требуются кол-во и брутто</v>
      </c>
      <c r="BB2" s="138"/>
      <c r="BC2" s="138" t="str">
        <f t="shared" ref="BC2:BC14" si="6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:BF14" si="7">IFERROR(IF(BE2,"-",IFERROR(IF(BD2&gt;0,0,1),"")),"")</f>
        <v/>
      </c>
      <c r="BG2" s="110"/>
    </row>
    <row r="3" spans="1:59" ht="98.1" customHeight="1">
      <c r="A3" s="112" t="str">
        <f>IF(C3&amp;K3&lt;&gt;"",C3&amp;K3,"")</f>
        <v>9720BCNAVY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03-090-16</v>
      </c>
      <c r="C3" s="120" t="s">
        <v>2120</v>
      </c>
      <c r="D3" s="112" t="str">
        <f>IF(A3&lt;&gt;"",_xlfn.XLOOKUP(C3,'1C'!W:W,'1C'!X:X,"",0),"")</f>
        <v>Cotton Twill Army Cap</v>
      </c>
      <c r="E3" s="112" t="str">
        <f>IF(F3&lt;&gt;"",IFERROR(VLOOKUP(F3,Категории!A:B,2,0),""),"Требуется категория")</f>
        <v>Кепки</v>
      </c>
      <c r="F3" s="112" t="str">
        <f>IF(A3&lt;&gt;"",IF(BD3&gt;0,_xlfn.XLOOKUP(A3,'1C'!A:A,'1C'!J:J,"",0),_xlfn.XLOOKUP(C3,'1C'!W:W,'1C'!J:J,"",0)),"")</f>
        <v>Кепка кадетка</v>
      </c>
      <c r="G3" s="114" t="str">
        <f>IF(C3&lt;&gt;"",IF(BD3&gt;0,_xlfn.XLOOKUP(A3,'1C'!A:A,'1C'!L:L,"",0),_xlfn.XLOOKUP(C3,'1C'!W:W,'1C'!L:L,"",0)),"")</f>
        <v>Sport</v>
      </c>
      <c r="H3" s="112" t="str">
        <f>IF(A3&lt;&gt;"",_xlfn.XLOOKUP(A3,'1C'!A:A,'1C'!M:M,_xlfn.XLOOKUP(C3,'1C'!W:W,'1C'!M:M,"",0),0),"")</f>
        <v>летний</v>
      </c>
      <c r="I3" s="107" t="str">
        <f>C3&amp;" "&amp;D3</f>
        <v>9720BC Cotton Twill Army Cap</v>
      </c>
      <c r="J3" s="135" t="s">
        <v>2161</v>
      </c>
      <c r="K3" s="119" t="s">
        <v>2142</v>
      </c>
      <c r="L3" s="149" t="str">
        <f>IF(K3&lt;&gt;"",IFERROR(VLOOKUP(A3,'1C'!A:X,8,0),IFERROR(VLOOKUP(K3,Colors!D:E,2,0),"")),"")</f>
        <v>темно-синий</v>
      </c>
      <c r="M3" s="135"/>
      <c r="N3" s="135"/>
      <c r="O3" s="135"/>
      <c r="P3" s="135"/>
      <c r="Q3" s="146" t="str">
        <f>IF(A3&lt;&gt;"",_xlfn.XLOOKUP(A3,'1C'!A:A,'1C'!I:I,_xlfn.XLOOKUP(C3,'1C'!W:W,'1C'!I:I,"",0),0),"")</f>
        <v>97% хлопок - 3% спандекс</v>
      </c>
      <c r="R3" s="135"/>
      <c r="S3" s="114" t="str">
        <f>_xlfn.LET(_xlpm.RES,IF(A3&lt;&gt;"",_xlfn.XLOOKUP(A3,'1C'!A:A,'1C'!N:N,_xlfn.XLOOKUP(C3,'1C'!W:W,'1C'!N:N,"",0),0),""),IF(_xlpm.RES=0,"",_xlpm.RES))</f>
        <v>хлопковые</v>
      </c>
      <c r="T3" s="107"/>
      <c r="U3" s="115" t="str">
        <f>IF(A3&lt;&gt;"",_xlfn.XLOOKUP(A3,'1C'!A:A,'1C'!K:K,_xlfn.XLOOKUP(C3,'1C'!W:W,'1C'!K:K,"",0),0),"")</f>
        <v>Унисекс</v>
      </c>
      <c r="V3" s="107"/>
      <c r="Y3" s="107"/>
      <c r="AA3" s="107"/>
      <c r="AC3" s="107"/>
      <c r="AD3" s="106">
        <v>2</v>
      </c>
      <c r="AE3" s="107"/>
      <c r="AG3" s="107"/>
      <c r="AT3" s="114">
        <f>IF(COUNTBLANK(V3:AS3)&lt;24,SUM(V3:AS3),"")</f>
        <v>2</v>
      </c>
      <c r="AU3" s="147" t="str">
        <f>IF(A3&lt;&gt;"",_xlfn.XLOOKUP(_xlfn.XLOOKUP(A3,'1C'!A:A,'1C'!O:O,_xlfn.XLOOKUP(C3,'1C'!W:W,'1C'!O:O,"",0),0),Settings!N:N,Settings!O:O,"",0),"")</f>
        <v>VN</v>
      </c>
      <c r="AV3" s="135"/>
      <c r="AW3" s="114" t="str">
        <f t="shared" ref="AW3:AW10" ca="1" si="8">IF(AU3&lt;&gt;"",VLOOKUP(AU3,INDIRECT(SUBSTITUTE(IF(ISNUMBER(IFERROR(VALUE(LEFT(J3,1)),FALSE)),"_"&amp;J3,J3)," ","")&amp;"Manufactures"),2,0),"Требуется код страны")</f>
        <v>Вьетнам</v>
      </c>
      <c r="AX3" s="116">
        <f>0.05+0.05</f>
        <v>0.1</v>
      </c>
      <c r="AY3" s="112">
        <f>IF(AX3&lt;&gt;"",AX3*1.5,"Требуется нетто")</f>
        <v>0.15000000000000002</v>
      </c>
      <c r="AZ3" s="112">
        <f>+IF(AX3&lt;&gt;"",IFERROR(AT3*AX3,"Требуются кол-во и нетто"),"Требуются кол-во и нетто")</f>
        <v>0.2</v>
      </c>
      <c r="BA3" s="112">
        <f>IF(AY3&lt;&gt;"",IFERROR(AT3*AY3,"Требуются кол-во и брутто"),"Требуются кол-во и брутто")</f>
        <v>0.30000000000000004</v>
      </c>
      <c r="BB3" s="117">
        <v>2204</v>
      </c>
      <c r="BC3" s="145">
        <f>+IF(BB3&lt;&gt;0,IFERROR(AT3*BB3,"Требуются кол-во и цена"),"Требуются кол-во и цена")</f>
        <v>4408</v>
      </c>
      <c r="BD3" s="105">
        <f>IF(A3&lt;&gt;"",IF(_xlfn.XLOOKUP(A3,'1C'!A:A,'1C'!A:A,0,0)&gt;0,1,0),"")</f>
        <v>0</v>
      </c>
      <c r="BE3" s="105">
        <f>IF(C3&lt;&gt;"",IF(_xlfn.XLOOKUP(TEXT(C3,"###"),'1C'!W:W,'1C'!D:D,0,0)&gt;0,0,1),"")</f>
        <v>0</v>
      </c>
      <c r="BF3" s="109">
        <f>IFERROR(IF(BE3,"-",IFERROR(IF(BD3&gt;0,0,1),"")),"")</f>
        <v>1</v>
      </c>
    </row>
    <row r="4" spans="1:59" ht="98.1" customHeight="1">
      <c r="A4" s="112" t="str">
        <f>IF(C4&amp;K4&lt;&gt;"",C4&amp;K4,"")</f>
        <v>K5165HTCORDOVAN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03-038-12</v>
      </c>
      <c r="C4" s="120" t="s">
        <v>2122</v>
      </c>
      <c r="D4" s="112" t="str">
        <f>IF(A4&lt;&gt;"",_xlfn.XLOOKUP(C4,'1C'!W:W,'1C'!X:X,"",0),"")</f>
        <v>Washed Baseball</v>
      </c>
      <c r="E4" s="112" t="str">
        <f>IF(F4&lt;&gt;"",IFERROR(VLOOKUP(F4,Категории!A:B,2,0),""),"Требуется категория")</f>
        <v>Бейсболки</v>
      </c>
      <c r="F4" s="112" t="str">
        <f>IF(A4&lt;&gt;"",IF(BD4&gt;0,_xlfn.XLOOKUP(A4,'1C'!A:A,'1C'!J:J,"",0),_xlfn.XLOOKUP(C4,'1C'!W:W,'1C'!J:J,"",0)),"")</f>
        <v>Бейсболка</v>
      </c>
      <c r="G4" s="114" t="str">
        <f>IF(C4&lt;&gt;"",IF(BD4&gt;0,_xlfn.XLOOKUP(A4,'1C'!A:A,'1C'!L:L,"",0),_xlfn.XLOOKUP(C4,'1C'!W:W,'1C'!L:L,"",0)),"")</f>
        <v>Kangol Heritage</v>
      </c>
      <c r="H4" s="112" t="str">
        <f>IF(A4&lt;&gt;"",_xlfn.XLOOKUP(A4,'1C'!A:A,'1C'!M:M,_xlfn.XLOOKUP(C4,'1C'!W:W,'1C'!M:M,"",0),0),"")</f>
        <v>летний</v>
      </c>
      <c r="I4" s="107" t="str">
        <f t="shared" ref="I4:I10" si="9">C4&amp;" "&amp;D4</f>
        <v>K5165HT Washed Baseball</v>
      </c>
      <c r="J4" s="135" t="s">
        <v>2161</v>
      </c>
      <c r="K4" s="119" t="s">
        <v>2143</v>
      </c>
      <c r="L4" s="119" t="s">
        <v>121</v>
      </c>
      <c r="M4" s="135"/>
      <c r="N4" s="135"/>
      <c r="O4" s="135"/>
      <c r="P4" s="135"/>
      <c r="Q4" s="146" t="str">
        <f>IF(A4&lt;&gt;"",_xlfn.XLOOKUP(A4,'1C'!A:A,'1C'!I:I,_xlfn.XLOOKUP(C4,'1C'!W:W,'1C'!I:I,"",0),0),"")</f>
        <v>100% хлопок</v>
      </c>
      <c r="R4" s="135"/>
      <c r="S4" s="114" t="str">
        <f>_xlfn.LET(_xlpm.RES,IF(A4&lt;&gt;"",_xlfn.XLOOKUP(A4,'1C'!A:A,'1C'!N:N,_xlfn.XLOOKUP(C4,'1C'!W:W,'1C'!N:N,"",0),0),""),IF(_xlpm.RES=0,"",_xlpm.RES))</f>
        <v>хлопковые</v>
      </c>
      <c r="T4" s="115" t="str">
        <f>IF(S4&lt;&gt;"",IFERROR(VLOOKUP(S4,MaterialsTypes!F:G,2,0),IFERROR(VLOOKUP(Q4,MaterialsTypes100,2,0),"")),IFERROR(VLOOKUP(Q4,MaterialsTypes100,2,0),""))</f>
        <v>Текстиль, ткань</v>
      </c>
      <c r="U4" s="115" t="str">
        <f>IF(A4&lt;&gt;"",_xlfn.XLOOKUP(A4,'1C'!A:A,'1C'!K:K,_xlfn.XLOOKUP(C4,'1C'!W:W,'1C'!K:K,"",0),0),"")</f>
        <v>Унисекс</v>
      </c>
      <c r="V4" s="107">
        <v>2</v>
      </c>
      <c r="Y4" s="107"/>
      <c r="AA4" s="107"/>
      <c r="AC4" s="107"/>
      <c r="AE4" s="107"/>
      <c r="AG4" s="107"/>
      <c r="AT4" s="114">
        <f>IF(COUNTBLANK(V4:AS4)&lt;24,SUM(V4:AS4),"")</f>
        <v>2</v>
      </c>
      <c r="AU4" s="147" t="str">
        <f>IF(A4&lt;&gt;"",_xlfn.XLOOKUP(_xlfn.XLOOKUP(A4,'1C'!A:A,'1C'!O:O,_xlfn.XLOOKUP(C4,'1C'!W:W,'1C'!O:O,"",0),0),Settings!N:N,Settings!O:O,"",0),"")</f>
        <v>VN</v>
      </c>
      <c r="AV4" s="135"/>
      <c r="AW4" s="114" t="str">
        <f t="shared" ca="1" si="8"/>
        <v>Вьетнам</v>
      </c>
      <c r="AX4" s="116">
        <f>0.05+0.05</f>
        <v>0.1</v>
      </c>
      <c r="AY4" s="112">
        <f>IF(AX4&lt;&gt;"",AX4*1.5,"Требуется нетто")</f>
        <v>0.15000000000000002</v>
      </c>
      <c r="AZ4" s="112">
        <f>+IF(AX4&lt;&gt;"",IFERROR(AT4*AX4,"Требуются кол-во и нетто"),"Требуются кол-во и нетто")</f>
        <v>0.2</v>
      </c>
      <c r="BA4" s="112">
        <f>IF(AY4&lt;&gt;"",IFERROR(AT4*AY4,"Требуются кол-во и брутто"),"Требуются кол-во и брутто")</f>
        <v>0.30000000000000004</v>
      </c>
      <c r="BB4" s="117">
        <v>2242</v>
      </c>
      <c r="BC4" s="145">
        <f>+IF(BB4&lt;&gt;0,IFERROR(AT4*BB4,"Требуются кол-во и цена"),"Требуются кол-во и цена")</f>
        <v>4484</v>
      </c>
      <c r="BD4" s="105">
        <f>IF(A4&lt;&gt;"",IF(_xlfn.XLOOKUP(A4,'1C'!A:A,'1C'!A:A,0,0)&gt;0,1,0),"")</f>
        <v>0</v>
      </c>
      <c r="BE4" s="105">
        <f>IF(C4&lt;&gt;"",IF(_xlfn.XLOOKUP(TEXT(C4,"###"),'1C'!W:W,'1C'!D:D,0,0)&gt;0,0,1),"")</f>
        <v>0</v>
      </c>
      <c r="BF4" s="109">
        <f>IFERROR(IF(BE4,"-",IFERROR(IF(BD4&gt;0,0,1),"")),"")</f>
        <v>1</v>
      </c>
    </row>
    <row r="5" spans="1:59" ht="98.1" customHeight="1">
      <c r="A5" s="112" t="str">
        <f>IF(C5&amp;K5&lt;&gt;"",C5&amp;K5,"")</f>
        <v>K4224HTNAVY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03-106-16</v>
      </c>
      <c r="C5" s="120" t="s">
        <v>2124</v>
      </c>
      <c r="D5" s="112" t="str">
        <f>IF(A5&lt;&gt;"",_xlfn.XLOOKUP(C5,'1C'!W:W,'1C'!X:X,"",0),"")</f>
        <v>Washed Bucket</v>
      </c>
      <c r="E5" s="112" t="str">
        <f>IF(F5&lt;&gt;"",IFERROR(VLOOKUP(F5,Категории!A:B,2,0),""),"Требуется категория")</f>
        <v>Панамы</v>
      </c>
      <c r="F5" s="112" t="str">
        <f>IF(A5&lt;&gt;"",IF(BD5&gt;0,_xlfn.XLOOKUP(A5,'1C'!A:A,'1C'!J:J,"",0),_xlfn.XLOOKUP(C5,'1C'!W:W,'1C'!J:J,"",0)),"")</f>
        <v>Панама</v>
      </c>
      <c r="G5" s="114" t="str">
        <f>IF(C5&lt;&gt;"",IF(BD5&gt;0,_xlfn.XLOOKUP(A5,'1C'!A:A,'1C'!L:L,"",0),_xlfn.XLOOKUP(C5,'1C'!W:W,'1C'!L:L,"",0)),"")</f>
        <v>Street</v>
      </c>
      <c r="H5" s="112" t="str">
        <f>IF(A5&lt;&gt;"",_xlfn.XLOOKUP(A5,'1C'!A:A,'1C'!M:M,_xlfn.XLOOKUP(C5,'1C'!W:W,'1C'!M:M,"",0),0),"")</f>
        <v>летний</v>
      </c>
      <c r="I5" s="107" t="str">
        <f t="shared" si="9"/>
        <v>K4224HT Washed Bucket</v>
      </c>
      <c r="J5" s="135" t="s">
        <v>2161</v>
      </c>
      <c r="K5" s="119" t="s">
        <v>2142</v>
      </c>
      <c r="L5" s="149" t="str">
        <f>IF(K5&lt;&gt;"",IFERROR(VLOOKUP(A5,'1C'!A:X,8,0),IFERROR(VLOOKUP(K5,Colors!D:E,2,0),"")),"")</f>
        <v>темно-синий</v>
      </c>
      <c r="M5" s="135"/>
      <c r="N5" s="135"/>
      <c r="O5" s="135"/>
      <c r="P5" s="135"/>
      <c r="Q5" s="146" t="str">
        <f>IF(A5&lt;&gt;"",_xlfn.XLOOKUP(A5,'1C'!A:A,'1C'!I:I,_xlfn.XLOOKUP(C5,'1C'!W:W,'1C'!I:I,"",0),0),"")</f>
        <v>100% хлопок</v>
      </c>
      <c r="R5" s="135"/>
      <c r="S5" s="114" t="str">
        <f>_xlfn.LET(_xlpm.RES,IF(A5&lt;&gt;"",_xlfn.XLOOKUP(A5,'1C'!A:A,'1C'!N:N,_xlfn.XLOOKUP(C5,'1C'!W:W,'1C'!N:N,"",0),0),""),IF(_xlpm.RES=0,"",_xlpm.RES))</f>
        <v>хлопковые</v>
      </c>
      <c r="T5" s="115" t="str">
        <f>IF(S5&lt;&gt;"",IFERROR(VLOOKUP(S5,MaterialsTypes!F:G,2,0),IFERROR(VLOOKUP(Q5,MaterialsTypes100,2,0),"")),IFERROR(VLOOKUP(Q5,MaterialsTypes100,2,0),""))</f>
        <v>Текстиль, ткань</v>
      </c>
      <c r="U5" s="115" t="str">
        <f>IF(A5&lt;&gt;"",_xlfn.XLOOKUP(A5,'1C'!A:A,'1C'!K:K,_xlfn.XLOOKUP(C5,'1C'!W:W,'1C'!K:K,"",0),0),"")</f>
        <v>Унисекс</v>
      </c>
      <c r="V5" s="107"/>
      <c r="Y5" s="107"/>
      <c r="AA5" s="107">
        <v>1</v>
      </c>
      <c r="AC5" s="107">
        <v>1</v>
      </c>
      <c r="AE5" s="107"/>
      <c r="AG5" s="107"/>
      <c r="AT5" s="114">
        <f>IF(COUNTBLANK(V5:AS5)&lt;24,SUM(V5:AS5),"")</f>
        <v>2</v>
      </c>
      <c r="AU5" s="147" t="str">
        <f>IF(A5&lt;&gt;"",_xlfn.XLOOKUP(_xlfn.XLOOKUP(A5,'1C'!A:A,'1C'!O:O,_xlfn.XLOOKUP(C5,'1C'!W:W,'1C'!O:O,"",0),0),Settings!N:N,Settings!O:O,"",0),"")</f>
        <v>CN</v>
      </c>
      <c r="AV5" s="135"/>
      <c r="AW5" s="114" t="str">
        <f t="shared" ca="1" si="8"/>
        <v>Китай</v>
      </c>
      <c r="AX5" s="116">
        <f>0.05+0.05</f>
        <v>0.1</v>
      </c>
      <c r="AY5" s="112">
        <f>IF(AX5&lt;&gt;"",AX5*1.5,"Требуется нетто")</f>
        <v>0.15000000000000002</v>
      </c>
      <c r="AZ5" s="112">
        <f>+IF(AX5&lt;&gt;"",IFERROR(AT5*AX5,"Требуются кол-во и нетто"),"Требуются кол-во и нетто")</f>
        <v>0.2</v>
      </c>
      <c r="BA5" s="112">
        <f>IF(AY5&lt;&gt;"",IFERROR(AT5*AY5,"Требуются кол-во и брутто"),"Требуются кол-во и брутто")</f>
        <v>0.30000000000000004</v>
      </c>
      <c r="BB5" s="117">
        <v>2498.5</v>
      </c>
      <c r="BC5" s="145">
        <f>+IF(BB5&lt;&gt;0,IFERROR(AT5*BB5,"Требуются кол-во и цена"),"Требуются кол-во и цена")</f>
        <v>4997</v>
      </c>
      <c r="BD5" s="105">
        <f>IF(A5&lt;&gt;"",IF(_xlfn.XLOOKUP(A5,'1C'!A:A,'1C'!A:A,0,0)&gt;0,1,0),"")</f>
        <v>0</v>
      </c>
      <c r="BE5" s="105">
        <f>IF(C5&lt;&gt;"",IF(_xlfn.XLOOKUP(TEXT(C5,"###"),'1C'!W:W,'1C'!D:D,0,0)&gt;0,0,1),"")</f>
        <v>0</v>
      </c>
      <c r="BF5" s="109">
        <f>IFERROR(IF(BE5,"-",IFERROR(IF(BD5&gt;0,0,1),"")),"")</f>
        <v>1</v>
      </c>
    </row>
    <row r="6" spans="1:59" ht="98.1" customHeight="1">
      <c r="A6" s="112" t="str">
        <f>IF(C6&amp;K6&lt;&gt;"",C6&amp;K6,"")</f>
        <v>K4224HTBLACK</v>
      </c>
      <c r="B6" s="10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03-106-09</v>
      </c>
      <c r="C6" s="120" t="s">
        <v>2124</v>
      </c>
      <c r="D6" s="112" t="str">
        <f>IF(A6&lt;&gt;"",_xlfn.XLOOKUP(C6,'1C'!W:W,'1C'!X:X,"",0),"")</f>
        <v>Washed Bucket</v>
      </c>
      <c r="E6" s="112" t="str">
        <f>IF(F6&lt;&gt;"",IFERROR(VLOOKUP(F6,Категории!A:B,2,0),""),"Требуется категория")</f>
        <v>Панамы</v>
      </c>
      <c r="F6" s="112" t="str">
        <f>IF(A6&lt;&gt;"",IF(BD6&gt;0,_xlfn.XLOOKUP(A6,'1C'!A:A,'1C'!J:J,"",0),_xlfn.XLOOKUP(C6,'1C'!W:W,'1C'!J:J,"",0)),"")</f>
        <v>Панама</v>
      </c>
      <c r="G6" s="114" t="str">
        <f>IF(C6&lt;&gt;"",IF(BD6&gt;0,_xlfn.XLOOKUP(A6,'1C'!A:A,'1C'!L:L,"",0),_xlfn.XLOOKUP(C6,'1C'!W:W,'1C'!L:L,"",0)),"")</f>
        <v>Street</v>
      </c>
      <c r="H6" s="112" t="str">
        <f>IF(A6&lt;&gt;"",_xlfn.XLOOKUP(A6,'1C'!A:A,'1C'!M:M,_xlfn.XLOOKUP(C6,'1C'!W:W,'1C'!M:M,"",0),0),"")</f>
        <v>летний</v>
      </c>
      <c r="I6" s="107" t="str">
        <f t="shared" si="9"/>
        <v>K4224HT Washed Bucket</v>
      </c>
      <c r="J6" s="135" t="s">
        <v>2161</v>
      </c>
      <c r="K6" s="119" t="s">
        <v>2140</v>
      </c>
      <c r="L6" s="149" t="str">
        <f>IF(K6&lt;&gt;"",IFERROR(VLOOKUP(A6,'1C'!A:X,8,0),IFERROR(VLOOKUP(K6,Colors!D:E,2,0),"")),"")</f>
        <v>черный</v>
      </c>
      <c r="M6" s="135"/>
      <c r="N6" s="135"/>
      <c r="O6" s="135"/>
      <c r="P6" s="135"/>
      <c r="Q6" s="146" t="str">
        <f>IF(A6&lt;&gt;"",_xlfn.XLOOKUP(A6,'1C'!A:A,'1C'!I:I,_xlfn.XLOOKUP(C6,'1C'!W:W,'1C'!I:I,"",0),0),"")</f>
        <v>100% хлопок</v>
      </c>
      <c r="R6" s="135"/>
      <c r="S6" s="114" t="str">
        <f>_xlfn.LET(_xlpm.RES,IF(A6&lt;&gt;"",_xlfn.XLOOKUP(A6,'1C'!A:A,'1C'!N:N,_xlfn.XLOOKUP(C6,'1C'!W:W,'1C'!N:N,"",0),0),""),IF(_xlpm.RES=0,"",_xlpm.RES))</f>
        <v>хлопковые</v>
      </c>
      <c r="T6" s="115" t="str">
        <f>IF(S6&lt;&gt;"",IFERROR(VLOOKUP(S6,MaterialsTypes!F:G,2,0),IFERROR(VLOOKUP(Q6,MaterialsTypes100,2,0),"")),IFERROR(VLOOKUP(Q6,MaterialsTypes100,2,0),""))</f>
        <v>Текстиль, ткань</v>
      </c>
      <c r="U6" s="115" t="str">
        <f>IF(A6&lt;&gt;"",_xlfn.XLOOKUP(A6,'1C'!A:A,'1C'!K:K,_xlfn.XLOOKUP(C6,'1C'!W:W,'1C'!K:K,"",0),0),"")</f>
        <v>Унисекс</v>
      </c>
      <c r="V6" s="107"/>
      <c r="Y6" s="107"/>
      <c r="AA6" s="107">
        <v>1</v>
      </c>
      <c r="AC6" s="107">
        <v>1</v>
      </c>
      <c r="AE6" s="107"/>
      <c r="AG6" s="107"/>
      <c r="AT6" s="114">
        <f>IF(COUNTBLANK(V6:AS6)&lt;24,SUM(V6:AS6),"")</f>
        <v>2</v>
      </c>
      <c r="AU6" s="147" t="str">
        <f>IF(A6&lt;&gt;"",_xlfn.XLOOKUP(_xlfn.XLOOKUP(A6,'1C'!A:A,'1C'!O:O,_xlfn.XLOOKUP(C6,'1C'!W:W,'1C'!O:O,"",0),0),Settings!N:N,Settings!O:O,"",0),"")</f>
        <v>CN</v>
      </c>
      <c r="AV6" s="135"/>
      <c r="AW6" s="114" t="str">
        <f t="shared" ca="1" si="8"/>
        <v>Китай</v>
      </c>
      <c r="AX6" s="116">
        <f>0.05+0.05</f>
        <v>0.1</v>
      </c>
      <c r="AY6" s="112">
        <f>IF(AX6&lt;&gt;"",AX6*1.5,"Требуется нетто")</f>
        <v>0.15000000000000002</v>
      </c>
      <c r="AZ6" s="112">
        <f>+IF(AX6&lt;&gt;"",IFERROR(AT6*AX6,"Требуются кол-во и нетто"),"Требуются кол-во и нетто")</f>
        <v>0.2</v>
      </c>
      <c r="BA6" s="112">
        <f>IF(AY6&lt;&gt;"",IFERROR(AT6*AY6,"Требуются кол-во и брутто"),"Требуются кол-во и брутто")</f>
        <v>0.30000000000000004</v>
      </c>
      <c r="BB6" s="117">
        <v>2498.5</v>
      </c>
      <c r="BC6" s="145">
        <f>+IF(BB6&lt;&gt;0,IFERROR(AT6*BB6,"Требуются кол-во и цена"),"Требуются кол-во и цена")</f>
        <v>4997</v>
      </c>
      <c r="BD6" s="105">
        <f>IF(A6&lt;&gt;"",IF(_xlfn.XLOOKUP(A6,'1C'!A:A,'1C'!A:A,0,0)&gt;0,1,0),"")</f>
        <v>0</v>
      </c>
      <c r="BE6" s="105">
        <f>IF(C6&lt;&gt;"",IF(_xlfn.XLOOKUP(TEXT(C6,"###"),'1C'!W:W,'1C'!D:D,0,0)&gt;0,0,1),"")</f>
        <v>0</v>
      </c>
      <c r="BF6" s="109">
        <f>IFERROR(IF(BE6,"-",IFERROR(IF(BD6&gt;0,0,1),"")),"")</f>
        <v>1</v>
      </c>
    </row>
    <row r="7" spans="1:59" ht="98.1" customHeight="1">
      <c r="A7" s="112" t="str">
        <f>IF(C7&amp;K7&lt;&gt;"",C7&amp;K7,"")</f>
        <v>0287BCBLACK</v>
      </c>
      <c r="B7" s="10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03-056-09</v>
      </c>
      <c r="C7" s="113" t="s">
        <v>2109</v>
      </c>
      <c r="D7" s="112" t="str">
        <f>IF(A7&lt;&gt;"",_xlfn.XLOOKUP(C7,'1C'!W:W,'1C'!X:X,"",0),"")</f>
        <v>Tropic 504</v>
      </c>
      <c r="E7" s="112" t="str">
        <f>IF(F7&lt;&gt;"",IFERROR(VLOOKUP(F7,Категории!A:B,2,0),""),"Требуется категория")</f>
        <v>Кепки</v>
      </c>
      <c r="F7" s="112" t="str">
        <f>IF(A7&lt;&gt;"",IF(BD7&gt;0,_xlfn.XLOOKUP(A7,'1C'!A:A,'1C'!J:J,"",0),_xlfn.XLOOKUP(C7,'1C'!W:W,'1C'!J:J,"",0)),"")</f>
        <v>Кепка уточка</v>
      </c>
      <c r="G7" s="114" t="str">
        <f>IF(C7&lt;&gt;"",IF(BD7&gt;0,_xlfn.XLOOKUP(A7,'1C'!A:A,'1C'!L:L,"",0),_xlfn.XLOOKUP(C7,'1C'!W:W,'1C'!L:L,"",0)),"")</f>
        <v>Heritage</v>
      </c>
      <c r="H7" s="112" t="str">
        <f>IF(A7&lt;&gt;"",_xlfn.XLOOKUP(A7,'1C'!A:A,'1C'!M:M,_xlfn.XLOOKUP(C7,'1C'!W:W,'1C'!M:M,"",0),0),"")</f>
        <v>летний</v>
      </c>
      <c r="I7" s="107" t="str">
        <f t="shared" si="9"/>
        <v>0287BC Tropic 504</v>
      </c>
      <c r="J7" s="112" t="str">
        <f>_xlfn.LET(_xlpm.itemName,_xlfn.XLOOKUP(A7,'1C'!A:A,'1C'!D:D,"",0),IFERROR(MID(_xlpm.itemName,FIND(" ",_xlpm.itemName)+1,FIND("арт.",_xlpm.itemName)-(FIND(" ",_xlpm.itemName)+2)),""))</f>
        <v>KANGOL</v>
      </c>
      <c r="K7" s="134" t="s">
        <v>2140</v>
      </c>
      <c r="L7" s="146" t="str">
        <f>IF(K7&lt;&gt;"",IFERROR(VLOOKUP(A7,'1C'!A:X,8,0),IFERROR(VLOOKUP(K7,Colors!D:E,2,0),"")),"")</f>
        <v>черный</v>
      </c>
      <c r="M7" s="114" t="str">
        <f>IF(K7&lt;&gt;"",_xlfn.XLOOKUP(A7,'1C'!A:A,'1C'!R:R,"",0),"")</f>
        <v>черный</v>
      </c>
      <c r="N7" s="135"/>
      <c r="O7" s="135"/>
      <c r="P7" s="135"/>
      <c r="Q7" s="146" t="str">
        <f>IF(A7&lt;&gt;"",_xlfn.XLOOKUP(A7,'1C'!A:A,'1C'!I:I,_xlfn.XLOOKUP(C7,'1C'!W:W,'1C'!I:I,"",0),0),"")</f>
        <v>60% полиэстер - 40% акрил</v>
      </c>
      <c r="R7" s="135"/>
      <c r="S7" s="135"/>
      <c r="T7" s="107"/>
      <c r="U7" s="115" t="str">
        <f>IF(A7&lt;&gt;"",_xlfn.XLOOKUP(A7,'1C'!A:A,'1C'!K:K,_xlfn.XLOOKUP(C7,'1C'!W:W,'1C'!K:K,"",0),0),"")</f>
        <v>Унисекс</v>
      </c>
      <c r="V7" s="107"/>
      <c r="Y7" s="107"/>
      <c r="AA7" s="107">
        <v>2</v>
      </c>
      <c r="AC7" s="107">
        <v>2</v>
      </c>
      <c r="AE7" s="107"/>
      <c r="AG7" s="107"/>
      <c r="AT7" s="114">
        <f>IF(COUNTBLANK(V7:AS7)&lt;24,SUM(V7:AS7),"")</f>
        <v>4</v>
      </c>
      <c r="AU7" s="147" t="str">
        <f>IF(A7&lt;&gt;"",_xlfn.XLOOKUP(_xlfn.XLOOKUP(A7,'1C'!A:A,'1C'!O:O,_xlfn.XLOOKUP(C7,'1C'!W:W,'1C'!O:O,"",0),0),Settings!N:N,Settings!O:O,"",0),"")</f>
        <v>CN</v>
      </c>
      <c r="AV7" s="135"/>
      <c r="AW7" s="114" t="str">
        <f t="shared" ca="1" si="8"/>
        <v>Китай</v>
      </c>
      <c r="AX7" s="116">
        <f>0.05+0.05</f>
        <v>0.1</v>
      </c>
      <c r="AY7" s="112">
        <f>IF(AX7&lt;&gt;"",AX7*1.5,"Требуется нетто")</f>
        <v>0.15000000000000002</v>
      </c>
      <c r="AZ7" s="112">
        <f>+IF(AX7&lt;&gt;"",IFERROR(AT7*AX7,"Требуются кол-во и нетто"),"Требуются кол-во и нетто")</f>
        <v>0.4</v>
      </c>
      <c r="BA7" s="112">
        <f>IF(AY7&lt;&gt;"",IFERROR(AT7*AY7,"Требуются кол-во и брутто"),"Требуются кол-во и брутто")</f>
        <v>0.60000000000000009</v>
      </c>
      <c r="BB7" s="117">
        <v>2403.5</v>
      </c>
      <c r="BC7" s="145">
        <f>+IF(BB7&lt;&gt;0,IFERROR(AT7*BB7,"Требуются кол-во и цена"),"Требуются кол-во и цена")</f>
        <v>9614</v>
      </c>
      <c r="BD7" s="105">
        <f>IF(A7&lt;&gt;"",IF(_xlfn.XLOOKUP(A7,'1C'!A:A,'1C'!A:A,0,0)&gt;0,1,0),"")</f>
        <v>1</v>
      </c>
      <c r="BE7" s="105">
        <f>IF(C7&lt;&gt;"",IF(_xlfn.XLOOKUP(TEXT(C7,"###"),'1C'!W:W,'1C'!D:D,0,0)&gt;0,0,1),"")</f>
        <v>0</v>
      </c>
      <c r="BF7" s="109">
        <f>IFERROR(IF(BE7,"-",IFERROR(IF(BD7&gt;0,0,1),"")),"")</f>
        <v>0</v>
      </c>
    </row>
    <row r="8" spans="1:59" ht="98.1" customHeight="1">
      <c r="A8" s="112" t="str">
        <f>IF(C8&amp;K8&lt;&gt;"",C8&amp;K8,"")</f>
        <v>K3156HTINDIGO WASH</v>
      </c>
      <c r="B8" s="10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03-067-19</v>
      </c>
      <c r="C8" s="113" t="s">
        <v>2113</v>
      </c>
      <c r="D8" s="112" t="str">
        <f>IF(A8&lt;&gt;"",_xlfn.XLOOKUP(C8,'1C'!W:W,'1C'!X:X,"",0),"")</f>
        <v>Indigo 507</v>
      </c>
      <c r="E8" s="112" t="str">
        <f>IF(F8&lt;&gt;"",IFERROR(VLOOKUP(F8,Категории!A:B,2,0),""),"Требуется категория")</f>
        <v>Кепки</v>
      </c>
      <c r="F8" s="112" t="str">
        <f>IF(A8&lt;&gt;"",IF(BD8&gt;0,_xlfn.XLOOKUP(A8,'1C'!A:A,'1C'!J:J,"",0),_xlfn.XLOOKUP(C8,'1C'!W:W,'1C'!J:J,"",0)),"")</f>
        <v>Кепка уточка</v>
      </c>
      <c r="G8" s="114" t="str">
        <f>IF(C8&lt;&gt;"",IF(BD8&gt;0,_xlfn.XLOOKUP(A8,'1C'!A:A,'1C'!L:L,"",0),_xlfn.XLOOKUP(C8,'1C'!W:W,'1C'!L:L,"",0)),"")</f>
        <v>Sport</v>
      </c>
      <c r="H8" s="112" t="str">
        <f>IF(A8&lt;&gt;"",_xlfn.XLOOKUP(A8,'1C'!A:A,'1C'!M:M,_xlfn.XLOOKUP(C8,'1C'!W:W,'1C'!M:M,"",0),0),"")</f>
        <v>летний</v>
      </c>
      <c r="I8" s="107" t="str">
        <f t="shared" si="9"/>
        <v>K3156HT Indigo 507</v>
      </c>
      <c r="J8" s="114" t="str">
        <f>_xlfn.LET(_xlpm.itemName,_xlfn.XLOOKUP(A8,'1C'!A:A,'1C'!D:D,"",0),IFERROR(MID(_xlpm.itemName,FIND(" ",_xlpm.itemName)+1,FIND("арт.",_xlpm.itemName)-(FIND(" ",_xlpm.itemName)+2)),""))</f>
        <v>KANGOL</v>
      </c>
      <c r="K8" s="118" t="s">
        <v>2141</v>
      </c>
      <c r="L8" s="149" t="str">
        <f>IF(K8&lt;&gt;"",IFERROR(VLOOKUP(A8,'1C'!A:X,8,0),IFERROR(VLOOKUP(K8,Colors!D:E,2,0),"")),"")</f>
        <v>голубой</v>
      </c>
      <c r="M8" s="114" t="str">
        <f>IF(K8&lt;&gt;"",_xlfn.XLOOKUP(A8,'1C'!A:A,'1C'!R:R,"",0),"")</f>
        <v>голубой</v>
      </c>
      <c r="N8" s="135"/>
      <c r="O8" s="135"/>
      <c r="P8" s="135"/>
      <c r="Q8" s="146" t="str">
        <f>IF(A8&lt;&gt;"",_xlfn.XLOOKUP(A8,'1C'!A:A,'1C'!I:I,_xlfn.XLOOKUP(C8,'1C'!W:W,'1C'!I:I,"",0),0),"")</f>
        <v>65% хлопок - 35% акрил</v>
      </c>
      <c r="R8" s="135"/>
      <c r="S8" s="114" t="str">
        <f>_xlfn.LET(_xlpm.RES,IF(A8&lt;&gt;"",_xlfn.XLOOKUP(A8,'1C'!A:A,'1C'!N:N,_xlfn.XLOOKUP(C8,'1C'!W:W,'1C'!N:N,"",0),0),""),IF(_xlpm.RES=0,"",_xlpm.RES))</f>
        <v>хлопковые</v>
      </c>
      <c r="T8" s="107"/>
      <c r="U8" s="115" t="str">
        <f>IF(A8&lt;&gt;"",_xlfn.XLOOKUP(A8,'1C'!A:A,'1C'!K:K,_xlfn.XLOOKUP(C8,'1C'!W:W,'1C'!K:K,"",0),0),"")</f>
        <v>Унисекс</v>
      </c>
      <c r="V8" s="107"/>
      <c r="Y8" s="107"/>
      <c r="AA8" s="107"/>
      <c r="AC8" s="107">
        <v>1</v>
      </c>
      <c r="AE8" s="107"/>
      <c r="AG8" s="107"/>
      <c r="AT8" s="114">
        <f>IF(COUNTBLANK(V8:AS8)&lt;24,SUM(V8:AS8),"")</f>
        <v>1</v>
      </c>
      <c r="AU8" s="147" t="str">
        <f>IF(A8&lt;&gt;"",_xlfn.XLOOKUP(_xlfn.XLOOKUP(A8,'1C'!A:A,'1C'!O:O,_xlfn.XLOOKUP(C8,'1C'!W:W,'1C'!O:O,"",0),0),Settings!N:N,Settings!O:O,"",0),"")</f>
        <v>CN</v>
      </c>
      <c r="AV8" s="135"/>
      <c r="AW8" s="114" t="str">
        <f t="shared" ca="1" si="8"/>
        <v>Китай</v>
      </c>
      <c r="AX8" s="116">
        <f>0.05+0.05</f>
        <v>0.1</v>
      </c>
      <c r="AY8" s="112">
        <f>IF(AX8&lt;&gt;"",AX8*1.5,"Требуется нетто")</f>
        <v>0.15000000000000002</v>
      </c>
      <c r="AZ8" s="112">
        <f>+IF(AX8&lt;&gt;"",IFERROR(AT8*AX8,"Требуются кол-во и нетто"),"Требуются кол-во и нетто")</f>
        <v>0.1</v>
      </c>
      <c r="BA8" s="112">
        <f>IF(AY8&lt;&gt;"",IFERROR(AT8*AY8,"Требуются кол-во и брутто"),"Требуются кол-во и брутто")</f>
        <v>0.15000000000000002</v>
      </c>
      <c r="BB8" s="117">
        <v>2812</v>
      </c>
      <c r="BC8" s="145">
        <f>+IF(BB8&lt;&gt;0,IFERROR(AT8*BB8,"Требуются кол-во и цена"),"Требуются кол-во и цена")</f>
        <v>2812</v>
      </c>
      <c r="BD8" s="105">
        <f>IF(A8&lt;&gt;"",IF(_xlfn.XLOOKUP(A8,'1C'!A:A,'1C'!A:A,0,0)&gt;0,1,0),"")</f>
        <v>1</v>
      </c>
      <c r="BE8" s="105">
        <f>IF(C8&lt;&gt;"",IF(_xlfn.XLOOKUP(TEXT(C8,"###"),'1C'!W:W,'1C'!D:D,0,0)&gt;0,0,1),"")</f>
        <v>0</v>
      </c>
      <c r="BF8" s="109">
        <f>IFERROR(IF(BE8,"-",IFERROR(IF(BD8&gt;0,0,1),"")),"")</f>
        <v>0</v>
      </c>
    </row>
    <row r="9" spans="1:59" ht="98.1" customHeight="1">
      <c r="A9" s="112" t="str">
        <f>IF(C9&amp;K9&lt;&gt;"",C9&amp;K9,"")</f>
        <v>K3208HTBLACK</v>
      </c>
      <c r="B9" s="10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03-073-09</v>
      </c>
      <c r="C9" s="113" t="s">
        <v>2115</v>
      </c>
      <c r="D9" s="112" t="str">
        <f>IF(A9&lt;&gt;"",_xlfn.XLOOKUP(C9,'1C'!W:W,'1C'!X:X,"",0),"")</f>
        <v>Tropic 507 Ventair</v>
      </c>
      <c r="E9" s="112" t="str">
        <f>IF(F9&lt;&gt;"",IFERROR(VLOOKUP(F9,Категории!A:B,2,0),""),"Требуется категория")</f>
        <v>Кепки</v>
      </c>
      <c r="F9" s="112" t="str">
        <f>IF(A9&lt;&gt;"",IF(BD9&gt;0,_xlfn.XLOOKUP(A9,'1C'!A:A,'1C'!J:J,"",0),_xlfn.XLOOKUP(C9,'1C'!W:W,'1C'!J:J,"",0)),"")</f>
        <v>Кепка уточка</v>
      </c>
      <c r="G9" s="114" t="str">
        <f>IF(C9&lt;&gt;"",IF(BD9&gt;0,_xlfn.XLOOKUP(A9,'1C'!A:A,'1C'!L:L,"",0),_xlfn.XLOOKUP(C9,'1C'!W:W,'1C'!L:L,"",0)),"")</f>
        <v>Heritage</v>
      </c>
      <c r="H9" s="112" t="str">
        <f>IF(A9&lt;&gt;"",_xlfn.XLOOKUP(A9,'1C'!A:A,'1C'!M:M,_xlfn.XLOOKUP(C9,'1C'!W:W,'1C'!M:M,"",0),0),"")</f>
        <v>летний</v>
      </c>
      <c r="I9" s="107" t="str">
        <f t="shared" si="9"/>
        <v>K3208HT Tropic 507 Ventair</v>
      </c>
      <c r="J9" s="114" t="str">
        <f>_xlfn.LET(_xlpm.itemName,_xlfn.XLOOKUP(A9,'1C'!A:A,'1C'!D:D,"",0),IFERROR(MID(_xlpm.itemName,FIND(" ",_xlpm.itemName)+1,FIND("арт.",_xlpm.itemName)-(FIND(" ",_xlpm.itemName)+2)),""))</f>
        <v>KANGOL</v>
      </c>
      <c r="K9" s="118" t="s">
        <v>2140</v>
      </c>
      <c r="L9" s="149" t="str">
        <f>IF(K9&lt;&gt;"",IFERROR(VLOOKUP(A9,'1C'!A:X,8,0),IFERROR(VLOOKUP(K9,Colors!D:E,2,0),"")),"")</f>
        <v>черный</v>
      </c>
      <c r="M9" s="114" t="str">
        <f>IF(K9&lt;&gt;"",_xlfn.XLOOKUP(A9,'1C'!A:A,'1C'!R:R,"",0),"")</f>
        <v>черный</v>
      </c>
      <c r="N9" s="135"/>
      <c r="O9" s="135"/>
      <c r="P9" s="135"/>
      <c r="Q9" s="146" t="str">
        <f>IF(A9&lt;&gt;"",_xlfn.XLOOKUP(A9,'1C'!A:A,'1C'!I:I,_xlfn.XLOOKUP(C9,'1C'!W:W,'1C'!I:I,"",0),0),"")</f>
        <v>65% полиэстер - 35% акрил</v>
      </c>
      <c r="R9" s="135"/>
      <c r="S9" s="135"/>
      <c r="T9" s="107"/>
      <c r="U9" s="115" t="str">
        <f>IF(A9&lt;&gt;"",_xlfn.XLOOKUP(A9,'1C'!A:A,'1C'!K:K,_xlfn.XLOOKUP(C9,'1C'!W:W,'1C'!K:K,"",0),0),"")</f>
        <v>Унисекс</v>
      </c>
      <c r="V9" s="107"/>
      <c r="Y9" s="107"/>
      <c r="AA9" s="107"/>
      <c r="AC9" s="107">
        <v>2</v>
      </c>
      <c r="AE9" s="107"/>
      <c r="AG9" s="107"/>
      <c r="AT9" s="114">
        <f>IF(COUNTBLANK(V9:AS9)&lt;24,SUM(V9:AS9),"")</f>
        <v>2</v>
      </c>
      <c r="AU9" s="147" t="str">
        <f>IF(A9&lt;&gt;"",_xlfn.XLOOKUP(_xlfn.XLOOKUP(A9,'1C'!A:A,'1C'!O:O,_xlfn.XLOOKUP(C9,'1C'!W:W,'1C'!O:O,"",0),0),Settings!N:N,Settings!O:O,"",0),"")</f>
        <v>TW</v>
      </c>
      <c r="AV9" s="135"/>
      <c r="AW9" s="114" t="str">
        <f t="shared" ca="1" si="8"/>
        <v>Тайвань</v>
      </c>
      <c r="AX9" s="116">
        <f>0.05+0.05</f>
        <v>0.1</v>
      </c>
      <c r="AY9" s="112">
        <f>IF(AX9&lt;&gt;"",AX9*1.5,"Требуется нетто")</f>
        <v>0.15000000000000002</v>
      </c>
      <c r="AZ9" s="112">
        <f>+IF(AX9&lt;&gt;"",IFERROR(AT9*AX9,"Требуются кол-во и нетто"),"Требуются кол-во и нетто")</f>
        <v>0.2</v>
      </c>
      <c r="BA9" s="112">
        <f>IF(AY9&lt;&gt;"",IFERROR(AT9*AY9,"Требуются кол-во и брутто"),"Требуются кол-во и брутто")</f>
        <v>0.30000000000000004</v>
      </c>
      <c r="BB9" s="117">
        <v>2403.5</v>
      </c>
      <c r="BC9" s="145">
        <f>+IF(BB9&lt;&gt;0,IFERROR(AT9*BB9,"Требуются кол-во и цена"),"Требуются кол-во и цена")</f>
        <v>4807</v>
      </c>
      <c r="BD9" s="105">
        <f>IF(A9&lt;&gt;"",IF(_xlfn.XLOOKUP(A9,'1C'!A:A,'1C'!A:A,0,0)&gt;0,1,0),"")</f>
        <v>1</v>
      </c>
      <c r="BE9" s="105">
        <f>IF(C9&lt;&gt;"",IF(_xlfn.XLOOKUP(TEXT(C9,"###"),'1C'!W:W,'1C'!D:D,0,0)&gt;0,0,1),"")</f>
        <v>0</v>
      </c>
      <c r="BF9" s="109">
        <f>IFERROR(IF(BE9,"-",IFERROR(IF(BD9&gt;0,0,1),"")),"")</f>
        <v>0</v>
      </c>
    </row>
    <row r="10" spans="1:59" ht="98.1" customHeight="1">
      <c r="A10" s="112" t="str">
        <f>IF(C10&amp;K10&lt;&gt;"",C10&amp;K10,"")</f>
        <v>K0533COBLACK</v>
      </c>
      <c r="B10" s="10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03-083-09</v>
      </c>
      <c r="C10" s="120" t="s">
        <v>2117</v>
      </c>
      <c r="D10" s="112" t="str">
        <f>IF(A10&lt;&gt;"",_xlfn.XLOOKUP(C10,'1C'!W:W,'1C'!X:X,"",0),"")</f>
        <v>Ripstop Flexfit Army</v>
      </c>
      <c r="E10" s="112" t="str">
        <f>IF(F10&lt;&gt;"",IFERROR(VLOOKUP(F10,Категории!A:B,2,0),""),"Требуется категория")</f>
        <v>Кепки</v>
      </c>
      <c r="F10" s="112" t="str">
        <f>IF(A10&lt;&gt;"",IF(BD10&gt;0,_xlfn.XLOOKUP(A10,'1C'!A:A,'1C'!J:J,"",0),_xlfn.XLOOKUP(C10,'1C'!W:W,'1C'!J:J,"",0)),"")</f>
        <v>Кепка кадетка</v>
      </c>
      <c r="G10" s="114" t="str">
        <f>IF(C10&lt;&gt;"",IF(BD10&gt;0,_xlfn.XLOOKUP(A10,'1C'!A:A,'1C'!L:L,"",0),_xlfn.XLOOKUP(C10,'1C'!W:W,'1C'!L:L,"",0)),"")</f>
        <v>Sport</v>
      </c>
      <c r="H10" s="112" t="str">
        <f>IF(A10&lt;&gt;"",_xlfn.XLOOKUP(A10,'1C'!A:A,'1C'!M:M,_xlfn.XLOOKUP(C10,'1C'!W:W,'1C'!M:M,"",0),0),"")</f>
        <v>летний</v>
      </c>
      <c r="I10" s="107" t="str">
        <f t="shared" si="9"/>
        <v>K0533CO Ripstop Flexfit Army</v>
      </c>
      <c r="J10" s="114" t="str">
        <f>_xlfn.LET(_xlpm.itemName,_xlfn.XLOOKUP(A10,'1C'!A:A,'1C'!D:D,"",0),IFERROR(MID(_xlpm.itemName,FIND(" ",_xlpm.itemName)+1,FIND("арт.",_xlpm.itemName)-(FIND(" ",_xlpm.itemName)+2)),""))</f>
        <v>KANGOL</v>
      </c>
      <c r="K10" s="119" t="s">
        <v>2140</v>
      </c>
      <c r="L10" s="149" t="str">
        <f>IF(K10&lt;&gt;"",IFERROR(VLOOKUP(A10,'1C'!A:X,8,0),IFERROR(VLOOKUP(K10,Colors!D:E,2,0),"")),"")</f>
        <v>черный</v>
      </c>
      <c r="M10" s="114" t="str">
        <f>IF(K10&lt;&gt;"",_xlfn.XLOOKUP(A10,'1C'!A:A,'1C'!R:R,"",0),"")</f>
        <v>черный</v>
      </c>
      <c r="N10" s="135"/>
      <c r="O10" s="135"/>
      <c r="P10" s="135"/>
      <c r="Q10" s="146" t="str">
        <f>IF(A10&lt;&gt;"",_xlfn.XLOOKUP(A10,'1C'!A:A,'1C'!I:I,_xlfn.XLOOKUP(C10,'1C'!W:W,'1C'!I:I,"",0),0),"")</f>
        <v>98% хлопок - 2% спандекс</v>
      </c>
      <c r="R10" s="135"/>
      <c r="S10" s="114" t="str">
        <f>_xlfn.LET(_xlpm.RES,IF(A10&lt;&gt;"",_xlfn.XLOOKUP(A10,'1C'!A:A,'1C'!N:N,_xlfn.XLOOKUP(C10,'1C'!W:W,'1C'!N:N,"",0),0),""),IF(_xlpm.RES=0,"",_xlpm.RES))</f>
        <v>хлопковые</v>
      </c>
      <c r="T10" s="107"/>
      <c r="U10" s="115" t="str">
        <f>IF(A10&lt;&gt;"",_xlfn.XLOOKUP(A10,'1C'!A:A,'1C'!K:K,_xlfn.XLOOKUP(C10,'1C'!W:W,'1C'!K:K,"",0),0),"")</f>
        <v>Унисекс</v>
      </c>
      <c r="V10" s="107"/>
      <c r="Y10" s="107"/>
      <c r="Z10" s="106">
        <v>1</v>
      </c>
      <c r="AA10" s="107"/>
      <c r="AC10" s="107"/>
      <c r="AD10" s="106">
        <v>2</v>
      </c>
      <c r="AE10" s="107"/>
      <c r="AG10" s="107"/>
      <c r="AT10" s="114">
        <f>IF(COUNTBLANK(V10:AS10)&lt;24,SUM(V10:AS10),"")</f>
        <v>3</v>
      </c>
      <c r="AU10" s="147" t="str">
        <f>IF(A10&lt;&gt;"",_xlfn.XLOOKUP(_xlfn.XLOOKUP(A10,'1C'!A:A,'1C'!O:O,_xlfn.XLOOKUP(C10,'1C'!W:W,'1C'!O:O,"",0),0),Settings!N:N,Settings!O:O,"",0),"")</f>
        <v>VN</v>
      </c>
      <c r="AV10" s="135"/>
      <c r="AW10" s="114" t="str">
        <f t="shared" ca="1" si="8"/>
        <v>Вьетнам</v>
      </c>
      <c r="AX10" s="116">
        <f>0.05+0.05</f>
        <v>0.1</v>
      </c>
      <c r="AY10" s="112">
        <f>IF(AX10&lt;&gt;"",AX10*1.5,"Требуется нетто")</f>
        <v>0.15000000000000002</v>
      </c>
      <c r="AZ10" s="112">
        <f>+IF(AX10&lt;&gt;"",IFERROR(AT10*AX10,"Требуются кол-во и нетто"),"Требуются кол-во и нетто")</f>
        <v>0.30000000000000004</v>
      </c>
      <c r="BA10" s="112">
        <f>IF(AY10&lt;&gt;"",IFERROR(AT10*AY10,"Требуются кол-во и брутто"),"Требуются кол-во и брутто")</f>
        <v>0.45000000000000007</v>
      </c>
      <c r="BB10" s="117">
        <v>2185</v>
      </c>
      <c r="BC10" s="145">
        <f>+IF(BB10&lt;&gt;0,IFERROR(AT10*BB10,"Требуются кол-во и цена"),"Требуются кол-во и цена")</f>
        <v>6555</v>
      </c>
      <c r="BD10" s="105">
        <f>IF(A10&lt;&gt;"",IF(_xlfn.XLOOKUP(A10,'1C'!A:A,'1C'!A:A,0,0)&gt;0,1,0),"")</f>
        <v>1</v>
      </c>
      <c r="BE10" s="105">
        <f>IF(C10&lt;&gt;"",IF(_xlfn.XLOOKUP(TEXT(C10,"###"),'1C'!W:W,'1C'!D:D,0,0)&gt;0,0,1),"")</f>
        <v>0</v>
      </c>
      <c r="BF10" s="109">
        <f>IFERROR(IF(BE10,"-",IFERROR(IF(BD10&gt;0,0,1),"")),"")</f>
        <v>0</v>
      </c>
    </row>
    <row r="11" spans="1:59" ht="98.1" customHeight="1">
      <c r="C11" s="120" t="s">
        <v>47</v>
      </c>
      <c r="G11" s="114"/>
      <c r="J11" s="135"/>
      <c r="K11" s="119"/>
      <c r="M11" s="135"/>
      <c r="N11" s="135"/>
      <c r="O11" s="135"/>
      <c r="P11" s="135"/>
      <c r="Q11" s="136"/>
      <c r="R11" s="135"/>
      <c r="S11" s="135"/>
      <c r="T11" s="107"/>
      <c r="U11" s="107"/>
      <c r="V11" s="107"/>
      <c r="Y11" s="107"/>
      <c r="AA11" s="107"/>
      <c r="AC11" s="107"/>
      <c r="AE11" s="107"/>
      <c r="AG11" s="107"/>
      <c r="AT11" s="114"/>
      <c r="AU11" s="130"/>
      <c r="AV11" s="114"/>
      <c r="BE11" s="108"/>
      <c r="BF11" s="109"/>
    </row>
    <row r="12" spans="1:59" ht="98.1" customHeight="1">
      <c r="C12" s="120"/>
      <c r="G12" s="114"/>
      <c r="J12" s="135"/>
      <c r="K12" s="119"/>
      <c r="M12" s="135"/>
      <c r="N12" s="135"/>
      <c r="O12" s="135"/>
      <c r="P12" s="135"/>
      <c r="Q12" s="136"/>
      <c r="R12" s="135"/>
      <c r="S12" s="135"/>
      <c r="T12" s="107"/>
      <c r="U12" s="107"/>
      <c r="V12" s="107"/>
      <c r="Y12" s="107"/>
      <c r="AA12" s="107"/>
      <c r="AC12" s="107"/>
      <c r="AE12" s="107"/>
      <c r="AG12" s="107"/>
      <c r="AT12" s="114"/>
      <c r="AU12" s="130"/>
      <c r="AV12" s="114"/>
      <c r="BE12" s="108"/>
      <c r="BF12" s="109"/>
    </row>
    <row r="13" spans="1:59" ht="98.1" customHeight="1">
      <c r="C13" s="120"/>
      <c r="G13" s="114"/>
      <c r="J13" s="135"/>
      <c r="K13" s="119"/>
      <c r="M13" s="135"/>
      <c r="N13" s="135"/>
      <c r="O13" s="135"/>
      <c r="P13" s="135"/>
      <c r="Q13" s="136"/>
      <c r="R13" s="135"/>
      <c r="S13" s="135"/>
      <c r="T13" s="107"/>
      <c r="U13" s="107"/>
      <c r="V13" s="107"/>
      <c r="Y13" s="107"/>
      <c r="AA13" s="107"/>
      <c r="AC13" s="107"/>
      <c r="AE13" s="107"/>
      <c r="AG13" s="107"/>
      <c r="AT13" s="114"/>
      <c r="AU13" s="130"/>
      <c r="AV13" s="114"/>
      <c r="BE13" s="108"/>
      <c r="BF13" s="109"/>
    </row>
    <row r="14" spans="1:59" ht="98.1" customHeight="1">
      <c r="C14" s="120"/>
      <c r="G14" s="114"/>
      <c r="J14" s="135"/>
      <c r="K14" s="119"/>
      <c r="M14" s="135"/>
      <c r="N14" s="135"/>
      <c r="O14" s="135"/>
      <c r="P14" s="135"/>
      <c r="Q14" s="136"/>
      <c r="R14" s="135"/>
      <c r="S14" s="135"/>
      <c r="T14" s="107"/>
      <c r="U14" s="107"/>
      <c r="V14" s="107"/>
      <c r="Y14" s="107"/>
      <c r="AA14" s="107"/>
      <c r="AC14" s="107"/>
      <c r="AE14" s="107"/>
      <c r="AG14" s="107"/>
      <c r="AT14" s="114"/>
      <c r="AU14" s="130"/>
      <c r="AV14" s="114"/>
      <c r="BE14" s="108"/>
      <c r="BF14" s="109"/>
    </row>
    <row r="15" spans="1:59" ht="98.1" customHeight="1">
      <c r="C15" s="120"/>
      <c r="G15" s="114"/>
      <c r="J15" s="135"/>
      <c r="K15" s="119"/>
      <c r="M15" s="135"/>
      <c r="N15" s="135"/>
      <c r="O15" s="135"/>
      <c r="P15" s="135"/>
      <c r="Q15" s="136"/>
      <c r="R15" s="135"/>
      <c r="S15" s="135"/>
      <c r="T15" s="107"/>
      <c r="U15" s="107"/>
      <c r="V15" s="107"/>
      <c r="Y15" s="107"/>
      <c r="AA15" s="107"/>
      <c r="AC15" s="107"/>
      <c r="AE15" s="107"/>
      <c r="AG15" s="107"/>
      <c r="AT15" s="114"/>
      <c r="AU15" s="130"/>
      <c r="AV15" s="114"/>
      <c r="BE15" s="108"/>
      <c r="BF15" s="109"/>
    </row>
    <row r="16" spans="1:59" ht="98.1" customHeight="1">
      <c r="C16" s="120"/>
      <c r="G16" s="114"/>
      <c r="J16" s="135"/>
      <c r="K16" s="119"/>
      <c r="M16" s="135"/>
      <c r="N16" s="135"/>
      <c r="O16" s="135"/>
      <c r="P16" s="135"/>
      <c r="Q16" s="136"/>
      <c r="R16" s="135"/>
      <c r="S16" s="135"/>
      <c r="T16" s="107"/>
      <c r="U16" s="107"/>
      <c r="V16" s="107"/>
      <c r="Y16" s="107"/>
      <c r="AA16" s="107"/>
      <c r="AC16" s="107"/>
      <c r="AE16" s="107"/>
      <c r="AG16" s="107"/>
      <c r="AT16" s="114"/>
      <c r="AU16" s="130"/>
      <c r="AV16" s="114"/>
      <c r="BE16" s="108"/>
      <c r="BF16" s="109"/>
    </row>
    <row r="17" spans="3:58" ht="98.1" customHeight="1">
      <c r="C17" s="120"/>
      <c r="G17" s="114"/>
      <c r="J17" s="135"/>
      <c r="K17" s="119"/>
      <c r="M17" s="135"/>
      <c r="N17" s="135"/>
      <c r="O17" s="135"/>
      <c r="P17" s="135"/>
      <c r="Q17" s="136"/>
      <c r="R17" s="135"/>
      <c r="S17" s="135"/>
      <c r="T17" s="107"/>
      <c r="U17" s="107"/>
      <c r="V17" s="107"/>
      <c r="Y17" s="107"/>
      <c r="AA17" s="107"/>
      <c r="AC17" s="107"/>
      <c r="AE17" s="107"/>
      <c r="AG17" s="107"/>
      <c r="AT17" s="114"/>
      <c r="AU17" s="130"/>
      <c r="AV17" s="114"/>
      <c r="BE17" s="108"/>
      <c r="BF17" s="109"/>
    </row>
    <row r="18" spans="3:58" ht="98.1" customHeight="1">
      <c r="C18" s="120"/>
      <c r="G18" s="114"/>
      <c r="J18" s="135"/>
      <c r="K18" s="119"/>
      <c r="M18" s="135"/>
      <c r="N18" s="135"/>
      <c r="O18" s="135"/>
      <c r="P18" s="135"/>
      <c r="Q18" s="136"/>
      <c r="R18" s="135"/>
      <c r="S18" s="135"/>
      <c r="T18" s="107"/>
      <c r="U18" s="107"/>
      <c r="V18" s="107"/>
      <c r="Y18" s="107"/>
      <c r="AA18" s="107"/>
      <c r="AC18" s="107"/>
      <c r="AE18" s="107"/>
      <c r="AG18" s="107"/>
      <c r="AT18" s="114"/>
      <c r="AU18" s="130"/>
      <c r="AV18" s="114"/>
      <c r="BE18" s="108"/>
      <c r="BF18" s="109"/>
    </row>
    <row r="19" spans="3:58" ht="98.1" customHeight="1">
      <c r="C19" s="120"/>
      <c r="G19" s="114"/>
      <c r="J19" s="135"/>
      <c r="K19" s="119"/>
      <c r="M19" s="135"/>
      <c r="N19" s="135"/>
      <c r="O19" s="135"/>
      <c r="P19" s="135"/>
      <c r="Q19" s="136"/>
      <c r="R19" s="135"/>
      <c r="S19" s="135"/>
      <c r="T19" s="107"/>
      <c r="U19" s="107"/>
      <c r="V19" s="107"/>
      <c r="Y19" s="107"/>
      <c r="AA19" s="107"/>
      <c r="AC19" s="107"/>
      <c r="AE19" s="107"/>
      <c r="AG19" s="107"/>
      <c r="AT19" s="114"/>
      <c r="AU19" s="130"/>
      <c r="AV19" s="114"/>
      <c r="BE19" s="108"/>
      <c r="BF19" s="109"/>
    </row>
    <row r="20" spans="3:58" ht="98.1" customHeight="1">
      <c r="C20" s="120"/>
      <c r="G20" s="114"/>
      <c r="J20" s="135"/>
      <c r="K20" s="119"/>
      <c r="M20" s="135"/>
      <c r="N20" s="135"/>
      <c r="O20" s="135"/>
      <c r="P20" s="135"/>
      <c r="Q20" s="136"/>
      <c r="R20" s="135"/>
      <c r="S20" s="135"/>
      <c r="T20" s="107"/>
      <c r="U20" s="107"/>
      <c r="V20" s="107"/>
      <c r="Y20" s="107"/>
      <c r="AA20" s="107"/>
      <c r="AC20" s="107"/>
      <c r="AE20" s="107"/>
      <c r="AG20" s="107"/>
      <c r="AT20" s="114"/>
      <c r="AU20" s="130"/>
      <c r="AV20" s="114"/>
      <c r="BE20" s="108"/>
      <c r="BF20" s="109"/>
    </row>
    <row r="21" spans="3:58" ht="98.1" customHeight="1">
      <c r="C21" s="120"/>
      <c r="G21" s="114"/>
      <c r="J21" s="135"/>
      <c r="K21" s="119"/>
      <c r="M21" s="135"/>
      <c r="N21" s="135"/>
      <c r="O21" s="135"/>
      <c r="P21" s="135"/>
      <c r="Q21" s="136"/>
      <c r="R21" s="135"/>
      <c r="S21" s="135"/>
      <c r="T21" s="107"/>
      <c r="U21" s="107"/>
      <c r="V21" s="107"/>
      <c r="Y21" s="107"/>
      <c r="AA21" s="107"/>
      <c r="AC21" s="107"/>
      <c r="AE21" s="107"/>
      <c r="AG21" s="107"/>
      <c r="AT21" s="114"/>
      <c r="AU21" s="130"/>
      <c r="AV21" s="114"/>
      <c r="BE21" s="108"/>
      <c r="BF21" s="109"/>
    </row>
    <row r="22" spans="3:58" ht="98.1" customHeight="1">
      <c r="C22" s="120"/>
      <c r="G22" s="114"/>
      <c r="J22" s="135"/>
      <c r="K22" s="119"/>
      <c r="M22" s="135"/>
      <c r="N22" s="135"/>
      <c r="O22" s="135"/>
      <c r="P22" s="135"/>
      <c r="Q22" s="136"/>
      <c r="R22" s="135"/>
      <c r="S22" s="135"/>
      <c r="T22" s="107"/>
      <c r="U22" s="107"/>
      <c r="V22" s="107"/>
      <c r="Y22" s="107"/>
      <c r="AA22" s="107"/>
      <c r="AC22" s="107"/>
      <c r="AE22" s="107"/>
      <c r="AG22" s="107"/>
      <c r="AT22" s="114"/>
      <c r="AU22" s="130"/>
      <c r="AV22" s="114"/>
      <c r="BE22" s="108"/>
      <c r="BF22" s="109"/>
    </row>
    <row r="23" spans="3:58" ht="98.1" customHeight="1">
      <c r="C23" s="120"/>
      <c r="G23" s="114"/>
      <c r="J23" s="135"/>
      <c r="K23" s="119"/>
      <c r="M23" s="135"/>
      <c r="N23" s="135"/>
      <c r="O23" s="135"/>
      <c r="P23" s="135"/>
      <c r="Q23" s="136"/>
      <c r="R23" s="135"/>
      <c r="S23" s="135"/>
      <c r="T23" s="107"/>
      <c r="U23" s="107"/>
      <c r="V23" s="107"/>
      <c r="Y23" s="107"/>
      <c r="AA23" s="107"/>
      <c r="AC23" s="107"/>
      <c r="AE23" s="107"/>
      <c r="AG23" s="107"/>
      <c r="AT23" s="114"/>
      <c r="AU23" s="130"/>
      <c r="AV23" s="114"/>
      <c r="BE23" s="108"/>
      <c r="BF23" s="109"/>
    </row>
    <row r="24" spans="3:58" ht="98.1" customHeight="1">
      <c r="C24" s="120"/>
      <c r="G24" s="114"/>
      <c r="J24" s="135"/>
      <c r="K24" s="119"/>
      <c r="M24" s="135"/>
      <c r="N24" s="135"/>
      <c r="O24" s="135"/>
      <c r="P24" s="135"/>
      <c r="Q24" s="136"/>
      <c r="R24" s="135"/>
      <c r="S24" s="135"/>
      <c r="T24" s="107"/>
      <c r="U24" s="107"/>
      <c r="V24" s="107"/>
      <c r="Y24" s="107"/>
      <c r="AA24" s="107"/>
      <c r="AC24" s="107"/>
      <c r="AE24" s="107"/>
      <c r="AG24" s="107"/>
      <c r="AT24" s="114"/>
      <c r="AU24" s="130"/>
      <c r="AV24" s="114"/>
      <c r="BE24" s="108"/>
      <c r="BF24" s="109"/>
    </row>
    <row r="25" spans="3:58" ht="98.1" customHeight="1">
      <c r="C25" s="120"/>
      <c r="G25" s="114"/>
      <c r="J25" s="135"/>
      <c r="K25" s="119"/>
      <c r="M25" s="135"/>
      <c r="N25" s="135"/>
      <c r="O25" s="135"/>
      <c r="P25" s="135"/>
      <c r="Q25" s="136"/>
      <c r="R25" s="135"/>
      <c r="S25" s="135"/>
      <c r="T25" s="107"/>
      <c r="U25" s="107"/>
      <c r="V25" s="107"/>
      <c r="Y25" s="107"/>
      <c r="AA25" s="107"/>
      <c r="AC25" s="107"/>
      <c r="AE25" s="107"/>
      <c r="AG25" s="107"/>
      <c r="AT25" s="114"/>
      <c r="AU25" s="130"/>
      <c r="AV25" s="114"/>
      <c r="BE25" s="108"/>
      <c r="BF25" s="109"/>
    </row>
    <row r="26" spans="3:58" ht="98.1" customHeight="1">
      <c r="C26" s="120"/>
      <c r="G26" s="114"/>
      <c r="J26" s="135"/>
      <c r="K26" s="119"/>
      <c r="M26" s="135"/>
      <c r="N26" s="135"/>
      <c r="O26" s="135"/>
      <c r="P26" s="135"/>
      <c r="Q26" s="136"/>
      <c r="R26" s="135"/>
      <c r="S26" s="135"/>
      <c r="T26" s="107"/>
      <c r="U26" s="107"/>
      <c r="V26" s="107"/>
      <c r="Y26" s="107"/>
      <c r="AA26" s="107"/>
      <c r="AC26" s="107"/>
      <c r="AE26" s="107"/>
      <c r="AG26" s="107"/>
      <c r="AT26" s="114"/>
      <c r="AU26" s="130"/>
      <c r="AV26" s="114"/>
      <c r="BE26" s="108"/>
      <c r="BF26" s="109"/>
    </row>
    <row r="27" spans="3:58" ht="98.1" customHeight="1">
      <c r="C27" s="120"/>
      <c r="G27" s="114"/>
      <c r="J27" s="135"/>
      <c r="K27" s="119"/>
      <c r="M27" s="135"/>
      <c r="N27" s="135"/>
      <c r="O27" s="135"/>
      <c r="P27" s="135"/>
      <c r="Q27" s="136"/>
      <c r="R27" s="135"/>
      <c r="S27" s="135"/>
      <c r="T27" s="107"/>
      <c r="U27" s="107"/>
      <c r="V27" s="107"/>
      <c r="Y27" s="107"/>
      <c r="AA27" s="107"/>
      <c r="AC27" s="107"/>
      <c r="AE27" s="107"/>
      <c r="AG27" s="107"/>
      <c r="AT27" s="114"/>
      <c r="AU27" s="130"/>
      <c r="AV27" s="114"/>
      <c r="BE27" s="108"/>
      <c r="BF27" s="109"/>
    </row>
    <row r="28" spans="3:58" ht="98.1" customHeight="1">
      <c r="C28" s="120"/>
      <c r="G28" s="114"/>
      <c r="J28" s="135"/>
      <c r="K28" s="119"/>
      <c r="M28" s="135"/>
      <c r="N28" s="135"/>
      <c r="O28" s="135"/>
      <c r="P28" s="135"/>
      <c r="Q28" s="136"/>
      <c r="R28" s="135"/>
      <c r="S28" s="135"/>
      <c r="T28" s="107"/>
      <c r="U28" s="107"/>
      <c r="V28" s="107"/>
      <c r="Y28" s="107"/>
      <c r="AA28" s="107"/>
      <c r="AC28" s="107"/>
      <c r="AE28" s="107"/>
      <c r="AG28" s="107"/>
      <c r="AT28" s="114"/>
      <c r="AU28" s="130"/>
      <c r="AV28" s="114"/>
      <c r="BE28" s="108"/>
      <c r="BF28" s="109"/>
    </row>
    <row r="29" spans="3:58" ht="98.1" customHeight="1">
      <c r="C29" s="120"/>
      <c r="G29" s="114"/>
      <c r="J29" s="135"/>
      <c r="K29" s="119"/>
      <c r="M29" s="135"/>
      <c r="N29" s="135"/>
      <c r="O29" s="135"/>
      <c r="P29" s="135"/>
      <c r="Q29" s="136"/>
      <c r="R29" s="135"/>
      <c r="S29" s="135"/>
      <c r="T29" s="107"/>
      <c r="U29" s="107"/>
      <c r="V29" s="107"/>
      <c r="Y29" s="107"/>
      <c r="AA29" s="107"/>
      <c r="AC29" s="107"/>
      <c r="AE29" s="107"/>
      <c r="AG29" s="107"/>
      <c r="AT29" s="114"/>
      <c r="AU29" s="130"/>
      <c r="AV29" s="114"/>
      <c r="BE29" s="108"/>
      <c r="BF29" s="109"/>
    </row>
    <row r="30" spans="3:58" ht="98.1" customHeight="1">
      <c r="C30" s="120"/>
      <c r="G30" s="114"/>
      <c r="J30" s="107"/>
      <c r="K30" s="119"/>
      <c r="M30" s="135"/>
      <c r="N30" s="135"/>
      <c r="O30" s="135"/>
      <c r="P30" s="135"/>
      <c r="Q30" s="136"/>
      <c r="R30" s="135"/>
      <c r="S30" s="135"/>
      <c r="T30" s="107"/>
      <c r="U30" s="107"/>
      <c r="V30" s="107"/>
      <c r="Y30" s="107"/>
      <c r="AA30" s="107"/>
      <c r="AC30" s="107"/>
      <c r="AE30" s="107"/>
      <c r="AG30" s="107"/>
      <c r="AT30" s="114"/>
      <c r="AU30" s="130"/>
      <c r="AV30" s="114"/>
      <c r="BE30" s="108"/>
      <c r="BF30" s="109"/>
    </row>
    <row r="31" spans="3:58" ht="98.1" customHeight="1">
      <c r="C31" s="120"/>
      <c r="G31" s="114"/>
      <c r="J31" s="107"/>
      <c r="K31" s="119"/>
      <c r="M31" s="135"/>
      <c r="N31" s="135"/>
      <c r="O31" s="135"/>
      <c r="P31" s="135"/>
      <c r="Q31" s="136"/>
      <c r="R31" s="135"/>
      <c r="S31" s="135"/>
      <c r="T31" s="107"/>
      <c r="U31" s="107"/>
      <c r="V31" s="107"/>
      <c r="Y31" s="107"/>
      <c r="AA31" s="107"/>
      <c r="AC31" s="107"/>
      <c r="AE31" s="107"/>
      <c r="AG31" s="107"/>
      <c r="AT31" s="114"/>
      <c r="AU31" s="130"/>
      <c r="AV31" s="114"/>
      <c r="BE31" s="108"/>
      <c r="BF31" s="109"/>
    </row>
    <row r="32" spans="3:58" ht="98.1" customHeight="1">
      <c r="C32" s="120"/>
      <c r="G32" s="114"/>
      <c r="J32" s="107"/>
      <c r="K32" s="119"/>
      <c r="M32" s="135"/>
      <c r="N32" s="135"/>
      <c r="O32" s="135"/>
      <c r="P32" s="135"/>
      <c r="Q32" s="136"/>
      <c r="R32" s="135"/>
      <c r="S32" s="135"/>
      <c r="T32" s="107"/>
      <c r="U32" s="107"/>
      <c r="V32" s="107"/>
      <c r="Y32" s="107"/>
      <c r="AA32" s="107"/>
      <c r="AC32" s="107"/>
      <c r="AE32" s="107"/>
      <c r="AG32" s="107"/>
      <c r="AT32" s="114"/>
      <c r="AU32" s="130"/>
      <c r="AV32" s="114"/>
      <c r="BE32" s="108"/>
      <c r="BF32" s="109"/>
    </row>
    <row r="33" spans="3:58" ht="98.1" customHeight="1">
      <c r="C33" s="120"/>
      <c r="G33" s="114"/>
      <c r="J33" s="107"/>
      <c r="K33" s="119"/>
      <c r="M33" s="135"/>
      <c r="N33" s="135"/>
      <c r="O33" s="135"/>
      <c r="P33" s="135"/>
      <c r="Q33" s="136"/>
      <c r="R33" s="135"/>
      <c r="S33" s="135"/>
      <c r="T33" s="107"/>
      <c r="U33" s="107"/>
      <c r="V33" s="107"/>
      <c r="Y33" s="107"/>
      <c r="AA33" s="107"/>
      <c r="AC33" s="107"/>
      <c r="AE33" s="107"/>
      <c r="AG33" s="107"/>
      <c r="AT33" s="114"/>
      <c r="AU33" s="130"/>
      <c r="AV33" s="114"/>
      <c r="BE33" s="108"/>
      <c r="BF33" s="109"/>
    </row>
    <row r="34" spans="3:58" ht="98.1" customHeight="1">
      <c r="C34" s="120"/>
      <c r="G34" s="114"/>
      <c r="J34" s="107"/>
      <c r="K34" s="119"/>
      <c r="M34" s="135"/>
      <c r="N34" s="135"/>
      <c r="O34" s="135"/>
      <c r="P34" s="135"/>
      <c r="Q34" s="136"/>
      <c r="R34" s="135"/>
      <c r="S34" s="135"/>
      <c r="T34" s="107"/>
      <c r="U34" s="107"/>
      <c r="V34" s="107"/>
      <c r="Y34" s="107"/>
      <c r="AA34" s="107"/>
      <c r="AC34" s="107"/>
      <c r="AE34" s="107"/>
      <c r="AG34" s="107"/>
      <c r="AT34" s="114"/>
      <c r="AU34" s="130"/>
      <c r="AV34" s="114"/>
      <c r="BE34" s="108"/>
      <c r="BF34" s="109"/>
    </row>
    <row r="35" spans="3:58" ht="98.1" customHeight="1">
      <c r="C35" s="120"/>
      <c r="G35" s="114"/>
      <c r="J35" s="107"/>
      <c r="K35" s="119"/>
      <c r="M35" s="135"/>
      <c r="N35" s="135"/>
      <c r="O35" s="135"/>
      <c r="P35" s="135"/>
      <c r="Q35" s="136"/>
      <c r="R35" s="135"/>
      <c r="S35" s="135"/>
      <c r="T35" s="107"/>
      <c r="U35" s="107"/>
      <c r="V35" s="107"/>
      <c r="Y35" s="107"/>
      <c r="AA35" s="107"/>
      <c r="AC35" s="107"/>
      <c r="AE35" s="107"/>
      <c r="AG35" s="107"/>
      <c r="AT35" s="114"/>
      <c r="AU35" s="130"/>
      <c r="AV35" s="114"/>
      <c r="BE35" s="108"/>
      <c r="BF35" s="109"/>
    </row>
    <row r="36" spans="3:58" ht="98.1" customHeight="1">
      <c r="C36" s="120"/>
      <c r="G36" s="114"/>
      <c r="J36" s="107"/>
      <c r="K36" s="119"/>
      <c r="M36" s="135"/>
      <c r="N36" s="135"/>
      <c r="O36" s="135"/>
      <c r="P36" s="135"/>
      <c r="Q36" s="136"/>
      <c r="R36" s="135"/>
      <c r="S36" s="135"/>
      <c r="T36" s="107"/>
      <c r="U36" s="107"/>
      <c r="V36" s="107"/>
      <c r="Y36" s="107"/>
      <c r="AA36" s="107"/>
      <c r="AC36" s="107"/>
      <c r="AE36" s="107"/>
      <c r="AG36" s="107"/>
      <c r="AU36" s="130"/>
      <c r="AV36" s="114"/>
      <c r="BE36" s="108"/>
      <c r="BF36" s="109"/>
    </row>
    <row r="37" spans="3:58" ht="98.1" customHeight="1">
      <c r="C37" s="120"/>
      <c r="G37" s="114"/>
      <c r="M37" s="135"/>
      <c r="N37" s="135"/>
      <c r="O37" s="135"/>
      <c r="P37" s="135"/>
      <c r="Q37" s="136"/>
      <c r="R37" s="135"/>
      <c r="S37" s="135"/>
      <c r="T37" s="107"/>
      <c r="U37" s="107"/>
      <c r="V37" s="107"/>
      <c r="Y37" s="107"/>
      <c r="AA37" s="107"/>
      <c r="AC37" s="107"/>
      <c r="AE37" s="107"/>
      <c r="AG37" s="107"/>
      <c r="AU37" s="130"/>
      <c r="AV37" s="114"/>
      <c r="BE37" s="108"/>
      <c r="BF37" s="109"/>
    </row>
    <row r="38" spans="3:58" ht="98.1" customHeight="1">
      <c r="C38" s="120"/>
      <c r="G38" s="114"/>
      <c r="M38" s="135"/>
      <c r="N38" s="135"/>
      <c r="O38" s="135"/>
      <c r="P38" s="135"/>
      <c r="Q38" s="136"/>
      <c r="R38" s="135"/>
      <c r="S38" s="135"/>
      <c r="T38" s="107"/>
      <c r="U38" s="107"/>
      <c r="V38" s="107"/>
      <c r="Y38" s="107"/>
      <c r="AA38" s="107"/>
      <c r="AC38" s="107"/>
      <c r="AE38" s="107"/>
      <c r="AG38" s="107"/>
      <c r="AU38" s="130"/>
      <c r="AV38" s="114"/>
      <c r="BE38" s="108"/>
      <c r="BF38" s="109"/>
    </row>
    <row r="39" spans="3:58" ht="98.1" customHeight="1">
      <c r="C39" s="120"/>
      <c r="G39" s="114"/>
      <c r="M39" s="135"/>
      <c r="N39" s="135"/>
      <c r="O39" s="135"/>
      <c r="P39" s="135"/>
      <c r="Q39" s="136"/>
      <c r="R39" s="135"/>
      <c r="S39" s="135"/>
      <c r="T39" s="107"/>
      <c r="U39" s="107"/>
      <c r="V39" s="107"/>
      <c r="Y39" s="107"/>
      <c r="AA39" s="107"/>
      <c r="AC39" s="107"/>
      <c r="AE39" s="107"/>
      <c r="AG39" s="107"/>
      <c r="AU39" s="130"/>
      <c r="AV39" s="114"/>
      <c r="BE39" s="108"/>
      <c r="BF39" s="109"/>
    </row>
    <row r="40" spans="3:58" ht="98.1" customHeight="1">
      <c r="C40" s="120"/>
      <c r="G40" s="114"/>
      <c r="M40" s="135"/>
      <c r="N40" s="135"/>
      <c r="O40" s="135"/>
      <c r="P40" s="135"/>
      <c r="Q40" s="136"/>
      <c r="R40" s="135"/>
      <c r="S40" s="135"/>
      <c r="T40" s="107"/>
      <c r="U40" s="107"/>
      <c r="V40" s="107"/>
      <c r="Y40" s="107"/>
      <c r="AA40" s="107"/>
      <c r="AC40" s="107"/>
      <c r="AE40" s="107"/>
      <c r="AG40" s="107"/>
      <c r="AU40" s="130"/>
      <c r="AV40" s="114"/>
      <c r="BE40" s="108"/>
      <c r="BF40" s="109"/>
    </row>
    <row r="41" spans="3:58" ht="98.1" customHeight="1">
      <c r="C41" s="120"/>
      <c r="G41" s="114"/>
      <c r="L41" s="134"/>
      <c r="M41" s="135"/>
      <c r="N41" s="135"/>
      <c r="O41" s="135"/>
      <c r="P41" s="135"/>
      <c r="Q41" s="136"/>
      <c r="R41" s="135"/>
      <c r="S41" s="135"/>
      <c r="T41" s="107"/>
      <c r="U41" s="107"/>
      <c r="V41" s="107"/>
      <c r="Y41" s="107"/>
      <c r="AA41" s="107"/>
      <c r="AC41" s="107"/>
      <c r="AE41" s="107"/>
      <c r="AG41" s="107"/>
      <c r="AU41" s="130"/>
      <c r="AV41" s="114"/>
      <c r="BE41" s="108"/>
      <c r="BF41" s="109"/>
    </row>
    <row r="42" spans="3:58" ht="98.1" customHeight="1">
      <c r="C42" s="120"/>
      <c r="G42" s="114"/>
      <c r="M42" s="135"/>
      <c r="N42" s="135"/>
      <c r="O42" s="135"/>
      <c r="P42" s="135"/>
      <c r="Q42" s="136"/>
      <c r="R42" s="135"/>
      <c r="S42" s="135"/>
      <c r="T42" s="107"/>
      <c r="U42" s="107"/>
      <c r="V42" s="107"/>
      <c r="Y42" s="107"/>
      <c r="AA42" s="107"/>
      <c r="AC42" s="107"/>
      <c r="AE42" s="107"/>
      <c r="AG42" s="107"/>
      <c r="AU42" s="130"/>
      <c r="AV42" s="114"/>
      <c r="BE42" s="108"/>
      <c r="BF42" s="109"/>
    </row>
    <row r="43" spans="3:58" ht="98.1" customHeight="1">
      <c r="C43" s="120"/>
      <c r="G43" s="114"/>
      <c r="M43" s="135"/>
      <c r="N43" s="135"/>
      <c r="O43" s="135"/>
      <c r="P43" s="135"/>
      <c r="Q43" s="136"/>
      <c r="R43" s="135"/>
      <c r="S43" s="135"/>
      <c r="T43" s="107"/>
      <c r="U43" s="107"/>
      <c r="V43" s="107"/>
      <c r="Y43" s="107"/>
      <c r="AA43" s="107"/>
      <c r="AC43" s="107"/>
      <c r="AE43" s="107"/>
      <c r="AG43" s="107"/>
      <c r="AU43" s="130"/>
      <c r="AV43" s="114"/>
      <c r="BE43" s="108"/>
      <c r="BF43" s="109"/>
    </row>
    <row r="44" spans="3:58" ht="98.1" customHeight="1">
      <c r="C44" s="120"/>
      <c r="G44" s="114"/>
      <c r="L44" s="134"/>
      <c r="M44" s="135"/>
      <c r="N44" s="135"/>
      <c r="O44" s="135"/>
      <c r="P44" s="135"/>
      <c r="Q44" s="136"/>
      <c r="R44" s="135"/>
      <c r="S44" s="135"/>
      <c r="T44" s="107"/>
      <c r="U44" s="107"/>
      <c r="V44" s="107"/>
      <c r="Y44" s="107"/>
      <c r="AA44" s="107"/>
      <c r="AC44" s="107"/>
      <c r="AE44" s="107"/>
      <c r="AG44" s="107"/>
      <c r="AU44" s="130"/>
      <c r="AV44" s="114"/>
      <c r="BE44" s="108"/>
      <c r="BF44" s="109"/>
    </row>
    <row r="45" spans="3:58" ht="98.1" customHeight="1">
      <c r="C45" s="120"/>
      <c r="G45" s="114"/>
      <c r="M45" s="135"/>
      <c r="N45" s="135"/>
      <c r="O45" s="135"/>
      <c r="P45" s="135"/>
      <c r="Q45" s="136"/>
      <c r="R45" s="135"/>
      <c r="S45" s="135"/>
      <c r="T45" s="107"/>
      <c r="U45" s="107"/>
      <c r="V45" s="107"/>
      <c r="Y45" s="107"/>
      <c r="AA45" s="107"/>
      <c r="AC45" s="107"/>
      <c r="AE45" s="107"/>
      <c r="AG45" s="107"/>
      <c r="AU45" s="130"/>
      <c r="AV45" s="114"/>
      <c r="BE45" s="108"/>
      <c r="BF45" s="109"/>
    </row>
    <row r="46" spans="3:58" ht="98.1" customHeight="1">
      <c r="C46" s="120"/>
      <c r="G46" s="114"/>
      <c r="L46" s="134"/>
      <c r="M46" s="135"/>
      <c r="N46" s="135"/>
      <c r="O46" s="135"/>
      <c r="P46" s="135"/>
      <c r="Q46" s="136"/>
      <c r="R46" s="135"/>
      <c r="S46" s="135"/>
      <c r="T46" s="107"/>
      <c r="U46" s="107"/>
      <c r="V46" s="107"/>
      <c r="Y46" s="107"/>
      <c r="AA46" s="107"/>
      <c r="AC46" s="107"/>
      <c r="AE46" s="107"/>
      <c r="AG46" s="107"/>
      <c r="AU46" s="130"/>
      <c r="AV46" s="114"/>
      <c r="BE46" s="108"/>
      <c r="BF46" s="109"/>
    </row>
    <row r="47" spans="3:58" ht="98.1" customHeight="1">
      <c r="C47" s="120"/>
      <c r="G47" s="114"/>
      <c r="L47" s="134"/>
      <c r="M47" s="135"/>
      <c r="N47" s="135"/>
      <c r="O47" s="135"/>
      <c r="P47" s="135"/>
      <c r="Q47" s="136"/>
      <c r="R47" s="135"/>
      <c r="S47" s="135"/>
      <c r="T47" s="107"/>
      <c r="U47" s="107"/>
      <c r="V47" s="107"/>
      <c r="Y47" s="107"/>
      <c r="AA47" s="107"/>
      <c r="AC47" s="107"/>
      <c r="AE47" s="107"/>
      <c r="AG47" s="107"/>
      <c r="AU47" s="130"/>
      <c r="AV47" s="114"/>
      <c r="BE47" s="108"/>
      <c r="BF47" s="109"/>
    </row>
    <row r="48" spans="3:58" ht="98.1" customHeight="1">
      <c r="C48" s="120"/>
      <c r="G48" s="114"/>
      <c r="L48" s="134"/>
      <c r="M48" s="135"/>
      <c r="N48" s="135"/>
      <c r="O48" s="135"/>
      <c r="P48" s="135"/>
      <c r="Q48" s="136"/>
      <c r="R48" s="135"/>
      <c r="S48" s="135"/>
      <c r="T48" s="107"/>
      <c r="U48" s="107"/>
      <c r="V48" s="107"/>
      <c r="Y48" s="107"/>
      <c r="AA48" s="107"/>
      <c r="AC48" s="107"/>
      <c r="AE48" s="107"/>
      <c r="AG48" s="107"/>
      <c r="AU48" s="130"/>
      <c r="AV48" s="114"/>
      <c r="BE48" s="108"/>
      <c r="BF48" s="109"/>
    </row>
    <row r="49" spans="3:58" ht="98.1" customHeight="1">
      <c r="C49" s="120"/>
      <c r="G49" s="114"/>
      <c r="L49" s="134"/>
      <c r="M49" s="135"/>
      <c r="N49" s="135"/>
      <c r="O49" s="135"/>
      <c r="P49" s="135"/>
      <c r="Q49" s="136"/>
      <c r="R49" s="135"/>
      <c r="S49" s="135"/>
      <c r="T49" s="107"/>
      <c r="U49" s="107"/>
      <c r="V49" s="107"/>
      <c r="Y49" s="107"/>
      <c r="AA49" s="107"/>
      <c r="AC49" s="107"/>
      <c r="AE49" s="107"/>
      <c r="AG49" s="107"/>
      <c r="AU49" s="130"/>
      <c r="AV49" s="114"/>
      <c r="BE49" s="108"/>
      <c r="BF49" s="109"/>
    </row>
    <row r="50" spans="3:58" ht="98.1" customHeight="1">
      <c r="C50" s="120"/>
      <c r="G50" s="114"/>
      <c r="M50" s="135"/>
      <c r="N50" s="135"/>
      <c r="O50" s="135"/>
      <c r="P50" s="135"/>
      <c r="Q50" s="136"/>
      <c r="R50" s="135"/>
      <c r="S50" s="135"/>
      <c r="T50" s="107"/>
      <c r="U50" s="107"/>
      <c r="V50" s="107"/>
      <c r="Y50" s="107"/>
      <c r="AA50" s="107"/>
      <c r="AC50" s="107"/>
      <c r="AE50" s="107"/>
      <c r="AG50" s="107"/>
      <c r="AU50" s="130"/>
      <c r="AV50" s="114"/>
      <c r="BE50" s="108"/>
      <c r="BF50" s="109"/>
    </row>
    <row r="51" spans="3:58" ht="98.1" customHeight="1">
      <c r="C51" s="120"/>
      <c r="G51" s="114"/>
      <c r="M51" s="135"/>
      <c r="N51" s="135"/>
      <c r="O51" s="135"/>
      <c r="P51" s="135"/>
      <c r="Q51" s="136"/>
      <c r="R51" s="135"/>
      <c r="S51" s="135"/>
      <c r="T51" s="107"/>
      <c r="U51" s="107"/>
      <c r="V51" s="107"/>
      <c r="Y51" s="107"/>
      <c r="AA51" s="107"/>
      <c r="AC51" s="107"/>
      <c r="AE51" s="107"/>
      <c r="AG51" s="107"/>
      <c r="AU51" s="130"/>
      <c r="AV51" s="114"/>
      <c r="BE51" s="108"/>
      <c r="BF51" s="109"/>
    </row>
    <row r="52" spans="3:58" ht="98.1" customHeight="1">
      <c r="C52" s="120"/>
      <c r="G52" s="114"/>
      <c r="M52" s="135"/>
      <c r="N52" s="135"/>
      <c r="O52" s="135"/>
      <c r="P52" s="135"/>
      <c r="Q52" s="136"/>
      <c r="R52" s="135"/>
      <c r="S52" s="135"/>
      <c r="T52" s="107"/>
      <c r="U52" s="107"/>
      <c r="V52" s="107"/>
      <c r="Y52" s="107"/>
      <c r="AA52" s="107"/>
      <c r="AC52" s="107"/>
      <c r="AE52" s="107"/>
      <c r="AG52" s="107"/>
      <c r="AU52" s="130"/>
      <c r="AV52" s="114"/>
      <c r="BE52" s="108"/>
      <c r="BF52" s="109"/>
    </row>
    <row r="53" spans="3:58" ht="98.1" customHeight="1">
      <c r="C53" s="120"/>
      <c r="G53" s="114"/>
      <c r="M53" s="130"/>
      <c r="N53" s="135"/>
      <c r="O53" s="135"/>
      <c r="P53" s="135"/>
      <c r="Q53" s="136"/>
      <c r="R53" s="135"/>
      <c r="S53" s="135"/>
      <c r="T53" s="107"/>
      <c r="U53" s="107"/>
      <c r="V53" s="107"/>
      <c r="Y53" s="107"/>
      <c r="AA53" s="107"/>
      <c r="AC53" s="107"/>
      <c r="AE53" s="107"/>
      <c r="AG53" s="107"/>
      <c r="AU53" s="130"/>
      <c r="AV53" s="114"/>
      <c r="BE53" s="108"/>
      <c r="BF53" s="109"/>
    </row>
    <row r="54" spans="3:58" ht="98.1" customHeight="1">
      <c r="C54" s="120"/>
      <c r="G54" s="114"/>
      <c r="M54" s="130"/>
      <c r="N54" s="135"/>
      <c r="O54" s="135"/>
      <c r="P54" s="135"/>
      <c r="Q54" s="136"/>
      <c r="R54" s="135"/>
      <c r="S54" s="135"/>
      <c r="T54" s="107"/>
      <c r="U54" s="107"/>
      <c r="V54" s="107"/>
      <c r="Y54" s="107"/>
      <c r="AA54" s="107"/>
      <c r="AC54" s="107"/>
      <c r="AE54" s="107"/>
      <c r="AG54" s="107"/>
      <c r="AU54" s="130"/>
      <c r="AV54" s="114"/>
      <c r="BE54" s="108"/>
      <c r="BF54" s="109"/>
    </row>
    <row r="55" spans="3:58" ht="98.1" customHeight="1">
      <c r="C55" s="120"/>
      <c r="G55" s="114"/>
      <c r="L55" s="134"/>
      <c r="M55" s="130"/>
      <c r="N55" s="135"/>
      <c r="O55" s="135"/>
      <c r="P55" s="135"/>
      <c r="Q55" s="136"/>
      <c r="R55" s="135"/>
      <c r="S55" s="135"/>
      <c r="T55" s="107"/>
      <c r="U55" s="107"/>
      <c r="V55" s="107"/>
      <c r="Y55" s="107"/>
      <c r="AA55" s="107"/>
      <c r="AC55" s="107"/>
      <c r="AE55" s="107"/>
      <c r="AG55" s="107"/>
      <c r="AU55" s="130"/>
      <c r="AV55" s="114"/>
      <c r="BE55" s="108"/>
      <c r="BF55" s="109"/>
    </row>
    <row r="56" spans="3:58" ht="98.1" customHeight="1">
      <c r="C56" s="120"/>
      <c r="G56" s="114"/>
      <c r="L56" s="134"/>
      <c r="M56" s="130"/>
      <c r="N56" s="135"/>
      <c r="O56" s="135"/>
      <c r="P56" s="135"/>
      <c r="Q56" s="136"/>
      <c r="R56" s="135"/>
      <c r="S56" s="135"/>
      <c r="T56" s="107"/>
      <c r="U56" s="107"/>
      <c r="V56" s="107"/>
      <c r="Y56" s="107"/>
      <c r="AA56" s="107"/>
      <c r="AC56" s="107"/>
      <c r="AE56" s="107"/>
      <c r="AG56" s="107"/>
      <c r="AU56" s="130"/>
      <c r="AV56" s="114"/>
      <c r="BE56" s="108"/>
      <c r="BF56" s="109"/>
    </row>
    <row r="57" spans="3:58" ht="98.1" customHeight="1">
      <c r="C57" s="120"/>
      <c r="G57" s="114"/>
      <c r="L57" s="134"/>
      <c r="M57" s="130"/>
      <c r="N57" s="135"/>
      <c r="O57" s="135"/>
      <c r="P57" s="135"/>
      <c r="Q57" s="136"/>
      <c r="R57" s="135"/>
      <c r="S57" s="135"/>
      <c r="T57" s="107"/>
      <c r="U57" s="107"/>
      <c r="V57" s="107"/>
      <c r="Y57" s="107"/>
      <c r="AA57" s="107"/>
      <c r="AC57" s="107"/>
      <c r="AE57" s="107"/>
      <c r="AG57" s="107"/>
      <c r="AU57" s="130"/>
      <c r="AV57" s="114"/>
      <c r="BE57" s="108"/>
      <c r="BF57" s="109"/>
    </row>
    <row r="58" spans="3:58" ht="98.1" customHeight="1">
      <c r="C58" s="120"/>
      <c r="G58" s="114"/>
      <c r="L58" s="134"/>
      <c r="M58" s="130"/>
      <c r="N58" s="135"/>
      <c r="O58" s="135"/>
      <c r="P58" s="135"/>
      <c r="Q58" s="136"/>
      <c r="R58" s="135"/>
      <c r="S58" s="135"/>
      <c r="T58" s="107"/>
      <c r="U58" s="107"/>
      <c r="V58" s="107"/>
      <c r="Y58" s="107"/>
      <c r="AA58" s="107"/>
      <c r="AC58" s="107"/>
      <c r="AE58" s="107"/>
      <c r="AG58" s="107"/>
      <c r="AU58" s="130"/>
      <c r="AV58" s="114"/>
      <c r="BE58" s="108"/>
      <c r="BF58" s="109"/>
    </row>
    <row r="59" spans="3:58" ht="98.1" customHeight="1">
      <c r="C59" s="120"/>
      <c r="G59" s="114"/>
      <c r="L59" s="134"/>
      <c r="M59" s="130"/>
      <c r="N59" s="135"/>
      <c r="O59" s="135"/>
      <c r="P59" s="135"/>
      <c r="Q59" s="136"/>
      <c r="R59" s="135"/>
      <c r="S59" s="135"/>
      <c r="T59" s="107"/>
      <c r="U59" s="107"/>
      <c r="V59" s="107"/>
      <c r="Y59" s="107"/>
      <c r="AA59" s="107"/>
      <c r="AC59" s="107"/>
      <c r="AE59" s="107"/>
      <c r="AG59" s="107"/>
      <c r="AU59" s="130"/>
      <c r="AV59" s="114"/>
      <c r="BE59" s="108"/>
      <c r="BF59" s="109"/>
    </row>
    <row r="60" spans="3:58" ht="98.1" customHeight="1">
      <c r="C60" s="120"/>
      <c r="G60" s="114"/>
      <c r="M60" s="130"/>
      <c r="N60" s="135"/>
      <c r="O60" s="135"/>
      <c r="P60" s="135"/>
      <c r="Q60" s="136"/>
      <c r="R60" s="135"/>
      <c r="S60" s="135"/>
      <c r="T60" s="107"/>
      <c r="U60" s="107"/>
      <c r="V60" s="107"/>
      <c r="Y60" s="107"/>
      <c r="AA60" s="107"/>
      <c r="AC60" s="107"/>
      <c r="AE60" s="107"/>
      <c r="AG60" s="107"/>
      <c r="AU60" s="130"/>
      <c r="AV60" s="114"/>
      <c r="BE60" s="108"/>
      <c r="BF60" s="109"/>
    </row>
    <row r="61" spans="3:58" ht="98.1" customHeight="1">
      <c r="C61" s="120"/>
      <c r="G61" s="114"/>
      <c r="M61" s="130"/>
      <c r="N61" s="135"/>
      <c r="O61" s="135"/>
      <c r="P61" s="135"/>
      <c r="Q61" s="136"/>
      <c r="R61" s="135"/>
      <c r="S61" s="135"/>
      <c r="T61" s="107"/>
      <c r="U61" s="107"/>
      <c r="V61" s="107"/>
      <c r="Y61" s="107"/>
      <c r="AA61" s="107"/>
      <c r="AC61" s="107"/>
      <c r="AE61" s="107"/>
      <c r="AG61" s="107"/>
      <c r="AU61" s="130"/>
      <c r="AV61" s="114"/>
      <c r="BE61" s="108"/>
      <c r="BF61" s="109"/>
    </row>
    <row r="62" spans="3:58" ht="98.1" customHeight="1">
      <c r="C62" s="120"/>
      <c r="G62" s="114"/>
      <c r="M62" s="130"/>
      <c r="N62" s="135"/>
      <c r="O62" s="135"/>
      <c r="P62" s="135"/>
      <c r="Q62" s="136"/>
      <c r="R62" s="135"/>
      <c r="S62" s="135"/>
      <c r="T62" s="107"/>
      <c r="U62" s="107"/>
      <c r="V62" s="107"/>
      <c r="Y62" s="107"/>
      <c r="AA62" s="107"/>
      <c r="AC62" s="107"/>
      <c r="AE62" s="107"/>
      <c r="AG62" s="107"/>
      <c r="AU62" s="130"/>
      <c r="AV62" s="114"/>
      <c r="BE62" s="108"/>
      <c r="BF62" s="109"/>
    </row>
    <row r="63" spans="3:58" ht="98.1" customHeight="1">
      <c r="C63" s="120"/>
      <c r="G63" s="114"/>
      <c r="M63" s="130"/>
      <c r="N63" s="135"/>
      <c r="O63" s="135"/>
      <c r="P63" s="135"/>
      <c r="Q63" s="136"/>
      <c r="R63" s="135"/>
      <c r="S63" s="135"/>
      <c r="T63" s="107"/>
      <c r="U63" s="107"/>
      <c r="V63" s="107"/>
      <c r="Y63" s="107"/>
      <c r="AA63" s="107"/>
      <c r="AC63" s="107"/>
      <c r="AE63" s="107"/>
      <c r="AG63" s="107"/>
      <c r="AU63" s="130"/>
      <c r="AV63" s="114"/>
      <c r="BE63" s="108"/>
      <c r="BF63" s="109"/>
    </row>
    <row r="64" spans="3:58" ht="98.1" customHeight="1">
      <c r="C64" s="120"/>
      <c r="G64" s="114"/>
      <c r="M64" s="130"/>
      <c r="N64" s="135"/>
      <c r="O64" s="135"/>
      <c r="P64" s="135"/>
      <c r="Q64" s="136"/>
      <c r="R64" s="135"/>
      <c r="S64" s="135"/>
      <c r="T64" s="107"/>
      <c r="U64" s="107"/>
      <c r="V64" s="107"/>
      <c r="Y64" s="107"/>
      <c r="AA64" s="107"/>
      <c r="AC64" s="107"/>
      <c r="AE64" s="107"/>
      <c r="AG64" s="107"/>
      <c r="AU64" s="130"/>
      <c r="AV64" s="114"/>
      <c r="BE64" s="108"/>
      <c r="BF64" s="109"/>
    </row>
    <row r="65" spans="3:58" ht="98.1" customHeight="1">
      <c r="C65" s="120"/>
      <c r="G65" s="114"/>
      <c r="L65" s="134"/>
      <c r="M65" s="130"/>
      <c r="N65" s="135"/>
      <c r="O65" s="135"/>
      <c r="P65" s="135"/>
      <c r="Q65" s="136"/>
      <c r="R65" s="135"/>
      <c r="S65" s="135"/>
      <c r="T65" s="107"/>
      <c r="U65" s="107"/>
      <c r="V65" s="107"/>
      <c r="Y65" s="107"/>
      <c r="AA65" s="107"/>
      <c r="AC65" s="107"/>
      <c r="AE65" s="107"/>
      <c r="AG65" s="107"/>
      <c r="AU65" s="130"/>
      <c r="AV65" s="114"/>
      <c r="BE65" s="108"/>
      <c r="BF65" s="109"/>
    </row>
    <row r="66" spans="3:58" ht="98.1" customHeight="1">
      <c r="C66" s="120"/>
      <c r="G66" s="114"/>
      <c r="L66" s="134"/>
      <c r="M66" s="130"/>
      <c r="N66" s="135"/>
      <c r="O66" s="135"/>
      <c r="P66" s="135"/>
      <c r="Q66" s="136"/>
      <c r="R66" s="135"/>
      <c r="S66" s="135"/>
      <c r="T66" s="107"/>
      <c r="U66" s="107"/>
      <c r="V66" s="107"/>
      <c r="Y66" s="107"/>
      <c r="AA66" s="107"/>
      <c r="AC66" s="107"/>
      <c r="AE66" s="107"/>
      <c r="AG66" s="107"/>
      <c r="AU66" s="130"/>
      <c r="AV66" s="114"/>
      <c r="BE66" s="108"/>
      <c r="BF66" s="109"/>
    </row>
    <row r="67" spans="3:58" ht="98.1" customHeight="1">
      <c r="C67" s="120"/>
      <c r="G67" s="114"/>
      <c r="L67" s="134"/>
      <c r="M67" s="130"/>
      <c r="N67" s="135"/>
      <c r="O67" s="135"/>
      <c r="P67" s="135"/>
      <c r="Q67" s="136"/>
      <c r="R67" s="135"/>
      <c r="S67" s="135"/>
      <c r="T67" s="107"/>
      <c r="U67" s="107"/>
      <c r="V67" s="107"/>
      <c r="Y67" s="107"/>
      <c r="AA67" s="107"/>
      <c r="AC67" s="107"/>
      <c r="AE67" s="107"/>
      <c r="AG67" s="107"/>
      <c r="AU67" s="130"/>
      <c r="AV67" s="114"/>
      <c r="BE67" s="108"/>
      <c r="BF67" s="109"/>
    </row>
    <row r="68" spans="3:58" ht="98.1" customHeight="1">
      <c r="C68" s="120"/>
      <c r="G68" s="114"/>
      <c r="L68" s="134"/>
      <c r="M68" s="130"/>
      <c r="N68" s="135"/>
      <c r="O68" s="135"/>
      <c r="P68" s="135"/>
      <c r="Q68" s="136"/>
      <c r="R68" s="135"/>
      <c r="S68" s="135"/>
      <c r="T68" s="107"/>
      <c r="U68" s="107"/>
      <c r="V68" s="107"/>
      <c r="Y68" s="107"/>
      <c r="AA68" s="107"/>
      <c r="AC68" s="107"/>
      <c r="AE68" s="107"/>
      <c r="AG68" s="107"/>
      <c r="AU68" s="130"/>
      <c r="AV68" s="114"/>
      <c r="BE68" s="108"/>
      <c r="BF68" s="109"/>
    </row>
    <row r="69" spans="3:58" ht="98.1" customHeight="1">
      <c r="C69" s="120"/>
      <c r="G69" s="114"/>
      <c r="L69" s="134"/>
      <c r="M69" s="130"/>
      <c r="N69" s="135"/>
      <c r="O69" s="135"/>
      <c r="P69" s="135"/>
      <c r="Q69" s="136"/>
      <c r="R69" s="135"/>
      <c r="S69" s="135"/>
      <c r="T69" s="107"/>
      <c r="U69" s="107"/>
      <c r="V69" s="107"/>
      <c r="Y69" s="107"/>
      <c r="AA69" s="107"/>
      <c r="AC69" s="107"/>
      <c r="AE69" s="107"/>
      <c r="AG69" s="107"/>
      <c r="AU69" s="130"/>
      <c r="AV69" s="114"/>
      <c r="BE69" s="108"/>
      <c r="BF69" s="109"/>
    </row>
    <row r="70" spans="3:58" ht="98.1" customHeight="1">
      <c r="C70" s="120"/>
      <c r="G70" s="114"/>
      <c r="L70" s="134"/>
      <c r="M70" s="130"/>
      <c r="N70" s="135"/>
      <c r="O70" s="135"/>
      <c r="P70" s="135"/>
      <c r="Q70" s="136"/>
      <c r="R70" s="135"/>
      <c r="S70" s="135"/>
      <c r="T70" s="107"/>
      <c r="U70" s="107"/>
      <c r="V70" s="107"/>
      <c r="Y70" s="107"/>
      <c r="AA70" s="107"/>
      <c r="AC70" s="107"/>
      <c r="AE70" s="107"/>
      <c r="AG70" s="107"/>
      <c r="AU70" s="130"/>
      <c r="AV70" s="114"/>
      <c r="BE70" s="108"/>
      <c r="BF70" s="109"/>
    </row>
    <row r="71" spans="3:58" ht="98.1" customHeight="1">
      <c r="C71" s="120"/>
      <c r="G71" s="114"/>
      <c r="L71" s="134"/>
      <c r="M71" s="130"/>
      <c r="N71" s="135"/>
      <c r="O71" s="135"/>
      <c r="P71" s="135"/>
      <c r="Q71" s="136"/>
      <c r="R71" s="135"/>
      <c r="S71" s="135"/>
      <c r="T71" s="107"/>
      <c r="U71" s="107"/>
      <c r="V71" s="107"/>
      <c r="Y71" s="107"/>
      <c r="AA71" s="107"/>
      <c r="AC71" s="107"/>
      <c r="AE71" s="107"/>
      <c r="AG71" s="107"/>
      <c r="AU71" s="130"/>
      <c r="AV71" s="114"/>
      <c r="BE71" s="108"/>
      <c r="BF71" s="109"/>
    </row>
    <row r="72" spans="3:58" ht="98.1" customHeight="1">
      <c r="C72" s="120"/>
      <c r="G72" s="114"/>
      <c r="M72" s="130"/>
      <c r="N72" s="135"/>
      <c r="O72" s="135"/>
      <c r="P72" s="135"/>
      <c r="Q72" s="136"/>
      <c r="R72" s="135"/>
      <c r="S72" s="135"/>
      <c r="T72" s="107"/>
      <c r="U72" s="107"/>
      <c r="V72" s="107"/>
      <c r="Y72" s="107"/>
      <c r="AA72" s="107"/>
      <c r="AC72" s="107"/>
      <c r="AE72" s="107"/>
      <c r="AG72" s="107"/>
      <c r="AU72" s="130"/>
      <c r="AV72" s="114"/>
      <c r="BE72" s="108"/>
      <c r="BF72" s="109"/>
    </row>
    <row r="73" spans="3:58" ht="98.1" customHeight="1">
      <c r="C73" s="120"/>
      <c r="G73" s="114"/>
      <c r="M73" s="130"/>
      <c r="N73" s="135"/>
      <c r="O73" s="135"/>
      <c r="P73" s="135"/>
      <c r="Q73" s="136"/>
      <c r="R73" s="135"/>
      <c r="S73" s="135"/>
      <c r="T73" s="107"/>
      <c r="U73" s="107"/>
      <c r="V73" s="107"/>
      <c r="Y73" s="107"/>
      <c r="AA73" s="107"/>
      <c r="AC73" s="107"/>
      <c r="AE73" s="107"/>
      <c r="AG73" s="107"/>
      <c r="AU73" s="130"/>
      <c r="AV73" s="114"/>
      <c r="BE73" s="108"/>
      <c r="BF73" s="109"/>
    </row>
    <row r="74" spans="3:58" ht="98.1" customHeight="1">
      <c r="C74" s="120"/>
      <c r="G74" s="114"/>
      <c r="M74" s="130"/>
      <c r="N74" s="135"/>
      <c r="O74" s="135"/>
      <c r="P74" s="135"/>
      <c r="Q74" s="136"/>
      <c r="R74" s="135"/>
      <c r="S74" s="135"/>
      <c r="T74" s="107"/>
      <c r="U74" s="107"/>
      <c r="V74" s="107"/>
      <c r="Y74" s="107"/>
      <c r="AA74" s="107"/>
      <c r="AC74" s="107"/>
      <c r="AE74" s="107"/>
      <c r="AG74" s="107"/>
      <c r="AU74" s="130"/>
      <c r="AV74" s="114"/>
      <c r="BE74" s="108"/>
      <c r="BF74" s="109"/>
    </row>
    <row r="75" spans="3:58" ht="98.1" customHeight="1">
      <c r="C75" s="120"/>
      <c r="G75" s="114"/>
      <c r="M75" s="130"/>
      <c r="N75" s="135"/>
      <c r="O75" s="135"/>
      <c r="P75" s="135"/>
      <c r="Q75" s="136"/>
      <c r="R75" s="135"/>
      <c r="S75" s="135"/>
      <c r="T75" s="107"/>
      <c r="U75" s="107"/>
      <c r="V75" s="107"/>
      <c r="Y75" s="107"/>
      <c r="AA75" s="107"/>
      <c r="AC75" s="107"/>
      <c r="AE75" s="107"/>
      <c r="AG75" s="107"/>
      <c r="AU75" s="130"/>
      <c r="AV75" s="114"/>
      <c r="BE75" s="108"/>
      <c r="BF75" s="109"/>
    </row>
    <row r="76" spans="3:58" ht="98.1" customHeight="1">
      <c r="C76" s="120"/>
      <c r="G76" s="114"/>
      <c r="M76" s="130"/>
      <c r="N76" s="135"/>
      <c r="O76" s="135"/>
      <c r="P76" s="135"/>
      <c r="Q76" s="136"/>
      <c r="R76" s="135"/>
      <c r="S76" s="135"/>
      <c r="T76" s="107"/>
      <c r="U76" s="107"/>
      <c r="V76" s="107"/>
      <c r="Y76" s="107"/>
      <c r="AA76" s="107"/>
      <c r="AC76" s="107"/>
      <c r="AE76" s="107"/>
      <c r="AG76" s="107"/>
      <c r="AU76" s="130"/>
      <c r="AV76" s="114"/>
      <c r="BE76" s="108"/>
      <c r="BF76" s="109"/>
    </row>
    <row r="77" spans="3:58" ht="98.1" customHeight="1">
      <c r="C77" s="120"/>
      <c r="G77" s="114"/>
      <c r="L77" s="134"/>
      <c r="M77" s="130"/>
      <c r="N77" s="135"/>
      <c r="O77" s="135"/>
      <c r="P77" s="135"/>
      <c r="Q77" s="136"/>
      <c r="R77" s="135"/>
      <c r="S77" s="135"/>
      <c r="T77" s="107"/>
      <c r="U77" s="107"/>
      <c r="V77" s="107"/>
      <c r="Y77" s="107"/>
      <c r="AA77" s="107"/>
      <c r="AC77" s="107"/>
      <c r="AE77" s="107"/>
      <c r="AG77" s="107"/>
      <c r="AU77" s="130"/>
      <c r="AV77" s="114"/>
      <c r="BE77" s="108"/>
      <c r="BF77" s="109"/>
    </row>
    <row r="78" spans="3:58" ht="98.1" customHeight="1">
      <c r="C78" s="120"/>
      <c r="G78" s="114"/>
      <c r="M78" s="130"/>
      <c r="N78" s="135"/>
      <c r="O78" s="135"/>
      <c r="P78" s="135"/>
      <c r="Q78" s="136"/>
      <c r="R78" s="135"/>
      <c r="S78" s="135"/>
      <c r="T78" s="107"/>
      <c r="U78" s="107"/>
      <c r="V78" s="107"/>
      <c r="Y78" s="107"/>
      <c r="AA78" s="107"/>
      <c r="AC78" s="107"/>
      <c r="AE78" s="107"/>
      <c r="AG78" s="107"/>
      <c r="AU78" s="130"/>
      <c r="AV78" s="114"/>
      <c r="BE78" s="108"/>
      <c r="BF78" s="109"/>
    </row>
    <row r="79" spans="3:58" ht="98.1" customHeight="1">
      <c r="C79" s="120"/>
      <c r="G79" s="114"/>
      <c r="M79" s="130"/>
      <c r="N79" s="135"/>
      <c r="O79" s="135"/>
      <c r="P79" s="135"/>
      <c r="Q79" s="136"/>
      <c r="R79" s="135"/>
      <c r="S79" s="135"/>
      <c r="T79" s="107"/>
      <c r="U79" s="107"/>
      <c r="V79" s="107"/>
      <c r="Y79" s="107"/>
      <c r="AA79" s="107"/>
      <c r="AC79" s="107"/>
      <c r="AE79" s="107"/>
      <c r="AG79" s="107"/>
      <c r="AU79" s="130"/>
      <c r="AV79" s="114"/>
      <c r="BE79" s="108"/>
      <c r="BF79" s="109"/>
    </row>
    <row r="80" spans="3:58" ht="98.1" customHeight="1">
      <c r="C80" s="120"/>
      <c r="G80" s="114"/>
      <c r="M80" s="130"/>
      <c r="N80" s="135"/>
      <c r="O80" s="135"/>
      <c r="P80" s="135"/>
      <c r="Q80" s="136"/>
      <c r="R80" s="135"/>
      <c r="S80" s="135"/>
      <c r="T80" s="107"/>
      <c r="U80" s="107"/>
      <c r="V80" s="107"/>
      <c r="Y80" s="107"/>
      <c r="AA80" s="107"/>
      <c r="AC80" s="107"/>
      <c r="AE80" s="107"/>
      <c r="AG80" s="107"/>
      <c r="AU80" s="130"/>
      <c r="AV80" s="114"/>
      <c r="BE80" s="108"/>
      <c r="BF80" s="109"/>
    </row>
    <row r="81" spans="3:58" ht="98.1" customHeight="1">
      <c r="C81" s="120"/>
      <c r="G81" s="114"/>
      <c r="M81" s="130"/>
      <c r="N81" s="135"/>
      <c r="O81" s="135"/>
      <c r="P81" s="135"/>
      <c r="Q81" s="136"/>
      <c r="R81" s="135"/>
      <c r="S81" s="135"/>
      <c r="T81" s="107"/>
      <c r="U81" s="107"/>
      <c r="V81" s="107"/>
      <c r="Y81" s="107"/>
      <c r="AA81" s="107"/>
      <c r="AC81" s="107"/>
      <c r="AE81" s="107"/>
      <c r="AG81" s="107"/>
      <c r="AU81" s="130"/>
      <c r="AV81" s="114"/>
      <c r="BE81" s="108"/>
      <c r="BF81" s="109"/>
    </row>
    <row r="82" spans="3:58" ht="98.1" customHeight="1">
      <c r="C82" s="120"/>
      <c r="G82" s="114"/>
      <c r="M82" s="130"/>
      <c r="N82" s="135"/>
      <c r="O82" s="135"/>
      <c r="P82" s="135"/>
      <c r="Q82" s="136"/>
      <c r="R82" s="135"/>
      <c r="S82" s="135"/>
      <c r="T82" s="107"/>
      <c r="U82" s="107"/>
      <c r="V82" s="107"/>
      <c r="Y82" s="107"/>
      <c r="AA82" s="107"/>
      <c r="AC82" s="107"/>
      <c r="AE82" s="107"/>
      <c r="AG82" s="107"/>
      <c r="AU82" s="130"/>
      <c r="AV82" s="114"/>
      <c r="BE82" s="108"/>
      <c r="BF82" s="109"/>
    </row>
    <row r="83" spans="3:58" ht="98.1" customHeight="1">
      <c r="C83" s="120"/>
      <c r="G83" s="114"/>
      <c r="M83" s="130"/>
      <c r="N83" s="135"/>
      <c r="O83" s="135"/>
      <c r="P83" s="135"/>
      <c r="Q83" s="136"/>
      <c r="R83" s="135"/>
      <c r="S83" s="135"/>
      <c r="T83" s="107"/>
      <c r="U83" s="107"/>
      <c r="V83" s="107"/>
      <c r="Y83" s="107"/>
      <c r="AA83" s="107"/>
      <c r="AC83" s="107"/>
      <c r="AE83" s="107"/>
      <c r="AG83" s="107"/>
      <c r="AU83" s="130"/>
      <c r="AV83" s="114"/>
      <c r="BE83" s="108"/>
      <c r="BF83" s="109"/>
    </row>
    <row r="84" spans="3:58" ht="98.1" customHeight="1">
      <c r="C84" s="120"/>
      <c r="G84" s="114"/>
      <c r="M84" s="130"/>
      <c r="N84" s="135"/>
      <c r="O84" s="135"/>
      <c r="P84" s="135"/>
      <c r="Q84" s="136"/>
      <c r="R84" s="135"/>
      <c r="S84" s="135"/>
      <c r="T84" s="107"/>
      <c r="AU84" s="130"/>
      <c r="AV84" s="114"/>
      <c r="BE84" s="108"/>
    </row>
    <row r="85" spans="3:58" ht="98.1" customHeight="1">
      <c r="C85" s="120"/>
      <c r="G85" s="114"/>
      <c r="M85" s="130"/>
      <c r="N85" s="135"/>
      <c r="O85" s="135"/>
      <c r="P85" s="135"/>
      <c r="Q85" s="136"/>
      <c r="R85" s="135"/>
      <c r="S85" s="135"/>
      <c r="T85" s="107"/>
      <c r="AU85" s="130"/>
      <c r="AV85" s="114"/>
      <c r="BE85" s="108"/>
    </row>
    <row r="86" spans="3:58" ht="98.1" customHeight="1">
      <c r="C86" s="120"/>
      <c r="G86" s="114"/>
      <c r="L86" s="134"/>
      <c r="M86" s="130"/>
      <c r="N86" s="135"/>
      <c r="O86" s="135"/>
      <c r="P86" s="135"/>
      <c r="Q86" s="136"/>
      <c r="R86" s="135"/>
      <c r="S86" s="135"/>
      <c r="T86" s="107"/>
      <c r="U86" s="107"/>
      <c r="AU86" s="130"/>
      <c r="AV86" s="114"/>
      <c r="BE86" s="108"/>
    </row>
    <row r="87" spans="3:58" ht="98.1" customHeight="1">
      <c r="C87" s="120"/>
      <c r="G87" s="114"/>
      <c r="M87" s="130"/>
      <c r="N87" s="135"/>
      <c r="O87" s="135"/>
      <c r="P87" s="135"/>
      <c r="Q87" s="136"/>
      <c r="R87" s="135"/>
      <c r="S87" s="135"/>
      <c r="T87" s="107"/>
      <c r="AU87" s="130"/>
      <c r="AV87" s="114"/>
      <c r="BE87" s="108"/>
    </row>
    <row r="88" spans="3:58" ht="98.1" customHeight="1">
      <c r="C88" s="120"/>
      <c r="G88" s="114"/>
      <c r="M88" s="130"/>
      <c r="N88" s="135"/>
      <c r="O88" s="135"/>
      <c r="P88" s="135"/>
      <c r="Q88" s="136"/>
      <c r="R88" s="135"/>
      <c r="S88" s="135"/>
      <c r="T88" s="107"/>
      <c r="AU88" s="130"/>
      <c r="AV88" s="114"/>
      <c r="BE88" s="108"/>
    </row>
    <row r="89" spans="3:58" ht="98.1" customHeight="1">
      <c r="C89" s="120"/>
      <c r="G89" s="114"/>
      <c r="M89" s="130"/>
      <c r="N89" s="135"/>
      <c r="O89" s="135"/>
      <c r="P89" s="135"/>
      <c r="Q89" s="136"/>
      <c r="R89" s="135"/>
      <c r="S89" s="135"/>
      <c r="T89" s="107"/>
      <c r="AV89" s="114"/>
      <c r="BE89" s="108"/>
    </row>
    <row r="90" spans="3:58" ht="98.1" customHeight="1">
      <c r="G90" s="114"/>
      <c r="M90" s="130"/>
      <c r="N90" s="135"/>
      <c r="O90" s="135"/>
      <c r="P90" s="135"/>
      <c r="Q90" s="136"/>
      <c r="R90" s="135"/>
      <c r="S90" s="135"/>
      <c r="T90" s="107"/>
      <c r="AV90" s="114"/>
      <c r="BE90" s="108"/>
    </row>
    <row r="91" spans="3:58" ht="98.1" customHeight="1">
      <c r="G91" s="114"/>
      <c r="M91" s="130"/>
      <c r="N91" s="135"/>
      <c r="O91" s="135"/>
      <c r="P91" s="135"/>
      <c r="Q91" s="136"/>
      <c r="R91" s="135"/>
      <c r="S91" s="135"/>
      <c r="T91" s="107"/>
      <c r="AV91" s="114"/>
      <c r="BE91" s="108"/>
    </row>
    <row r="92" spans="3:58" ht="98.1" customHeight="1">
      <c r="G92" s="114"/>
      <c r="M92" s="130"/>
      <c r="N92" s="135"/>
      <c r="O92" s="135"/>
      <c r="P92" s="135"/>
      <c r="Q92" s="136"/>
      <c r="R92" s="135"/>
      <c r="S92" s="135"/>
      <c r="T92" s="107"/>
      <c r="AV92" s="114"/>
      <c r="BE92" s="108"/>
    </row>
    <row r="93" spans="3:58" ht="98.1" customHeight="1">
      <c r="G93" s="114"/>
      <c r="L93" s="134"/>
      <c r="M93" s="130"/>
      <c r="N93" s="135"/>
      <c r="O93" s="135"/>
      <c r="P93" s="135"/>
      <c r="Q93" s="136"/>
      <c r="R93" s="135"/>
      <c r="S93" s="135"/>
      <c r="T93" s="107"/>
      <c r="U93" s="107"/>
      <c r="AV93" s="114"/>
      <c r="BE93" s="108"/>
    </row>
    <row r="94" spans="3:58" ht="98.1" customHeight="1">
      <c r="G94" s="114"/>
      <c r="M94" s="130"/>
      <c r="N94" s="135"/>
      <c r="O94" s="135"/>
      <c r="P94" s="135"/>
      <c r="Q94" s="136"/>
      <c r="R94" s="135"/>
      <c r="S94" s="135"/>
      <c r="T94" s="107"/>
      <c r="AV94" s="114"/>
      <c r="BE94" s="108"/>
    </row>
    <row r="95" spans="3:58" ht="98.1" customHeight="1">
      <c r="G95" s="114"/>
      <c r="L95" s="134"/>
      <c r="M95" s="130"/>
      <c r="N95" s="135"/>
      <c r="O95" s="135"/>
      <c r="P95" s="135"/>
      <c r="Q95" s="136"/>
      <c r="R95" s="135"/>
      <c r="S95" s="135"/>
      <c r="T95" s="107"/>
      <c r="U95" s="107"/>
      <c r="AV95" s="114"/>
      <c r="BE95" s="108"/>
    </row>
    <row r="96" spans="3:58" ht="98.1" customHeight="1">
      <c r="G96" s="114"/>
      <c r="M96" s="130"/>
      <c r="N96" s="135"/>
      <c r="O96" s="135"/>
      <c r="P96" s="135"/>
      <c r="Q96" s="136"/>
      <c r="R96" s="135"/>
      <c r="S96" s="135"/>
      <c r="T96" s="107"/>
      <c r="AV96" s="114"/>
      <c r="BE96" s="108"/>
    </row>
    <row r="97" spans="7:57" ht="98.1" customHeight="1">
      <c r="G97" s="114"/>
      <c r="M97" s="130"/>
      <c r="N97" s="135"/>
      <c r="O97" s="135"/>
      <c r="P97" s="135"/>
      <c r="Q97" s="136"/>
      <c r="R97" s="135"/>
      <c r="S97" s="135"/>
      <c r="T97" s="107"/>
      <c r="AV97" s="114"/>
      <c r="BE97" s="108"/>
    </row>
    <row r="98" spans="7:57" ht="98.1" customHeight="1">
      <c r="G98" s="114"/>
      <c r="L98" s="134"/>
      <c r="M98" s="130"/>
      <c r="N98" s="135"/>
      <c r="O98" s="135"/>
      <c r="P98" s="135"/>
      <c r="Q98" s="135"/>
      <c r="R98" s="135"/>
      <c r="S98" s="135"/>
      <c r="T98" s="107"/>
      <c r="U98" s="107"/>
      <c r="AV98" s="114"/>
      <c r="BE98" s="108"/>
    </row>
    <row r="99" spans="7:57" ht="98.1" customHeight="1">
      <c r="G99" s="114"/>
      <c r="L99" s="134"/>
      <c r="M99" s="130"/>
      <c r="N99" s="135"/>
      <c r="O99" s="135"/>
      <c r="P99" s="135"/>
      <c r="Q99" s="135"/>
      <c r="R99" s="135"/>
      <c r="S99" s="135"/>
      <c r="T99" s="107"/>
      <c r="U99" s="107"/>
      <c r="AV99" s="114"/>
      <c r="BE99" s="108"/>
    </row>
    <row r="100" spans="7:57" ht="98.1" customHeight="1">
      <c r="G100" s="114"/>
      <c r="M100" s="130"/>
      <c r="N100" s="135"/>
      <c r="O100" s="135"/>
      <c r="P100" s="135"/>
      <c r="R100" s="135"/>
      <c r="S100" s="135"/>
      <c r="T100" s="107"/>
      <c r="AV100" s="114"/>
      <c r="BE100" s="108"/>
    </row>
    <row r="101" spans="7:57" ht="98.1" customHeight="1">
      <c r="G101" s="114"/>
      <c r="L101" s="134"/>
      <c r="M101" s="130"/>
      <c r="N101" s="135"/>
      <c r="O101" s="135"/>
      <c r="P101" s="135"/>
      <c r="Q101" s="136"/>
      <c r="R101" s="135"/>
      <c r="S101" s="135"/>
      <c r="T101" s="107"/>
      <c r="AV101" s="114"/>
      <c r="BE101" s="108"/>
    </row>
    <row r="102" spans="7:57" ht="98.1" customHeight="1">
      <c r="G102" s="114"/>
      <c r="L102" s="134"/>
      <c r="M102" s="130"/>
      <c r="N102" s="135"/>
      <c r="O102" s="135"/>
      <c r="P102" s="135"/>
      <c r="Q102" s="135"/>
      <c r="R102" s="135"/>
      <c r="S102" s="135"/>
      <c r="T102" s="107"/>
      <c r="U102" s="107"/>
      <c r="AV102" s="114"/>
      <c r="BE102" s="108"/>
    </row>
    <row r="103" spans="7:57" ht="98.1" customHeight="1">
      <c r="G103" s="114"/>
      <c r="L103" s="134"/>
      <c r="M103" s="130"/>
      <c r="N103" s="135"/>
      <c r="O103" s="135"/>
      <c r="P103" s="135"/>
      <c r="Q103" s="136"/>
      <c r="R103" s="135"/>
      <c r="S103" s="135"/>
      <c r="T103" s="107"/>
      <c r="U103" s="107"/>
      <c r="AV103" s="114"/>
      <c r="BE103" s="108"/>
    </row>
    <row r="104" spans="7:57" ht="98.1" customHeight="1">
      <c r="G104" s="114"/>
      <c r="M104" s="130"/>
      <c r="N104" s="135"/>
      <c r="O104" s="135"/>
      <c r="P104" s="135"/>
      <c r="R104" s="135"/>
      <c r="S104" s="135"/>
      <c r="T104" s="107"/>
      <c r="AV104" s="114"/>
      <c r="BE104" s="108"/>
    </row>
    <row r="105" spans="7:57" ht="98.1" customHeight="1">
      <c r="G105" s="114"/>
      <c r="M105" s="130"/>
      <c r="N105" s="135"/>
      <c r="O105" s="135"/>
      <c r="P105" s="135"/>
      <c r="Q105" s="136"/>
      <c r="R105" s="135"/>
      <c r="S105" s="135"/>
      <c r="T105" s="107"/>
      <c r="AV105" s="114"/>
      <c r="BE105" s="108"/>
    </row>
    <row r="106" spans="7:57" ht="98.1" customHeight="1">
      <c r="G106" s="114"/>
      <c r="L106" s="134"/>
      <c r="M106" s="130"/>
      <c r="N106" s="135"/>
      <c r="O106" s="135"/>
      <c r="P106" s="135"/>
      <c r="Q106" s="136"/>
      <c r="R106" s="135"/>
      <c r="S106" s="135"/>
      <c r="T106" s="107"/>
      <c r="U106" s="107"/>
      <c r="AV106" s="114"/>
      <c r="BE106" s="108"/>
    </row>
    <row r="107" spans="7:57" ht="98.1" customHeight="1">
      <c r="G107" s="114"/>
      <c r="L107" s="134"/>
      <c r="M107" s="130"/>
      <c r="N107" s="135"/>
      <c r="O107" s="135"/>
      <c r="P107" s="135"/>
      <c r="Q107" s="136"/>
      <c r="R107" s="135"/>
      <c r="S107" s="135"/>
      <c r="T107" s="107"/>
      <c r="U107" s="107"/>
      <c r="AV107" s="114"/>
      <c r="BE107" s="108"/>
    </row>
    <row r="108" spans="7:57" ht="98.1" customHeight="1">
      <c r="G108" s="114"/>
      <c r="L108" s="134"/>
      <c r="M108" s="130"/>
      <c r="N108" s="135"/>
      <c r="O108" s="135"/>
      <c r="P108" s="135"/>
      <c r="Q108" s="136"/>
      <c r="R108" s="135"/>
      <c r="S108" s="135"/>
      <c r="T108" s="107"/>
      <c r="U108" s="107"/>
      <c r="AV108" s="114"/>
      <c r="BE108" s="108"/>
    </row>
    <row r="109" spans="7:57" ht="98.1" customHeight="1">
      <c r="G109" s="114"/>
      <c r="L109" s="134"/>
      <c r="M109" s="130"/>
      <c r="N109" s="135"/>
      <c r="O109" s="135"/>
      <c r="P109" s="135"/>
      <c r="Q109" s="136"/>
      <c r="R109" s="135"/>
      <c r="S109" s="135"/>
      <c r="T109" s="107"/>
      <c r="U109" s="107"/>
      <c r="AV109" s="114"/>
      <c r="BE109" s="108"/>
    </row>
    <row r="110" spans="7:57" ht="98.1" customHeight="1">
      <c r="G110" s="114"/>
      <c r="L110" s="134"/>
      <c r="M110" s="130"/>
      <c r="N110" s="135"/>
      <c r="O110" s="135"/>
      <c r="P110" s="135"/>
      <c r="Q110" s="136"/>
      <c r="R110" s="135"/>
      <c r="S110" s="135"/>
      <c r="T110" s="107"/>
      <c r="U110" s="107"/>
      <c r="AV110" s="114"/>
      <c r="BE110" s="108"/>
    </row>
    <row r="111" spans="7:57" ht="98.1" customHeight="1">
      <c r="G111" s="114"/>
      <c r="L111" s="134"/>
      <c r="M111" s="130"/>
      <c r="N111" s="135"/>
      <c r="O111" s="135"/>
      <c r="P111" s="135"/>
      <c r="Q111" s="136"/>
      <c r="R111" s="135"/>
      <c r="S111" s="135"/>
      <c r="T111" s="107"/>
      <c r="U111" s="107"/>
      <c r="AV111" s="114"/>
      <c r="BE111" s="108"/>
    </row>
    <row r="112" spans="7:57" ht="98.1" customHeight="1">
      <c r="G112" s="114"/>
      <c r="M112" s="130"/>
      <c r="N112" s="135"/>
      <c r="O112" s="135"/>
      <c r="P112" s="135"/>
      <c r="Q112" s="136"/>
      <c r="R112" s="135"/>
      <c r="S112" s="135"/>
      <c r="T112" s="107"/>
      <c r="AV112" s="114"/>
      <c r="BE112" s="108"/>
    </row>
    <row r="113" spans="7:57" ht="98.1" customHeight="1">
      <c r="G113" s="114"/>
      <c r="M113" s="130"/>
      <c r="N113" s="135"/>
      <c r="O113" s="135"/>
      <c r="P113" s="135"/>
      <c r="Q113" s="136"/>
      <c r="R113" s="135"/>
      <c r="S113" s="135"/>
      <c r="T113" s="107"/>
      <c r="AV113" s="114"/>
      <c r="BE113" s="108"/>
    </row>
    <row r="114" spans="7:57" ht="98.1" customHeight="1">
      <c r="G114" s="114"/>
      <c r="L114" s="134"/>
      <c r="M114" s="130"/>
      <c r="N114" s="135"/>
      <c r="O114" s="135"/>
      <c r="P114" s="135"/>
      <c r="Q114" s="136"/>
      <c r="R114" s="135"/>
      <c r="S114" s="135"/>
      <c r="T114" s="107"/>
      <c r="U114" s="107"/>
      <c r="AV114" s="114"/>
      <c r="BE114" s="108"/>
    </row>
    <row r="115" spans="7:57" ht="98.1" customHeight="1">
      <c r="G115" s="114"/>
      <c r="L115" s="134"/>
      <c r="M115" s="130"/>
      <c r="N115" s="135"/>
      <c r="O115" s="135"/>
      <c r="P115" s="135"/>
      <c r="Q115" s="136"/>
      <c r="R115" s="135"/>
      <c r="S115" s="135"/>
      <c r="T115" s="107"/>
      <c r="U115" s="107"/>
      <c r="AV115" s="114"/>
      <c r="BE115" s="108"/>
    </row>
    <row r="116" spans="7:57" ht="98.1" customHeight="1">
      <c r="G116" s="114"/>
      <c r="L116" s="134"/>
      <c r="M116" s="130"/>
      <c r="N116" s="135"/>
      <c r="O116" s="135"/>
      <c r="P116" s="135"/>
      <c r="Q116" s="136"/>
      <c r="R116" s="135"/>
      <c r="S116" s="135"/>
      <c r="T116" s="107"/>
      <c r="U116" s="107"/>
      <c r="AV116" s="114"/>
      <c r="BE116" s="108"/>
    </row>
    <row r="117" spans="7:57" ht="98.1" customHeight="1">
      <c r="G117" s="114"/>
      <c r="L117" s="134"/>
      <c r="M117" s="130"/>
      <c r="N117" s="135"/>
      <c r="O117" s="135"/>
      <c r="P117" s="135"/>
      <c r="Q117" s="136"/>
      <c r="R117" s="135"/>
      <c r="S117" s="135"/>
      <c r="T117" s="107"/>
      <c r="U117" s="107"/>
      <c r="AV117" s="114"/>
      <c r="BE117" s="108"/>
    </row>
    <row r="118" spans="7:57" ht="98.1" customHeight="1">
      <c r="G118" s="114"/>
      <c r="M118" s="130"/>
      <c r="N118" s="135"/>
      <c r="O118" s="135"/>
      <c r="P118" s="135"/>
      <c r="Q118" s="136"/>
      <c r="R118" s="135"/>
      <c r="S118" s="135"/>
      <c r="T118" s="107"/>
      <c r="AV118" s="114"/>
      <c r="BE118" s="108"/>
    </row>
    <row r="119" spans="7:57" ht="98.1" customHeight="1">
      <c r="G119" s="114"/>
      <c r="M119" s="130"/>
      <c r="N119" s="135"/>
      <c r="O119" s="135"/>
      <c r="P119" s="135"/>
      <c r="Q119" s="136"/>
      <c r="R119" s="135"/>
      <c r="S119" s="135"/>
      <c r="T119" s="107"/>
      <c r="AV119" s="114"/>
      <c r="BE119" s="108"/>
    </row>
    <row r="120" spans="7:57" ht="98.1" customHeight="1">
      <c r="G120" s="114"/>
      <c r="M120" s="130"/>
      <c r="N120" s="135"/>
      <c r="O120" s="135"/>
      <c r="P120" s="135"/>
      <c r="Q120" s="136"/>
      <c r="R120" s="135"/>
      <c r="S120" s="135"/>
      <c r="T120" s="107"/>
      <c r="AV120" s="114"/>
      <c r="BE120" s="108"/>
    </row>
    <row r="121" spans="7:57" ht="98.1" customHeight="1">
      <c r="G121" s="114"/>
      <c r="M121" s="130"/>
      <c r="N121" s="135"/>
      <c r="O121" s="135"/>
      <c r="P121" s="135"/>
      <c r="Q121" s="136"/>
      <c r="R121" s="135"/>
      <c r="S121" s="135"/>
      <c r="T121" s="107"/>
      <c r="AV121" s="114"/>
      <c r="BE121" s="108"/>
    </row>
    <row r="122" spans="7:57" ht="98.1" customHeight="1">
      <c r="G122" s="114"/>
      <c r="M122" s="130"/>
      <c r="N122" s="135"/>
      <c r="O122" s="135"/>
      <c r="P122" s="135"/>
      <c r="Q122" s="136"/>
      <c r="R122" s="135"/>
      <c r="S122" s="135"/>
      <c r="T122" s="107"/>
      <c r="AV122" s="114"/>
      <c r="BE122" s="108"/>
    </row>
    <row r="123" spans="7:57" ht="98.1" customHeight="1">
      <c r="G123" s="114"/>
      <c r="M123" s="130"/>
      <c r="N123" s="135"/>
      <c r="O123" s="135"/>
      <c r="P123" s="135"/>
      <c r="Q123" s="136"/>
      <c r="R123" s="135"/>
      <c r="S123" s="135"/>
      <c r="T123" s="107"/>
      <c r="AV123" s="114"/>
      <c r="BE123" s="108"/>
    </row>
    <row r="124" spans="7:57" ht="98.1" customHeight="1">
      <c r="G124" s="114"/>
      <c r="M124" s="130"/>
      <c r="N124" s="135"/>
      <c r="O124" s="135"/>
      <c r="P124" s="135"/>
      <c r="Q124" s="136"/>
      <c r="R124" s="135"/>
      <c r="S124" s="135"/>
      <c r="T124" s="107"/>
      <c r="AV124" s="114"/>
      <c r="BE124" s="108"/>
    </row>
    <row r="125" spans="7:57" ht="98.1" customHeight="1">
      <c r="G125" s="114"/>
      <c r="M125" s="130"/>
      <c r="N125" s="135"/>
      <c r="O125" s="135"/>
      <c r="P125" s="135"/>
      <c r="Q125" s="136"/>
      <c r="R125" s="135"/>
      <c r="S125" s="135"/>
      <c r="T125" s="107"/>
      <c r="AV125" s="114"/>
      <c r="BE125" s="108"/>
    </row>
    <row r="126" spans="7:57" ht="98.1" customHeight="1">
      <c r="G126" s="114"/>
      <c r="L126" s="134"/>
      <c r="M126" s="130"/>
      <c r="N126" s="135"/>
      <c r="O126" s="135"/>
      <c r="P126" s="135"/>
      <c r="Q126" s="136"/>
      <c r="R126" s="135"/>
      <c r="S126" s="135"/>
      <c r="T126" s="107"/>
      <c r="U126" s="107"/>
      <c r="AV126" s="114"/>
      <c r="BE126" s="108"/>
    </row>
    <row r="127" spans="7:57" ht="98.1" customHeight="1">
      <c r="G127" s="114"/>
      <c r="M127" s="130"/>
      <c r="N127" s="135"/>
      <c r="O127" s="135"/>
      <c r="P127" s="135"/>
      <c r="Q127" s="136"/>
      <c r="R127" s="135"/>
      <c r="S127" s="135"/>
      <c r="T127" s="107"/>
      <c r="AV127" s="114"/>
      <c r="BE127" s="108"/>
    </row>
    <row r="128" spans="7:57" ht="98.1" customHeight="1">
      <c r="G128" s="114"/>
      <c r="L128" s="134"/>
      <c r="M128" s="130"/>
      <c r="N128" s="135"/>
      <c r="O128" s="135"/>
      <c r="P128" s="135"/>
      <c r="Q128" s="136"/>
      <c r="R128" s="135"/>
      <c r="S128" s="135"/>
      <c r="T128" s="107"/>
      <c r="U128" s="107"/>
      <c r="AV128" s="114"/>
      <c r="BE128" s="108"/>
    </row>
    <row r="129" spans="7:57" ht="98.1" customHeight="1">
      <c r="G129" s="114"/>
      <c r="M129" s="130"/>
      <c r="N129" s="135"/>
      <c r="O129" s="135"/>
      <c r="P129" s="135"/>
      <c r="Q129" s="136"/>
      <c r="R129" s="135"/>
      <c r="S129" s="135"/>
      <c r="T129" s="107"/>
      <c r="AV129" s="114"/>
      <c r="BE129" s="108"/>
    </row>
    <row r="130" spans="7:57" ht="98.1" customHeight="1">
      <c r="G130" s="114"/>
      <c r="M130" s="130"/>
      <c r="N130" s="135"/>
      <c r="O130" s="135"/>
      <c r="P130" s="135"/>
      <c r="Q130" s="136"/>
      <c r="R130" s="135"/>
      <c r="S130" s="135"/>
      <c r="T130" s="107"/>
      <c r="AV130" s="114"/>
      <c r="BE130" s="108"/>
    </row>
    <row r="131" spans="7:57" ht="98.1" customHeight="1">
      <c r="G131" s="114"/>
      <c r="M131" s="130"/>
      <c r="N131" s="135"/>
      <c r="O131" s="135"/>
      <c r="P131" s="135"/>
      <c r="Q131" s="136"/>
      <c r="R131" s="135"/>
      <c r="S131" s="135"/>
      <c r="T131" s="107"/>
      <c r="AV131" s="114"/>
      <c r="BE131" s="108"/>
    </row>
    <row r="132" spans="7:57" ht="98.1" customHeight="1">
      <c r="G132" s="114"/>
      <c r="M132" s="130"/>
      <c r="N132" s="135"/>
      <c r="O132" s="135"/>
      <c r="P132" s="135"/>
      <c r="Q132" s="136"/>
      <c r="R132" s="135"/>
      <c r="S132" s="135"/>
      <c r="T132" s="107"/>
      <c r="AV132" s="114"/>
      <c r="BE132" s="108"/>
    </row>
    <row r="133" spans="7:57" ht="98.1" customHeight="1">
      <c r="G133" s="114"/>
      <c r="M133" s="130"/>
      <c r="N133" s="135"/>
      <c r="O133" s="135"/>
      <c r="P133" s="135"/>
      <c r="Q133" s="136"/>
      <c r="R133" s="135"/>
      <c r="S133" s="135"/>
      <c r="T133" s="107"/>
      <c r="AV133" s="114"/>
      <c r="BE133" s="108"/>
    </row>
    <row r="134" spans="7:57" ht="98.1" customHeight="1">
      <c r="G134" s="114"/>
      <c r="M134" s="130"/>
      <c r="N134" s="135"/>
      <c r="O134" s="135"/>
      <c r="P134" s="135"/>
      <c r="Q134" s="136"/>
      <c r="R134" s="135"/>
      <c r="S134" s="135"/>
      <c r="T134" s="107"/>
      <c r="AV134" s="114"/>
      <c r="BE134" s="108"/>
    </row>
    <row r="135" spans="7:57" ht="98.1" customHeight="1">
      <c r="G135" s="114"/>
      <c r="L135" s="134"/>
      <c r="M135" s="130"/>
      <c r="N135" s="135"/>
      <c r="O135" s="135"/>
      <c r="P135" s="135"/>
      <c r="Q135" s="136"/>
      <c r="R135" s="135"/>
      <c r="S135" s="135"/>
      <c r="T135" s="107"/>
      <c r="U135" s="107"/>
      <c r="AV135" s="114"/>
      <c r="BE135" s="108"/>
    </row>
    <row r="136" spans="7:57" ht="98.1" customHeight="1">
      <c r="G136" s="114"/>
      <c r="L136" s="134"/>
      <c r="M136" s="130"/>
      <c r="N136" s="135"/>
      <c r="O136" s="135"/>
      <c r="P136" s="135"/>
      <c r="Q136" s="136"/>
      <c r="R136" s="135"/>
      <c r="S136" s="135"/>
      <c r="T136" s="107"/>
      <c r="U136" s="107"/>
      <c r="AV136" s="114"/>
      <c r="BE136" s="108"/>
    </row>
    <row r="137" spans="7:57" ht="98.1" customHeight="1">
      <c r="G137" s="114"/>
      <c r="L137" s="134"/>
      <c r="M137" s="130"/>
      <c r="N137" s="135"/>
      <c r="O137" s="135"/>
      <c r="P137" s="135"/>
      <c r="Q137" s="135"/>
      <c r="R137" s="135"/>
      <c r="S137" s="135"/>
      <c r="T137" s="107"/>
      <c r="U137" s="107"/>
      <c r="AV137" s="114"/>
      <c r="BE137" s="108"/>
    </row>
    <row r="138" spans="7:57" ht="98.1" customHeight="1">
      <c r="G138" s="114"/>
      <c r="M138" s="130"/>
      <c r="N138" s="135"/>
      <c r="O138" s="135"/>
      <c r="P138" s="135"/>
      <c r="Q138" s="136"/>
      <c r="R138" s="135"/>
      <c r="S138" s="135"/>
      <c r="T138" s="107"/>
      <c r="AV138" s="114"/>
      <c r="BE138" s="108"/>
    </row>
    <row r="139" spans="7:57" ht="98.1" customHeight="1">
      <c r="G139" s="114"/>
      <c r="L139" s="134"/>
      <c r="M139" s="130"/>
      <c r="N139" s="135"/>
      <c r="O139" s="135"/>
      <c r="P139" s="135"/>
      <c r="Q139" s="136"/>
      <c r="R139" s="135"/>
      <c r="S139" s="135"/>
      <c r="T139" s="107"/>
      <c r="U139" s="107"/>
      <c r="AV139" s="114"/>
      <c r="BE139" s="108"/>
    </row>
    <row r="140" spans="7:57" ht="98.1" customHeight="1">
      <c r="G140" s="114"/>
      <c r="L140" s="134"/>
      <c r="M140" s="130"/>
      <c r="N140" s="135"/>
      <c r="O140" s="135"/>
      <c r="P140" s="135"/>
      <c r="Q140" s="136"/>
      <c r="R140" s="135"/>
      <c r="S140" s="135"/>
      <c r="T140" s="107"/>
      <c r="U140" s="107"/>
      <c r="AV140" s="114"/>
      <c r="BE140" s="108"/>
    </row>
    <row r="141" spans="7:57" ht="98.1" customHeight="1">
      <c r="G141" s="114"/>
      <c r="M141" s="130"/>
      <c r="N141" s="135"/>
      <c r="O141" s="135"/>
      <c r="P141" s="135"/>
      <c r="Q141" s="136"/>
      <c r="R141" s="135"/>
      <c r="S141" s="135"/>
      <c r="T141" s="107"/>
      <c r="AV141" s="114"/>
      <c r="BE141" s="108"/>
    </row>
    <row r="142" spans="7:57" ht="98.1" customHeight="1">
      <c r="G142" s="114"/>
      <c r="M142" s="130"/>
      <c r="N142" s="135"/>
      <c r="O142" s="135"/>
      <c r="P142" s="135"/>
      <c r="Q142" s="136"/>
      <c r="R142" s="135"/>
      <c r="S142" s="135"/>
      <c r="T142" s="107"/>
      <c r="AV142" s="114"/>
      <c r="BE142" s="108"/>
    </row>
    <row r="143" spans="7:57" ht="98.1" customHeight="1">
      <c r="G143" s="114"/>
      <c r="M143" s="130"/>
      <c r="N143" s="135"/>
      <c r="O143" s="135"/>
      <c r="P143" s="135"/>
      <c r="Q143" s="136"/>
      <c r="R143" s="135"/>
      <c r="S143" s="135"/>
      <c r="T143" s="107"/>
      <c r="AV143" s="114"/>
      <c r="BE143" s="108"/>
    </row>
    <row r="144" spans="7:57" ht="98.1" customHeight="1">
      <c r="M144" s="130"/>
      <c r="N144" s="135"/>
      <c r="O144" s="135"/>
      <c r="P144" s="135"/>
      <c r="Q144" s="136"/>
      <c r="R144" s="135"/>
      <c r="S144" s="135"/>
      <c r="AV144" s="114"/>
      <c r="BE144" s="108"/>
    </row>
    <row r="145" spans="13:57" ht="98.1" customHeight="1">
      <c r="M145" s="130"/>
      <c r="N145" s="135"/>
      <c r="O145" s="135"/>
      <c r="P145" s="135"/>
      <c r="Q145" s="136"/>
      <c r="R145" s="135"/>
      <c r="S145" s="135"/>
      <c r="AV145" s="114"/>
      <c r="BE145" s="108"/>
    </row>
    <row r="146" spans="13:57" ht="98.1" customHeight="1">
      <c r="M146" s="130"/>
      <c r="N146" s="135"/>
      <c r="O146" s="135"/>
      <c r="P146" s="135"/>
      <c r="Q146" s="136"/>
      <c r="R146" s="135"/>
      <c r="S146" s="135"/>
      <c r="AV146" s="114"/>
      <c r="BE146" s="108"/>
    </row>
    <row r="147" spans="13:57" ht="98.1" customHeight="1">
      <c r="M147" s="130"/>
      <c r="N147" s="135"/>
      <c r="O147" s="135"/>
      <c r="P147" s="135"/>
      <c r="Q147" s="136"/>
      <c r="R147" s="135"/>
      <c r="S147" s="135"/>
      <c r="AV147" s="114"/>
      <c r="BE147" s="108"/>
    </row>
    <row r="148" spans="13:57" ht="98.1" customHeight="1">
      <c r="M148" s="130"/>
      <c r="N148" s="135"/>
      <c r="O148" s="135"/>
      <c r="P148" s="135"/>
      <c r="Q148" s="136"/>
      <c r="R148" s="135"/>
      <c r="S148" s="135"/>
      <c r="AV148" s="114"/>
      <c r="BE148" s="108"/>
    </row>
    <row r="149" spans="13:57" ht="98.1" customHeight="1">
      <c r="M149" s="130"/>
      <c r="N149" s="135"/>
      <c r="O149" s="135"/>
      <c r="P149" s="135"/>
      <c r="Q149" s="136"/>
      <c r="R149" s="135"/>
      <c r="S149" s="135"/>
      <c r="AV149" s="114"/>
      <c r="BE149" s="108"/>
    </row>
    <row r="150" spans="13:57" ht="98.1" customHeight="1">
      <c r="M150" s="130"/>
      <c r="N150" s="135"/>
      <c r="O150" s="135"/>
      <c r="P150" s="135"/>
      <c r="Q150" s="136"/>
      <c r="R150" s="135"/>
      <c r="S150" s="135"/>
      <c r="AV150" s="114"/>
      <c r="BE150" s="108"/>
    </row>
    <row r="151" spans="13:57" ht="98.1" customHeight="1">
      <c r="M151" s="130"/>
      <c r="N151" s="135"/>
      <c r="O151" s="135"/>
      <c r="P151" s="135"/>
      <c r="Q151" s="136"/>
      <c r="R151" s="135"/>
      <c r="S151" s="135"/>
      <c r="AV151" s="114"/>
      <c r="BE151" s="108"/>
    </row>
    <row r="152" spans="13:57" ht="98.1" customHeight="1">
      <c r="M152" s="130"/>
      <c r="N152" s="135"/>
      <c r="O152" s="135"/>
      <c r="P152" s="135"/>
      <c r="Q152" s="136"/>
      <c r="R152" s="135"/>
      <c r="S152" s="135"/>
      <c r="AV152" s="114"/>
      <c r="BE152" s="108"/>
    </row>
    <row r="153" spans="13:57" ht="98.1" customHeight="1">
      <c r="M153" s="130"/>
      <c r="N153" s="135"/>
      <c r="O153" s="135"/>
      <c r="P153" s="135"/>
      <c r="Q153" s="136"/>
      <c r="R153" s="135"/>
      <c r="S153" s="135"/>
      <c r="AV153" s="114"/>
      <c r="BE153" s="108"/>
    </row>
    <row r="154" spans="13:57" ht="98.1" customHeight="1">
      <c r="N154" s="135"/>
      <c r="O154" s="135"/>
      <c r="P154" s="135"/>
      <c r="Q154" s="136"/>
      <c r="S154" s="135"/>
      <c r="AV154" s="114"/>
      <c r="BE154" s="108"/>
    </row>
    <row r="155" spans="13:57" ht="98.1" customHeight="1">
      <c r="N155" s="135"/>
      <c r="O155" s="135"/>
      <c r="P155" s="135"/>
      <c r="Q155" s="136"/>
      <c r="S155" s="135"/>
      <c r="AV155" s="114"/>
      <c r="BE155" s="108"/>
    </row>
    <row r="156" spans="13:57" ht="98.1" customHeight="1">
      <c r="N156" s="135"/>
      <c r="O156" s="135"/>
      <c r="P156" s="135"/>
      <c r="Q156" s="136"/>
      <c r="S156" s="135"/>
      <c r="AV156" s="114"/>
      <c r="BE156" s="108"/>
    </row>
    <row r="157" spans="13:57" ht="98.1" customHeight="1">
      <c r="N157" s="135"/>
      <c r="O157" s="135"/>
      <c r="P157" s="135"/>
      <c r="Q157" s="136"/>
      <c r="S157" s="135"/>
      <c r="AV157" s="114"/>
      <c r="BE157" s="108"/>
    </row>
    <row r="158" spans="13:57" ht="98.1" customHeight="1">
      <c r="N158" s="135"/>
      <c r="O158" s="135"/>
      <c r="P158" s="135"/>
      <c r="Q158" s="136"/>
      <c r="S158" s="135"/>
      <c r="AV158" s="114"/>
      <c r="BE158" s="108"/>
    </row>
    <row r="159" spans="13:57" ht="98.1" customHeight="1">
      <c r="N159" s="135"/>
      <c r="O159" s="135"/>
      <c r="P159" s="135"/>
      <c r="S159" s="135"/>
      <c r="AV159" s="114"/>
      <c r="BE159" s="108"/>
    </row>
    <row r="160" spans="13:57" ht="98.1" customHeight="1">
      <c r="N160" s="135"/>
      <c r="O160" s="135"/>
      <c r="P160" s="135"/>
      <c r="S160" s="135"/>
      <c r="AV160" s="114"/>
      <c r="BE160" s="108"/>
    </row>
    <row r="161" spans="14:57" ht="98.1" customHeight="1">
      <c r="N161" s="135"/>
      <c r="O161" s="135"/>
      <c r="P161" s="135"/>
      <c r="S161" s="135"/>
      <c r="AV161" s="114"/>
      <c r="BE161" s="108"/>
    </row>
    <row r="162" spans="14:57" ht="98.1" customHeight="1">
      <c r="N162" s="135"/>
      <c r="O162" s="135"/>
      <c r="P162" s="135"/>
      <c r="S162" s="135"/>
      <c r="AV162" s="114"/>
      <c r="BE162" s="108"/>
    </row>
    <row r="163" spans="14:57" ht="98.1" customHeight="1">
      <c r="N163" s="135"/>
      <c r="O163" s="135"/>
      <c r="P163" s="135"/>
      <c r="Q163" s="136"/>
      <c r="S163" s="135"/>
      <c r="AV163" s="114"/>
      <c r="BE163" s="108"/>
    </row>
    <row r="164" spans="14:57" ht="98.1" customHeight="1">
      <c r="N164" s="135"/>
      <c r="O164" s="135"/>
      <c r="P164" s="135"/>
      <c r="Q164" s="136"/>
      <c r="S164" s="135"/>
      <c r="AV164" s="114"/>
      <c r="BE164" s="108"/>
    </row>
    <row r="165" spans="14:57" ht="98.1" customHeight="1">
      <c r="N165" s="135"/>
      <c r="O165" s="135"/>
      <c r="P165" s="135"/>
      <c r="Q165" s="136"/>
      <c r="S165" s="135"/>
      <c r="AV165" s="114"/>
      <c r="BE165" s="108"/>
    </row>
    <row r="166" spans="14:57" ht="98.1" customHeight="1">
      <c r="N166" s="135"/>
      <c r="O166" s="135"/>
      <c r="P166" s="135"/>
      <c r="S166" s="135"/>
      <c r="AV166" s="114"/>
      <c r="BE166" s="108"/>
    </row>
    <row r="167" spans="14:57" ht="98.1" customHeight="1">
      <c r="N167" s="135"/>
      <c r="O167" s="135"/>
      <c r="P167" s="135"/>
      <c r="Q167" s="136"/>
      <c r="S167" s="135"/>
      <c r="AV167" s="114"/>
      <c r="BE167" s="108"/>
    </row>
    <row r="168" spans="14:57" ht="98.1" customHeight="1">
      <c r="N168" s="135"/>
      <c r="O168" s="135"/>
      <c r="P168" s="135"/>
      <c r="Q168" s="136"/>
      <c r="S168" s="135"/>
      <c r="AV168" s="114"/>
      <c r="BE168" s="108"/>
    </row>
    <row r="169" spans="14:57" ht="98.1" customHeight="1">
      <c r="N169" s="135"/>
      <c r="O169" s="135"/>
      <c r="P169" s="135"/>
      <c r="Q169" s="136"/>
      <c r="S169" s="135"/>
      <c r="AV169" s="114"/>
      <c r="BE169" s="108"/>
    </row>
    <row r="170" spans="14:57" ht="98.1" customHeight="1">
      <c r="N170" s="135"/>
      <c r="O170" s="135"/>
      <c r="P170" s="135"/>
      <c r="S170" s="135"/>
      <c r="AV170" s="114"/>
      <c r="BE170" s="108"/>
    </row>
    <row r="171" spans="14:57" ht="98.1" customHeight="1">
      <c r="N171" s="135"/>
      <c r="O171" s="135"/>
      <c r="P171" s="135"/>
      <c r="Q171" s="136"/>
      <c r="S171" s="135"/>
      <c r="AV171" s="114"/>
      <c r="BE171" s="108"/>
    </row>
    <row r="172" spans="14:57" ht="98.1" customHeight="1">
      <c r="N172" s="135"/>
      <c r="O172" s="135"/>
      <c r="P172" s="135"/>
      <c r="Q172" s="136"/>
      <c r="S172" s="135"/>
      <c r="AV172" s="114"/>
      <c r="BE172" s="108"/>
    </row>
    <row r="173" spans="14:57" ht="98.1" customHeight="1">
      <c r="N173" s="135"/>
      <c r="O173" s="135"/>
      <c r="P173" s="135"/>
      <c r="Q173" s="136"/>
      <c r="S173" s="135"/>
      <c r="AV173" s="114"/>
      <c r="BE173" s="108"/>
    </row>
    <row r="174" spans="14:57" ht="98.1" customHeight="1">
      <c r="N174" s="135"/>
      <c r="O174" s="135"/>
      <c r="P174" s="135"/>
      <c r="Q174" s="136"/>
      <c r="S174" s="135"/>
      <c r="AV174" s="114"/>
      <c r="BE174" s="108"/>
    </row>
    <row r="175" spans="14:57" ht="98.1" customHeight="1">
      <c r="N175" s="135"/>
      <c r="O175" s="135"/>
      <c r="P175" s="135"/>
      <c r="Q175" s="136"/>
      <c r="S175" s="135"/>
      <c r="AV175" s="114"/>
      <c r="BE175" s="108"/>
    </row>
    <row r="176" spans="14:57" ht="98.1" customHeight="1">
      <c r="N176" s="135"/>
      <c r="O176" s="135"/>
      <c r="P176" s="135"/>
      <c r="Q176" s="136"/>
      <c r="S176" s="135"/>
      <c r="AV176" s="114"/>
      <c r="BE176" s="108"/>
    </row>
    <row r="177" spans="14:57" ht="98.1" customHeight="1">
      <c r="N177" s="135"/>
      <c r="O177" s="135"/>
      <c r="P177" s="135"/>
      <c r="Q177" s="136"/>
      <c r="S177" s="135"/>
      <c r="AV177" s="114"/>
      <c r="BE177" s="108"/>
    </row>
    <row r="178" spans="14:57" ht="98.1" customHeight="1">
      <c r="N178" s="135"/>
      <c r="O178" s="135"/>
      <c r="P178" s="135"/>
      <c r="Q178" s="136"/>
      <c r="S178" s="135"/>
      <c r="AV178" s="114"/>
      <c r="BE178" s="108"/>
    </row>
    <row r="179" spans="14:57" ht="98.1" customHeight="1">
      <c r="N179" s="135"/>
      <c r="O179" s="135"/>
      <c r="P179" s="135"/>
      <c r="Q179" s="136"/>
      <c r="S179" s="135"/>
      <c r="AV179" s="114"/>
      <c r="BE179" s="108"/>
    </row>
    <row r="180" spans="14:57" ht="98.1" customHeight="1">
      <c r="N180" s="135"/>
      <c r="O180" s="135"/>
      <c r="P180" s="135"/>
      <c r="Q180" s="136"/>
      <c r="S180" s="135"/>
      <c r="AV180" s="114"/>
      <c r="BE180" s="108"/>
    </row>
    <row r="181" spans="14:57" ht="98.1" customHeight="1">
      <c r="N181" s="135"/>
      <c r="O181" s="135"/>
      <c r="P181" s="135"/>
      <c r="Q181" s="136"/>
      <c r="S181" s="135"/>
      <c r="AV181" s="114"/>
      <c r="BE181" s="108"/>
    </row>
    <row r="182" spans="14:57" ht="98.1" customHeight="1">
      <c r="N182" s="135"/>
      <c r="O182" s="135"/>
      <c r="P182" s="135"/>
      <c r="Q182" s="136"/>
      <c r="S182" s="135"/>
      <c r="AV182" s="114"/>
      <c r="BE182" s="108"/>
    </row>
    <row r="183" spans="14:57" ht="98.1" customHeight="1">
      <c r="N183" s="135"/>
      <c r="O183" s="135"/>
      <c r="P183" s="135"/>
      <c r="Q183" s="136"/>
      <c r="S183" s="135"/>
      <c r="AV183" s="114"/>
      <c r="BE183" s="108"/>
    </row>
    <row r="184" spans="14:57" ht="98.1" customHeight="1">
      <c r="N184" s="135"/>
      <c r="O184" s="135"/>
      <c r="P184" s="135"/>
      <c r="Q184" s="136"/>
      <c r="S184" s="135"/>
      <c r="AV184" s="114"/>
      <c r="BE184" s="108"/>
    </row>
    <row r="185" spans="14:57" ht="98.1" customHeight="1">
      <c r="N185" s="135"/>
      <c r="O185" s="135"/>
      <c r="P185" s="135"/>
      <c r="Q185" s="136"/>
      <c r="S185" s="135"/>
      <c r="AV185" s="114"/>
      <c r="BE185" s="108"/>
    </row>
    <row r="186" spans="14:57" ht="98.1" customHeight="1">
      <c r="N186" s="135"/>
      <c r="O186" s="135"/>
      <c r="P186" s="135"/>
      <c r="Q186" s="136"/>
      <c r="S186" s="135"/>
      <c r="AV186" s="114"/>
      <c r="BE186" s="108"/>
    </row>
    <row r="187" spans="14:57" ht="98.1" customHeight="1">
      <c r="N187" s="135"/>
      <c r="O187" s="135"/>
      <c r="P187" s="135"/>
      <c r="Q187" s="136"/>
      <c r="S187" s="135"/>
      <c r="AV187" s="114"/>
      <c r="BE187" s="108"/>
    </row>
  </sheetData>
  <sheetProtection formatColumns="0" formatRows="0" sort="0" autoFilter="0"/>
  <autoFilter ref="A1:BG89" xr:uid="{00000000-0001-0000-0000-000000000000}">
    <sortState xmlns:xlrd2="http://schemas.microsoft.com/office/spreadsheetml/2017/richdata2" ref="A3:BG89">
      <sortCondition descending="1" ref="BF1:BF89"/>
    </sortState>
  </autoFilter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J2:U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M3:O52 N3:O187 B3:B187 A11:O356 A1:O2 J3:M3 P1:BD356 A3:H10 J4:O10">
    <cfRule type="expression" dxfId="25" priority="16">
      <formula>IF(УФ_Переключатель=1,IFERROR(TEXT(RIGHT(A1,255),"###"),TRUE))</formula>
    </cfRule>
  </conditionalFormatting>
  <conditionalFormatting sqref="M3:O52 N3:O187 B3:B187 A11:O356 A1:O2 J3:M3 P1:BF356 A3:H10 J4:O10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sheetPr codeName="Лист10"/>
  <dimension ref="A1:E57"/>
  <sheetViews>
    <sheetView showGridLines="0" workbookViewId="0">
      <selection activeCell="H12" sqref="H12"/>
    </sheetView>
  </sheetViews>
  <sheetFormatPr defaultRowHeight="15"/>
  <cols>
    <col min="1" max="1" width="31.140625" style="154" bestFit="1" customWidth="1"/>
    <col min="2" max="2" width="15.28515625" style="154" bestFit="1" customWidth="1"/>
    <col min="3" max="3" width="37" style="154" bestFit="1" customWidth="1"/>
    <col min="4" max="16384" width="9.140625" style="155"/>
  </cols>
  <sheetData>
    <row r="1" spans="1:5" s="153" customFormat="1" ht="15.75">
      <c r="A1" s="150" t="s">
        <v>913</v>
      </c>
      <c r="B1" s="150" t="s">
        <v>474</v>
      </c>
      <c r="C1" s="150" t="s">
        <v>914</v>
      </c>
      <c r="D1" s="151" t="s">
        <v>915</v>
      </c>
      <c r="E1" s="152">
        <v>0</v>
      </c>
    </row>
    <row r="2" spans="1:5">
      <c r="A2" s="154" t="s">
        <v>916</v>
      </c>
      <c r="B2" s="154" t="s">
        <v>917</v>
      </c>
      <c r="C2" s="154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54" t="s">
        <v>916</v>
      </c>
      <c r="B3" s="154" t="s">
        <v>917</v>
      </c>
      <c r="C3" s="154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54" t="s">
        <v>918</v>
      </c>
      <c r="B4" s="154" t="s">
        <v>919</v>
      </c>
      <c r="C4" s="154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54" t="s">
        <v>920</v>
      </c>
      <c r="B5" s="154" t="s">
        <v>919</v>
      </c>
      <c r="C5" s="154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54" t="s">
        <v>921</v>
      </c>
      <c r="B6" s="154" t="s">
        <v>922</v>
      </c>
      <c r="C6" s="154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54" t="s">
        <v>923</v>
      </c>
      <c r="B7" s="154" t="s">
        <v>924</v>
      </c>
      <c r="C7" s="154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54" t="s">
        <v>923</v>
      </c>
      <c r="B8" s="154" t="s">
        <v>924</v>
      </c>
      <c r="C8" s="154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54" t="s">
        <v>925</v>
      </c>
      <c r="B9" s="154" t="s">
        <v>926</v>
      </c>
      <c r="C9" s="154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54" t="s">
        <v>927</v>
      </c>
      <c r="B10" s="154" t="s">
        <v>926</v>
      </c>
      <c r="C10" s="154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54" t="s">
        <v>928</v>
      </c>
      <c r="B11" s="154" t="s">
        <v>929</v>
      </c>
      <c r="C11" s="154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54" t="s">
        <v>930</v>
      </c>
      <c r="B12" s="154" t="s">
        <v>931</v>
      </c>
      <c r="C12" s="154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54" t="s">
        <v>932</v>
      </c>
      <c r="B13" s="154" t="s">
        <v>933</v>
      </c>
      <c r="C13" s="154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54" t="s">
        <v>934</v>
      </c>
      <c r="B14" s="154" t="s">
        <v>935</v>
      </c>
      <c r="C14" s="154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54" t="s">
        <v>934</v>
      </c>
      <c r="B15" s="154" t="s">
        <v>935</v>
      </c>
      <c r="C15" s="154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54" t="s">
        <v>934</v>
      </c>
      <c r="B16" s="154" t="s">
        <v>935</v>
      </c>
      <c r="C16" s="154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54" t="s">
        <v>936</v>
      </c>
      <c r="B17" s="154" t="s">
        <v>935</v>
      </c>
      <c r="C17" s="154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54" t="s">
        <v>936</v>
      </c>
      <c r="B18" s="154" t="s">
        <v>935</v>
      </c>
      <c r="C18" s="154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54" t="s">
        <v>937</v>
      </c>
      <c r="B19" s="154" t="s">
        <v>935</v>
      </c>
      <c r="C19" s="154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54" t="s">
        <v>937</v>
      </c>
      <c r="B20" s="154" t="s">
        <v>935</v>
      </c>
      <c r="C20" s="154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54" t="s">
        <v>937</v>
      </c>
      <c r="B21" s="154" t="s">
        <v>935</v>
      </c>
      <c r="C21" s="154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54" t="s">
        <v>937</v>
      </c>
      <c r="B22" s="154" t="s">
        <v>935</v>
      </c>
      <c r="C22" s="154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54" t="s">
        <v>938</v>
      </c>
      <c r="B23" s="154" t="s">
        <v>939</v>
      </c>
      <c r="C23" s="154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54" t="s">
        <v>938</v>
      </c>
      <c r="B24" s="154" t="s">
        <v>939</v>
      </c>
      <c r="C24" s="154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54" t="s">
        <v>940</v>
      </c>
      <c r="B25" s="154" t="s">
        <v>939</v>
      </c>
      <c r="C25" s="154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54" t="s">
        <v>940</v>
      </c>
      <c r="B26" s="154" t="s">
        <v>939</v>
      </c>
      <c r="C26" s="154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54" t="s">
        <v>938</v>
      </c>
      <c r="B27" s="154" t="s">
        <v>939</v>
      </c>
      <c r="C27" s="154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54" t="s">
        <v>938</v>
      </c>
      <c r="B28" s="154" t="s">
        <v>939</v>
      </c>
      <c r="C28" s="154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54" t="s">
        <v>938</v>
      </c>
      <c r="B29" s="154" t="s">
        <v>939</v>
      </c>
      <c r="C29" s="154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54" t="s">
        <v>941</v>
      </c>
      <c r="B30" s="154" t="s">
        <v>942</v>
      </c>
      <c r="C30" s="154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54" t="s">
        <v>941</v>
      </c>
      <c r="B31" s="154" t="s">
        <v>942</v>
      </c>
      <c r="C31" s="154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54" t="s">
        <v>943</v>
      </c>
      <c r="B32" s="154" t="s">
        <v>944</v>
      </c>
      <c r="C32" s="154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54" t="s">
        <v>943</v>
      </c>
      <c r="B33" s="154" t="s">
        <v>944</v>
      </c>
      <c r="C33" s="154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54" t="s">
        <v>943</v>
      </c>
      <c r="B34" s="154" t="s">
        <v>944</v>
      </c>
      <c r="C34" s="154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54" t="s">
        <v>943</v>
      </c>
      <c r="B35" s="154" t="s">
        <v>944</v>
      </c>
      <c r="C35" s="154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54" t="s">
        <v>943</v>
      </c>
      <c r="B36" s="154" t="s">
        <v>944</v>
      </c>
      <c r="C36" s="154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54" t="s">
        <v>945</v>
      </c>
      <c r="B37" s="154" t="s">
        <v>946</v>
      </c>
      <c r="C37" s="154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54" t="s">
        <v>945</v>
      </c>
      <c r="B38" s="154" t="s">
        <v>946</v>
      </c>
      <c r="C38" s="154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54" t="s">
        <v>945</v>
      </c>
      <c r="B39" s="154" t="s">
        <v>946</v>
      </c>
      <c r="C39" s="154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54" t="s">
        <v>947</v>
      </c>
      <c r="B40" s="154" t="s">
        <v>948</v>
      </c>
      <c r="C40" s="154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54" t="s">
        <v>947</v>
      </c>
      <c r="B41" s="154" t="s">
        <v>948</v>
      </c>
      <c r="C41" s="154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54" t="s">
        <v>949</v>
      </c>
      <c r="B42" s="154" t="s">
        <v>948</v>
      </c>
      <c r="C42" s="154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54" t="s">
        <v>949</v>
      </c>
      <c r="B43" s="154" t="s">
        <v>948</v>
      </c>
      <c r="C43" s="154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54" t="s">
        <v>950</v>
      </c>
      <c r="B44" s="154" t="s">
        <v>951</v>
      </c>
      <c r="C44" s="154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54" t="s">
        <v>950</v>
      </c>
      <c r="B45" s="154" t="s">
        <v>951</v>
      </c>
      <c r="C45" s="154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54" t="s">
        <v>950</v>
      </c>
      <c r="B46" s="154" t="s">
        <v>951</v>
      </c>
      <c r="C46" s="154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54" t="s">
        <v>952</v>
      </c>
      <c r="B47" s="154" t="s">
        <v>951</v>
      </c>
      <c r="C47" s="154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54" t="s">
        <v>952</v>
      </c>
      <c r="B48" s="154" t="s">
        <v>951</v>
      </c>
      <c r="C48" s="154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54" t="s">
        <v>953</v>
      </c>
      <c r="B49" s="154" t="s">
        <v>954</v>
      </c>
      <c r="C49" s="154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54" t="s">
        <v>953</v>
      </c>
      <c r="B50" s="154" t="s">
        <v>954</v>
      </c>
      <c r="C50" s="154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54" t="s">
        <v>955</v>
      </c>
      <c r="B51" s="154" t="s">
        <v>956</v>
      </c>
      <c r="C51" s="154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54" t="s">
        <v>957</v>
      </c>
      <c r="B52" s="154" t="s">
        <v>958</v>
      </c>
      <c r="C52" s="154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54" t="s">
        <v>959</v>
      </c>
      <c r="B53" s="154" t="s">
        <v>960</v>
      </c>
      <c r="C53" s="154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54" t="s">
        <v>961</v>
      </c>
      <c r="B54" s="154" t="s">
        <v>962</v>
      </c>
      <c r="C54" s="154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54" t="s">
        <v>963</v>
      </c>
      <c r="B55" s="154" t="s">
        <v>964</v>
      </c>
      <c r="C55" s="154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54" t="s">
        <v>965</v>
      </c>
      <c r="B56" s="154" t="s">
        <v>966</v>
      </c>
      <c r="C56" s="154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54" t="s">
        <v>965</v>
      </c>
      <c r="B57" s="154" t="s">
        <v>966</v>
      </c>
      <c r="C57" s="154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3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9" t="s">
        <v>453</v>
      </c>
      <c r="C1" s="160"/>
      <c r="D1" s="160"/>
      <c r="E1" s="161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62" t="s">
        <v>466</v>
      </c>
      <c r="C5" s="162"/>
      <c r="D5" s="162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63"/>
      <c r="C6" s="164"/>
      <c r="D6" s="164"/>
      <c r="E6" s="165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59" t="s">
        <v>543</v>
      </c>
      <c r="C8" s="160"/>
      <c r="D8" s="160"/>
      <c r="E8" s="161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66" t="s">
        <v>572</v>
      </c>
      <c r="C9" s="167"/>
      <c r="D9" s="168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56"/>
      <c r="C17" s="157"/>
      <c r="D17" s="157"/>
      <c r="E17" s="158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6" t="s">
        <v>865</v>
      </c>
      <c r="F2" s="93" t="str">
        <v>Buffalo leather</v>
      </c>
      <c r="G2" s="94" t="str">
        <v>кожа</v>
      </c>
      <c r="H2" s="101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860</v>
      </c>
      <c r="C33" s="139" t="s">
        <v>860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861</v>
      </c>
      <c r="C34" s="139" t="s">
        <v>861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864</v>
      </c>
      <c r="C37" s="139" t="s">
        <v>864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899</v>
      </c>
      <c r="C38" s="139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900</v>
      </c>
      <c r="C39" s="139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901</v>
      </c>
      <c r="C40" s="139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902</v>
      </c>
      <c r="C41" s="139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903</v>
      </c>
      <c r="C42" s="139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904</v>
      </c>
      <c r="C43" s="139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905</v>
      </c>
      <c r="C44" s="139" t="s">
        <v>863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906</v>
      </c>
      <c r="C45" s="139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907</v>
      </c>
      <c r="C46" s="139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89" t="s">
        <v>397</v>
      </c>
      <c r="C47" s="90" t="s">
        <v>803</v>
      </c>
      <c r="D47" s="90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2" bestFit="1" customWidth="1"/>
    <col min="2" max="2" width="7.28515625" style="83" customWidth="1"/>
    <col min="3" max="3" width="35" style="14" customWidth="1"/>
    <col min="4" max="4" width="14.140625" style="82" customWidth="1"/>
    <col min="5" max="5" width="13.42578125" style="82" customWidth="1"/>
    <col min="6" max="16384" width="9.140625" style="14"/>
  </cols>
  <sheetData>
    <row r="1" spans="1:5" ht="19.5" customHeight="1">
      <c r="A1" s="77" t="s">
        <v>371</v>
      </c>
      <c r="B1" s="78" t="s">
        <v>49</v>
      </c>
      <c r="D1" s="77" t="s">
        <v>48</v>
      </c>
      <c r="E1" s="77" t="s">
        <v>50</v>
      </c>
    </row>
    <row r="2" spans="1:5">
      <c r="A2" s="79" t="s">
        <v>78</v>
      </c>
      <c r="B2" s="80" t="s">
        <v>618</v>
      </c>
      <c r="D2" s="81" t="s">
        <v>52</v>
      </c>
      <c r="E2" s="79" t="s">
        <v>53</v>
      </c>
    </row>
    <row r="3" spans="1:5">
      <c r="A3" s="79" t="s">
        <v>71</v>
      </c>
      <c r="B3" s="80" t="s">
        <v>628</v>
      </c>
      <c r="D3" s="81" t="s">
        <v>54</v>
      </c>
      <c r="E3" s="79" t="s">
        <v>55</v>
      </c>
    </row>
    <row r="4" spans="1:5">
      <c r="A4" s="79" t="s">
        <v>195</v>
      </c>
      <c r="B4" s="80" t="s">
        <v>630</v>
      </c>
      <c r="D4" s="81" t="s">
        <v>56</v>
      </c>
      <c r="E4" s="79" t="s">
        <v>57</v>
      </c>
    </row>
    <row r="5" spans="1:5">
      <c r="A5" s="79" t="s">
        <v>53</v>
      </c>
      <c r="B5" s="80" t="s">
        <v>625</v>
      </c>
      <c r="D5" s="81" t="s">
        <v>59</v>
      </c>
      <c r="E5" s="79" t="s">
        <v>60</v>
      </c>
    </row>
    <row r="6" spans="1:5">
      <c r="A6" s="79" t="s">
        <v>187</v>
      </c>
      <c r="B6" s="80" t="s">
        <v>612</v>
      </c>
      <c r="D6" s="81" t="s">
        <v>62</v>
      </c>
      <c r="E6" s="79" t="s">
        <v>63</v>
      </c>
    </row>
    <row r="7" spans="1:5">
      <c r="A7" s="79" t="s">
        <v>677</v>
      </c>
      <c r="B7" s="80" t="s">
        <v>628</v>
      </c>
      <c r="D7" s="81" t="s">
        <v>64</v>
      </c>
      <c r="E7" s="79" t="s">
        <v>65</v>
      </c>
    </row>
    <row r="8" spans="1:5">
      <c r="A8" s="79" t="s">
        <v>68</v>
      </c>
      <c r="B8" s="80" t="s">
        <v>660</v>
      </c>
      <c r="D8" s="81" t="s">
        <v>67</v>
      </c>
      <c r="E8" s="79" t="s">
        <v>68</v>
      </c>
    </row>
    <row r="9" spans="1:5">
      <c r="A9" s="79" t="s">
        <v>57</v>
      </c>
      <c r="B9" s="80" t="s">
        <v>619</v>
      </c>
      <c r="D9" s="81" t="s">
        <v>70</v>
      </c>
      <c r="E9" s="79" t="s">
        <v>71</v>
      </c>
    </row>
    <row r="10" spans="1:5">
      <c r="A10" s="79" t="s">
        <v>91</v>
      </c>
      <c r="B10" s="80" t="s">
        <v>617</v>
      </c>
      <c r="D10" s="81" t="s">
        <v>73</v>
      </c>
      <c r="E10" s="79" t="s">
        <v>63</v>
      </c>
    </row>
    <row r="11" spans="1:5">
      <c r="A11" s="79" t="s">
        <v>277</v>
      </c>
      <c r="B11" s="80" t="s">
        <v>629</v>
      </c>
      <c r="D11" s="81" t="s">
        <v>75</v>
      </c>
      <c r="E11" s="79" t="s">
        <v>63</v>
      </c>
    </row>
    <row r="12" spans="1:5">
      <c r="A12" s="79" t="s">
        <v>55</v>
      </c>
      <c r="B12" s="80" t="s">
        <v>620</v>
      </c>
      <c r="D12" s="81" t="s">
        <v>77</v>
      </c>
      <c r="E12" s="79" t="s">
        <v>78</v>
      </c>
    </row>
    <row r="13" spans="1:5">
      <c r="A13" s="79" t="s">
        <v>678</v>
      </c>
      <c r="B13" s="80" t="s">
        <v>642</v>
      </c>
      <c r="D13" s="81" t="s">
        <v>80</v>
      </c>
      <c r="E13" s="79" t="s">
        <v>60</v>
      </c>
    </row>
    <row r="14" spans="1:5">
      <c r="A14" s="79" t="s">
        <v>269</v>
      </c>
      <c r="B14" s="80" t="s">
        <v>627</v>
      </c>
      <c r="D14" s="81" t="s">
        <v>82</v>
      </c>
      <c r="E14" s="79" t="s">
        <v>83</v>
      </c>
    </row>
    <row r="15" spans="1:5">
      <c r="A15" s="79" t="s">
        <v>282</v>
      </c>
      <c r="B15" s="80" t="s">
        <v>679</v>
      </c>
      <c r="D15" s="81" t="s">
        <v>85</v>
      </c>
      <c r="E15" s="79" t="s">
        <v>86</v>
      </c>
    </row>
    <row r="16" spans="1:5">
      <c r="A16" s="79" t="s">
        <v>116</v>
      </c>
      <c r="B16" s="80" t="s">
        <v>641</v>
      </c>
      <c r="D16" s="81" t="s">
        <v>88</v>
      </c>
      <c r="E16" s="79" t="s">
        <v>60</v>
      </c>
    </row>
    <row r="17" spans="1:5">
      <c r="A17" s="79" t="s">
        <v>248</v>
      </c>
      <c r="B17" s="80" t="s">
        <v>668</v>
      </c>
      <c r="D17" s="81" t="s">
        <v>90</v>
      </c>
      <c r="E17" s="79" t="s">
        <v>91</v>
      </c>
    </row>
    <row r="18" spans="1:5">
      <c r="A18" s="79" t="s">
        <v>117</v>
      </c>
      <c r="B18" s="80" t="s">
        <v>598</v>
      </c>
      <c r="D18" s="81" t="s">
        <v>93</v>
      </c>
      <c r="E18" s="79" t="s">
        <v>68</v>
      </c>
    </row>
    <row r="19" spans="1:5">
      <c r="A19" s="79" t="s">
        <v>111</v>
      </c>
      <c r="B19" s="80" t="s">
        <v>679</v>
      </c>
      <c r="D19" s="81" t="s">
        <v>829</v>
      </c>
      <c r="E19" s="79" t="s">
        <v>126</v>
      </c>
    </row>
    <row r="20" spans="1:5">
      <c r="A20" s="79" t="s">
        <v>119</v>
      </c>
      <c r="B20" s="80" t="s">
        <v>609</v>
      </c>
      <c r="D20" s="81" t="s">
        <v>830</v>
      </c>
      <c r="E20" s="79" t="s">
        <v>83</v>
      </c>
    </row>
    <row r="21" spans="1:5" ht="15.75" customHeight="1">
      <c r="A21" s="79" t="s">
        <v>231</v>
      </c>
      <c r="B21" s="80" t="s">
        <v>663</v>
      </c>
      <c r="D21" s="81" t="s">
        <v>814</v>
      </c>
      <c r="E21" s="79" t="s">
        <v>60</v>
      </c>
    </row>
    <row r="22" spans="1:5">
      <c r="A22" s="79" t="s">
        <v>121</v>
      </c>
      <c r="B22" s="80" t="s">
        <v>623</v>
      </c>
      <c r="D22" s="81" t="s">
        <v>828</v>
      </c>
      <c r="E22" s="79" t="s">
        <v>86</v>
      </c>
    </row>
    <row r="23" spans="1:5">
      <c r="A23" s="79" t="s">
        <v>709</v>
      </c>
      <c r="B23" s="80" t="s">
        <v>623</v>
      </c>
      <c r="D23" s="81" t="s">
        <v>815</v>
      </c>
      <c r="E23" s="79" t="s">
        <v>161</v>
      </c>
    </row>
    <row r="24" spans="1:5">
      <c r="A24" s="79" t="s">
        <v>296</v>
      </c>
      <c r="B24" s="80" t="s">
        <v>638</v>
      </c>
      <c r="D24" s="81" t="s">
        <v>812</v>
      </c>
      <c r="E24" s="79" t="s">
        <v>57</v>
      </c>
    </row>
    <row r="25" spans="1:5">
      <c r="A25" s="79" t="s">
        <v>252</v>
      </c>
      <c r="B25" s="80" t="s">
        <v>669</v>
      </c>
      <c r="D25" s="81" t="s">
        <v>813</v>
      </c>
      <c r="E25" s="79" t="s">
        <v>71</v>
      </c>
    </row>
    <row r="26" spans="1:5">
      <c r="A26" s="79" t="s">
        <v>680</v>
      </c>
      <c r="B26" s="80" t="s">
        <v>638</v>
      </c>
      <c r="D26" s="79" t="s">
        <v>633</v>
      </c>
      <c r="E26" s="79" t="s">
        <v>195</v>
      </c>
    </row>
    <row r="27" spans="1:5">
      <c r="A27" s="79" t="s">
        <v>304</v>
      </c>
      <c r="B27" s="80" t="s">
        <v>607</v>
      </c>
      <c r="D27" s="14"/>
      <c r="E27" s="14"/>
    </row>
    <row r="28" spans="1:5">
      <c r="A28" s="79" t="s">
        <v>249</v>
      </c>
      <c r="B28" s="80" t="s">
        <v>628</v>
      </c>
      <c r="D28" s="14"/>
      <c r="E28" s="14"/>
    </row>
    <row r="29" spans="1:5">
      <c r="A29" s="79" t="s">
        <v>179</v>
      </c>
      <c r="B29" s="80" t="s">
        <v>618</v>
      </c>
      <c r="D29" s="14"/>
      <c r="E29" s="14"/>
    </row>
    <row r="30" spans="1:5">
      <c r="A30" s="79" t="s">
        <v>274</v>
      </c>
      <c r="B30" s="80" t="s">
        <v>618</v>
      </c>
      <c r="D30" s="14"/>
      <c r="E30" s="14"/>
    </row>
    <row r="31" spans="1:5">
      <c r="A31" s="79" t="s">
        <v>302</v>
      </c>
      <c r="B31" s="80" t="s">
        <v>597</v>
      </c>
      <c r="D31" s="14"/>
      <c r="E31" s="14"/>
    </row>
    <row r="32" spans="1:5">
      <c r="A32" s="79" t="s">
        <v>180</v>
      </c>
      <c r="B32" s="80" t="s">
        <v>649</v>
      </c>
      <c r="D32" s="14"/>
      <c r="E32" s="14"/>
    </row>
    <row r="33" spans="1:5">
      <c r="A33" s="79" t="s">
        <v>595</v>
      </c>
      <c r="B33" s="80" t="s">
        <v>625</v>
      </c>
      <c r="D33" s="14"/>
      <c r="E33" s="14"/>
    </row>
    <row r="34" spans="1:5">
      <c r="A34" s="79" t="s">
        <v>60</v>
      </c>
      <c r="B34" s="80" t="s">
        <v>624</v>
      </c>
      <c r="D34" s="14"/>
      <c r="E34" s="14"/>
    </row>
    <row r="35" spans="1:5">
      <c r="A35" s="79" t="s">
        <v>241</v>
      </c>
      <c r="B35" s="80" t="s">
        <v>626</v>
      </c>
      <c r="D35" s="14"/>
      <c r="E35" s="14"/>
    </row>
    <row r="36" spans="1:5">
      <c r="A36" s="79" t="s">
        <v>308</v>
      </c>
      <c r="B36" s="80" t="s">
        <v>550</v>
      </c>
      <c r="D36" s="14"/>
      <c r="E36" s="14"/>
    </row>
    <row r="37" spans="1:5">
      <c r="A37" s="79" t="s">
        <v>294</v>
      </c>
      <c r="B37" s="80" t="s">
        <v>625</v>
      </c>
      <c r="D37" s="14"/>
      <c r="E37" s="14"/>
    </row>
    <row r="38" spans="1:5">
      <c r="A38" s="79" t="s">
        <v>306</v>
      </c>
      <c r="B38" s="80" t="s">
        <v>625</v>
      </c>
      <c r="D38" s="14"/>
      <c r="E38" s="14"/>
    </row>
    <row r="39" spans="1:5">
      <c r="A39" s="79" t="s">
        <v>185</v>
      </c>
      <c r="B39" s="80" t="s">
        <v>618</v>
      </c>
      <c r="D39" s="14"/>
      <c r="E39" s="14"/>
    </row>
    <row r="40" spans="1:5">
      <c r="A40" s="79" t="s">
        <v>186</v>
      </c>
      <c r="B40" s="80" t="s">
        <v>597</v>
      </c>
      <c r="D40" s="14"/>
      <c r="E40" s="14"/>
    </row>
    <row r="41" spans="1:5">
      <c r="A41" s="79" t="s">
        <v>135</v>
      </c>
      <c r="B41" s="80" t="s">
        <v>617</v>
      </c>
      <c r="D41" s="14"/>
      <c r="E41" s="14"/>
    </row>
    <row r="42" spans="1:5">
      <c r="A42" s="79" t="s">
        <v>217</v>
      </c>
      <c r="B42" s="80" t="s">
        <v>622</v>
      </c>
      <c r="D42" s="14"/>
      <c r="E42" s="14"/>
    </row>
    <row r="43" spans="1:5">
      <c r="A43" s="79" t="s">
        <v>681</v>
      </c>
      <c r="B43" s="80" t="s">
        <v>637</v>
      </c>
      <c r="D43" s="14"/>
      <c r="E43" s="14"/>
    </row>
    <row r="44" spans="1:5">
      <c r="A44" s="79" t="s">
        <v>300</v>
      </c>
      <c r="B44" s="80" t="s">
        <v>598</v>
      </c>
      <c r="D44" s="14"/>
      <c r="E44" s="14"/>
    </row>
    <row r="45" spans="1:5">
      <c r="A45" s="79" t="s">
        <v>682</v>
      </c>
      <c r="B45" s="80" t="s">
        <v>679</v>
      </c>
      <c r="D45" s="14"/>
      <c r="E45" s="14"/>
    </row>
    <row r="46" spans="1:5">
      <c r="A46" s="79" t="s">
        <v>592</v>
      </c>
      <c r="B46" s="80" t="s">
        <v>675</v>
      </c>
      <c r="D46" s="14"/>
      <c r="E46" s="14"/>
    </row>
    <row r="47" spans="1:5">
      <c r="A47" s="79" t="s">
        <v>230</v>
      </c>
      <c r="B47" s="80" t="s">
        <v>643</v>
      </c>
      <c r="D47" s="14"/>
      <c r="E47" s="14"/>
    </row>
    <row r="48" spans="1:5">
      <c r="A48" s="79" t="s">
        <v>120</v>
      </c>
      <c r="B48" s="80" t="s">
        <v>663</v>
      </c>
      <c r="D48" s="14"/>
      <c r="E48" s="14"/>
    </row>
    <row r="49" spans="1:5">
      <c r="A49" s="79" t="s">
        <v>83</v>
      </c>
      <c r="B49" s="80" t="s">
        <v>688</v>
      </c>
      <c r="D49" s="14"/>
      <c r="E49" s="14"/>
    </row>
    <row r="50" spans="1:5">
      <c r="A50" s="79" t="s">
        <v>241</v>
      </c>
      <c r="B50" s="80" t="s">
        <v>683</v>
      </c>
      <c r="D50" s="14"/>
      <c r="E50" s="14"/>
    </row>
    <row r="51" spans="1:5">
      <c r="A51" s="79" t="s">
        <v>245</v>
      </c>
      <c r="B51" s="80" t="s">
        <v>614</v>
      </c>
      <c r="D51" s="14"/>
      <c r="E51" s="14"/>
    </row>
    <row r="52" spans="1:5">
      <c r="A52" s="79" t="s">
        <v>160</v>
      </c>
      <c r="B52" s="80" t="s">
        <v>622</v>
      </c>
      <c r="D52" s="14"/>
      <c r="E52" s="14"/>
    </row>
    <row r="53" spans="1:5">
      <c r="A53" s="79" t="s">
        <v>65</v>
      </c>
      <c r="B53" s="80" t="s">
        <v>647</v>
      </c>
      <c r="D53" s="14"/>
      <c r="E53" s="14"/>
    </row>
    <row r="54" spans="1:5">
      <c r="A54" s="79" t="s">
        <v>806</v>
      </c>
      <c r="B54" s="80" t="s">
        <v>647</v>
      </c>
      <c r="D54" s="14"/>
      <c r="E54" s="14"/>
    </row>
    <row r="55" spans="1:5">
      <c r="A55" s="79" t="s">
        <v>684</v>
      </c>
      <c r="B55" s="80" t="s">
        <v>612</v>
      </c>
      <c r="D55" s="14"/>
      <c r="E55" s="14"/>
    </row>
    <row r="56" spans="1:5">
      <c r="A56" s="79" t="s">
        <v>254</v>
      </c>
      <c r="B56" s="80" t="s">
        <v>679</v>
      </c>
      <c r="D56" s="14"/>
      <c r="E56" s="14"/>
    </row>
    <row r="57" spans="1:5">
      <c r="A57" s="79" t="s">
        <v>685</v>
      </c>
      <c r="B57" s="80" t="s">
        <v>686</v>
      </c>
      <c r="D57" s="14"/>
      <c r="E57" s="14"/>
    </row>
    <row r="58" spans="1:5">
      <c r="A58" s="79" t="s">
        <v>687</v>
      </c>
      <c r="B58" s="80" t="s">
        <v>645</v>
      </c>
      <c r="D58" s="14"/>
      <c r="E58" s="14"/>
    </row>
    <row r="59" spans="1:5">
      <c r="A59" s="79" t="s">
        <v>280</v>
      </c>
      <c r="B59" s="80" t="s">
        <v>634</v>
      </c>
      <c r="D59" s="14"/>
      <c r="E59" s="14"/>
    </row>
    <row r="60" spans="1:5">
      <c r="A60" s="79" t="s">
        <v>51</v>
      </c>
      <c r="B60" s="80" t="s">
        <v>688</v>
      </c>
      <c r="D60" s="14"/>
      <c r="E60" s="14"/>
    </row>
    <row r="61" spans="1:5">
      <c r="A61" s="79" t="s">
        <v>97</v>
      </c>
      <c r="B61" s="80" t="s">
        <v>641</v>
      </c>
      <c r="D61" s="14"/>
      <c r="E61" s="14"/>
    </row>
    <row r="62" spans="1:5">
      <c r="A62" s="79" t="s">
        <v>51</v>
      </c>
      <c r="B62" s="80" t="s">
        <v>612</v>
      </c>
      <c r="D62" s="14"/>
      <c r="E62" s="14"/>
    </row>
    <row r="63" spans="1:5">
      <c r="A63" s="79" t="s">
        <v>185</v>
      </c>
      <c r="B63" s="80" t="s">
        <v>597</v>
      </c>
      <c r="D63" s="14"/>
      <c r="E63" s="14"/>
    </row>
    <row r="64" spans="1:5">
      <c r="A64" s="79" t="s">
        <v>111</v>
      </c>
      <c r="B64" s="80" t="s">
        <v>689</v>
      </c>
      <c r="D64" s="14"/>
      <c r="E64" s="14"/>
    </row>
    <row r="65" spans="1:5">
      <c r="A65" s="79" t="s">
        <v>184</v>
      </c>
      <c r="B65" s="80" t="s">
        <v>668</v>
      </c>
      <c r="D65" s="14"/>
      <c r="E65" s="14"/>
    </row>
    <row r="66" spans="1:5">
      <c r="A66" s="79" t="s">
        <v>256</v>
      </c>
      <c r="B66" s="80" t="s">
        <v>679</v>
      </c>
      <c r="D66" s="14"/>
      <c r="E66" s="14"/>
    </row>
    <row r="67" spans="1:5">
      <c r="A67" s="79" t="s">
        <v>202</v>
      </c>
      <c r="B67" s="80" t="s">
        <v>658</v>
      </c>
      <c r="D67" s="14"/>
      <c r="E67" s="14"/>
    </row>
    <row r="68" spans="1:5">
      <c r="A68" s="79" t="s">
        <v>690</v>
      </c>
      <c r="B68" s="80" t="s">
        <v>683</v>
      </c>
      <c r="D68" s="14"/>
      <c r="E68" s="14"/>
    </row>
    <row r="69" spans="1:5">
      <c r="A69" s="79" t="s">
        <v>691</v>
      </c>
      <c r="B69" s="80" t="s">
        <v>612</v>
      </c>
      <c r="D69" s="14"/>
      <c r="E69" s="14"/>
    </row>
    <row r="70" spans="1:5">
      <c r="A70" s="79" t="s">
        <v>299</v>
      </c>
      <c r="B70" s="80" t="s">
        <v>673</v>
      </c>
      <c r="D70" s="14"/>
      <c r="E70" s="14"/>
    </row>
    <row r="71" spans="1:5">
      <c r="A71" s="79" t="s">
        <v>692</v>
      </c>
      <c r="B71" s="80" t="s">
        <v>647</v>
      </c>
      <c r="D71" s="14"/>
      <c r="E71" s="14"/>
    </row>
    <row r="72" spans="1:5">
      <c r="A72" s="79" t="s">
        <v>290</v>
      </c>
      <c r="B72" s="80" t="s">
        <v>604</v>
      </c>
      <c r="D72" s="14"/>
      <c r="E72" s="14"/>
    </row>
    <row r="73" spans="1:5">
      <c r="A73" s="79" t="s">
        <v>308</v>
      </c>
      <c r="B73" s="80" t="s">
        <v>693</v>
      </c>
      <c r="D73" s="14"/>
      <c r="E73" s="14"/>
    </row>
    <row r="74" spans="1:5">
      <c r="A74" s="79" t="s">
        <v>694</v>
      </c>
      <c r="B74" s="80" t="s">
        <v>600</v>
      </c>
      <c r="D74" s="14"/>
      <c r="E74" s="14"/>
    </row>
    <row r="75" spans="1:5">
      <c r="A75" s="79" t="s">
        <v>259</v>
      </c>
      <c r="B75" s="80" t="s">
        <v>596</v>
      </c>
      <c r="D75" s="14"/>
      <c r="E75" s="14"/>
    </row>
    <row r="76" spans="1:5">
      <c r="A76" s="79" t="s">
        <v>694</v>
      </c>
      <c r="B76" s="80" t="s">
        <v>665</v>
      </c>
      <c r="D76" s="14"/>
      <c r="E76" s="14"/>
    </row>
    <row r="77" spans="1:5">
      <c r="A77" s="79" t="s">
        <v>695</v>
      </c>
      <c r="B77" s="80" t="s">
        <v>605</v>
      </c>
      <c r="D77" s="14"/>
      <c r="E77" s="14"/>
    </row>
    <row r="78" spans="1:5">
      <c r="A78" s="79" t="s">
        <v>282</v>
      </c>
      <c r="B78" s="80" t="s">
        <v>671</v>
      </c>
      <c r="D78" s="14"/>
      <c r="E78" s="14"/>
    </row>
    <row r="79" spans="1:5">
      <c r="A79" s="79" t="s">
        <v>296</v>
      </c>
      <c r="B79" s="80" t="s">
        <v>598</v>
      </c>
      <c r="D79" s="14"/>
      <c r="E79" s="14"/>
    </row>
    <row r="80" spans="1:5">
      <c r="A80" s="79" t="s">
        <v>307</v>
      </c>
      <c r="B80" s="80" t="s">
        <v>674</v>
      </c>
      <c r="D80" s="14"/>
      <c r="E80" s="14"/>
    </row>
    <row r="81" spans="1:5">
      <c r="A81" s="79" t="s">
        <v>696</v>
      </c>
      <c r="B81" s="80" t="s">
        <v>697</v>
      </c>
      <c r="D81" s="14"/>
      <c r="E81" s="14"/>
    </row>
    <row r="82" spans="1:5">
      <c r="A82" s="79" t="s">
        <v>63</v>
      </c>
      <c r="B82" s="80" t="s">
        <v>631</v>
      </c>
      <c r="D82" s="14"/>
      <c r="E82" s="14"/>
    </row>
    <row r="83" spans="1:5">
      <c r="A83" s="79" t="s">
        <v>107</v>
      </c>
      <c r="B83" s="80" t="s">
        <v>636</v>
      </c>
      <c r="D83" s="14"/>
      <c r="E83" s="14"/>
    </row>
    <row r="84" spans="1:5">
      <c r="A84" s="79" t="s">
        <v>244</v>
      </c>
      <c r="B84" s="80" t="s">
        <v>661</v>
      </c>
      <c r="D84" s="14"/>
      <c r="E84" s="14"/>
    </row>
    <row r="85" spans="1:5">
      <c r="A85" s="79" t="s">
        <v>60</v>
      </c>
      <c r="B85" s="80" t="s">
        <v>628</v>
      </c>
      <c r="D85" s="14"/>
      <c r="E85" s="14"/>
    </row>
    <row r="86" spans="1:5">
      <c r="A86" s="79" t="s">
        <v>83</v>
      </c>
      <c r="B86" s="80" t="s">
        <v>659</v>
      </c>
      <c r="D86" s="14"/>
      <c r="E86" s="14"/>
    </row>
    <row r="87" spans="1:5">
      <c r="A87" s="79" t="s">
        <v>209</v>
      </c>
      <c r="B87" s="80" t="s">
        <v>659</v>
      </c>
      <c r="D87" s="14"/>
      <c r="E87" s="14"/>
    </row>
    <row r="88" spans="1:5">
      <c r="A88" s="79" t="s">
        <v>86</v>
      </c>
      <c r="B88" s="80" t="s">
        <v>621</v>
      </c>
      <c r="D88" s="14"/>
      <c r="E88" s="14"/>
    </row>
    <row r="89" spans="1:5">
      <c r="A89" s="79" t="s">
        <v>199</v>
      </c>
      <c r="B89" s="80" t="s">
        <v>622</v>
      </c>
      <c r="D89" s="14"/>
      <c r="E89" s="14"/>
    </row>
    <row r="90" spans="1:5">
      <c r="A90" s="79" t="s">
        <v>306</v>
      </c>
      <c r="B90" s="80" t="s">
        <v>632</v>
      </c>
      <c r="D90" s="14"/>
      <c r="E90" s="14"/>
    </row>
    <row r="91" spans="1:5">
      <c r="A91" s="79" t="s">
        <v>293</v>
      </c>
      <c r="B91" s="80" t="s">
        <v>597</v>
      </c>
      <c r="D91" s="14"/>
      <c r="E91" s="14"/>
    </row>
    <row r="92" spans="1:5">
      <c r="A92" s="79" t="s">
        <v>194</v>
      </c>
      <c r="B92" s="80" t="s">
        <v>626</v>
      </c>
      <c r="D92" s="14"/>
      <c r="E92" s="14"/>
    </row>
    <row r="93" spans="1:5">
      <c r="A93" s="79" t="s">
        <v>309</v>
      </c>
      <c r="B93" s="80" t="s">
        <v>596</v>
      </c>
      <c r="D93" s="14"/>
      <c r="E93" s="14"/>
    </row>
    <row r="94" spans="1:5">
      <c r="A94" s="79" t="s">
        <v>299</v>
      </c>
      <c r="B94" s="80" t="s">
        <v>627</v>
      </c>
      <c r="D94" s="14"/>
      <c r="E94" s="14"/>
    </row>
    <row r="95" spans="1:5">
      <c r="A95" s="79" t="s">
        <v>298</v>
      </c>
      <c r="B95" s="80" t="s">
        <v>625</v>
      </c>
      <c r="D95" s="14"/>
      <c r="E95" s="14"/>
    </row>
    <row r="96" spans="1:5">
      <c r="A96" s="79" t="s">
        <v>591</v>
      </c>
      <c r="B96" s="80" t="s">
        <v>625</v>
      </c>
      <c r="D96" s="14"/>
      <c r="E96" s="14"/>
    </row>
    <row r="97" spans="1:5">
      <c r="A97" s="79" t="s">
        <v>698</v>
      </c>
      <c r="B97" s="80" t="s">
        <v>628</v>
      </c>
      <c r="D97" s="14"/>
      <c r="E97" s="14"/>
    </row>
    <row r="98" spans="1:5">
      <c r="A98" s="79" t="s">
        <v>699</v>
      </c>
      <c r="B98" s="80" t="s">
        <v>620</v>
      </c>
      <c r="D98" s="14"/>
      <c r="E98" s="14"/>
    </row>
    <row r="99" spans="1:5">
      <c r="A99" s="79" t="s">
        <v>106</v>
      </c>
      <c r="B99" s="80" t="s">
        <v>619</v>
      </c>
      <c r="D99" s="14"/>
      <c r="E99" s="14"/>
    </row>
    <row r="100" spans="1:5">
      <c r="A100" s="79" t="s">
        <v>594</v>
      </c>
      <c r="B100" s="80" t="s">
        <v>620</v>
      </c>
      <c r="D100" s="14"/>
      <c r="E100" s="14"/>
    </row>
    <row r="101" spans="1:5">
      <c r="A101" s="79" t="s">
        <v>235</v>
      </c>
      <c r="B101" s="80" t="s">
        <v>614</v>
      </c>
      <c r="D101" s="14"/>
      <c r="E101" s="14"/>
    </row>
    <row r="102" spans="1:5">
      <c r="A102" s="79" t="s">
        <v>307</v>
      </c>
      <c r="B102" s="80" t="s">
        <v>661</v>
      </c>
      <c r="D102" s="14"/>
      <c r="E102" s="14"/>
    </row>
    <row r="103" spans="1:5">
      <c r="A103" s="79" t="s">
        <v>306</v>
      </c>
      <c r="B103" s="80" t="s">
        <v>626</v>
      </c>
      <c r="D103" s="14"/>
      <c r="E103" s="14"/>
    </row>
    <row r="104" spans="1:5">
      <c r="A104" s="79" t="s">
        <v>305</v>
      </c>
      <c r="B104" s="80" t="s">
        <v>626</v>
      </c>
      <c r="D104" s="14"/>
      <c r="E104" s="14"/>
    </row>
    <row r="105" spans="1:5">
      <c r="A105" s="79" t="s">
        <v>242</v>
      </c>
      <c r="B105" s="80" t="s">
        <v>651</v>
      </c>
      <c r="D105" s="14"/>
      <c r="E105" s="14"/>
    </row>
    <row r="106" spans="1:5">
      <c r="A106" s="79" t="s">
        <v>53</v>
      </c>
      <c r="B106" s="80" t="s">
        <v>620</v>
      </c>
      <c r="D106" s="14"/>
      <c r="E106" s="14"/>
    </row>
    <row r="107" spans="1:5">
      <c r="A107" s="79" t="s">
        <v>251</v>
      </c>
      <c r="B107" s="80" t="s">
        <v>628</v>
      </c>
      <c r="D107" s="14"/>
      <c r="E107" s="14"/>
    </row>
    <row r="108" spans="1:5">
      <c r="A108" s="79" t="s">
        <v>111</v>
      </c>
      <c r="B108" s="80" t="s">
        <v>619</v>
      </c>
      <c r="D108" s="14"/>
      <c r="E108" s="14"/>
    </row>
    <row r="109" spans="1:5">
      <c r="A109" s="79" t="s">
        <v>203</v>
      </c>
      <c r="B109" s="80" t="s">
        <v>622</v>
      </c>
      <c r="D109" s="14"/>
      <c r="E109" s="14"/>
    </row>
    <row r="110" spans="1:5">
      <c r="A110" s="79" t="s">
        <v>170</v>
      </c>
      <c r="B110" s="80" t="s">
        <v>597</v>
      </c>
      <c r="D110" s="14"/>
      <c r="E110" s="14"/>
    </row>
    <row r="111" spans="1:5">
      <c r="A111" s="79" t="s">
        <v>700</v>
      </c>
      <c r="B111" s="80" t="s">
        <v>630</v>
      </c>
      <c r="D111" s="14"/>
      <c r="E111" s="14"/>
    </row>
    <row r="112" spans="1:5">
      <c r="A112" s="79" t="s">
        <v>195</v>
      </c>
      <c r="B112" s="80" t="s">
        <v>621</v>
      </c>
      <c r="D112" s="14"/>
      <c r="E112" s="14"/>
    </row>
    <row r="113" spans="1:5">
      <c r="A113" s="79" t="s">
        <v>752</v>
      </c>
      <c r="B113" s="80" t="s">
        <v>621</v>
      </c>
      <c r="D113" s="14"/>
      <c r="E113" s="14"/>
    </row>
    <row r="114" spans="1:5">
      <c r="A114" s="79" t="s">
        <v>195</v>
      </c>
      <c r="B114" s="80" t="s">
        <v>626</v>
      </c>
      <c r="D114" s="14"/>
      <c r="E114" s="14"/>
    </row>
    <row r="115" spans="1:5">
      <c r="A115" s="79" t="s">
        <v>593</v>
      </c>
      <c r="B115" s="80" t="s">
        <v>671</v>
      </c>
      <c r="D115" s="14"/>
      <c r="E115" s="14"/>
    </row>
    <row r="116" spans="1:5">
      <c r="A116" s="79" t="s">
        <v>309</v>
      </c>
      <c r="B116" s="80" t="s">
        <v>628</v>
      </c>
      <c r="D116" s="14"/>
      <c r="E116" s="14"/>
    </row>
    <row r="117" spans="1:5">
      <c r="A117" s="79" t="s">
        <v>86</v>
      </c>
      <c r="B117" s="80" t="s">
        <v>629</v>
      </c>
      <c r="D117" s="14"/>
      <c r="E117" s="14"/>
    </row>
    <row r="118" spans="1:5">
      <c r="A118" s="79" t="s">
        <v>269</v>
      </c>
      <c r="B118" s="80" t="s">
        <v>621</v>
      </c>
      <c r="D118" s="14"/>
      <c r="E118" s="14"/>
    </row>
    <row r="119" spans="1:5">
      <c r="A119" s="79" t="s">
        <v>293</v>
      </c>
      <c r="B119" s="80" t="s">
        <v>609</v>
      </c>
      <c r="D119" s="14"/>
      <c r="E119" s="14"/>
    </row>
    <row r="120" spans="1:5">
      <c r="A120" s="79" t="s">
        <v>51</v>
      </c>
      <c r="B120" s="80" t="s">
        <v>626</v>
      </c>
      <c r="D120" s="14"/>
      <c r="E120" s="14"/>
    </row>
    <row r="121" spans="1:5">
      <c r="A121" s="79" t="s">
        <v>253</v>
      </c>
      <c r="B121" s="80" t="s">
        <v>598</v>
      </c>
      <c r="D121" s="14"/>
      <c r="E121" s="14"/>
    </row>
    <row r="122" spans="1:5">
      <c r="A122" s="79" t="s">
        <v>259</v>
      </c>
      <c r="B122" s="80" t="s">
        <v>625</v>
      </c>
      <c r="D122" s="14"/>
      <c r="E122" s="14"/>
    </row>
    <row r="123" spans="1:5">
      <c r="A123" s="79" t="s">
        <v>301</v>
      </c>
      <c r="B123" s="80" t="s">
        <v>656</v>
      </c>
      <c r="D123" s="14"/>
      <c r="E123" s="14"/>
    </row>
    <row r="124" spans="1:5">
      <c r="A124" s="79" t="s">
        <v>701</v>
      </c>
      <c r="B124" s="80" t="s">
        <v>614</v>
      </c>
      <c r="D124" s="14"/>
      <c r="E124" s="14"/>
    </row>
    <row r="125" spans="1:5">
      <c r="A125" s="79" t="s">
        <v>118</v>
      </c>
      <c r="B125" s="80" t="s">
        <v>655</v>
      </c>
      <c r="D125" s="14"/>
      <c r="E125" s="14"/>
    </row>
    <row r="126" spans="1:5">
      <c r="A126" s="79" t="s">
        <v>286</v>
      </c>
      <c r="B126" s="80" t="s">
        <v>611</v>
      </c>
      <c r="D126" s="14"/>
      <c r="E126" s="14"/>
    </row>
    <row r="127" spans="1:5">
      <c r="A127" s="79" t="s">
        <v>835</v>
      </c>
      <c r="B127" s="80" t="s">
        <v>611</v>
      </c>
      <c r="D127" s="14"/>
      <c r="E127" s="14"/>
    </row>
    <row r="128" spans="1:5">
      <c r="A128" s="79" t="s">
        <v>306</v>
      </c>
      <c r="B128" s="80" t="s">
        <v>621</v>
      </c>
      <c r="D128" s="14"/>
      <c r="E128" s="14"/>
    </row>
    <row r="129" spans="1:5">
      <c r="A129" s="79" t="s">
        <v>226</v>
      </c>
      <c r="B129" s="80" t="s">
        <v>666</v>
      </c>
      <c r="D129" s="14"/>
      <c r="E129" s="14"/>
    </row>
    <row r="130" spans="1:5">
      <c r="A130" s="79" t="s">
        <v>53</v>
      </c>
      <c r="B130" s="80" t="s">
        <v>629</v>
      </c>
      <c r="D130" s="14"/>
      <c r="E130" s="14"/>
    </row>
    <row r="131" spans="1:5">
      <c r="A131" s="79" t="s">
        <v>250</v>
      </c>
      <c r="B131" s="80" t="s">
        <v>683</v>
      </c>
      <c r="D131" s="14"/>
      <c r="E131" s="14"/>
    </row>
    <row r="132" spans="1:5">
      <c r="A132" s="79" t="s">
        <v>702</v>
      </c>
      <c r="B132" s="80" t="s">
        <v>664</v>
      </c>
      <c r="D132" s="14"/>
      <c r="E132" s="14"/>
    </row>
    <row r="133" spans="1:5">
      <c r="A133" s="79" t="s">
        <v>205</v>
      </c>
      <c r="B133" s="80" t="s">
        <v>631</v>
      </c>
      <c r="D133" s="14"/>
      <c r="E133" s="14"/>
    </row>
    <row r="134" spans="1:5">
      <c r="A134" s="79" t="s">
        <v>101</v>
      </c>
      <c r="B134" s="80" t="s">
        <v>607</v>
      </c>
      <c r="D134" s="14"/>
      <c r="E134" s="14"/>
    </row>
    <row r="135" spans="1:5">
      <c r="A135" s="79" t="s">
        <v>703</v>
      </c>
      <c r="B135" s="80" t="s">
        <v>625</v>
      </c>
      <c r="D135" s="14"/>
      <c r="E135" s="14"/>
    </row>
    <row r="136" spans="1:5">
      <c r="A136" s="79" t="s">
        <v>853</v>
      </c>
      <c r="B136" s="80" t="s">
        <v>624</v>
      </c>
      <c r="D136" s="14"/>
      <c r="E136" s="14"/>
    </row>
    <row r="137" spans="1:5">
      <c r="A137" s="79" t="s">
        <v>133</v>
      </c>
      <c r="B137" s="80" t="s">
        <v>617</v>
      </c>
      <c r="D137" s="14"/>
      <c r="E137" s="14"/>
    </row>
    <row r="138" spans="1:5">
      <c r="A138" s="79" t="s">
        <v>704</v>
      </c>
      <c r="B138" s="80" t="s">
        <v>660</v>
      </c>
      <c r="D138" s="14"/>
      <c r="E138" s="14"/>
    </row>
    <row r="139" spans="1:5">
      <c r="A139" s="79" t="s">
        <v>109</v>
      </c>
      <c r="B139" s="80" t="s">
        <v>624</v>
      </c>
      <c r="D139" s="14"/>
      <c r="E139" s="14"/>
    </row>
    <row r="140" spans="1:5">
      <c r="A140" s="79" t="s">
        <v>83</v>
      </c>
      <c r="B140" s="80" t="s">
        <v>621</v>
      </c>
      <c r="D140" s="14"/>
      <c r="E140" s="14"/>
    </row>
    <row r="141" spans="1:5">
      <c r="A141" s="79" t="s">
        <v>141</v>
      </c>
      <c r="B141" s="80" t="s">
        <v>625</v>
      </c>
      <c r="D141" s="14"/>
      <c r="E141" s="14"/>
    </row>
    <row r="142" spans="1:5">
      <c r="A142" s="79" t="s">
        <v>183</v>
      </c>
      <c r="B142" s="80" t="s">
        <v>632</v>
      </c>
      <c r="D142" s="14"/>
      <c r="E142" s="14"/>
    </row>
    <row r="143" spans="1:5">
      <c r="A143" s="79" t="s">
        <v>185</v>
      </c>
      <c r="B143" s="80" t="s">
        <v>632</v>
      </c>
      <c r="D143" s="14"/>
      <c r="E143" s="14"/>
    </row>
    <row r="144" spans="1:5">
      <c r="A144" s="79" t="s">
        <v>57</v>
      </c>
      <c r="B144" s="80" t="s">
        <v>620</v>
      </c>
      <c r="D144" s="14"/>
      <c r="E144" s="14"/>
    </row>
    <row r="145" spans="1:5">
      <c r="A145" s="79" t="s">
        <v>86</v>
      </c>
      <c r="B145" s="80" t="s">
        <v>622</v>
      </c>
      <c r="D145" s="14"/>
      <c r="E145" s="14"/>
    </row>
    <row r="146" spans="1:5">
      <c r="A146" s="79" t="s">
        <v>296</v>
      </c>
      <c r="B146" s="80" t="s">
        <v>625</v>
      </c>
      <c r="D146" s="14"/>
      <c r="E146" s="14"/>
    </row>
    <row r="147" spans="1:5">
      <c r="A147" s="79" t="s">
        <v>705</v>
      </c>
      <c r="B147" s="80" t="s">
        <v>622</v>
      </c>
      <c r="D147" s="14"/>
      <c r="E147" s="14"/>
    </row>
    <row r="148" spans="1:5">
      <c r="A148" s="79" t="s">
        <v>133</v>
      </c>
      <c r="B148" s="80" t="s">
        <v>596</v>
      </c>
      <c r="D148" s="14"/>
      <c r="E148" s="14"/>
    </row>
    <row r="149" spans="1:5">
      <c r="A149" s="79" t="s">
        <v>175</v>
      </c>
      <c r="B149" s="80" t="s">
        <v>621</v>
      </c>
      <c r="D149" s="14"/>
      <c r="E149" s="14"/>
    </row>
    <row r="150" spans="1:5">
      <c r="A150" s="79" t="s">
        <v>158</v>
      </c>
      <c r="B150" s="80" t="s">
        <v>632</v>
      </c>
      <c r="D150" s="14"/>
      <c r="E150" s="14"/>
    </row>
    <row r="151" spans="1:5">
      <c r="A151" s="79" t="s">
        <v>86</v>
      </c>
      <c r="B151" s="80" t="s">
        <v>666</v>
      </c>
      <c r="D151" s="14"/>
      <c r="E151" s="14"/>
    </row>
    <row r="152" spans="1:5">
      <c r="A152" s="79" t="s">
        <v>68</v>
      </c>
      <c r="B152" s="80" t="s">
        <v>622</v>
      </c>
      <c r="D152" s="14"/>
      <c r="E152" s="14"/>
    </row>
    <row r="153" spans="1:5">
      <c r="A153" s="79" t="s">
        <v>187</v>
      </c>
      <c r="B153" s="80" t="s">
        <v>619</v>
      </c>
      <c r="D153" s="14"/>
      <c r="E153" s="14"/>
    </row>
    <row r="154" spans="1:5">
      <c r="A154" s="79" t="s">
        <v>191</v>
      </c>
      <c r="B154" s="80" t="s">
        <v>611</v>
      </c>
      <c r="D154" s="14"/>
      <c r="E154" s="14"/>
    </row>
    <row r="155" spans="1:5">
      <c r="A155" s="79" t="s">
        <v>144</v>
      </c>
      <c r="B155" s="80" t="s">
        <v>648</v>
      </c>
      <c r="D155" s="14"/>
      <c r="E155" s="14"/>
    </row>
    <row r="156" spans="1:5">
      <c r="A156" s="79" t="s">
        <v>71</v>
      </c>
      <c r="B156" s="80" t="s">
        <v>620</v>
      </c>
      <c r="D156" s="14"/>
      <c r="E156" s="14"/>
    </row>
    <row r="157" spans="1:5">
      <c r="A157" s="79" t="s">
        <v>180</v>
      </c>
      <c r="B157" s="80" t="s">
        <v>621</v>
      </c>
      <c r="D157" s="14"/>
      <c r="E157" s="14"/>
    </row>
    <row r="158" spans="1:5">
      <c r="A158" s="79" t="s">
        <v>241</v>
      </c>
      <c r="B158" s="80" t="s">
        <v>618</v>
      </c>
      <c r="D158" s="14"/>
      <c r="E158" s="14"/>
    </row>
    <row r="159" spans="1:5">
      <c r="A159" s="79" t="s">
        <v>194</v>
      </c>
      <c r="B159" s="80" t="s">
        <v>619</v>
      </c>
      <c r="D159" s="14"/>
      <c r="E159" s="14"/>
    </row>
    <row r="160" spans="1:5">
      <c r="A160" s="79" t="s">
        <v>706</v>
      </c>
      <c r="B160" s="80" t="s">
        <v>626</v>
      </c>
      <c r="D160" s="14"/>
      <c r="E160" s="14"/>
    </row>
    <row r="161" spans="1:5">
      <c r="A161" s="79" t="s">
        <v>236</v>
      </c>
      <c r="B161" s="80" t="s">
        <v>632</v>
      </c>
      <c r="D161" s="14"/>
      <c r="E161" s="14"/>
    </row>
    <row r="162" spans="1:5">
      <c r="A162" s="79" t="s">
        <v>277</v>
      </c>
      <c r="B162" s="80" t="s">
        <v>609</v>
      </c>
      <c r="D162" s="14"/>
      <c r="E162" s="14"/>
    </row>
    <row r="163" spans="1:5">
      <c r="A163" s="79" t="s">
        <v>119</v>
      </c>
      <c r="B163" s="80" t="s">
        <v>625</v>
      </c>
      <c r="D163" s="14"/>
      <c r="E163" s="14"/>
    </row>
    <row r="164" spans="1:5">
      <c r="A164" s="79" t="s">
        <v>271</v>
      </c>
      <c r="B164" s="80" t="s">
        <v>671</v>
      </c>
      <c r="D164" s="14"/>
      <c r="E164" s="14"/>
    </row>
    <row r="165" spans="1:5">
      <c r="A165" s="79" t="s">
        <v>698</v>
      </c>
      <c r="B165" s="80" t="s">
        <v>620</v>
      </c>
      <c r="D165" s="14"/>
      <c r="E165" s="14"/>
    </row>
    <row r="166" spans="1:5">
      <c r="A166" s="79" t="s">
        <v>219</v>
      </c>
      <c r="B166" s="80" t="s">
        <v>630</v>
      </c>
      <c r="D166" s="14"/>
      <c r="E166" s="14"/>
    </row>
    <row r="167" spans="1:5">
      <c r="A167" s="79" t="s">
        <v>186</v>
      </c>
      <c r="B167" s="80" t="s">
        <v>618</v>
      </c>
      <c r="D167" s="14"/>
      <c r="E167" s="14"/>
    </row>
    <row r="168" spans="1:5">
      <c r="A168" s="79" t="s">
        <v>120</v>
      </c>
      <c r="B168" s="80" t="s">
        <v>615</v>
      </c>
      <c r="D168" s="14"/>
      <c r="E168" s="14"/>
    </row>
    <row r="169" spans="1:5">
      <c r="A169" s="79" t="s">
        <v>143</v>
      </c>
      <c r="B169" s="80" t="s">
        <v>632</v>
      </c>
      <c r="D169" s="14"/>
      <c r="E169" s="14"/>
    </row>
    <row r="170" spans="1:5">
      <c r="A170" s="79" t="s">
        <v>157</v>
      </c>
      <c r="B170" s="80" t="s">
        <v>632</v>
      </c>
      <c r="D170" s="14"/>
      <c r="E170" s="14"/>
    </row>
    <row r="171" spans="1:5">
      <c r="A171" s="79" t="s">
        <v>168</v>
      </c>
      <c r="B171" s="80" t="s">
        <v>652</v>
      </c>
      <c r="D171" s="14"/>
      <c r="E171" s="14"/>
    </row>
    <row r="172" spans="1:5">
      <c r="A172" s="79" t="s">
        <v>152</v>
      </c>
      <c r="B172" s="80" t="s">
        <v>652</v>
      </c>
      <c r="D172" s="14"/>
      <c r="E172" s="14"/>
    </row>
    <row r="173" spans="1:5">
      <c r="A173" s="79" t="s">
        <v>139</v>
      </c>
      <c r="B173" s="80" t="s">
        <v>645</v>
      </c>
      <c r="D173" s="14"/>
      <c r="E173" s="14"/>
    </row>
    <row r="174" spans="1:5">
      <c r="A174" s="79" t="s">
        <v>707</v>
      </c>
      <c r="B174" s="80" t="s">
        <v>619</v>
      </c>
      <c r="D174" s="14"/>
      <c r="E174" s="14"/>
    </row>
    <row r="175" spans="1:5">
      <c r="A175" s="79" t="s">
        <v>278</v>
      </c>
      <c r="B175" s="80" t="s">
        <v>614</v>
      </c>
      <c r="D175" s="14"/>
      <c r="E175" s="14"/>
    </row>
    <row r="176" spans="1:5">
      <c r="A176" s="79" t="s">
        <v>279</v>
      </c>
      <c r="B176" s="80" t="s">
        <v>634</v>
      </c>
      <c r="D176" s="14"/>
      <c r="E176" s="14"/>
    </row>
    <row r="177" spans="1:5">
      <c r="A177" s="79" t="s">
        <v>845</v>
      </c>
      <c r="B177" s="80" t="s">
        <v>632</v>
      </c>
      <c r="D177" s="14"/>
      <c r="E177" s="14"/>
    </row>
    <row r="178" spans="1:5">
      <c r="A178" s="79" t="s">
        <v>847</v>
      </c>
      <c r="B178" s="80" t="s">
        <v>632</v>
      </c>
      <c r="D178" s="14"/>
      <c r="E178" s="14"/>
    </row>
    <row r="179" spans="1:5">
      <c r="A179" s="79" t="s">
        <v>169</v>
      </c>
      <c r="B179" s="80" t="s">
        <v>632</v>
      </c>
      <c r="D179" s="14"/>
      <c r="E179" s="14"/>
    </row>
    <row r="180" spans="1:5">
      <c r="A180" s="79" t="s">
        <v>167</v>
      </c>
      <c r="B180" s="80" t="s">
        <v>621</v>
      </c>
      <c r="D180" s="14"/>
      <c r="E180" s="14"/>
    </row>
    <row r="181" spans="1:5">
      <c r="A181" s="79" t="s">
        <v>122</v>
      </c>
      <c r="B181" s="80" t="s">
        <v>606</v>
      </c>
      <c r="D181" s="14"/>
      <c r="E181" s="14"/>
    </row>
    <row r="182" spans="1:5">
      <c r="A182" s="79" t="s">
        <v>164</v>
      </c>
      <c r="B182" s="80" t="s">
        <v>621</v>
      </c>
      <c r="D182" s="14"/>
      <c r="E182" s="14"/>
    </row>
    <row r="183" spans="1:5">
      <c r="A183" s="79" t="s">
        <v>293</v>
      </c>
      <c r="B183" s="80" t="s">
        <v>625</v>
      </c>
      <c r="D183" s="14"/>
      <c r="E183" s="14"/>
    </row>
    <row r="184" spans="1:5">
      <c r="A184" s="79" t="s">
        <v>228</v>
      </c>
      <c r="B184" s="80" t="s">
        <v>708</v>
      </c>
      <c r="D184" s="14"/>
      <c r="E184" s="14"/>
    </row>
    <row r="185" spans="1:5">
      <c r="A185" s="79" t="s">
        <v>220</v>
      </c>
      <c r="B185" s="80" t="s">
        <v>663</v>
      </c>
      <c r="D185" s="14"/>
      <c r="E185" s="14"/>
    </row>
    <row r="186" spans="1:5">
      <c r="A186" s="79" t="s">
        <v>83</v>
      </c>
      <c r="B186" s="80" t="s">
        <v>619</v>
      </c>
      <c r="D186" s="14"/>
      <c r="E186" s="14"/>
    </row>
    <row r="187" spans="1:5">
      <c r="A187" s="79" t="s">
        <v>109</v>
      </c>
      <c r="B187" s="80" t="s">
        <v>637</v>
      </c>
      <c r="D187" s="14"/>
      <c r="E187" s="14"/>
    </row>
    <row r="188" spans="1:5">
      <c r="A188" s="79" t="s">
        <v>296</v>
      </c>
      <c r="B188" s="80" t="s">
        <v>630</v>
      </c>
      <c r="D188" s="14"/>
      <c r="E188" s="14"/>
    </row>
    <row r="189" spans="1:5">
      <c r="A189" s="79" t="s">
        <v>158</v>
      </c>
      <c r="B189" s="80" t="s">
        <v>630</v>
      </c>
      <c r="D189" s="14"/>
      <c r="E189" s="14"/>
    </row>
    <row r="190" spans="1:5">
      <c r="A190" s="79" t="s">
        <v>192</v>
      </c>
      <c r="B190" s="80" t="s">
        <v>643</v>
      </c>
      <c r="D190" s="14"/>
      <c r="E190" s="14"/>
    </row>
    <row r="191" spans="1:5">
      <c r="A191" s="79" t="s">
        <v>807</v>
      </c>
      <c r="B191" s="80" t="s">
        <v>643</v>
      </c>
      <c r="D191" s="14"/>
      <c r="E191" s="14"/>
    </row>
    <row r="192" spans="1:5">
      <c r="A192" s="79" t="s">
        <v>156</v>
      </c>
      <c r="B192" s="80" t="s">
        <v>647</v>
      </c>
      <c r="D192" s="14"/>
      <c r="E192" s="14"/>
    </row>
    <row r="193" spans="1:5">
      <c r="A193" s="79" t="s">
        <v>79</v>
      </c>
      <c r="B193" s="80" t="s">
        <v>635</v>
      </c>
      <c r="D193" s="14"/>
      <c r="E193" s="14"/>
    </row>
    <row r="194" spans="1:5">
      <c r="A194" s="79" t="s">
        <v>71</v>
      </c>
      <c r="B194" s="80" t="s">
        <v>617</v>
      </c>
      <c r="D194" s="14"/>
      <c r="E194" s="14"/>
    </row>
    <row r="195" spans="1:5">
      <c r="A195" s="79" t="s">
        <v>245</v>
      </c>
      <c r="B195" s="80" t="s">
        <v>708</v>
      </c>
      <c r="D195" s="14"/>
      <c r="E195" s="14"/>
    </row>
    <row r="196" spans="1:5">
      <c r="A196" s="79" t="s">
        <v>71</v>
      </c>
      <c r="B196" s="80" t="s">
        <v>619</v>
      </c>
      <c r="D196" s="14"/>
      <c r="E196" s="14"/>
    </row>
    <row r="197" spans="1:5">
      <c r="A197" s="79" t="s">
        <v>55</v>
      </c>
      <c r="B197" s="80" t="s">
        <v>628</v>
      </c>
      <c r="D197" s="14"/>
      <c r="E197" s="14"/>
    </row>
    <row r="198" spans="1:5">
      <c r="A198" s="79" t="s">
        <v>313</v>
      </c>
      <c r="B198" s="80" t="s">
        <v>617</v>
      </c>
      <c r="D198" s="14"/>
      <c r="E198" s="14"/>
    </row>
    <row r="199" spans="1:5">
      <c r="A199" s="79" t="s">
        <v>300</v>
      </c>
      <c r="B199" s="80" t="s">
        <v>647</v>
      </c>
      <c r="D199" s="14"/>
      <c r="E199" s="14"/>
    </row>
    <row r="200" spans="1:5">
      <c r="A200" s="79" t="s">
        <v>60</v>
      </c>
      <c r="B200" s="80" t="s">
        <v>617</v>
      </c>
      <c r="D200" s="14"/>
      <c r="E200" s="14"/>
    </row>
    <row r="201" spans="1:5">
      <c r="A201" s="79" t="s">
        <v>216</v>
      </c>
      <c r="B201" s="80" t="s">
        <v>662</v>
      </c>
      <c r="D201" s="14"/>
      <c r="E201" s="14"/>
    </row>
    <row r="202" spans="1:5">
      <c r="A202" s="79" t="s">
        <v>63</v>
      </c>
      <c r="B202" s="80" t="s">
        <v>621</v>
      </c>
      <c r="D202" s="14"/>
      <c r="E202" s="14"/>
    </row>
    <row r="203" spans="1:5">
      <c r="A203" s="79" t="s">
        <v>261</v>
      </c>
      <c r="B203" s="80" t="s">
        <v>613</v>
      </c>
      <c r="D203" s="14"/>
      <c r="E203" s="14"/>
    </row>
    <row r="204" spans="1:5">
      <c r="A204" s="79" t="s">
        <v>87</v>
      </c>
      <c r="B204" s="80" t="s">
        <v>606</v>
      </c>
      <c r="D204" s="14"/>
      <c r="E204" s="14"/>
    </row>
    <row r="205" spans="1:5">
      <c r="A205" s="79" t="s">
        <v>110</v>
      </c>
      <c r="B205" s="80" t="s">
        <v>647</v>
      </c>
      <c r="D205" s="14"/>
      <c r="E205" s="14"/>
    </row>
    <row r="206" spans="1:5">
      <c r="A206" s="79" t="s">
        <v>250</v>
      </c>
      <c r="B206" s="80" t="s">
        <v>628</v>
      </c>
      <c r="D206" s="14"/>
      <c r="E206" s="14"/>
    </row>
    <row r="207" spans="1:5">
      <c r="A207" s="79" t="s">
        <v>149</v>
      </c>
      <c r="B207" s="80" t="s">
        <v>624</v>
      </c>
      <c r="D207" s="14"/>
      <c r="E207" s="14"/>
    </row>
    <row r="208" spans="1:5">
      <c r="A208" s="79" t="s">
        <v>252</v>
      </c>
      <c r="B208" s="80" t="s">
        <v>628</v>
      </c>
      <c r="D208" s="14"/>
      <c r="E208" s="14"/>
    </row>
    <row r="209" spans="1:5">
      <c r="A209" s="79" t="s">
        <v>142</v>
      </c>
      <c r="B209" s="80" t="s">
        <v>647</v>
      </c>
      <c r="D209" s="14"/>
      <c r="E209" s="14"/>
    </row>
    <row r="210" spans="1:5">
      <c r="A210" s="79" t="s">
        <v>81</v>
      </c>
      <c r="B210" s="80" t="s">
        <v>635</v>
      </c>
      <c r="D210" s="14"/>
      <c r="E210" s="14"/>
    </row>
    <row r="211" spans="1:5">
      <c r="A211" s="79" t="s">
        <v>141</v>
      </c>
      <c r="B211" s="80" t="s">
        <v>598</v>
      </c>
      <c r="D211" s="14"/>
      <c r="E211" s="14"/>
    </row>
    <row r="212" spans="1:5">
      <c r="A212" s="79" t="s">
        <v>238</v>
      </c>
      <c r="B212" s="80" t="s">
        <v>645</v>
      </c>
      <c r="D212" s="14"/>
      <c r="E212" s="14"/>
    </row>
    <row r="213" spans="1:5">
      <c r="A213" s="79" t="s">
        <v>84</v>
      </c>
      <c r="B213" s="80" t="s">
        <v>606</v>
      </c>
      <c r="D213" s="14"/>
      <c r="E213" s="14"/>
    </row>
    <row r="214" spans="1:5">
      <c r="A214" s="79" t="s">
        <v>171</v>
      </c>
      <c r="B214" s="80" t="s">
        <v>635</v>
      </c>
      <c r="D214" s="14"/>
      <c r="E214" s="14"/>
    </row>
    <row r="215" spans="1:5">
      <c r="A215" s="79" t="s">
        <v>311</v>
      </c>
      <c r="B215" s="80" t="s">
        <v>617</v>
      </c>
      <c r="D215" s="14"/>
      <c r="E215" s="14"/>
    </row>
    <row r="216" spans="1:5">
      <c r="A216" s="79" t="s">
        <v>182</v>
      </c>
      <c r="B216" s="80" t="s">
        <v>654</v>
      </c>
      <c r="D216" s="14"/>
      <c r="E216" s="14"/>
    </row>
    <row r="217" spans="1:5">
      <c r="A217" s="79" t="s">
        <v>271</v>
      </c>
      <c r="B217" s="80" t="s">
        <v>666</v>
      </c>
      <c r="D217" s="14"/>
      <c r="E217" s="14"/>
    </row>
    <row r="218" spans="1:5">
      <c r="A218" s="79" t="s">
        <v>60</v>
      </c>
      <c r="B218" s="80" t="s">
        <v>627</v>
      </c>
      <c r="D218" s="14"/>
      <c r="E218" s="14"/>
    </row>
    <row r="219" spans="1:5">
      <c r="A219" s="79" t="s">
        <v>290</v>
      </c>
      <c r="B219" s="80" t="s">
        <v>632</v>
      </c>
      <c r="D219" s="14"/>
      <c r="E219" s="14"/>
    </row>
    <row r="220" spans="1:5">
      <c r="A220" s="79" t="s">
        <v>221</v>
      </c>
      <c r="B220" s="80" t="s">
        <v>664</v>
      </c>
      <c r="D220" s="14"/>
      <c r="E220" s="14"/>
    </row>
    <row r="221" spans="1:5">
      <c r="A221" s="79" t="s">
        <v>836</v>
      </c>
      <c r="B221" s="80" t="s">
        <v>664</v>
      </c>
      <c r="D221" s="14"/>
      <c r="E221" s="14"/>
    </row>
    <row r="222" spans="1:5">
      <c r="A222" s="79" t="s">
        <v>299</v>
      </c>
      <c r="B222" s="80" t="s">
        <v>625</v>
      </c>
      <c r="D222" s="14"/>
      <c r="E222" s="14"/>
    </row>
    <row r="223" spans="1:5">
      <c r="A223" s="79" t="s">
        <v>205</v>
      </c>
      <c r="B223" s="80" t="s">
        <v>670</v>
      </c>
      <c r="D223" s="14"/>
      <c r="E223" s="14"/>
    </row>
    <row r="224" spans="1:5">
      <c r="A224" s="79" t="s">
        <v>86</v>
      </c>
      <c r="B224" s="80" t="s">
        <v>630</v>
      </c>
      <c r="D224" s="14"/>
      <c r="E224" s="14"/>
    </row>
    <row r="225" spans="1:5">
      <c r="A225" s="79" t="s">
        <v>247</v>
      </c>
      <c r="B225" s="80" t="s">
        <v>668</v>
      </c>
      <c r="D225" s="14"/>
      <c r="E225" s="14"/>
    </row>
    <row r="226" spans="1:5">
      <c r="A226" s="79" t="s">
        <v>174</v>
      </c>
      <c r="B226" s="80" t="s">
        <v>600</v>
      </c>
      <c r="D226" s="14"/>
      <c r="E226" s="14"/>
    </row>
    <row r="227" spans="1:5">
      <c r="A227" s="79" t="s">
        <v>71</v>
      </c>
      <c r="B227" s="80" t="s">
        <v>596</v>
      </c>
      <c r="D227" s="14"/>
      <c r="E227" s="14"/>
    </row>
    <row r="228" spans="1:5">
      <c r="A228" s="79" t="s">
        <v>256</v>
      </c>
      <c r="B228" s="80" t="s">
        <v>606</v>
      </c>
      <c r="D228" s="14"/>
      <c r="E228" s="14"/>
    </row>
    <row r="229" spans="1:5">
      <c r="A229" s="79" t="s">
        <v>313</v>
      </c>
      <c r="B229" s="80" t="s">
        <v>632</v>
      </c>
      <c r="D229" s="14"/>
      <c r="E229" s="14"/>
    </row>
    <row r="230" spans="1:5">
      <c r="A230" s="79" t="s">
        <v>183</v>
      </c>
      <c r="B230" s="80" t="s">
        <v>618</v>
      </c>
      <c r="D230" s="14"/>
      <c r="E230" s="14"/>
    </row>
    <row r="231" spans="1:5">
      <c r="A231" s="79" t="s">
        <v>253</v>
      </c>
      <c r="B231" s="80" t="s">
        <v>628</v>
      </c>
      <c r="D231" s="14"/>
      <c r="E231" s="14"/>
    </row>
    <row r="232" spans="1:5">
      <c r="A232" s="79" t="s">
        <v>709</v>
      </c>
      <c r="B232" s="80" t="s">
        <v>623</v>
      </c>
      <c r="D232" s="14"/>
      <c r="E232" s="14"/>
    </row>
    <row r="233" spans="1:5">
      <c r="A233" s="79" t="s">
        <v>710</v>
      </c>
      <c r="B233" s="80" t="s">
        <v>619</v>
      </c>
      <c r="D233" s="14"/>
      <c r="E233" s="14"/>
    </row>
    <row r="234" spans="1:5">
      <c r="A234" s="79" t="s">
        <v>111</v>
      </c>
      <c r="B234" s="80" t="s">
        <v>632</v>
      </c>
      <c r="D234" s="14"/>
      <c r="E234" s="14"/>
    </row>
    <row r="235" spans="1:5">
      <c r="A235" s="79" t="s">
        <v>108</v>
      </c>
      <c r="B235" s="80" t="s">
        <v>632</v>
      </c>
      <c r="D235" s="14"/>
      <c r="E235" s="14"/>
    </row>
    <row r="236" spans="1:5">
      <c r="A236" s="79" t="s">
        <v>166</v>
      </c>
      <c r="B236" s="80" t="s">
        <v>644</v>
      </c>
      <c r="D236" s="14"/>
      <c r="E236" s="14"/>
    </row>
    <row r="237" spans="1:5">
      <c r="A237" s="79" t="s">
        <v>711</v>
      </c>
      <c r="B237" s="80" t="s">
        <v>620</v>
      </c>
      <c r="D237" s="14"/>
      <c r="E237" s="14"/>
    </row>
    <row r="238" spans="1:5">
      <c r="A238" s="79" t="s">
        <v>712</v>
      </c>
      <c r="B238" s="80" t="s">
        <v>618</v>
      </c>
      <c r="D238" s="14"/>
      <c r="E238" s="14"/>
    </row>
    <row r="239" spans="1:5">
      <c r="A239" s="79" t="s">
        <v>256</v>
      </c>
      <c r="B239" s="80" t="s">
        <v>632</v>
      </c>
      <c r="D239" s="14"/>
      <c r="E239" s="14"/>
    </row>
    <row r="240" spans="1:5">
      <c r="A240" s="79" t="s">
        <v>286</v>
      </c>
      <c r="B240" s="80" t="s">
        <v>622</v>
      </c>
      <c r="D240" s="14"/>
      <c r="E240" s="14"/>
    </row>
    <row r="241" spans="1:5">
      <c r="A241" s="79" t="s">
        <v>713</v>
      </c>
      <c r="B241" s="80" t="s">
        <v>621</v>
      </c>
      <c r="D241" s="14"/>
      <c r="E241" s="14"/>
    </row>
    <row r="242" spans="1:5">
      <c r="A242" s="79" t="s">
        <v>714</v>
      </c>
      <c r="B242" s="80" t="s">
        <v>630</v>
      </c>
      <c r="D242" s="14"/>
      <c r="E242" s="14"/>
    </row>
    <row r="243" spans="1:5">
      <c r="A243" s="79" t="s">
        <v>241</v>
      </c>
      <c r="B243" s="80" t="s">
        <v>619</v>
      </c>
      <c r="D243" s="14"/>
      <c r="E243" s="14"/>
    </row>
    <row r="244" spans="1:5">
      <c r="A244" s="79" t="s">
        <v>703</v>
      </c>
      <c r="B244" s="80" t="s">
        <v>647</v>
      </c>
      <c r="D244" s="14"/>
      <c r="E244" s="14"/>
    </row>
    <row r="245" spans="1:5">
      <c r="A245" s="79" t="s">
        <v>165</v>
      </c>
      <c r="B245" s="80" t="s">
        <v>621</v>
      </c>
      <c r="D245" s="14"/>
      <c r="E245" s="14"/>
    </row>
    <row r="246" spans="1:5">
      <c r="A246" s="79" t="s">
        <v>96</v>
      </c>
      <c r="B246" s="80" t="s">
        <v>606</v>
      </c>
      <c r="D246" s="14"/>
      <c r="E246" s="14"/>
    </row>
    <row r="247" spans="1:5">
      <c r="A247" s="79" t="s">
        <v>302</v>
      </c>
      <c r="B247" s="80" t="s">
        <v>618</v>
      </c>
      <c r="D247" s="14"/>
      <c r="E247" s="14"/>
    </row>
    <row r="248" spans="1:5">
      <c r="A248" s="79" t="s">
        <v>308</v>
      </c>
      <c r="B248" s="80" t="s">
        <v>619</v>
      </c>
      <c r="D248" s="14"/>
      <c r="E248" s="14"/>
    </row>
    <row r="249" spans="1:5">
      <c r="A249" s="79" t="s">
        <v>715</v>
      </c>
      <c r="B249" s="80" t="s">
        <v>622</v>
      </c>
      <c r="D249" s="14"/>
      <c r="E249" s="14"/>
    </row>
    <row r="250" spans="1:5">
      <c r="A250" s="79" t="s">
        <v>175</v>
      </c>
      <c r="B250" s="80" t="s">
        <v>655</v>
      </c>
      <c r="D250" s="14"/>
      <c r="E250" s="14"/>
    </row>
    <row r="251" spans="1:5">
      <c r="A251" s="79" t="s">
        <v>160</v>
      </c>
      <c r="B251" s="80" t="s">
        <v>621</v>
      </c>
      <c r="D251" s="14"/>
      <c r="E251" s="14"/>
    </row>
    <row r="252" spans="1:5">
      <c r="A252" s="79" t="s">
        <v>716</v>
      </c>
      <c r="B252" s="80" t="s">
        <v>675</v>
      </c>
      <c r="D252" s="14"/>
      <c r="E252" s="14"/>
    </row>
    <row r="253" spans="1:5">
      <c r="A253" s="79" t="s">
        <v>101</v>
      </c>
      <c r="B253" s="80" t="s">
        <v>631</v>
      </c>
      <c r="D253" s="14"/>
      <c r="E253" s="14"/>
    </row>
    <row r="254" spans="1:5">
      <c r="A254" s="79" t="s">
        <v>53</v>
      </c>
      <c r="B254" s="80" t="s">
        <v>608</v>
      </c>
      <c r="D254" s="14"/>
      <c r="E254" s="14"/>
    </row>
    <row r="255" spans="1:5">
      <c r="A255" s="79" t="s">
        <v>261</v>
      </c>
      <c r="B255" s="80" t="s">
        <v>611</v>
      </c>
      <c r="D255" s="14"/>
      <c r="E255" s="14"/>
    </row>
    <row r="256" spans="1:5">
      <c r="A256" s="79" t="s">
        <v>717</v>
      </c>
      <c r="B256" s="80" t="s">
        <v>708</v>
      </c>
      <c r="D256" s="14"/>
      <c r="E256" s="14"/>
    </row>
    <row r="257" spans="1:5">
      <c r="A257" s="79" t="s">
        <v>142</v>
      </c>
      <c r="B257" s="80" t="s">
        <v>646</v>
      </c>
      <c r="D257" s="14"/>
      <c r="E257" s="14"/>
    </row>
    <row r="258" spans="1:5">
      <c r="A258" s="79" t="s">
        <v>194</v>
      </c>
      <c r="B258" s="80" t="s">
        <v>610</v>
      </c>
      <c r="D258" s="14"/>
      <c r="E258" s="14"/>
    </row>
    <row r="259" spans="1:5">
      <c r="A259" s="79" t="s">
        <v>233</v>
      </c>
      <c r="B259" s="80" t="s">
        <v>617</v>
      </c>
      <c r="D259" s="14"/>
      <c r="E259" s="14"/>
    </row>
    <row r="260" spans="1:5">
      <c r="A260" s="79" t="s">
        <v>276</v>
      </c>
      <c r="B260" s="80" t="s">
        <v>660</v>
      </c>
      <c r="D260" s="14"/>
      <c r="E260" s="14"/>
    </row>
    <row r="261" spans="1:5">
      <c r="A261" s="79" t="s">
        <v>718</v>
      </c>
      <c r="B261" s="80" t="s">
        <v>693</v>
      </c>
      <c r="D261" s="14"/>
      <c r="E261" s="14"/>
    </row>
    <row r="262" spans="1:5">
      <c r="A262" s="79" t="s">
        <v>719</v>
      </c>
      <c r="B262" s="80" t="s">
        <v>606</v>
      </c>
      <c r="D262" s="14"/>
      <c r="E262" s="14"/>
    </row>
    <row r="263" spans="1:5">
      <c r="A263" s="79" t="s">
        <v>720</v>
      </c>
      <c r="B263" s="80" t="s">
        <v>671</v>
      </c>
      <c r="D263" s="14"/>
      <c r="E263" s="14"/>
    </row>
    <row r="264" spans="1:5">
      <c r="A264" s="79" t="s">
        <v>721</v>
      </c>
      <c r="B264" s="80" t="s">
        <v>666</v>
      </c>
      <c r="D264" s="14"/>
      <c r="E264" s="14"/>
    </row>
    <row r="265" spans="1:5">
      <c r="A265" s="79" t="s">
        <v>204</v>
      </c>
      <c r="B265" s="80" t="s">
        <v>689</v>
      </c>
      <c r="D265" s="14"/>
      <c r="E265" s="14"/>
    </row>
    <row r="266" spans="1:5">
      <c r="A266" s="79" t="s">
        <v>204</v>
      </c>
      <c r="B266" s="80" t="s">
        <v>632</v>
      </c>
      <c r="D266" s="14"/>
      <c r="E266" s="14"/>
    </row>
    <row r="267" spans="1:5">
      <c r="A267" s="79" t="s">
        <v>226</v>
      </c>
      <c r="B267" s="80" t="s">
        <v>664</v>
      </c>
      <c r="D267" s="14"/>
      <c r="E267" s="14"/>
    </row>
    <row r="268" spans="1:5">
      <c r="A268" s="79" t="s">
        <v>837</v>
      </c>
      <c r="B268" s="80" t="s">
        <v>664</v>
      </c>
      <c r="D268" s="14"/>
      <c r="E268" s="14"/>
    </row>
    <row r="269" spans="1:5">
      <c r="A269" s="79" t="s">
        <v>722</v>
      </c>
      <c r="B269" s="80" t="s">
        <v>640</v>
      </c>
      <c r="D269" s="14"/>
      <c r="E269" s="14"/>
    </row>
    <row r="270" spans="1:5">
      <c r="A270" s="79" t="s">
        <v>723</v>
      </c>
      <c r="B270" s="80" t="s">
        <v>635</v>
      </c>
      <c r="D270" s="14"/>
      <c r="E270" s="14"/>
    </row>
    <row r="271" spans="1:5">
      <c r="A271" s="79" t="s">
        <v>266</v>
      </c>
      <c r="B271" s="80" t="s">
        <v>643</v>
      </c>
      <c r="D271" s="14"/>
      <c r="E271" s="14"/>
    </row>
    <row r="272" spans="1:5">
      <c r="A272" s="79" t="s">
        <v>724</v>
      </c>
      <c r="B272" s="80" t="s">
        <v>670</v>
      </c>
      <c r="D272" s="14"/>
      <c r="E272" s="14"/>
    </row>
    <row r="273" spans="1:5">
      <c r="A273" s="79" t="s">
        <v>313</v>
      </c>
      <c r="B273" s="80" t="s">
        <v>644</v>
      </c>
      <c r="D273" s="14"/>
      <c r="E273" s="14"/>
    </row>
    <row r="274" spans="1:5">
      <c r="A274" s="79" t="s">
        <v>204</v>
      </c>
      <c r="B274" s="80" t="s">
        <v>660</v>
      </c>
      <c r="D274" s="14"/>
      <c r="E274" s="14"/>
    </row>
    <row r="275" spans="1:5">
      <c r="A275" s="79" t="s">
        <v>81</v>
      </c>
      <c r="B275" s="80" t="s">
        <v>631</v>
      </c>
      <c r="D275" s="14"/>
      <c r="E275" s="14"/>
    </row>
    <row r="276" spans="1:5">
      <c r="A276" s="79" t="s">
        <v>725</v>
      </c>
      <c r="B276" s="80" t="s">
        <v>624</v>
      </c>
      <c r="D276" s="14"/>
      <c r="E276" s="14"/>
    </row>
    <row r="277" spans="1:5">
      <c r="A277" s="79" t="s">
        <v>308</v>
      </c>
      <c r="B277" s="80" t="s">
        <v>625</v>
      </c>
      <c r="D277" s="14"/>
      <c r="E277" s="14"/>
    </row>
    <row r="278" spans="1:5">
      <c r="A278" s="79" t="s">
        <v>194</v>
      </c>
      <c r="B278" s="80" t="s">
        <v>605</v>
      </c>
      <c r="D278" s="14"/>
      <c r="E278" s="14"/>
    </row>
    <row r="279" spans="1:5">
      <c r="A279" s="79" t="s">
        <v>233</v>
      </c>
      <c r="B279" s="80" t="s">
        <v>616</v>
      </c>
      <c r="D279" s="14"/>
      <c r="E279" s="14"/>
    </row>
    <row r="280" spans="1:5">
      <c r="A280" s="79" t="s">
        <v>276</v>
      </c>
      <c r="B280" s="80" t="s">
        <v>689</v>
      </c>
      <c r="D280" s="14"/>
      <c r="E280" s="14"/>
    </row>
    <row r="281" spans="1:5">
      <c r="A281" s="79" t="s">
        <v>726</v>
      </c>
      <c r="B281" s="80" t="s">
        <v>618</v>
      </c>
      <c r="D281" s="14"/>
      <c r="E281" s="14"/>
    </row>
    <row r="282" spans="1:5">
      <c r="A282" s="79" t="s">
        <v>727</v>
      </c>
      <c r="B282" s="80" t="s">
        <v>660</v>
      </c>
      <c r="D282" s="14"/>
      <c r="E282" s="14"/>
    </row>
    <row r="283" spans="1:5">
      <c r="A283" s="79" t="s">
        <v>592</v>
      </c>
      <c r="B283" s="80" t="s">
        <v>620</v>
      </c>
      <c r="D283" s="14"/>
      <c r="E283" s="14"/>
    </row>
    <row r="284" spans="1:5">
      <c r="A284" s="79" t="s">
        <v>302</v>
      </c>
      <c r="B284" s="80" t="s">
        <v>625</v>
      </c>
      <c r="D284" s="14"/>
      <c r="E284" s="14"/>
    </row>
    <row r="285" spans="1:5">
      <c r="A285" s="79" t="s">
        <v>161</v>
      </c>
      <c r="B285" s="80" t="s">
        <v>728</v>
      </c>
      <c r="D285" s="14"/>
      <c r="E285" s="14"/>
    </row>
    <row r="286" spans="1:5">
      <c r="A286" s="79" t="s">
        <v>205</v>
      </c>
      <c r="B286" s="80" t="s">
        <v>708</v>
      </c>
      <c r="D286" s="14"/>
      <c r="E286" s="14"/>
    </row>
    <row r="287" spans="1:5">
      <c r="A287" s="79" t="s">
        <v>68</v>
      </c>
      <c r="B287" s="80" t="s">
        <v>631</v>
      </c>
      <c r="D287" s="14"/>
      <c r="E287" s="14"/>
    </row>
    <row r="288" spans="1:5">
      <c r="A288" s="79" t="s">
        <v>256</v>
      </c>
      <c r="B288" s="80" t="s">
        <v>597</v>
      </c>
      <c r="D288" s="14"/>
      <c r="E288" s="14"/>
    </row>
    <row r="289" spans="1:5">
      <c r="A289" s="79" t="s">
        <v>261</v>
      </c>
      <c r="B289" s="80" t="s">
        <v>643</v>
      </c>
      <c r="D289" s="14"/>
      <c r="E289" s="14"/>
    </row>
    <row r="290" spans="1:5">
      <c r="A290" s="79" t="s">
        <v>275</v>
      </c>
      <c r="B290" s="80" t="s">
        <v>657</v>
      </c>
      <c r="D290" s="14"/>
      <c r="E290" s="14"/>
    </row>
    <row r="291" spans="1:5">
      <c r="A291" s="79" t="s">
        <v>136</v>
      </c>
      <c r="B291" s="80" t="s">
        <v>634</v>
      </c>
      <c r="D291" s="14"/>
      <c r="E291" s="14"/>
    </row>
    <row r="292" spans="1:5">
      <c r="A292" s="79" t="s">
        <v>176</v>
      </c>
      <c r="B292" s="80" t="s">
        <v>655</v>
      </c>
      <c r="D292" s="14"/>
      <c r="E292" s="14"/>
    </row>
    <row r="293" spans="1:5">
      <c r="A293" s="79" t="s">
        <v>284</v>
      </c>
      <c r="B293" s="80" t="s">
        <v>643</v>
      </c>
      <c r="D293" s="14"/>
      <c r="E293" s="14"/>
    </row>
    <row r="294" spans="1:5">
      <c r="A294" s="79" t="s">
        <v>729</v>
      </c>
      <c r="B294" s="80" t="s">
        <v>606</v>
      </c>
      <c r="D294" s="14"/>
      <c r="E294" s="14"/>
    </row>
    <row r="295" spans="1:5">
      <c r="A295" s="79" t="s">
        <v>730</v>
      </c>
      <c r="B295" s="80" t="s">
        <v>697</v>
      </c>
      <c r="D295" s="14"/>
      <c r="E295" s="14"/>
    </row>
    <row r="296" spans="1:5">
      <c r="A296" s="79" t="s">
        <v>731</v>
      </c>
      <c r="B296" s="80" t="s">
        <v>663</v>
      </c>
      <c r="D296" s="14"/>
      <c r="E296" s="14"/>
    </row>
    <row r="297" spans="1:5">
      <c r="A297" s="79" t="s">
        <v>236</v>
      </c>
      <c r="B297" s="80" t="s">
        <v>605</v>
      </c>
      <c r="D297" s="14"/>
      <c r="E297" s="14"/>
    </row>
    <row r="298" spans="1:5">
      <c r="A298" s="79" t="s">
        <v>74</v>
      </c>
      <c r="B298" s="80" t="s">
        <v>634</v>
      </c>
      <c r="D298" s="14"/>
      <c r="E298" s="14"/>
    </row>
    <row r="299" spans="1:5">
      <c r="A299" s="79" t="s">
        <v>96</v>
      </c>
      <c r="B299" s="80" t="s">
        <v>605</v>
      </c>
      <c r="D299" s="14"/>
      <c r="E299" s="14"/>
    </row>
    <row r="300" spans="1:5">
      <c r="A300" s="79" t="s">
        <v>98</v>
      </c>
      <c r="B300" s="80" t="s">
        <v>672</v>
      </c>
      <c r="D300" s="14"/>
      <c r="E300" s="14"/>
    </row>
    <row r="301" spans="1:5">
      <c r="A301" s="79" t="s">
        <v>680</v>
      </c>
      <c r="B301" s="80" t="s">
        <v>617</v>
      </c>
      <c r="D301" s="14"/>
      <c r="E301" s="14"/>
    </row>
    <row r="302" spans="1:5">
      <c r="A302" s="79" t="s">
        <v>186</v>
      </c>
      <c r="B302" s="80" t="s">
        <v>732</v>
      </c>
      <c r="D302" s="14"/>
      <c r="E302" s="14"/>
    </row>
    <row r="303" spans="1:5">
      <c r="A303" s="79" t="s">
        <v>190</v>
      </c>
      <c r="B303" s="80" t="s">
        <v>660</v>
      </c>
      <c r="D303" s="14"/>
      <c r="E303" s="14"/>
    </row>
    <row r="304" spans="1:5">
      <c r="A304" s="79" t="s">
        <v>733</v>
      </c>
      <c r="B304" s="80" t="s">
        <v>708</v>
      </c>
      <c r="D304" s="14"/>
      <c r="E304" s="14"/>
    </row>
    <row r="305" spans="1:5">
      <c r="A305" s="79" t="s">
        <v>279</v>
      </c>
      <c r="B305" s="80" t="s">
        <v>658</v>
      </c>
      <c r="D305" s="14"/>
      <c r="E305" s="14"/>
    </row>
    <row r="306" spans="1:5">
      <c r="A306" s="79" t="s">
        <v>229</v>
      </c>
      <c r="B306" s="80" t="s">
        <v>728</v>
      </c>
      <c r="D306" s="14"/>
      <c r="E306" s="14"/>
    </row>
    <row r="307" spans="1:5">
      <c r="A307" s="79" t="s">
        <v>83</v>
      </c>
      <c r="B307" s="80" t="s">
        <v>629</v>
      </c>
      <c r="D307" s="14"/>
      <c r="E307" s="14"/>
    </row>
    <row r="308" spans="1:5">
      <c r="A308" s="79" t="s">
        <v>277</v>
      </c>
      <c r="B308" s="80" t="s">
        <v>626</v>
      </c>
      <c r="D308" s="14"/>
      <c r="E308" s="14"/>
    </row>
    <row r="309" spans="1:5">
      <c r="A309" s="79" t="s">
        <v>734</v>
      </c>
      <c r="B309" s="80" t="s">
        <v>728</v>
      </c>
      <c r="D309" s="14"/>
      <c r="E309" s="14"/>
    </row>
    <row r="310" spans="1:5">
      <c r="A310" s="79" t="s">
        <v>95</v>
      </c>
      <c r="B310" s="80" t="s">
        <v>660</v>
      </c>
      <c r="D310" s="14"/>
      <c r="E310" s="14"/>
    </row>
    <row r="311" spans="1:5">
      <c r="A311" s="79" t="s">
        <v>696</v>
      </c>
      <c r="B311" s="80" t="s">
        <v>708</v>
      </c>
      <c r="D311" s="14"/>
      <c r="E311" s="14"/>
    </row>
    <row r="312" spans="1:5">
      <c r="A312" s="79" t="s">
        <v>206</v>
      </c>
      <c r="B312" s="80" t="s">
        <v>635</v>
      </c>
      <c r="D312" s="14"/>
      <c r="E312" s="14"/>
    </row>
    <row r="313" spans="1:5">
      <c r="A313" s="79" t="s">
        <v>207</v>
      </c>
      <c r="B313" s="80" t="s">
        <v>735</v>
      </c>
      <c r="D313" s="14"/>
      <c r="E313" s="14"/>
    </row>
    <row r="314" spans="1:5">
      <c r="A314" s="79" t="s">
        <v>211</v>
      </c>
      <c r="B314" s="80" t="s">
        <v>606</v>
      </c>
      <c r="D314" s="14"/>
      <c r="E314" s="14"/>
    </row>
    <row r="315" spans="1:5">
      <c r="A315" s="79" t="s">
        <v>257</v>
      </c>
      <c r="B315" s="80" t="s">
        <v>736</v>
      </c>
      <c r="D315" s="14"/>
      <c r="E315" s="14"/>
    </row>
    <row r="316" spans="1:5">
      <c r="A316" s="79" t="s">
        <v>262</v>
      </c>
      <c r="B316" s="80" t="s">
        <v>737</v>
      </c>
      <c r="D316" s="14"/>
      <c r="E316" s="14"/>
    </row>
    <row r="317" spans="1:5">
      <c r="A317" s="79" t="s">
        <v>263</v>
      </c>
      <c r="B317" s="80" t="s">
        <v>686</v>
      </c>
      <c r="D317" s="14"/>
      <c r="E317" s="14"/>
    </row>
    <row r="318" spans="1:5">
      <c r="A318" s="79" t="s">
        <v>264</v>
      </c>
      <c r="B318" s="80" t="s">
        <v>661</v>
      </c>
      <c r="D318" s="14"/>
      <c r="E318" s="14"/>
    </row>
    <row r="319" spans="1:5">
      <c r="A319" s="79" t="s">
        <v>303</v>
      </c>
      <c r="B319" s="80" t="s">
        <v>662</v>
      </c>
      <c r="D319" s="14"/>
      <c r="E319" s="14"/>
    </row>
    <row r="320" spans="1:5">
      <c r="A320" s="79" t="s">
        <v>310</v>
      </c>
      <c r="B320" s="80" t="s">
        <v>659</v>
      </c>
    </row>
    <row r="321" spans="1:2">
      <c r="A321" s="79" t="s">
        <v>114</v>
      </c>
      <c r="B321" s="80" t="s">
        <v>601</v>
      </c>
    </row>
    <row r="322" spans="1:2">
      <c r="A322" s="79" t="s">
        <v>224</v>
      </c>
      <c r="B322" s="80" t="s">
        <v>630</v>
      </c>
    </row>
    <row r="323" spans="1:2">
      <c r="A323" s="79" t="s">
        <v>53</v>
      </c>
      <c r="B323" s="80" t="s">
        <v>607</v>
      </c>
    </row>
    <row r="324" spans="1:2">
      <c r="A324" s="79" t="s">
        <v>221</v>
      </c>
      <c r="B324" s="80" t="s">
        <v>646</v>
      </c>
    </row>
    <row r="325" spans="1:2">
      <c r="A325" s="79" t="s">
        <v>838</v>
      </c>
      <c r="B325" s="80" t="s">
        <v>646</v>
      </c>
    </row>
    <row r="326" spans="1:2">
      <c r="A326" s="79" t="s">
        <v>269</v>
      </c>
      <c r="B326" s="80" t="s">
        <v>628</v>
      </c>
    </row>
    <row r="327" spans="1:2">
      <c r="A327" s="79" t="s">
        <v>170</v>
      </c>
      <c r="B327" s="80" t="s">
        <v>644</v>
      </c>
    </row>
    <row r="328" spans="1:2">
      <c r="A328" s="79">
        <v>0</v>
      </c>
      <c r="B328" s="80" t="s">
        <v>646</v>
      </c>
    </row>
    <row r="329" spans="1:2">
      <c r="A329" s="79">
        <v>0</v>
      </c>
      <c r="B329" s="80" t="s">
        <v>628</v>
      </c>
    </row>
    <row r="330" spans="1:2">
      <c r="A330" s="79">
        <v>0</v>
      </c>
      <c r="B330" s="80" t="s">
        <v>708</v>
      </c>
    </row>
    <row r="331" spans="1:2">
      <c r="A331" s="79">
        <v>0</v>
      </c>
      <c r="B331" s="80" t="s">
        <v>630</v>
      </c>
    </row>
    <row r="332" spans="1:2">
      <c r="A332" s="79">
        <v>0</v>
      </c>
      <c r="B332" s="80" t="s">
        <v>627</v>
      </c>
    </row>
    <row r="333" spans="1:2">
      <c r="A333" s="79">
        <v>0</v>
      </c>
      <c r="B333" s="80" t="s">
        <v>631</v>
      </c>
    </row>
    <row r="334" spans="1:2">
      <c r="A334" s="79">
        <v>0</v>
      </c>
      <c r="B334" s="80" t="s">
        <v>663</v>
      </c>
    </row>
    <row r="335" spans="1:2">
      <c r="A335" s="79">
        <v>0</v>
      </c>
      <c r="B335" s="80" t="s">
        <v>629</v>
      </c>
    </row>
    <row r="336" spans="1:2">
      <c r="A336" s="79">
        <v>0</v>
      </c>
      <c r="B336" s="80" t="s">
        <v>632</v>
      </c>
    </row>
    <row r="337" spans="1:2">
      <c r="A337" s="79" t="s">
        <v>126</v>
      </c>
      <c r="B337" s="80" t="s">
        <v>621</v>
      </c>
    </row>
    <row r="338" spans="1:2">
      <c r="A338" s="79" t="s">
        <v>234</v>
      </c>
      <c r="B338" s="80" t="s">
        <v>621</v>
      </c>
    </row>
    <row r="339" spans="1:2">
      <c r="A339" s="79" t="s">
        <v>127</v>
      </c>
      <c r="B339" s="80" t="s">
        <v>621</v>
      </c>
    </row>
    <row r="340" spans="1:2">
      <c r="A340" s="79" t="s">
        <v>86</v>
      </c>
      <c r="B340" s="80" t="s">
        <v>625</v>
      </c>
    </row>
    <row r="341" spans="1:2">
      <c r="A341" s="79" t="s">
        <v>217</v>
      </c>
      <c r="B341" s="80" t="s">
        <v>621</v>
      </c>
    </row>
    <row r="342" spans="1:2">
      <c r="A342" s="79" t="s">
        <v>738</v>
      </c>
      <c r="B342" s="80" t="s">
        <v>670</v>
      </c>
    </row>
    <row r="343" spans="1:2">
      <c r="A343" s="79" t="s">
        <v>277</v>
      </c>
      <c r="B343" s="80" t="s">
        <v>624</v>
      </c>
    </row>
    <row r="344" spans="1:2">
      <c r="A344" s="79" t="s">
        <v>174</v>
      </c>
      <c r="B344" s="80" t="s">
        <v>621</v>
      </c>
    </row>
    <row r="345" spans="1:2">
      <c r="A345" s="79" t="s">
        <v>240</v>
      </c>
      <c r="B345" s="80" t="s">
        <v>626</v>
      </c>
    </row>
    <row r="346" spans="1:2">
      <c r="A346" s="79" t="s">
        <v>301</v>
      </c>
      <c r="B346" s="80" t="s">
        <v>625</v>
      </c>
    </row>
    <row r="347" spans="1:2">
      <c r="A347" s="79" t="s">
        <v>226</v>
      </c>
      <c r="B347" s="80" t="s">
        <v>612</v>
      </c>
    </row>
    <row r="348" spans="1:2">
      <c r="A348" s="79" t="s">
        <v>231</v>
      </c>
      <c r="B348" s="80" t="s">
        <v>612</v>
      </c>
    </row>
    <row r="349" spans="1:2">
      <c r="A349" s="79" t="s">
        <v>248</v>
      </c>
      <c r="B349" s="80" t="s">
        <v>636</v>
      </c>
    </row>
    <row r="350" spans="1:2">
      <c r="A350" s="79" t="s">
        <v>277</v>
      </c>
      <c r="B350" s="80" t="s">
        <v>663</v>
      </c>
    </row>
    <row r="351" spans="1:2">
      <c r="A351" s="79" t="s">
        <v>250</v>
      </c>
      <c r="B351" s="80" t="s">
        <v>632</v>
      </c>
    </row>
    <row r="352" spans="1:2">
      <c r="A352" s="79" t="s">
        <v>155</v>
      </c>
      <c r="B352" s="80" t="s">
        <v>632</v>
      </c>
    </row>
    <row r="353" spans="1:2">
      <c r="A353" s="79" t="s">
        <v>187</v>
      </c>
      <c r="B353" s="80" t="s">
        <v>631</v>
      </c>
    </row>
    <row r="354" spans="1:2">
      <c r="A354" s="79" t="s">
        <v>269</v>
      </c>
      <c r="B354" s="80" t="s">
        <v>625</v>
      </c>
    </row>
    <row r="355" spans="1:2">
      <c r="A355" s="79" t="s">
        <v>192</v>
      </c>
      <c r="B355" s="80" t="s">
        <v>657</v>
      </c>
    </row>
    <row r="356" spans="1:2">
      <c r="A356" s="79" t="s">
        <v>119</v>
      </c>
      <c r="B356" s="80" t="s">
        <v>607</v>
      </c>
    </row>
    <row r="357" spans="1:2">
      <c r="A357" s="79" t="s">
        <v>590</v>
      </c>
      <c r="B357" s="80" t="s">
        <v>609</v>
      </c>
    </row>
    <row r="358" spans="1:2">
      <c r="A358" s="79" t="s">
        <v>53</v>
      </c>
      <c r="B358" s="80" t="s">
        <v>708</v>
      </c>
    </row>
    <row r="359" spans="1:2">
      <c r="A359" s="79" t="s">
        <v>104</v>
      </c>
      <c r="B359" s="80" t="s">
        <v>632</v>
      </c>
    </row>
    <row r="360" spans="1:2">
      <c r="A360" s="79" t="s">
        <v>86</v>
      </c>
      <c r="B360" s="80" t="s">
        <v>631</v>
      </c>
    </row>
    <row r="361" spans="1:2">
      <c r="A361" s="79" t="s">
        <v>112</v>
      </c>
      <c r="B361" s="80" t="s">
        <v>630</v>
      </c>
    </row>
    <row r="362" spans="1:2">
      <c r="A362" s="79" t="s">
        <v>130</v>
      </c>
      <c r="B362" s="80" t="s">
        <v>617</v>
      </c>
    </row>
    <row r="363" spans="1:2">
      <c r="A363" s="79" t="s">
        <v>116</v>
      </c>
      <c r="B363" s="80" t="s">
        <v>614</v>
      </c>
    </row>
    <row r="364" spans="1:2">
      <c r="A364" s="79" t="s">
        <v>71</v>
      </c>
      <c r="B364" s="80" t="s">
        <v>626</v>
      </c>
    </row>
    <row r="365" spans="1:2">
      <c r="A365" s="79" t="s">
        <v>199</v>
      </c>
      <c r="B365" s="80" t="s">
        <v>671</v>
      </c>
    </row>
    <row r="366" spans="1:2">
      <c r="A366" s="79" t="s">
        <v>177</v>
      </c>
      <c r="B366" s="80" t="s">
        <v>656</v>
      </c>
    </row>
    <row r="367" spans="1:2">
      <c r="A367" s="79" t="s">
        <v>191</v>
      </c>
      <c r="B367" s="80" t="s">
        <v>679</v>
      </c>
    </row>
    <row r="368" spans="1:2">
      <c r="A368" s="79" t="s">
        <v>63</v>
      </c>
      <c r="B368" s="80" t="s">
        <v>647</v>
      </c>
    </row>
    <row r="369" spans="1:2">
      <c r="A369" s="79" t="s">
        <v>286</v>
      </c>
      <c r="B369" s="80" t="s">
        <v>623</v>
      </c>
    </row>
    <row r="370" spans="1:2">
      <c r="A370" s="79" t="s">
        <v>116</v>
      </c>
      <c r="B370" s="80" t="s">
        <v>636</v>
      </c>
    </row>
    <row r="371" spans="1:2">
      <c r="A371" s="79" t="s">
        <v>164</v>
      </c>
      <c r="B371" s="80" t="s">
        <v>635</v>
      </c>
    </row>
    <row r="372" spans="1:2">
      <c r="A372" s="79" t="s">
        <v>175</v>
      </c>
      <c r="B372" s="80" t="s">
        <v>735</v>
      </c>
    </row>
    <row r="373" spans="1:2">
      <c r="A373" s="79" t="s">
        <v>226</v>
      </c>
      <c r="B373" s="80" t="s">
        <v>642</v>
      </c>
    </row>
    <row r="374" spans="1:2">
      <c r="A374" s="79" t="s">
        <v>241</v>
      </c>
      <c r="B374" s="80" t="s">
        <v>606</v>
      </c>
    </row>
    <row r="375" spans="1:2">
      <c r="A375" s="79" t="s">
        <v>246</v>
      </c>
      <c r="B375" s="80" t="s">
        <v>610</v>
      </c>
    </row>
    <row r="376" spans="1:2">
      <c r="A376" s="79" t="s">
        <v>195</v>
      </c>
      <c r="B376" s="80" t="s">
        <v>624</v>
      </c>
    </row>
    <row r="377" spans="1:2">
      <c r="A377" s="79" t="s">
        <v>839</v>
      </c>
      <c r="B377" s="80" t="s">
        <v>624</v>
      </c>
    </row>
    <row r="378" spans="1:2">
      <c r="A378" s="79" t="s">
        <v>241</v>
      </c>
      <c r="B378" s="80" t="s">
        <v>632</v>
      </c>
    </row>
    <row r="379" spans="1:2">
      <c r="A379" s="79" t="s">
        <v>164</v>
      </c>
      <c r="B379" s="80" t="s">
        <v>676</v>
      </c>
    </row>
    <row r="380" spans="1:2">
      <c r="A380" s="79" t="s">
        <v>172</v>
      </c>
      <c r="B380" s="80" t="s">
        <v>635</v>
      </c>
    </row>
    <row r="381" spans="1:2">
      <c r="A381" s="79" t="s">
        <v>241</v>
      </c>
      <c r="B381" s="80" t="s">
        <v>657</v>
      </c>
    </row>
    <row r="382" spans="1:2">
      <c r="A382" s="79" t="s">
        <v>259</v>
      </c>
      <c r="B382" s="80" t="s">
        <v>637</v>
      </c>
    </row>
    <row r="383" spans="1:2">
      <c r="A383" s="79" t="s">
        <v>155</v>
      </c>
      <c r="B383" s="80" t="s">
        <v>688</v>
      </c>
    </row>
    <row r="384" spans="1:2">
      <c r="A384" s="79" t="s">
        <v>161</v>
      </c>
      <c r="B384" s="80" t="s">
        <v>622</v>
      </c>
    </row>
    <row r="385" spans="1:2">
      <c r="A385" s="79" t="s">
        <v>251</v>
      </c>
      <c r="B385" s="80" t="s">
        <v>632</v>
      </c>
    </row>
    <row r="386" spans="1:2">
      <c r="A386" s="79" t="s">
        <v>159</v>
      </c>
      <c r="B386" s="80" t="s">
        <v>621</v>
      </c>
    </row>
    <row r="387" spans="1:2">
      <c r="A387" s="79" t="s">
        <v>848</v>
      </c>
      <c r="B387" s="80" t="s">
        <v>612</v>
      </c>
    </row>
    <row r="388" spans="1:2">
      <c r="A388" s="79" t="s">
        <v>846</v>
      </c>
      <c r="B388" s="80" t="s">
        <v>659</v>
      </c>
    </row>
    <row r="389" spans="1:2">
      <c r="A389" s="79" t="s">
        <v>162</v>
      </c>
      <c r="B389" s="80" t="s">
        <v>660</v>
      </c>
    </row>
    <row r="390" spans="1:2">
      <c r="A390" s="79" t="s">
        <v>83</v>
      </c>
      <c r="B390" s="80" t="s">
        <v>628</v>
      </c>
    </row>
    <row r="391" spans="1:2">
      <c r="A391" s="79" t="s">
        <v>134</v>
      </c>
      <c r="B391" s="80" t="s">
        <v>644</v>
      </c>
    </row>
    <row r="392" spans="1:2">
      <c r="A392" s="79" t="s">
        <v>270</v>
      </c>
      <c r="B392" s="80" t="s">
        <v>670</v>
      </c>
    </row>
    <row r="393" spans="1:2">
      <c r="A393" s="79" t="s">
        <v>148</v>
      </c>
      <c r="B393" s="80" t="s">
        <v>651</v>
      </c>
    </row>
    <row r="394" spans="1:2">
      <c r="A394" s="79" t="s">
        <v>61</v>
      </c>
      <c r="B394" s="80" t="s">
        <v>634</v>
      </c>
    </row>
    <row r="395" spans="1:2">
      <c r="A395" s="79" t="s">
        <v>121</v>
      </c>
      <c r="B395" s="80" t="s">
        <v>618</v>
      </c>
    </row>
    <row r="396" spans="1:2">
      <c r="A396" s="79" t="s">
        <v>128</v>
      </c>
      <c r="B396" s="80" t="s">
        <v>643</v>
      </c>
    </row>
    <row r="397" spans="1:2">
      <c r="A397" s="79" t="s">
        <v>191</v>
      </c>
      <c r="B397" s="80" t="s">
        <v>657</v>
      </c>
    </row>
    <row r="398" spans="1:2">
      <c r="A398" s="79" t="s">
        <v>86</v>
      </c>
      <c r="B398" s="80" t="s">
        <v>617</v>
      </c>
    </row>
    <row r="399" spans="1:2">
      <c r="A399" s="79" t="s">
        <v>273</v>
      </c>
      <c r="B399" s="80" t="s">
        <v>644</v>
      </c>
    </row>
    <row r="400" spans="1:2">
      <c r="A400" s="79" t="s">
        <v>208</v>
      </c>
      <c r="B400" s="80" t="s">
        <v>623</v>
      </c>
    </row>
    <row r="401" spans="1:2">
      <c r="A401" s="79" t="s">
        <v>223</v>
      </c>
      <c r="B401" s="80" t="s">
        <v>664</v>
      </c>
    </row>
    <row r="402" spans="1:2">
      <c r="A402" s="79" t="s">
        <v>222</v>
      </c>
      <c r="B402" s="80" t="s">
        <v>617</v>
      </c>
    </row>
    <row r="403" spans="1:2">
      <c r="A403" s="79" t="s">
        <v>63</v>
      </c>
      <c r="B403" s="80" t="s">
        <v>604</v>
      </c>
    </row>
    <row r="404" spans="1:2">
      <c r="A404" s="79" t="s">
        <v>129</v>
      </c>
      <c r="B404" s="80" t="s">
        <v>603</v>
      </c>
    </row>
    <row r="405" spans="1:2">
      <c r="A405" s="79" t="s">
        <v>91</v>
      </c>
      <c r="B405" s="80" t="s">
        <v>615</v>
      </c>
    </row>
    <row r="406" spans="1:2">
      <c r="A406" s="79" t="s">
        <v>115</v>
      </c>
      <c r="B406" s="80" t="s">
        <v>640</v>
      </c>
    </row>
    <row r="407" spans="1:2">
      <c r="A407" s="79" t="s">
        <v>63</v>
      </c>
      <c r="B407" s="80" t="s">
        <v>646</v>
      </c>
    </row>
    <row r="408" spans="1:2">
      <c r="A408" s="79" t="s">
        <v>199</v>
      </c>
      <c r="B408" s="80" t="s">
        <v>649</v>
      </c>
    </row>
    <row r="409" spans="1:2">
      <c r="A409" s="79" t="s">
        <v>240</v>
      </c>
      <c r="B409" s="80" t="s">
        <v>664</v>
      </c>
    </row>
    <row r="410" spans="1:2">
      <c r="A410" s="79" t="s">
        <v>317</v>
      </c>
      <c r="B410" s="80" t="s">
        <v>644</v>
      </c>
    </row>
    <row r="411" spans="1:2">
      <c r="A411" s="79" t="s">
        <v>314</v>
      </c>
      <c r="B411" s="80" t="s">
        <v>675</v>
      </c>
    </row>
    <row r="412" spans="1:2">
      <c r="A412" s="79" t="s">
        <v>315</v>
      </c>
      <c r="B412" s="80" t="s">
        <v>599</v>
      </c>
    </row>
    <row r="413" spans="1:2">
      <c r="A413" s="79" t="s">
        <v>317</v>
      </c>
      <c r="B413" s="80" t="s">
        <v>654</v>
      </c>
    </row>
    <row r="414" spans="1:2">
      <c r="A414" s="79" t="s">
        <v>316</v>
      </c>
      <c r="B414" s="80" t="s">
        <v>676</v>
      </c>
    </row>
    <row r="415" spans="1:2">
      <c r="A415" s="79" t="s">
        <v>314</v>
      </c>
      <c r="B415" s="80" t="s">
        <v>597</v>
      </c>
    </row>
    <row r="416" spans="1:2">
      <c r="A416" s="79" t="s">
        <v>154</v>
      </c>
      <c r="B416" s="80" t="s">
        <v>632</v>
      </c>
    </row>
    <row r="417" spans="1:2">
      <c r="A417" s="79" t="s">
        <v>55</v>
      </c>
      <c r="B417" s="80" t="s">
        <v>666</v>
      </c>
    </row>
    <row r="418" spans="1:2">
      <c r="A418" s="79" t="s">
        <v>309</v>
      </c>
      <c r="B418" s="80" t="s">
        <v>689</v>
      </c>
    </row>
    <row r="419" spans="1:2">
      <c r="A419" s="79" t="s">
        <v>154</v>
      </c>
      <c r="B419" s="80" t="s">
        <v>664</v>
      </c>
    </row>
    <row r="420" spans="1:2">
      <c r="A420" s="79" t="s">
        <v>101</v>
      </c>
      <c r="B420" s="80" t="s">
        <v>596</v>
      </c>
    </row>
    <row r="421" spans="1:2">
      <c r="A421" s="79" t="s">
        <v>86</v>
      </c>
      <c r="B421" s="80" t="s">
        <v>656</v>
      </c>
    </row>
    <row r="422" spans="1:2">
      <c r="A422" s="79" t="s">
        <v>227</v>
      </c>
      <c r="B422" s="80" t="s">
        <v>644</v>
      </c>
    </row>
    <row r="423" spans="1:2">
      <c r="A423" s="79" t="s">
        <v>168</v>
      </c>
      <c r="B423" s="80" t="s">
        <v>621</v>
      </c>
    </row>
    <row r="424" spans="1:2">
      <c r="A424" s="79" t="s">
        <v>124</v>
      </c>
      <c r="B424" s="80" t="s">
        <v>623</v>
      </c>
    </row>
    <row r="425" spans="1:2">
      <c r="A425" s="79" t="s">
        <v>256</v>
      </c>
      <c r="B425" s="80" t="s">
        <v>628</v>
      </c>
    </row>
    <row r="426" spans="1:2">
      <c r="A426" s="79" t="s">
        <v>168</v>
      </c>
      <c r="B426" s="80" t="s">
        <v>624</v>
      </c>
    </row>
    <row r="427" spans="1:2">
      <c r="A427" s="79" t="s">
        <v>175</v>
      </c>
      <c r="B427" s="80" t="s">
        <v>628</v>
      </c>
    </row>
    <row r="428" spans="1:2">
      <c r="A428" s="79" t="s">
        <v>252</v>
      </c>
      <c r="B428" s="80" t="s">
        <v>618</v>
      </c>
    </row>
    <row r="429" spans="1:2">
      <c r="A429" s="79" t="s">
        <v>72</v>
      </c>
      <c r="B429" s="80" t="s">
        <v>663</v>
      </c>
    </row>
    <row r="430" spans="1:2">
      <c r="A430" s="79" t="s">
        <v>76</v>
      </c>
      <c r="B430" s="80" t="s">
        <v>631</v>
      </c>
    </row>
    <row r="431" spans="1:2">
      <c r="A431" s="79" t="s">
        <v>100</v>
      </c>
      <c r="B431" s="80" t="s">
        <v>630</v>
      </c>
    </row>
    <row r="432" spans="1:2">
      <c r="A432" s="79" t="s">
        <v>97</v>
      </c>
      <c r="B432" s="80" t="s">
        <v>631</v>
      </c>
    </row>
    <row r="433" spans="1:2">
      <c r="A433" s="79" t="s">
        <v>172</v>
      </c>
      <c r="B433" s="80" t="s">
        <v>621</v>
      </c>
    </row>
    <row r="434" spans="1:2">
      <c r="A434" s="79" t="s">
        <v>271</v>
      </c>
      <c r="B434" s="80" t="s">
        <v>621</v>
      </c>
    </row>
    <row r="435" spans="1:2">
      <c r="A435" s="79" t="s">
        <v>83</v>
      </c>
      <c r="B435" s="80" t="s">
        <v>625</v>
      </c>
    </row>
    <row r="436" spans="1:2">
      <c r="A436" s="79" t="s">
        <v>84</v>
      </c>
      <c r="B436" s="80" t="s">
        <v>631</v>
      </c>
    </row>
    <row r="437" spans="1:2">
      <c r="A437" s="79" t="s">
        <v>251</v>
      </c>
      <c r="B437" s="80" t="s">
        <v>655</v>
      </c>
    </row>
    <row r="438" spans="1:2">
      <c r="A438" s="79" t="s">
        <v>55</v>
      </c>
      <c r="B438" s="80" t="s">
        <v>625</v>
      </c>
    </row>
    <row r="439" spans="1:2">
      <c r="A439" s="79" t="s">
        <v>254</v>
      </c>
      <c r="B439" s="80" t="s">
        <v>622</v>
      </c>
    </row>
    <row r="440" spans="1:2">
      <c r="A440" s="79" t="s">
        <v>315</v>
      </c>
      <c r="B440" s="80" t="s">
        <v>620</v>
      </c>
    </row>
    <row r="441" spans="1:2">
      <c r="A441" s="79" t="s">
        <v>226</v>
      </c>
      <c r="B441" s="80" t="s">
        <v>624</v>
      </c>
    </row>
    <row r="442" spans="1:2">
      <c r="A442" s="79" t="s">
        <v>739</v>
      </c>
      <c r="B442" s="80" t="s">
        <v>657</v>
      </c>
    </row>
    <row r="443" spans="1:2">
      <c r="A443" s="79" t="s">
        <v>71</v>
      </c>
      <c r="B443" s="80" t="s">
        <v>693</v>
      </c>
    </row>
    <row r="444" spans="1:2">
      <c r="A444" s="79" t="s">
        <v>300</v>
      </c>
      <c r="B444" s="80" t="s">
        <v>625</v>
      </c>
    </row>
    <row r="445" spans="1:2">
      <c r="A445" s="79" t="s">
        <v>53</v>
      </c>
      <c r="B445" s="80" t="s">
        <v>667</v>
      </c>
    </row>
    <row r="446" spans="1:2">
      <c r="A446" s="79" t="s">
        <v>109</v>
      </c>
      <c r="B446" s="80" t="s">
        <v>619</v>
      </c>
    </row>
    <row r="447" spans="1:2">
      <c r="A447" s="79" t="s">
        <v>51</v>
      </c>
      <c r="B447" s="80" t="s">
        <v>632</v>
      </c>
    </row>
    <row r="448" spans="1:2">
      <c r="A448" s="79" t="s">
        <v>740</v>
      </c>
      <c r="B448" s="80" t="s">
        <v>655</v>
      </c>
    </row>
    <row r="449" spans="1:2">
      <c r="A449" s="79" t="s">
        <v>741</v>
      </c>
      <c r="B449" s="80" t="s">
        <v>603</v>
      </c>
    </row>
    <row r="450" spans="1:2">
      <c r="A450" s="79" t="s">
        <v>251</v>
      </c>
      <c r="B450" s="80" t="s">
        <v>742</v>
      </c>
    </row>
    <row r="451" spans="1:2">
      <c r="A451" s="79" t="s">
        <v>74</v>
      </c>
      <c r="B451" s="80" t="s">
        <v>631</v>
      </c>
    </row>
    <row r="452" spans="1:2">
      <c r="A452" s="79" t="s">
        <v>265</v>
      </c>
      <c r="B452" s="80" t="s">
        <v>632</v>
      </c>
    </row>
    <row r="453" spans="1:2">
      <c r="A453" s="79" t="s">
        <v>743</v>
      </c>
      <c r="B453" s="80" t="s">
        <v>622</v>
      </c>
    </row>
    <row r="454" spans="1:2">
      <c r="A454" s="79" t="s">
        <v>168</v>
      </c>
      <c r="B454" s="80" t="s">
        <v>643</v>
      </c>
    </row>
    <row r="455" spans="1:2">
      <c r="A455" s="79" t="s">
        <v>252</v>
      </c>
      <c r="B455" s="80" t="s">
        <v>620</v>
      </c>
    </row>
    <row r="456" spans="1:2">
      <c r="A456" s="79" t="s">
        <v>240</v>
      </c>
      <c r="B456" s="80" t="s">
        <v>632</v>
      </c>
    </row>
    <row r="457" spans="1:2">
      <c r="A457" s="79" t="s">
        <v>189</v>
      </c>
      <c r="B457" s="80" t="s">
        <v>635</v>
      </c>
    </row>
    <row r="458" spans="1:2">
      <c r="A458" s="79" t="s">
        <v>744</v>
      </c>
      <c r="B458" s="80" t="s">
        <v>621</v>
      </c>
    </row>
    <row r="459" spans="1:2">
      <c r="A459" s="79" t="s">
        <v>86</v>
      </c>
      <c r="B459" s="80" t="s">
        <v>635</v>
      </c>
    </row>
    <row r="460" spans="1:2">
      <c r="A460" s="79" t="s">
        <v>745</v>
      </c>
      <c r="B460" s="80" t="s">
        <v>628</v>
      </c>
    </row>
    <row r="461" spans="1:2">
      <c r="A461" s="79" t="s">
        <v>226</v>
      </c>
      <c r="B461" s="80" t="s">
        <v>671</v>
      </c>
    </row>
    <row r="462" spans="1:2">
      <c r="A462" s="79" t="s">
        <v>271</v>
      </c>
      <c r="B462" s="80" t="s">
        <v>644</v>
      </c>
    </row>
    <row r="463" spans="1:2">
      <c r="A463" s="79" t="s">
        <v>86</v>
      </c>
      <c r="B463" s="80" t="s">
        <v>671</v>
      </c>
    </row>
    <row r="464" spans="1:2">
      <c r="A464" s="79" t="s">
        <v>254</v>
      </c>
      <c r="B464" s="80" t="s">
        <v>632</v>
      </c>
    </row>
    <row r="465" spans="1:2">
      <c r="A465" s="79" t="s">
        <v>743</v>
      </c>
      <c r="B465" s="80" t="s">
        <v>626</v>
      </c>
    </row>
    <row r="466" spans="1:2">
      <c r="A466" s="79" t="s">
        <v>97</v>
      </c>
      <c r="B466" s="80" t="s">
        <v>634</v>
      </c>
    </row>
    <row r="467" spans="1:2">
      <c r="A467" s="79" t="s">
        <v>593</v>
      </c>
      <c r="B467" s="80" t="s">
        <v>630</v>
      </c>
    </row>
    <row r="468" spans="1:2">
      <c r="A468" s="79" t="s">
        <v>63</v>
      </c>
      <c r="B468" s="80" t="s">
        <v>626</v>
      </c>
    </row>
    <row r="469" spans="1:2">
      <c r="A469" s="79" t="s">
        <v>199</v>
      </c>
      <c r="B469" s="80" t="s">
        <v>628</v>
      </c>
    </row>
    <row r="470" spans="1:2">
      <c r="A470" s="79" t="s">
        <v>292</v>
      </c>
      <c r="B470" s="80" t="s">
        <v>632</v>
      </c>
    </row>
    <row r="471" spans="1:2">
      <c r="A471" s="79" t="s">
        <v>83</v>
      </c>
      <c r="B471" s="80" t="s">
        <v>614</v>
      </c>
    </row>
    <row r="472" spans="1:2">
      <c r="A472" s="79" t="s">
        <v>166</v>
      </c>
      <c r="B472" s="80" t="s">
        <v>621</v>
      </c>
    </row>
    <row r="473" spans="1:2">
      <c r="A473" s="79" t="s">
        <v>86</v>
      </c>
      <c r="B473" s="80" t="s">
        <v>632</v>
      </c>
    </row>
    <row r="474" spans="1:2">
      <c r="A474" s="79" t="s">
        <v>746</v>
      </c>
      <c r="B474" s="80" t="s">
        <v>626</v>
      </c>
    </row>
    <row r="475" spans="1:2">
      <c r="A475" s="79" t="s">
        <v>747</v>
      </c>
      <c r="B475" s="80" t="s">
        <v>628</v>
      </c>
    </row>
    <row r="476" spans="1:2">
      <c r="A476" s="79" t="s">
        <v>101</v>
      </c>
      <c r="B476" s="80" t="s">
        <v>642</v>
      </c>
    </row>
    <row r="477" spans="1:2">
      <c r="A477" s="79" t="s">
        <v>256</v>
      </c>
      <c r="B477" s="80" t="s">
        <v>614</v>
      </c>
    </row>
    <row r="478" spans="1:2">
      <c r="A478" s="79" t="s">
        <v>748</v>
      </c>
      <c r="B478" s="80" t="s">
        <v>628</v>
      </c>
    </row>
    <row r="479" spans="1:2">
      <c r="A479" s="79" t="s">
        <v>231</v>
      </c>
      <c r="B479" s="80" t="s">
        <v>620</v>
      </c>
    </row>
    <row r="480" spans="1:2">
      <c r="A480" s="79" t="s">
        <v>240</v>
      </c>
      <c r="B480" s="80" t="s">
        <v>625</v>
      </c>
    </row>
    <row r="481" spans="1:2">
      <c r="A481" s="79" t="s">
        <v>57</v>
      </c>
      <c r="B481" s="80" t="s">
        <v>612</v>
      </c>
    </row>
    <row r="482" spans="1:2">
      <c r="A482" s="79" t="s">
        <v>209</v>
      </c>
      <c r="B482" s="80" t="s">
        <v>632</v>
      </c>
    </row>
    <row r="483" spans="1:2">
      <c r="A483" s="79" t="s">
        <v>55</v>
      </c>
      <c r="B483" s="80" t="s">
        <v>617</v>
      </c>
    </row>
    <row r="484" spans="1:2">
      <c r="A484" s="79" t="s">
        <v>66</v>
      </c>
      <c r="B484" s="80" t="s">
        <v>619</v>
      </c>
    </row>
    <row r="485" spans="1:2">
      <c r="A485" s="79" t="s">
        <v>95</v>
      </c>
      <c r="B485" s="80" t="s">
        <v>631</v>
      </c>
    </row>
    <row r="486" spans="1:2">
      <c r="A486" s="79" t="s">
        <v>63</v>
      </c>
      <c r="B486" s="80" t="s">
        <v>708</v>
      </c>
    </row>
    <row r="487" spans="1:2">
      <c r="A487" s="79" t="s">
        <v>66</v>
      </c>
      <c r="B487" s="80" t="s">
        <v>632</v>
      </c>
    </row>
    <row r="488" spans="1:2">
      <c r="A488" s="79" t="s">
        <v>157</v>
      </c>
      <c r="B488" s="80" t="s">
        <v>647</v>
      </c>
    </row>
    <row r="489" spans="1:2">
      <c r="A489" s="79" t="s">
        <v>132</v>
      </c>
      <c r="B489" s="80" t="s">
        <v>617</v>
      </c>
    </row>
    <row r="490" spans="1:2">
      <c r="A490" s="79" t="s">
        <v>215</v>
      </c>
      <c r="B490" s="80" t="s">
        <v>661</v>
      </c>
    </row>
    <row r="491" spans="1:2">
      <c r="A491" s="79" t="s">
        <v>111</v>
      </c>
      <c r="B491" s="80" t="s">
        <v>597</v>
      </c>
    </row>
    <row r="492" spans="1:2">
      <c r="A492" s="79" t="s">
        <v>111</v>
      </c>
      <c r="B492" s="80" t="s">
        <v>618</v>
      </c>
    </row>
    <row r="493" spans="1:2">
      <c r="A493" s="79" t="s">
        <v>692</v>
      </c>
      <c r="B493" s="80" t="s">
        <v>742</v>
      </c>
    </row>
    <row r="494" spans="1:2">
      <c r="A494" s="79" t="s">
        <v>749</v>
      </c>
      <c r="B494" s="80" t="s">
        <v>647</v>
      </c>
    </row>
    <row r="495" spans="1:2">
      <c r="A495" s="79" t="s">
        <v>209</v>
      </c>
      <c r="B495" s="80" t="s">
        <v>628</v>
      </c>
    </row>
    <row r="496" spans="1:2">
      <c r="A496" s="79" t="s">
        <v>307</v>
      </c>
      <c r="B496" s="80" t="s">
        <v>625</v>
      </c>
    </row>
    <row r="497" spans="1:2">
      <c r="A497" s="79" t="s">
        <v>750</v>
      </c>
      <c r="B497" s="80" t="s">
        <v>622</v>
      </c>
    </row>
    <row r="498" spans="1:2">
      <c r="A498" s="79" t="s">
        <v>116</v>
      </c>
      <c r="B498" s="80" t="s">
        <v>619</v>
      </c>
    </row>
    <row r="499" spans="1:2">
      <c r="A499" s="79" t="s">
        <v>145</v>
      </c>
      <c r="B499" s="80" t="s">
        <v>597</v>
      </c>
    </row>
    <row r="500" spans="1:2">
      <c r="A500" s="79" t="s">
        <v>315</v>
      </c>
      <c r="B500" s="80" t="s">
        <v>597</v>
      </c>
    </row>
    <row r="501" spans="1:2">
      <c r="A501" s="79" t="s">
        <v>55</v>
      </c>
      <c r="B501" s="80" t="s">
        <v>599</v>
      </c>
    </row>
    <row r="502" spans="1:2">
      <c r="A502" s="79" t="s">
        <v>213</v>
      </c>
      <c r="B502" s="80" t="s">
        <v>660</v>
      </c>
    </row>
    <row r="503" spans="1:2">
      <c r="A503" s="79" t="s">
        <v>226</v>
      </c>
      <c r="B503" s="80" t="s">
        <v>631</v>
      </c>
    </row>
    <row r="504" spans="1:2">
      <c r="A504" s="79" t="s">
        <v>92</v>
      </c>
      <c r="B504" s="80" t="s">
        <v>631</v>
      </c>
    </row>
    <row r="505" spans="1:2">
      <c r="A505" s="79" t="s">
        <v>248</v>
      </c>
      <c r="B505" s="80" t="s">
        <v>628</v>
      </c>
    </row>
    <row r="506" spans="1:2">
      <c r="A506" s="79" t="s">
        <v>252</v>
      </c>
      <c r="B506" s="80" t="s">
        <v>597</v>
      </c>
    </row>
    <row r="507" spans="1:2">
      <c r="A507" s="79" t="s">
        <v>151</v>
      </c>
      <c r="B507" s="80" t="s">
        <v>632</v>
      </c>
    </row>
    <row r="508" spans="1:2">
      <c r="A508" s="79" t="s">
        <v>248</v>
      </c>
      <c r="B508" s="80" t="s">
        <v>641</v>
      </c>
    </row>
    <row r="509" spans="1:2">
      <c r="A509" s="79" t="s">
        <v>143</v>
      </c>
      <c r="B509" s="80" t="s">
        <v>647</v>
      </c>
    </row>
    <row r="510" spans="1:2">
      <c r="A510" s="79" t="s">
        <v>140</v>
      </c>
      <c r="B510" s="80" t="s">
        <v>617</v>
      </c>
    </row>
    <row r="511" spans="1:2">
      <c r="A511" s="79" t="s">
        <v>214</v>
      </c>
      <c r="B511" s="80" t="s">
        <v>660</v>
      </c>
    </row>
    <row r="512" spans="1:2">
      <c r="A512" s="79" t="s">
        <v>240</v>
      </c>
      <c r="B512" s="80" t="s">
        <v>629</v>
      </c>
    </row>
    <row r="513" spans="1:2">
      <c r="A513" s="79" t="s">
        <v>155</v>
      </c>
      <c r="B513" s="80" t="s">
        <v>624</v>
      </c>
    </row>
    <row r="514" spans="1:2">
      <c r="A514" s="79" t="s">
        <v>312</v>
      </c>
      <c r="B514" s="80" t="s">
        <v>630</v>
      </c>
    </row>
    <row r="515" spans="1:2">
      <c r="A515" s="79" t="s">
        <v>199</v>
      </c>
      <c r="B515" s="80" t="s">
        <v>647</v>
      </c>
    </row>
    <row r="516" spans="1:2">
      <c r="A516" s="79" t="s">
        <v>195</v>
      </c>
      <c r="B516" s="80" t="s">
        <v>629</v>
      </c>
    </row>
    <row r="517" spans="1:2">
      <c r="A517" s="79" t="s">
        <v>205</v>
      </c>
      <c r="B517" s="80" t="s">
        <v>647</v>
      </c>
    </row>
    <row r="518" spans="1:2">
      <c r="A518" s="79" t="s">
        <v>141</v>
      </c>
      <c r="B518" s="80" t="s">
        <v>617</v>
      </c>
    </row>
    <row r="519" spans="1:2">
      <c r="A519" s="79" t="s">
        <v>53</v>
      </c>
      <c r="B519" s="80" t="s">
        <v>611</v>
      </c>
    </row>
    <row r="520" spans="1:2">
      <c r="A520" s="79" t="s">
        <v>131</v>
      </c>
      <c r="B520" s="80" t="s">
        <v>617</v>
      </c>
    </row>
    <row r="521" spans="1:2">
      <c r="A521" s="79" t="s">
        <v>295</v>
      </c>
      <c r="B521" s="80" t="s">
        <v>621</v>
      </c>
    </row>
    <row r="522" spans="1:2">
      <c r="A522" s="79" t="s">
        <v>128</v>
      </c>
      <c r="B522" s="80" t="s">
        <v>671</v>
      </c>
    </row>
    <row r="523" spans="1:2">
      <c r="A523" s="79" t="s">
        <v>53</v>
      </c>
      <c r="B523" s="80" t="s">
        <v>621</v>
      </c>
    </row>
    <row r="524" spans="1:2">
      <c r="A524" s="79" t="s">
        <v>217</v>
      </c>
      <c r="B524" s="80" t="s">
        <v>630</v>
      </c>
    </row>
    <row r="525" spans="1:2">
      <c r="A525" s="79" t="s">
        <v>241</v>
      </c>
      <c r="B525" s="80" t="s">
        <v>603</v>
      </c>
    </row>
    <row r="526" spans="1:2">
      <c r="A526" s="79" t="s">
        <v>249</v>
      </c>
      <c r="B526" s="80" t="s">
        <v>617</v>
      </c>
    </row>
    <row r="527" spans="1:2">
      <c r="A527" s="79" t="s">
        <v>259</v>
      </c>
      <c r="B527" s="80" t="s">
        <v>664</v>
      </c>
    </row>
    <row r="528" spans="1:2">
      <c r="A528" s="79" t="s">
        <v>751</v>
      </c>
      <c r="B528" s="80" t="s">
        <v>611</v>
      </c>
    </row>
    <row r="529" spans="1:2">
      <c r="A529" s="79" t="s">
        <v>298</v>
      </c>
      <c r="B529" s="80" t="s">
        <v>647</v>
      </c>
    </row>
    <row r="530" spans="1:2">
      <c r="A530" s="79" t="s">
        <v>306</v>
      </c>
      <c r="B530" s="80" t="s">
        <v>622</v>
      </c>
    </row>
    <row r="531" spans="1:2">
      <c r="A531" s="79" t="s">
        <v>86</v>
      </c>
      <c r="B531" s="80" t="s">
        <v>619</v>
      </c>
    </row>
    <row r="532" spans="1:2">
      <c r="A532" s="79" t="s">
        <v>269</v>
      </c>
      <c r="B532" s="80" t="s">
        <v>630</v>
      </c>
    </row>
    <row r="533" spans="1:2">
      <c r="A533" s="79" t="s">
        <v>272</v>
      </c>
      <c r="B533" s="80" t="s">
        <v>635</v>
      </c>
    </row>
    <row r="534" spans="1:2">
      <c r="A534" s="79" t="s">
        <v>163</v>
      </c>
      <c r="B534" s="80" t="s">
        <v>618</v>
      </c>
    </row>
    <row r="535" spans="1:2">
      <c r="A535" s="79" t="s">
        <v>752</v>
      </c>
      <c r="B535" s="80" t="s">
        <v>753</v>
      </c>
    </row>
    <row r="536" spans="1:2">
      <c r="A536" s="79" t="s">
        <v>699</v>
      </c>
      <c r="B536" s="80" t="s">
        <v>598</v>
      </c>
    </row>
    <row r="537" spans="1:2">
      <c r="A537" s="79" t="s">
        <v>305</v>
      </c>
      <c r="B537" s="80" t="s">
        <v>625</v>
      </c>
    </row>
    <row r="538" spans="1:2">
      <c r="A538" s="79" t="s">
        <v>151</v>
      </c>
      <c r="B538" s="80" t="s">
        <v>624</v>
      </c>
    </row>
    <row r="539" spans="1:2">
      <c r="A539" s="79" t="s">
        <v>281</v>
      </c>
      <c r="B539" s="80" t="s">
        <v>655</v>
      </c>
    </row>
    <row r="540" spans="1:2">
      <c r="A540" s="79" t="s">
        <v>237</v>
      </c>
      <c r="B540" s="80" t="s">
        <v>640</v>
      </c>
    </row>
    <row r="541" spans="1:2">
      <c r="A541" s="79" t="s">
        <v>282</v>
      </c>
      <c r="B541" s="80" t="s">
        <v>620</v>
      </c>
    </row>
    <row r="542" spans="1:2">
      <c r="A542" s="79" t="s">
        <v>65</v>
      </c>
      <c r="B542" s="80" t="s">
        <v>620</v>
      </c>
    </row>
    <row r="543" spans="1:2">
      <c r="A543" s="79" t="s">
        <v>219</v>
      </c>
      <c r="B543" s="80" t="s">
        <v>627</v>
      </c>
    </row>
    <row r="544" spans="1:2">
      <c r="A544" s="79" t="s">
        <v>205</v>
      </c>
      <c r="B544" s="80" t="s">
        <v>622</v>
      </c>
    </row>
    <row r="545" spans="1:2">
      <c r="A545" s="79" t="s">
        <v>243</v>
      </c>
      <c r="B545" s="80" t="s">
        <v>658</v>
      </c>
    </row>
    <row r="546" spans="1:2">
      <c r="A546" s="79" t="s">
        <v>266</v>
      </c>
      <c r="B546" s="80" t="s">
        <v>618</v>
      </c>
    </row>
    <row r="547" spans="1:2">
      <c r="A547" s="79" t="s">
        <v>71</v>
      </c>
      <c r="B547" s="80" t="s">
        <v>629</v>
      </c>
    </row>
    <row r="548" spans="1:2">
      <c r="A548" s="79" t="s">
        <v>63</v>
      </c>
      <c r="B548" s="80" t="s">
        <v>612</v>
      </c>
    </row>
    <row r="549" spans="1:2">
      <c r="A549" s="79" t="s">
        <v>277</v>
      </c>
      <c r="B549" s="80" t="s">
        <v>625</v>
      </c>
    </row>
    <row r="550" spans="1:2">
      <c r="A550" s="79" t="s">
        <v>146</v>
      </c>
      <c r="B550" s="80" t="s">
        <v>650</v>
      </c>
    </row>
    <row r="551" spans="1:2">
      <c r="A551" s="79" t="s">
        <v>63</v>
      </c>
      <c r="B551" s="80" t="s">
        <v>648</v>
      </c>
    </row>
    <row r="552" spans="1:2">
      <c r="A552" s="79" t="s">
        <v>268</v>
      </c>
      <c r="B552" s="80" t="s">
        <v>664</v>
      </c>
    </row>
    <row r="553" spans="1:2">
      <c r="A553" s="79" t="s">
        <v>58</v>
      </c>
      <c r="B553" s="80" t="s">
        <v>597</v>
      </c>
    </row>
    <row r="554" spans="1:2">
      <c r="A554" s="79" t="s">
        <v>169</v>
      </c>
      <c r="B554" s="80" t="s">
        <v>648</v>
      </c>
    </row>
    <row r="555" spans="1:2">
      <c r="A555" s="79" t="s">
        <v>291</v>
      </c>
      <c r="B555" s="80" t="s">
        <v>608</v>
      </c>
    </row>
    <row r="556" spans="1:2">
      <c r="A556" s="79" t="s">
        <v>196</v>
      </c>
      <c r="B556" s="80" t="s">
        <v>635</v>
      </c>
    </row>
    <row r="557" spans="1:2">
      <c r="A557" s="79" t="s">
        <v>227</v>
      </c>
      <c r="B557" s="80" t="s">
        <v>667</v>
      </c>
    </row>
    <row r="558" spans="1:2">
      <c r="A558" s="79" t="s">
        <v>297</v>
      </c>
      <c r="B558" s="80" t="s">
        <v>673</v>
      </c>
    </row>
    <row r="559" spans="1:2">
      <c r="A559" s="79" t="s">
        <v>142</v>
      </c>
      <c r="B559" s="80" t="s">
        <v>624</v>
      </c>
    </row>
    <row r="560" spans="1:2">
      <c r="A560" s="79" t="s">
        <v>199</v>
      </c>
      <c r="B560" s="80" t="s">
        <v>659</v>
      </c>
    </row>
    <row r="561" spans="1:2">
      <c r="A561" s="79" t="s">
        <v>110</v>
      </c>
      <c r="B561" s="80" t="s">
        <v>638</v>
      </c>
    </row>
    <row r="562" spans="1:2">
      <c r="A562" s="79" t="s">
        <v>173</v>
      </c>
      <c r="B562" s="80" t="s">
        <v>654</v>
      </c>
    </row>
    <row r="563" spans="1:2">
      <c r="A563" s="79" t="s">
        <v>123</v>
      </c>
      <c r="B563" s="80" t="s">
        <v>642</v>
      </c>
    </row>
    <row r="564" spans="1:2">
      <c r="A564" s="79" t="s">
        <v>234</v>
      </c>
      <c r="B564" s="80" t="s">
        <v>626</v>
      </c>
    </row>
    <row r="565" spans="1:2">
      <c r="A565" s="79" t="s">
        <v>110</v>
      </c>
      <c r="B565" s="80" t="s">
        <v>619</v>
      </c>
    </row>
    <row r="566" spans="1:2">
      <c r="A566" s="79" t="s">
        <v>124</v>
      </c>
      <c r="B566" s="80" t="s">
        <v>611</v>
      </c>
    </row>
    <row r="567" spans="1:2">
      <c r="A567" s="79" t="s">
        <v>218</v>
      </c>
      <c r="B567" s="80" t="s">
        <v>647</v>
      </c>
    </row>
    <row r="568" spans="1:2">
      <c r="A568" s="79" t="s">
        <v>232</v>
      </c>
      <c r="B568" s="80" t="s">
        <v>663</v>
      </c>
    </row>
    <row r="569" spans="1:2">
      <c r="A569" s="79" t="s">
        <v>290</v>
      </c>
      <c r="B569" s="80" t="s">
        <v>630</v>
      </c>
    </row>
    <row r="570" spans="1:2">
      <c r="A570" s="79" t="s">
        <v>230</v>
      </c>
      <c r="B570" s="80" t="s">
        <v>754</v>
      </c>
    </row>
    <row r="571" spans="1:2">
      <c r="A571" s="79" t="s">
        <v>240</v>
      </c>
      <c r="B571" s="80" t="s">
        <v>621</v>
      </c>
    </row>
    <row r="572" spans="1:2">
      <c r="A572" s="79" t="s">
        <v>254</v>
      </c>
      <c r="B572" s="80" t="s">
        <v>628</v>
      </c>
    </row>
    <row r="573" spans="1:2">
      <c r="A573" s="79" t="s">
        <v>236</v>
      </c>
      <c r="B573" s="80" t="s">
        <v>626</v>
      </c>
    </row>
    <row r="574" spans="1:2">
      <c r="A574" s="79" t="s">
        <v>214</v>
      </c>
      <c r="B574" s="80" t="s">
        <v>632</v>
      </c>
    </row>
    <row r="575" spans="1:2">
      <c r="A575" s="79" t="s">
        <v>192</v>
      </c>
      <c r="B575" s="80" t="s">
        <v>618</v>
      </c>
    </row>
    <row r="576" spans="1:2">
      <c r="A576" s="79" t="s">
        <v>210</v>
      </c>
      <c r="B576" s="80" t="s">
        <v>660</v>
      </c>
    </row>
    <row r="577" spans="1:2">
      <c r="A577" s="79" t="s">
        <v>154</v>
      </c>
      <c r="B577" s="80" t="s">
        <v>624</v>
      </c>
    </row>
    <row r="578" spans="1:2">
      <c r="A578" s="79" t="s">
        <v>112</v>
      </c>
      <c r="B578" s="80" t="s">
        <v>639</v>
      </c>
    </row>
    <row r="579" spans="1:2">
      <c r="A579" s="79" t="s">
        <v>225</v>
      </c>
      <c r="B579" s="80" t="s">
        <v>665</v>
      </c>
    </row>
    <row r="580" spans="1:2">
      <c r="A580" s="79" t="s">
        <v>255</v>
      </c>
      <c r="B580" s="80" t="s">
        <v>669</v>
      </c>
    </row>
    <row r="581" spans="1:2">
      <c r="A581" s="79" t="s">
        <v>287</v>
      </c>
      <c r="B581" s="80" t="s">
        <v>672</v>
      </c>
    </row>
    <row r="582" spans="1:2">
      <c r="A582" s="79" t="s">
        <v>230</v>
      </c>
      <c r="B582" s="80" t="s">
        <v>622</v>
      </c>
    </row>
    <row r="583" spans="1:2">
      <c r="A583" s="79" t="s">
        <v>139</v>
      </c>
      <c r="B583" s="80" t="s">
        <v>686</v>
      </c>
    </row>
    <row r="584" spans="1:2">
      <c r="A584" s="79" t="s">
        <v>200</v>
      </c>
      <c r="B584" s="80" t="s">
        <v>658</v>
      </c>
    </row>
    <row r="585" spans="1:2">
      <c r="A585" s="79" t="s">
        <v>102</v>
      </c>
      <c r="B585" s="80" t="s">
        <v>631</v>
      </c>
    </row>
    <row r="586" spans="1:2">
      <c r="A586" s="79" t="s">
        <v>216</v>
      </c>
      <c r="B586" s="80" t="s">
        <v>611</v>
      </c>
    </row>
    <row r="587" spans="1:2">
      <c r="A587" s="79" t="s">
        <v>83</v>
      </c>
      <c r="B587" s="80" t="s">
        <v>618</v>
      </c>
    </row>
    <row r="588" spans="1:2">
      <c r="A588" s="79" t="s">
        <v>120</v>
      </c>
      <c r="B588" s="80" t="s">
        <v>617</v>
      </c>
    </row>
    <row r="589" spans="1:2">
      <c r="A589" s="79" t="s">
        <v>590</v>
      </c>
      <c r="B589" s="80" t="s">
        <v>708</v>
      </c>
    </row>
    <row r="590" spans="1:2">
      <c r="A590" s="79" t="s">
        <v>283</v>
      </c>
      <c r="B590" s="80" t="s">
        <v>620</v>
      </c>
    </row>
    <row r="591" spans="1:2">
      <c r="A591" s="79" t="s">
        <v>245</v>
      </c>
      <c r="B591" s="80" t="s">
        <v>626</v>
      </c>
    </row>
    <row r="592" spans="1:2">
      <c r="A592" s="79" t="s">
        <v>280</v>
      </c>
      <c r="B592" s="80" t="s">
        <v>620</v>
      </c>
    </row>
    <row r="593" spans="1:2">
      <c r="A593" s="79" t="s">
        <v>259</v>
      </c>
      <c r="B593" s="80" t="s">
        <v>628</v>
      </c>
    </row>
    <row r="594" spans="1:2">
      <c r="A594" s="79" t="s">
        <v>695</v>
      </c>
      <c r="B594" s="80" t="s">
        <v>629</v>
      </c>
    </row>
    <row r="595" spans="1:2">
      <c r="A595" s="79" t="s">
        <v>233</v>
      </c>
      <c r="B595" s="80" t="s">
        <v>620</v>
      </c>
    </row>
    <row r="596" spans="1:2">
      <c r="A596" s="79" t="s">
        <v>55</v>
      </c>
      <c r="B596" s="80" t="s">
        <v>616</v>
      </c>
    </row>
    <row r="597" spans="1:2">
      <c r="A597" s="79" t="s">
        <v>60</v>
      </c>
      <c r="B597" s="80" t="s">
        <v>742</v>
      </c>
    </row>
    <row r="598" spans="1:2">
      <c r="A598" s="79" t="s">
        <v>711</v>
      </c>
      <c r="B598" s="80" t="s">
        <v>628</v>
      </c>
    </row>
    <row r="599" spans="1:2">
      <c r="A599" s="79" t="s">
        <v>682</v>
      </c>
      <c r="B599" s="80" t="s">
        <v>612</v>
      </c>
    </row>
    <row r="600" spans="1:2">
      <c r="A600" s="79" t="s">
        <v>755</v>
      </c>
      <c r="B600" s="80" t="s">
        <v>742</v>
      </c>
    </row>
    <row r="601" spans="1:2">
      <c r="A601" s="79" t="s">
        <v>60</v>
      </c>
      <c r="B601" s="80" t="s">
        <v>630</v>
      </c>
    </row>
    <row r="602" spans="1:2">
      <c r="A602" s="79" t="s">
        <v>91</v>
      </c>
      <c r="B602" s="80" t="s">
        <v>628</v>
      </c>
    </row>
    <row r="603" spans="1:2">
      <c r="A603" s="79" t="s">
        <v>307</v>
      </c>
      <c r="B603" s="80" t="s">
        <v>660</v>
      </c>
    </row>
    <row r="604" spans="1:2">
      <c r="A604" s="79" t="s">
        <v>123</v>
      </c>
      <c r="B604" s="80" t="s">
        <v>661</v>
      </c>
    </row>
    <row r="605" spans="1:2">
      <c r="A605" s="79" t="s">
        <v>288</v>
      </c>
      <c r="B605" s="80" t="s">
        <v>611</v>
      </c>
    </row>
    <row r="606" spans="1:2">
      <c r="A606" s="79" t="s">
        <v>149</v>
      </c>
      <c r="B606" s="80" t="s">
        <v>637</v>
      </c>
    </row>
    <row r="607" spans="1:2">
      <c r="A607" s="79" t="s">
        <v>203</v>
      </c>
      <c r="B607" s="80" t="s">
        <v>669</v>
      </c>
    </row>
    <row r="608" spans="1:2">
      <c r="A608" s="79" t="s">
        <v>241</v>
      </c>
      <c r="B608" s="80" t="s">
        <v>629</v>
      </c>
    </row>
    <row r="609" spans="1:2">
      <c r="A609" s="79" t="s">
        <v>258</v>
      </c>
      <c r="B609" s="80" t="s">
        <v>628</v>
      </c>
    </row>
    <row r="610" spans="1:2">
      <c r="A610" s="79" t="s">
        <v>247</v>
      </c>
      <c r="B610" s="80" t="s">
        <v>628</v>
      </c>
    </row>
    <row r="611" spans="1:2">
      <c r="A611" s="79" t="s">
        <v>108</v>
      </c>
      <c r="B611" s="80" t="s">
        <v>619</v>
      </c>
    </row>
    <row r="612" spans="1:2">
      <c r="A612" s="79" t="s">
        <v>239</v>
      </c>
      <c r="B612" s="80" t="s">
        <v>626</v>
      </c>
    </row>
    <row r="613" spans="1:2">
      <c r="A613" s="79" t="s">
        <v>118</v>
      </c>
      <c r="B613" s="80" t="s">
        <v>619</v>
      </c>
    </row>
    <row r="614" spans="1:2">
      <c r="A614" s="79" t="s">
        <v>254</v>
      </c>
      <c r="B614" s="80" t="s">
        <v>669</v>
      </c>
    </row>
    <row r="615" spans="1:2">
      <c r="A615" s="79" t="s">
        <v>150</v>
      </c>
      <c r="B615" s="80" t="s">
        <v>624</v>
      </c>
    </row>
    <row r="616" spans="1:2">
      <c r="A616" s="79" t="s">
        <v>106</v>
      </c>
      <c r="B616" s="80" t="s">
        <v>597</v>
      </c>
    </row>
    <row r="617" spans="1:2">
      <c r="A617" s="79" t="s">
        <v>137</v>
      </c>
      <c r="B617" s="80" t="s">
        <v>617</v>
      </c>
    </row>
    <row r="618" spans="1:2">
      <c r="A618" s="79" t="s">
        <v>212</v>
      </c>
      <c r="B618" s="80" t="s">
        <v>660</v>
      </c>
    </row>
    <row r="619" spans="1:2">
      <c r="A619" s="79" t="s">
        <v>101</v>
      </c>
      <c r="B619" s="80" t="s">
        <v>625</v>
      </c>
    </row>
    <row r="620" spans="1:2">
      <c r="A620" s="79" t="s">
        <v>718</v>
      </c>
      <c r="B620" s="80" t="s">
        <v>660</v>
      </c>
    </row>
    <row r="621" spans="1:2">
      <c r="A621" s="79" t="s">
        <v>756</v>
      </c>
      <c r="B621" s="80" t="s">
        <v>632</v>
      </c>
    </row>
    <row r="622" spans="1:2">
      <c r="A622" s="79" t="s">
        <v>756</v>
      </c>
      <c r="B622" s="80" t="s">
        <v>613</v>
      </c>
    </row>
    <row r="623" spans="1:2">
      <c r="A623" s="79" t="s">
        <v>95</v>
      </c>
      <c r="B623" s="80" t="s">
        <v>619</v>
      </c>
    </row>
    <row r="624" spans="1:2">
      <c r="A624" s="79" t="s">
        <v>757</v>
      </c>
      <c r="B624" s="80" t="s">
        <v>619</v>
      </c>
    </row>
    <row r="625" spans="1:2">
      <c r="A625" s="79" t="s">
        <v>758</v>
      </c>
      <c r="B625" s="80" t="s">
        <v>623</v>
      </c>
    </row>
    <row r="626" spans="1:2">
      <c r="A626" s="79" t="s">
        <v>759</v>
      </c>
      <c r="B626" s="80" t="s">
        <v>628</v>
      </c>
    </row>
    <row r="627" spans="1:2">
      <c r="A627" s="79" t="s">
        <v>716</v>
      </c>
      <c r="B627" s="80" t="s">
        <v>624</v>
      </c>
    </row>
    <row r="628" spans="1:2">
      <c r="A628" s="79" t="s">
        <v>760</v>
      </c>
      <c r="B628" s="80" t="s">
        <v>624</v>
      </c>
    </row>
    <row r="629" spans="1:2">
      <c r="A629" s="79" t="s">
        <v>761</v>
      </c>
      <c r="B629" s="80" t="s">
        <v>631</v>
      </c>
    </row>
    <row r="630" spans="1:2">
      <c r="A630" s="79" t="s">
        <v>762</v>
      </c>
      <c r="B630" s="80" t="s">
        <v>623</v>
      </c>
    </row>
    <row r="631" spans="1:2">
      <c r="A631" s="79" t="s">
        <v>763</v>
      </c>
      <c r="B631" s="80" t="s">
        <v>623</v>
      </c>
    </row>
    <row r="632" spans="1:2">
      <c r="A632" s="79" t="s">
        <v>83</v>
      </c>
      <c r="B632" s="80" t="s">
        <v>663</v>
      </c>
    </row>
    <row r="633" spans="1:2">
      <c r="A633" s="79" t="s">
        <v>174</v>
      </c>
      <c r="B633" s="80" t="s">
        <v>764</v>
      </c>
    </row>
    <row r="634" spans="1:2">
      <c r="A634" s="79" t="s">
        <v>765</v>
      </c>
      <c r="B634" s="80" t="s">
        <v>647</v>
      </c>
    </row>
    <row r="635" spans="1:2">
      <c r="A635" s="79" t="s">
        <v>256</v>
      </c>
      <c r="B635" s="80" t="s">
        <v>626</v>
      </c>
    </row>
    <row r="636" spans="1:2">
      <c r="A636" s="79" t="s">
        <v>55</v>
      </c>
      <c r="B636" s="80" t="s">
        <v>645</v>
      </c>
    </row>
    <row r="637" spans="1:2">
      <c r="A637" s="79" t="s">
        <v>245</v>
      </c>
      <c r="B637" s="80" t="s">
        <v>550</v>
      </c>
    </row>
    <row r="638" spans="1:2">
      <c r="A638" s="79" t="s">
        <v>766</v>
      </c>
      <c r="B638" s="80" t="s">
        <v>617</v>
      </c>
    </row>
    <row r="639" spans="1:2">
      <c r="A639" s="79" t="s">
        <v>767</v>
      </c>
      <c r="B639" s="80" t="s">
        <v>624</v>
      </c>
    </row>
    <row r="640" spans="1:2">
      <c r="A640" s="79" t="s">
        <v>243</v>
      </c>
      <c r="B640" s="80" t="s">
        <v>632</v>
      </c>
    </row>
    <row r="641" spans="1:2">
      <c r="A641" s="79" t="s">
        <v>256</v>
      </c>
      <c r="B641" s="80" t="s">
        <v>708</v>
      </c>
    </row>
    <row r="642" spans="1:2">
      <c r="A642" s="79" t="s">
        <v>86</v>
      </c>
      <c r="B642" s="80" t="s">
        <v>663</v>
      </c>
    </row>
    <row r="643" spans="1:2">
      <c r="A643" s="79" t="s">
        <v>195</v>
      </c>
      <c r="B643" s="80" t="s">
        <v>632</v>
      </c>
    </row>
    <row r="644" spans="1:2">
      <c r="A644" s="79" t="s">
        <v>145</v>
      </c>
      <c r="B644" s="80" t="s">
        <v>649</v>
      </c>
    </row>
    <row r="645" spans="1:2">
      <c r="A645" s="79" t="s">
        <v>193</v>
      </c>
      <c r="B645" s="80" t="s">
        <v>610</v>
      </c>
    </row>
    <row r="646" spans="1:2">
      <c r="A646" s="79" t="s">
        <v>153</v>
      </c>
      <c r="B646" s="80" t="s">
        <v>653</v>
      </c>
    </row>
    <row r="647" spans="1:2">
      <c r="A647" s="79" t="s">
        <v>768</v>
      </c>
      <c r="B647" s="80" t="s">
        <v>619</v>
      </c>
    </row>
    <row r="648" spans="1:2">
      <c r="A648" s="79" t="s">
        <v>769</v>
      </c>
      <c r="B648" s="80" t="s">
        <v>622</v>
      </c>
    </row>
    <row r="649" spans="1:2">
      <c r="A649" s="79" t="s">
        <v>770</v>
      </c>
      <c r="B649" s="80" t="s">
        <v>660</v>
      </c>
    </row>
    <row r="650" spans="1:2">
      <c r="A650" s="79" t="s">
        <v>771</v>
      </c>
      <c r="B650" s="80" t="s">
        <v>660</v>
      </c>
    </row>
    <row r="651" spans="1:2">
      <c r="A651" s="79" t="s">
        <v>249</v>
      </c>
      <c r="B651" s="80" t="s">
        <v>632</v>
      </c>
    </row>
    <row r="652" spans="1:2">
      <c r="A652" s="79" t="s">
        <v>184</v>
      </c>
      <c r="B652" s="80" t="s">
        <v>618</v>
      </c>
    </row>
    <row r="653" spans="1:2">
      <c r="A653" s="79" t="s">
        <v>147</v>
      </c>
      <c r="B653" s="80" t="s">
        <v>647</v>
      </c>
    </row>
    <row r="654" spans="1:2">
      <c r="A654" s="79" t="s">
        <v>91</v>
      </c>
      <c r="B654" s="80" t="s">
        <v>618</v>
      </c>
    </row>
    <row r="655" spans="1:2">
      <c r="A655" s="79" t="s">
        <v>246</v>
      </c>
      <c r="B655" s="80" t="s">
        <v>612</v>
      </c>
    </row>
    <row r="656" spans="1:2">
      <c r="A656" s="79" t="s">
        <v>224</v>
      </c>
      <c r="B656" s="80" t="s">
        <v>624</v>
      </c>
    </row>
    <row r="657" spans="1:2">
      <c r="A657" s="79" t="s">
        <v>276</v>
      </c>
      <c r="B657" s="80" t="s">
        <v>643</v>
      </c>
    </row>
    <row r="658" spans="1:2">
      <c r="A658" s="79" t="s">
        <v>239</v>
      </c>
      <c r="B658" s="80" t="s">
        <v>629</v>
      </c>
    </row>
    <row r="659" spans="1:2">
      <c r="A659" s="79" t="s">
        <v>772</v>
      </c>
      <c r="B659" s="80" t="s">
        <v>624</v>
      </c>
    </row>
    <row r="660" spans="1:2">
      <c r="A660" s="79" t="s">
        <v>231</v>
      </c>
      <c r="B660" s="80" t="s">
        <v>626</v>
      </c>
    </row>
    <row r="661" spans="1:2">
      <c r="A661" s="79" t="s">
        <v>721</v>
      </c>
      <c r="B661" s="80" t="s">
        <v>598</v>
      </c>
    </row>
    <row r="662" spans="1:2">
      <c r="A662" s="79" t="s">
        <v>78</v>
      </c>
      <c r="B662" s="80" t="s">
        <v>622</v>
      </c>
    </row>
    <row r="663" spans="1:2">
      <c r="A663" s="79" t="s">
        <v>199</v>
      </c>
      <c r="B663" s="80" t="s">
        <v>618</v>
      </c>
    </row>
    <row r="664" spans="1:2">
      <c r="A664" s="79" t="s">
        <v>178</v>
      </c>
      <c r="B664" s="80" t="s">
        <v>671</v>
      </c>
    </row>
    <row r="665" spans="1:2">
      <c r="A665" s="79" t="s">
        <v>217</v>
      </c>
      <c r="B665" s="80" t="s">
        <v>666</v>
      </c>
    </row>
    <row r="666" spans="1:2">
      <c r="A666" s="79" t="s">
        <v>226</v>
      </c>
      <c r="B666" s="80" t="s">
        <v>668</v>
      </c>
    </row>
    <row r="667" spans="1:2">
      <c r="A667" s="79" t="s">
        <v>265</v>
      </c>
      <c r="B667" s="80" t="s">
        <v>664</v>
      </c>
    </row>
    <row r="668" spans="1:2">
      <c r="A668" s="79" t="s">
        <v>271</v>
      </c>
      <c r="B668" s="80" t="s">
        <v>708</v>
      </c>
    </row>
    <row r="669" spans="1:2">
      <c r="A669" s="79" t="s">
        <v>110</v>
      </c>
      <c r="B669" s="80" t="s">
        <v>693</v>
      </c>
    </row>
    <row r="670" spans="1:2">
      <c r="A670" s="79" t="s">
        <v>89</v>
      </c>
      <c r="B670" s="80" t="s">
        <v>635</v>
      </c>
    </row>
    <row r="671" spans="1:2">
      <c r="A671" s="79" t="s">
        <v>110</v>
      </c>
      <c r="B671" s="80" t="s">
        <v>599</v>
      </c>
    </row>
    <row r="672" spans="1:2">
      <c r="A672" s="79" t="s">
        <v>119</v>
      </c>
      <c r="B672" s="80" t="s">
        <v>655</v>
      </c>
    </row>
    <row r="673" spans="1:2">
      <c r="A673" s="79" t="s">
        <v>125</v>
      </c>
      <c r="B673" s="80" t="s">
        <v>632</v>
      </c>
    </row>
    <row r="674" spans="1:2">
      <c r="A674" s="79" t="s">
        <v>773</v>
      </c>
      <c r="B674" s="80" t="s">
        <v>612</v>
      </c>
    </row>
    <row r="675" spans="1:2">
      <c r="A675" s="79" t="s">
        <v>260</v>
      </c>
      <c r="B675" s="80" t="s">
        <v>626</v>
      </c>
    </row>
    <row r="676" spans="1:2">
      <c r="A676" s="79" t="s">
        <v>161</v>
      </c>
      <c r="B676" s="80" t="s">
        <v>671</v>
      </c>
    </row>
    <row r="677" spans="1:2">
      <c r="A677" s="79" t="s">
        <v>160</v>
      </c>
      <c r="B677" s="80" t="s">
        <v>693</v>
      </c>
    </row>
    <row r="678" spans="1:2">
      <c r="A678" s="79" t="s">
        <v>228</v>
      </c>
      <c r="B678" s="80" t="s">
        <v>630</v>
      </c>
    </row>
    <row r="679" spans="1:2">
      <c r="A679" s="79" t="s">
        <v>231</v>
      </c>
      <c r="B679" s="80" t="s">
        <v>631</v>
      </c>
    </row>
    <row r="680" spans="1:2">
      <c r="A680" s="79" t="s">
        <v>107</v>
      </c>
      <c r="B680" s="80" t="s">
        <v>617</v>
      </c>
    </row>
    <row r="681" spans="1:2">
      <c r="A681" s="79" t="s">
        <v>115</v>
      </c>
      <c r="B681" s="80" t="s">
        <v>626</v>
      </c>
    </row>
    <row r="682" spans="1:2">
      <c r="A682" s="79" t="s">
        <v>116</v>
      </c>
      <c r="B682" s="80" t="s">
        <v>668</v>
      </c>
    </row>
    <row r="683" spans="1:2">
      <c r="A683" s="79" t="s">
        <v>117</v>
      </c>
      <c r="B683" s="80" t="s">
        <v>620</v>
      </c>
    </row>
    <row r="684" spans="1:2">
      <c r="A684" s="79" t="s">
        <v>97</v>
      </c>
      <c r="B684" s="80" t="s">
        <v>607</v>
      </c>
    </row>
    <row r="685" spans="1:2">
      <c r="A685" s="79" t="s">
        <v>101</v>
      </c>
      <c r="B685" s="80" t="s">
        <v>609</v>
      </c>
    </row>
    <row r="686" spans="1:2">
      <c r="A686" s="79" t="s">
        <v>271</v>
      </c>
      <c r="B686" s="80" t="s">
        <v>668</v>
      </c>
    </row>
    <row r="687" spans="1:2">
      <c r="A687" s="79" t="s">
        <v>97</v>
      </c>
      <c r="B687" s="80" t="s">
        <v>609</v>
      </c>
    </row>
    <row r="688" spans="1:2">
      <c r="A688" s="79" t="s">
        <v>81</v>
      </c>
      <c r="B688" s="80" t="s">
        <v>597</v>
      </c>
    </row>
    <row r="689" spans="1:2">
      <c r="A689" s="79" t="s">
        <v>63</v>
      </c>
      <c r="B689" s="80" t="s">
        <v>666</v>
      </c>
    </row>
    <row r="690" spans="1:2">
      <c r="A690" s="79" t="s">
        <v>57</v>
      </c>
      <c r="B690" s="80" t="s">
        <v>631</v>
      </c>
    </row>
    <row r="691" spans="1:2">
      <c r="A691" s="79" t="s">
        <v>226</v>
      </c>
      <c r="B691" s="80" t="s">
        <v>708</v>
      </c>
    </row>
    <row r="692" spans="1:2">
      <c r="A692" s="79" t="s">
        <v>774</v>
      </c>
      <c r="B692" s="80" t="s">
        <v>661</v>
      </c>
    </row>
    <row r="693" spans="1:2">
      <c r="A693" s="79" t="s">
        <v>97</v>
      </c>
      <c r="B693" s="80" t="s">
        <v>616</v>
      </c>
    </row>
    <row r="694" spans="1:2">
      <c r="A694" s="79" t="s">
        <v>694</v>
      </c>
      <c r="B694" s="80" t="s">
        <v>673</v>
      </c>
    </row>
    <row r="695" spans="1:2">
      <c r="A695" s="79" t="s">
        <v>69</v>
      </c>
      <c r="B695" s="80" t="s">
        <v>632</v>
      </c>
    </row>
    <row r="696" spans="1:2">
      <c r="A696" s="79" t="s">
        <v>691</v>
      </c>
      <c r="B696" s="80" t="s">
        <v>631</v>
      </c>
    </row>
    <row r="697" spans="1:2">
      <c r="A697" s="79" t="s">
        <v>101</v>
      </c>
      <c r="B697" s="80" t="s">
        <v>668</v>
      </c>
    </row>
    <row r="698" spans="1:2">
      <c r="A698" s="79" t="s">
        <v>120</v>
      </c>
      <c r="B698" s="80" t="s">
        <v>642</v>
      </c>
    </row>
    <row r="699" spans="1:2">
      <c r="A699" s="79" t="s">
        <v>121</v>
      </c>
      <c r="B699" s="80" t="s">
        <v>669</v>
      </c>
    </row>
    <row r="700" spans="1:2">
      <c r="A700" s="79" t="s">
        <v>738</v>
      </c>
      <c r="B700" s="80" t="s">
        <v>664</v>
      </c>
    </row>
    <row r="701" spans="1:2">
      <c r="A701" s="79" t="s">
        <v>161</v>
      </c>
      <c r="B701" s="80" t="s">
        <v>638</v>
      </c>
    </row>
    <row r="702" spans="1:2">
      <c r="A702" s="79" t="s">
        <v>775</v>
      </c>
      <c r="B702" s="80" t="s">
        <v>753</v>
      </c>
    </row>
    <row r="703" spans="1:2">
      <c r="A703" s="79" t="s">
        <v>217</v>
      </c>
      <c r="B703" s="80" t="s">
        <v>635</v>
      </c>
    </row>
    <row r="704" spans="1:2">
      <c r="A704" s="79" t="s">
        <v>228</v>
      </c>
      <c r="B704" s="80" t="s">
        <v>602</v>
      </c>
    </row>
    <row r="705" spans="1:2">
      <c r="A705" s="79" t="s">
        <v>266</v>
      </c>
      <c r="B705" s="80" t="s">
        <v>623</v>
      </c>
    </row>
    <row r="706" spans="1:2">
      <c r="A706" s="79" t="s">
        <v>267</v>
      </c>
      <c r="B706" s="80" t="s">
        <v>632</v>
      </c>
    </row>
    <row r="707" spans="1:2">
      <c r="A707" s="79" t="s">
        <v>285</v>
      </c>
      <c r="B707" s="80" t="s">
        <v>622</v>
      </c>
    </row>
    <row r="708" spans="1:2">
      <c r="A708" s="79" t="s">
        <v>776</v>
      </c>
      <c r="B708" s="80" t="s">
        <v>708</v>
      </c>
    </row>
    <row r="709" spans="1:2">
      <c r="A709" s="79" t="s">
        <v>159</v>
      </c>
      <c r="B709" s="80" t="s">
        <v>598</v>
      </c>
    </row>
    <row r="710" spans="1:2">
      <c r="A710" s="79" t="s">
        <v>160</v>
      </c>
      <c r="B710" s="80" t="s">
        <v>654</v>
      </c>
    </row>
    <row r="711" spans="1:2">
      <c r="A711" s="79" t="s">
        <v>226</v>
      </c>
      <c r="B711" s="80" t="s">
        <v>621</v>
      </c>
    </row>
    <row r="712" spans="1:2">
      <c r="A712" s="79" t="s">
        <v>217</v>
      </c>
      <c r="B712" s="80" t="s">
        <v>647</v>
      </c>
    </row>
    <row r="713" spans="1:2">
      <c r="A713" s="79" t="s">
        <v>53</v>
      </c>
      <c r="B713" s="80" t="s">
        <v>550</v>
      </c>
    </row>
    <row r="714" spans="1:2">
      <c r="A714" s="79" t="s">
        <v>228</v>
      </c>
      <c r="B714" s="80" t="s">
        <v>627</v>
      </c>
    </row>
    <row r="715" spans="1:2">
      <c r="A715" s="79" t="s">
        <v>777</v>
      </c>
      <c r="B715" s="80" t="s">
        <v>637</v>
      </c>
    </row>
    <row r="716" spans="1:2">
      <c r="A716" s="79" t="s">
        <v>161</v>
      </c>
      <c r="B716" s="80" t="s">
        <v>666</v>
      </c>
    </row>
    <row r="717" spans="1:2">
      <c r="A717" s="79" t="s">
        <v>226</v>
      </c>
      <c r="B717" s="80" t="s">
        <v>688</v>
      </c>
    </row>
    <row r="718" spans="1:2">
      <c r="A718" s="79" t="s">
        <v>772</v>
      </c>
      <c r="B718" s="80" t="s">
        <v>647</v>
      </c>
    </row>
    <row r="719" spans="1:2">
      <c r="A719" s="79" t="s">
        <v>269</v>
      </c>
      <c r="B719" s="80" t="s">
        <v>624</v>
      </c>
    </row>
    <row r="720" spans="1:2">
      <c r="A720" s="79" t="s">
        <v>96</v>
      </c>
      <c r="B720" s="80" t="s">
        <v>631</v>
      </c>
    </row>
    <row r="721" spans="1:2">
      <c r="A721" s="79" t="s">
        <v>217</v>
      </c>
      <c r="B721" s="80" t="s">
        <v>631</v>
      </c>
    </row>
    <row r="722" spans="1:2">
      <c r="A722" s="79" t="s">
        <v>245</v>
      </c>
      <c r="B722" s="80" t="s">
        <v>663</v>
      </c>
    </row>
    <row r="723" spans="1:2">
      <c r="A723" s="79" t="s">
        <v>121</v>
      </c>
      <c r="B723" s="80" t="s">
        <v>732</v>
      </c>
    </row>
    <row r="724" spans="1:2">
      <c r="A724" s="79" t="s">
        <v>739</v>
      </c>
      <c r="B724" s="80" t="s">
        <v>671</v>
      </c>
    </row>
    <row r="725" spans="1:2">
      <c r="A725" s="79" t="s">
        <v>83</v>
      </c>
      <c r="B725" s="80" t="s">
        <v>631</v>
      </c>
    </row>
    <row r="726" spans="1:2">
      <c r="A726" s="79" t="s">
        <v>265</v>
      </c>
      <c r="B726" s="80" t="s">
        <v>666</v>
      </c>
    </row>
    <row r="727" spans="1:2">
      <c r="A727" s="79" t="s">
        <v>778</v>
      </c>
      <c r="B727" s="80" t="s">
        <v>632</v>
      </c>
    </row>
    <row r="728" spans="1:2">
      <c r="A728" s="79" t="s">
        <v>178</v>
      </c>
      <c r="B728" s="80" t="s">
        <v>732</v>
      </c>
    </row>
    <row r="729" spans="1:2">
      <c r="A729" s="79" t="s">
        <v>91</v>
      </c>
      <c r="B729" s="80" t="s">
        <v>600</v>
      </c>
    </row>
    <row r="730" spans="1:2">
      <c r="A730" s="79" t="s">
        <v>185</v>
      </c>
      <c r="B730" s="80" t="s">
        <v>670</v>
      </c>
    </row>
    <row r="731" spans="1:2">
      <c r="A731" s="79" t="s">
        <v>247</v>
      </c>
      <c r="B731" s="80" t="s">
        <v>621</v>
      </c>
    </row>
    <row r="732" spans="1:2">
      <c r="A732" s="79" t="s">
        <v>256</v>
      </c>
      <c r="B732" s="80" t="s">
        <v>671</v>
      </c>
    </row>
    <row r="733" spans="1:2">
      <c r="A733" s="79" t="s">
        <v>289</v>
      </c>
      <c r="B733" s="80" t="s">
        <v>657</v>
      </c>
    </row>
    <row r="734" spans="1:2">
      <c r="A734" s="79" t="s">
        <v>188</v>
      </c>
      <c r="B734" s="80" t="s">
        <v>612</v>
      </c>
    </row>
    <row r="735" spans="1:2">
      <c r="A735" s="79" t="s">
        <v>246</v>
      </c>
      <c r="B735" s="80" t="s">
        <v>735</v>
      </c>
    </row>
    <row r="736" spans="1:2">
      <c r="A736" s="79" t="s">
        <v>221</v>
      </c>
      <c r="B736" s="80" t="s">
        <v>697</v>
      </c>
    </row>
    <row r="737" spans="1:2">
      <c r="A737" s="79" t="s">
        <v>231</v>
      </c>
      <c r="B737" s="80" t="s">
        <v>619</v>
      </c>
    </row>
    <row r="738" spans="1:2">
      <c r="A738" s="79" t="s">
        <v>161</v>
      </c>
      <c r="B738" s="80" t="s">
        <v>632</v>
      </c>
    </row>
    <row r="739" spans="1:2">
      <c r="A739" s="79" t="s">
        <v>755</v>
      </c>
      <c r="B739" s="80" t="s">
        <v>630</v>
      </c>
    </row>
    <row r="740" spans="1:2">
      <c r="A740" s="79" t="s">
        <v>66</v>
      </c>
      <c r="B740" s="80" t="s">
        <v>612</v>
      </c>
    </row>
    <row r="741" spans="1:2">
      <c r="A741" s="79" t="s">
        <v>292</v>
      </c>
      <c r="B741" s="80" t="s">
        <v>607</v>
      </c>
    </row>
    <row r="742" spans="1:2">
      <c r="A742" s="79" t="s">
        <v>221</v>
      </c>
      <c r="B742" s="80" t="s">
        <v>650</v>
      </c>
    </row>
    <row r="743" spans="1:2">
      <c r="A743" s="79" t="s">
        <v>292</v>
      </c>
      <c r="B743" s="80" t="s">
        <v>609</v>
      </c>
    </row>
    <row r="744" spans="1:2">
      <c r="A744" s="79" t="s">
        <v>84</v>
      </c>
      <c r="B744" s="80" t="s">
        <v>596</v>
      </c>
    </row>
    <row r="745" spans="1:2">
      <c r="A745" s="79" t="s">
        <v>104</v>
      </c>
      <c r="B745" s="80" t="s">
        <v>676</v>
      </c>
    </row>
    <row r="746" spans="1:2">
      <c r="A746" s="79" t="s">
        <v>108</v>
      </c>
      <c r="B746" s="80" t="s">
        <v>647</v>
      </c>
    </row>
    <row r="747" spans="1:2">
      <c r="A747" s="79" t="s">
        <v>246</v>
      </c>
      <c r="B747" s="80" t="s">
        <v>626</v>
      </c>
    </row>
    <row r="748" spans="1:2">
      <c r="A748" s="79" t="s">
        <v>107</v>
      </c>
      <c r="B748" s="80" t="s">
        <v>616</v>
      </c>
    </row>
    <row r="749" spans="1:2">
      <c r="A749" s="79" t="s">
        <v>247</v>
      </c>
      <c r="B749" s="80" t="s">
        <v>634</v>
      </c>
    </row>
    <row r="750" spans="1:2">
      <c r="A750" s="79" t="s">
        <v>301</v>
      </c>
      <c r="B750" s="80" t="s">
        <v>673</v>
      </c>
    </row>
    <row r="751" spans="1:2">
      <c r="A751" s="79" t="s">
        <v>104</v>
      </c>
      <c r="B751" s="80" t="s">
        <v>619</v>
      </c>
    </row>
    <row r="752" spans="1:2">
      <c r="A752" s="79" t="s">
        <v>160</v>
      </c>
      <c r="B752" s="80" t="s">
        <v>643</v>
      </c>
    </row>
    <row r="753" spans="1:2">
      <c r="A753" s="79" t="s">
        <v>261</v>
      </c>
      <c r="B753" s="80" t="s">
        <v>623</v>
      </c>
    </row>
    <row r="754" spans="1:2">
      <c r="A754" s="79" t="s">
        <v>74</v>
      </c>
      <c r="B754" s="80" t="s">
        <v>617</v>
      </c>
    </row>
    <row r="755" spans="1:2">
      <c r="A755" s="79" t="s">
        <v>104</v>
      </c>
      <c r="B755" s="80" t="s">
        <v>601</v>
      </c>
    </row>
    <row r="756" spans="1:2">
      <c r="A756" s="79" t="s">
        <v>114</v>
      </c>
      <c r="B756" s="80" t="s">
        <v>619</v>
      </c>
    </row>
    <row r="757" spans="1:2">
      <c r="A757" s="79" t="s">
        <v>113</v>
      </c>
      <c r="B757" s="80" t="s">
        <v>601</v>
      </c>
    </row>
    <row r="758" spans="1:2">
      <c r="A758" s="79" t="s">
        <v>114</v>
      </c>
      <c r="B758" s="80" t="s">
        <v>660</v>
      </c>
    </row>
    <row r="759" spans="1:2">
      <c r="A759" s="79" t="s">
        <v>125</v>
      </c>
      <c r="B759" s="80" t="s">
        <v>623</v>
      </c>
    </row>
    <row r="760" spans="1:2">
      <c r="A760" s="79" t="s">
        <v>65</v>
      </c>
      <c r="B760" s="80" t="s">
        <v>622</v>
      </c>
    </row>
    <row r="761" spans="1:2">
      <c r="A761" s="79" t="s">
        <v>221</v>
      </c>
      <c r="B761" s="80" t="s">
        <v>683</v>
      </c>
    </row>
    <row r="762" spans="1:2">
      <c r="A762" s="79" t="s">
        <v>230</v>
      </c>
      <c r="B762" s="80" t="s">
        <v>634</v>
      </c>
    </row>
    <row r="763" spans="1:2">
      <c r="A763" s="79" t="s">
        <v>233</v>
      </c>
      <c r="B763" s="80" t="s">
        <v>672</v>
      </c>
    </row>
    <row r="764" spans="1:2">
      <c r="A764" s="79" t="s">
        <v>722</v>
      </c>
      <c r="B764" s="80" t="s">
        <v>661</v>
      </c>
    </row>
    <row r="765" spans="1:2">
      <c r="A765" s="79" t="s">
        <v>248</v>
      </c>
      <c r="B765" s="80" t="s">
        <v>620</v>
      </c>
    </row>
    <row r="766" spans="1:2">
      <c r="A766" s="79" t="s">
        <v>95</v>
      </c>
      <c r="B766" s="80" t="s">
        <v>632</v>
      </c>
    </row>
    <row r="767" spans="1:2">
      <c r="A767" s="79" t="s">
        <v>749</v>
      </c>
      <c r="B767" s="80" t="s">
        <v>742</v>
      </c>
    </row>
    <row r="768" spans="1:2">
      <c r="A768" s="79" t="s">
        <v>722</v>
      </c>
      <c r="B768" s="80" t="s">
        <v>599</v>
      </c>
    </row>
    <row r="769" spans="1:2">
      <c r="A769" s="79" t="s">
        <v>265</v>
      </c>
      <c r="B769" s="80" t="s">
        <v>601</v>
      </c>
    </row>
    <row r="770" spans="1:2">
      <c r="A770" s="79" t="s">
        <v>267</v>
      </c>
      <c r="B770" s="80" t="s">
        <v>779</v>
      </c>
    </row>
    <row r="771" spans="1:2">
      <c r="A771" s="79" t="s">
        <v>53</v>
      </c>
      <c r="B771" s="80" t="s">
        <v>609</v>
      </c>
    </row>
    <row r="772" spans="1:2">
      <c r="A772" s="79" t="s">
        <v>266</v>
      </c>
      <c r="B772" s="80" t="s">
        <v>621</v>
      </c>
    </row>
    <row r="773" spans="1:2">
      <c r="A773" s="79" t="s">
        <v>197</v>
      </c>
      <c r="B773" s="80" t="s">
        <v>630</v>
      </c>
    </row>
    <row r="774" spans="1:2">
      <c r="A774" s="79" t="s">
        <v>198</v>
      </c>
      <c r="B774" s="80" t="s">
        <v>622</v>
      </c>
    </row>
    <row r="775" spans="1:2">
      <c r="A775" s="79" t="s">
        <v>69</v>
      </c>
      <c r="B775" s="80" t="s">
        <v>631</v>
      </c>
    </row>
    <row r="776" spans="1:2">
      <c r="A776" s="79" t="s">
        <v>210</v>
      </c>
      <c r="B776" s="80" t="s">
        <v>632</v>
      </c>
    </row>
    <row r="777" spans="1:2">
      <c r="A777" s="79" t="s">
        <v>780</v>
      </c>
      <c r="B777" s="80" t="s">
        <v>620</v>
      </c>
    </row>
    <row r="778" spans="1:2">
      <c r="A778" s="79" t="s">
        <v>722</v>
      </c>
      <c r="B778" s="80" t="s">
        <v>611</v>
      </c>
    </row>
    <row r="779" spans="1:2">
      <c r="A779" s="79" t="s">
        <v>120</v>
      </c>
      <c r="B779" s="80" t="s">
        <v>628</v>
      </c>
    </row>
    <row r="780" spans="1:2">
      <c r="A780" s="79" t="s">
        <v>276</v>
      </c>
      <c r="B780" s="80" t="s">
        <v>667</v>
      </c>
    </row>
    <row r="781" spans="1:2">
      <c r="A781" s="79" t="s">
        <v>781</v>
      </c>
      <c r="B781" s="80" t="s">
        <v>642</v>
      </c>
    </row>
    <row r="782" spans="1:2">
      <c r="A782" s="79" t="s">
        <v>142</v>
      </c>
      <c r="B782" s="80" t="s">
        <v>622</v>
      </c>
    </row>
    <row r="783" spans="1:2">
      <c r="A783" s="79" t="s">
        <v>217</v>
      </c>
      <c r="B783" s="80" t="s">
        <v>671</v>
      </c>
    </row>
    <row r="784" spans="1:2">
      <c r="A784" s="79" t="s">
        <v>104</v>
      </c>
      <c r="B784" s="80" t="s">
        <v>639</v>
      </c>
    </row>
    <row r="785" spans="1:2">
      <c r="A785" s="79" t="s">
        <v>104</v>
      </c>
      <c r="B785" s="80" t="s">
        <v>640</v>
      </c>
    </row>
    <row r="786" spans="1:2">
      <c r="A786" s="79" t="s">
        <v>292</v>
      </c>
      <c r="B786" s="80" t="s">
        <v>625</v>
      </c>
    </row>
    <row r="787" spans="1:2">
      <c r="A787" s="79" t="s">
        <v>221</v>
      </c>
      <c r="B787" s="80" t="s">
        <v>631</v>
      </c>
    </row>
    <row r="788" spans="1:2">
      <c r="A788" s="79" t="s">
        <v>292</v>
      </c>
      <c r="B788" s="80" t="s">
        <v>597</v>
      </c>
    </row>
    <row r="789" spans="1:2">
      <c r="A789" s="79" t="s">
        <v>69</v>
      </c>
      <c r="B789" s="80" t="s">
        <v>635</v>
      </c>
    </row>
    <row r="790" spans="1:2">
      <c r="A790" s="79" t="s">
        <v>119</v>
      </c>
      <c r="B790" s="80" t="s">
        <v>619</v>
      </c>
    </row>
    <row r="791" spans="1:2">
      <c r="A791" s="79" t="s">
        <v>99</v>
      </c>
      <c r="B791" s="80" t="s">
        <v>632</v>
      </c>
    </row>
    <row r="792" spans="1:2">
      <c r="A792" s="79" t="s">
        <v>238</v>
      </c>
      <c r="B792" s="80" t="s">
        <v>639</v>
      </c>
    </row>
    <row r="793" spans="1:2">
      <c r="A793" s="79" t="s">
        <v>195</v>
      </c>
      <c r="B793" s="80" t="s">
        <v>631</v>
      </c>
    </row>
    <row r="794" spans="1:2">
      <c r="A794" s="79" t="s">
        <v>119</v>
      </c>
      <c r="B794" s="80" t="s">
        <v>597</v>
      </c>
    </row>
    <row r="795" spans="1:2">
      <c r="A795" s="79" t="s">
        <v>271</v>
      </c>
      <c r="B795" s="80" t="s">
        <v>625</v>
      </c>
    </row>
    <row r="796" spans="1:2">
      <c r="A796" s="79" t="s">
        <v>178</v>
      </c>
      <c r="B796" s="80" t="s">
        <v>753</v>
      </c>
    </row>
    <row r="797" spans="1:2">
      <c r="A797" s="79" t="s">
        <v>224</v>
      </c>
      <c r="B797" s="80" t="s">
        <v>629</v>
      </c>
    </row>
    <row r="798" spans="1:2">
      <c r="A798" s="79" t="s">
        <v>235</v>
      </c>
      <c r="B798" s="80" t="s">
        <v>617</v>
      </c>
    </row>
    <row r="799" spans="1:2">
      <c r="A799" s="79" t="s">
        <v>97</v>
      </c>
      <c r="B799" s="80" t="s">
        <v>628</v>
      </c>
    </row>
    <row r="800" spans="1:2">
      <c r="A800" s="79" t="s">
        <v>187</v>
      </c>
      <c r="B800" s="80" t="s">
        <v>659</v>
      </c>
    </row>
    <row r="801" spans="1:2">
      <c r="A801" s="79" t="s">
        <v>103</v>
      </c>
      <c r="B801" s="80" t="s">
        <v>631</v>
      </c>
    </row>
    <row r="802" spans="1:2">
      <c r="A802" s="79" t="s">
        <v>63</v>
      </c>
      <c r="B802" s="80" t="s">
        <v>622</v>
      </c>
    </row>
    <row r="803" spans="1:2">
      <c r="A803" s="79" t="s">
        <v>121</v>
      </c>
      <c r="B803" s="80" t="s">
        <v>611</v>
      </c>
    </row>
    <row r="804" spans="1:2">
      <c r="A804" s="79" t="s">
        <v>138</v>
      </c>
      <c r="B804" s="80" t="s">
        <v>610</v>
      </c>
    </row>
    <row r="805" spans="1:2">
      <c r="A805" s="79" t="s">
        <v>97</v>
      </c>
      <c r="B805" s="80" t="s">
        <v>612</v>
      </c>
    </row>
    <row r="806" spans="1:2">
      <c r="A806" s="79" t="s">
        <v>84</v>
      </c>
      <c r="B806" s="80" t="s">
        <v>753</v>
      </c>
    </row>
    <row r="807" spans="1:2">
      <c r="A807" s="79" t="s">
        <v>185</v>
      </c>
      <c r="B807" s="80" t="s">
        <v>628</v>
      </c>
    </row>
    <row r="808" spans="1:2">
      <c r="A808" s="79" t="s">
        <v>201</v>
      </c>
      <c r="B808" s="80" t="s">
        <v>622</v>
      </c>
    </row>
    <row r="809" spans="1:2">
      <c r="A809" s="79" t="s">
        <v>84</v>
      </c>
      <c r="B809" s="80" t="s">
        <v>618</v>
      </c>
    </row>
    <row r="810" spans="1:2">
      <c r="A810" s="79" t="s">
        <v>69</v>
      </c>
      <c r="B810" s="80" t="s">
        <v>618</v>
      </c>
    </row>
    <row r="811" spans="1:2">
      <c r="A811" s="79" t="s">
        <v>92</v>
      </c>
      <c r="B811" s="80" t="s">
        <v>632</v>
      </c>
    </row>
    <row r="812" spans="1:2">
      <c r="A812" s="79" t="s">
        <v>81</v>
      </c>
      <c r="B812" s="80" t="s">
        <v>612</v>
      </c>
    </row>
    <row r="813" spans="1:2">
      <c r="A813" s="79" t="s">
        <v>178</v>
      </c>
      <c r="B813" s="80" t="s">
        <v>666</v>
      </c>
    </row>
    <row r="814" spans="1:2">
      <c r="A814" s="79" t="s">
        <v>79</v>
      </c>
      <c r="B814" s="80" t="s">
        <v>624</v>
      </c>
    </row>
    <row r="815" spans="1:2">
      <c r="A815" s="79" t="s">
        <v>69</v>
      </c>
      <c r="B815" s="80" t="s">
        <v>623</v>
      </c>
    </row>
    <row r="816" spans="1:2">
      <c r="A816" s="79" t="s">
        <v>113</v>
      </c>
      <c r="B816" s="80" t="s">
        <v>632</v>
      </c>
    </row>
    <row r="817" spans="1:2">
      <c r="A817" s="79" t="s">
        <v>135</v>
      </c>
      <c r="B817" s="80" t="s">
        <v>610</v>
      </c>
    </row>
    <row r="818" spans="1:2">
      <c r="A818" s="79" t="s">
        <v>63</v>
      </c>
      <c r="B818" s="80" t="s">
        <v>619</v>
      </c>
    </row>
    <row r="819" spans="1:2">
      <c r="A819" s="79" t="s">
        <v>101</v>
      </c>
      <c r="B819" s="80" t="s">
        <v>597</v>
      </c>
    </row>
    <row r="820" spans="1:2">
      <c r="A820" s="79" t="s">
        <v>105</v>
      </c>
      <c r="B820" s="80" t="s">
        <v>619</v>
      </c>
    </row>
    <row r="821" spans="1:2">
      <c r="A821" s="79" t="s">
        <v>782</v>
      </c>
      <c r="B821" s="80" t="s">
        <v>607</v>
      </c>
    </row>
    <row r="822" spans="1:2">
      <c r="A822" s="79" t="s">
        <v>94</v>
      </c>
      <c r="B822" s="80" t="s">
        <v>659</v>
      </c>
    </row>
    <row r="823" spans="1:2">
      <c r="A823" s="79" t="s">
        <v>92</v>
      </c>
      <c r="B823" s="80" t="s">
        <v>606</v>
      </c>
    </row>
    <row r="824" spans="1:2">
      <c r="A824" s="79" t="s">
        <v>95</v>
      </c>
      <c r="B824" s="80" t="s">
        <v>635</v>
      </c>
    </row>
    <row r="825" spans="1:2">
      <c r="A825" s="79" t="s">
        <v>66</v>
      </c>
      <c r="B825" s="80" t="s">
        <v>631</v>
      </c>
    </row>
    <row r="826" spans="1:2">
      <c r="A826" s="79" t="s">
        <v>181</v>
      </c>
      <c r="B826" s="80" t="s">
        <v>635</v>
      </c>
    </row>
    <row r="827" spans="1:2">
      <c r="A827" s="79" t="s">
        <v>113</v>
      </c>
      <c r="B827" s="80" t="s">
        <v>619</v>
      </c>
    </row>
    <row r="828" spans="1:2">
      <c r="A828" s="79" t="s">
        <v>869</v>
      </c>
      <c r="B828" s="80" t="s">
        <v>604</v>
      </c>
    </row>
    <row r="829" spans="1:2">
      <c r="A829" s="79" t="s">
        <v>240</v>
      </c>
      <c r="B829" s="80" t="s">
        <v>605</v>
      </c>
    </row>
    <row r="830" spans="1:2">
      <c r="A830" s="79" t="s">
        <v>99</v>
      </c>
      <c r="B830" s="80" t="s">
        <v>631</v>
      </c>
    </row>
    <row r="831" spans="1:2">
      <c r="A831" s="79" t="s">
        <v>870</v>
      </c>
      <c r="B831" s="80" t="s">
        <v>598</v>
      </c>
    </row>
    <row r="832" spans="1:2">
      <c r="A832" s="79" t="s">
        <v>871</v>
      </c>
      <c r="B832" s="80" t="s">
        <v>605</v>
      </c>
    </row>
    <row r="833" spans="1:2">
      <c r="A833" s="79" t="s">
        <v>872</v>
      </c>
      <c r="B833" s="80" t="s">
        <v>604</v>
      </c>
    </row>
    <row r="834" spans="1:2">
      <c r="A834" s="79" t="s">
        <v>873</v>
      </c>
      <c r="B834" s="80" t="s">
        <v>603</v>
      </c>
    </row>
    <row r="835" spans="1:2">
      <c r="A835" s="79" t="s">
        <v>874</v>
      </c>
      <c r="B835" s="80" t="s">
        <v>602</v>
      </c>
    </row>
    <row r="836" spans="1:2">
      <c r="A836" s="79" t="s">
        <v>875</v>
      </c>
      <c r="B836" s="80" t="s">
        <v>598</v>
      </c>
    </row>
    <row r="837" spans="1:2">
      <c r="A837" s="79" t="s">
        <v>876</v>
      </c>
      <c r="B837" s="80" t="s">
        <v>600</v>
      </c>
    </row>
    <row r="838" spans="1:2">
      <c r="A838" s="79" t="s">
        <v>877</v>
      </c>
      <c r="B838" s="80" t="s">
        <v>599</v>
      </c>
    </row>
    <row r="839" spans="1:2">
      <c r="A839" s="79" t="s">
        <v>878</v>
      </c>
      <c r="B839" s="80" t="s">
        <v>638</v>
      </c>
    </row>
    <row r="840" spans="1:2">
      <c r="A840" s="79" t="s">
        <v>879</v>
      </c>
      <c r="B840" s="80" t="s">
        <v>779</v>
      </c>
    </row>
    <row r="841" spans="1:2">
      <c r="A841" s="79" t="s">
        <v>880</v>
      </c>
      <c r="B841" s="80" t="s">
        <v>661</v>
      </c>
    </row>
    <row r="842" spans="1:2">
      <c r="A842" s="79" t="s">
        <v>881</v>
      </c>
      <c r="B842" s="80" t="s">
        <v>686</v>
      </c>
    </row>
    <row r="843" spans="1:2">
      <c r="A843" s="79" t="s">
        <v>882</v>
      </c>
      <c r="B843" s="80" t="s">
        <v>644</v>
      </c>
    </row>
    <row r="844" spans="1:2">
      <c r="A844" s="79" t="s">
        <v>883</v>
      </c>
      <c r="B844" s="80" t="s">
        <v>764</v>
      </c>
    </row>
    <row r="845" spans="1:2">
      <c r="A845" s="79" t="s">
        <v>884</v>
      </c>
      <c r="B845" s="80" t="s">
        <v>658</v>
      </c>
    </row>
    <row r="846" spans="1:2">
      <c r="A846" s="79" t="s">
        <v>187</v>
      </c>
      <c r="B846" s="80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U1" zoomScale="70" zoomScaleNormal="70" workbookViewId="0">
      <pane ySplit="1" topLeftCell="A2" activePane="bottomLeft" state="frozen"/>
      <selection pane="bottomLeft" activeCell="AA5" sqref="AA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 t="s">
        <v>560</v>
      </c>
      <c r="Z3" s="33" t="s">
        <v>533</v>
      </c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893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 t="s">
        <v>893</v>
      </c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 t="s">
        <v>567</v>
      </c>
      <c r="Z4" s="33" t="s">
        <v>539</v>
      </c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893</v>
      </c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 t="s">
        <v>423</v>
      </c>
      <c r="Z5" s="33" t="s">
        <v>386</v>
      </c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69" t="s">
        <v>556</v>
      </c>
      <c r="C20" s="170"/>
      <c r="D20" s="170"/>
      <c r="E20" s="170"/>
      <c r="F20" s="170"/>
      <c r="G20" s="170"/>
      <c r="H20" s="170"/>
      <c r="I20" s="170"/>
      <c r="J20" s="171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BZ2:BZ11 AD2:AD11 AH2:AH11 AL2:AL11 AP2:AP11 AT2:AT11 AX2:AX11 BB2:BB11 BF2:BF11 BJ2:BJ11 B2:B19 J2:J19 F2:F19 F21:F1048576 BR2:BR11 BV2:BV11 Z2: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topLeftCell="P1" workbookViewId="0">
      <pane ySplit="1" topLeftCell="A38" activePane="bottomLeft" state="frozen"/>
      <selection pane="bottomLeft" activeCell="R2" sqref="R2:R593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2" customWidth="1"/>
    <col min="4" max="4" width="92.7109375" style="72" customWidth="1"/>
    <col min="5" max="5" width="7" style="72" customWidth="1"/>
    <col min="6" max="6" width="6.85546875" style="73" customWidth="1"/>
    <col min="7" max="7" width="26" style="73" customWidth="1"/>
    <col min="8" max="8" width="11.7109375" style="72" customWidth="1"/>
    <col min="9" max="9" width="21.85546875" style="72" customWidth="1"/>
    <col min="10" max="11" width="9.7109375" style="72" customWidth="1"/>
    <col min="12" max="12" width="16" style="72" customWidth="1"/>
    <col min="13" max="15" width="9.7109375" style="72" customWidth="1"/>
    <col min="16" max="16" width="24.85546875" style="72" customWidth="1"/>
    <col min="17" max="17" width="14.7109375" style="72" customWidth="1"/>
    <col min="18" max="18" width="9.7109375" style="72" customWidth="1"/>
    <col min="19" max="19" width="11.5703125" style="72" bestFit="1" customWidth="1"/>
    <col min="20" max="21" width="9.7109375" style="72" customWidth="1"/>
    <col min="22" max="22" width="30.28515625" style="45" bestFit="1" customWidth="1"/>
    <col min="23" max="24" width="19.42578125" style="45" bestFit="1" customWidth="1"/>
    <col min="25" max="25" width="67.57031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38" width="9.140625" style="44"/>
    <col min="39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143" t="s">
        <v>368</v>
      </c>
      <c r="F1" s="144" t="s">
        <v>369</v>
      </c>
      <c r="G1" s="14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99" t="s">
        <v>868</v>
      </c>
      <c r="AB1" s="56" t="s">
        <v>557</v>
      </c>
      <c r="AC1" s="54">
        <f>MAX(AC2:AC10000)</f>
        <v>3</v>
      </c>
      <c r="AD1" s="54"/>
      <c r="AE1" s="54" t="str">
        <f>RIGHT(TEXT(MAX(AE2:AE10000),"###"),3)</f>
        <v>106</v>
      </c>
      <c r="AF1" s="55" t="str">
        <f>RIGHT("000"&amp;AC1,2)&amp;"-"&amp;RIGHT("000"&amp;AE1,3)</f>
        <v>03-106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03-107-</v>
      </c>
      <c r="AI1" s="57" t="s">
        <v>582</v>
      </c>
      <c r="AJ1" s="97" t="s">
        <v>587</v>
      </c>
      <c r="AK1" s="57" t="s">
        <v>852</v>
      </c>
      <c r="AL1" s="98">
        <v>1</v>
      </c>
    </row>
    <row r="2" spans="1:38">
      <c r="A2" s="60" t="str">
        <f>IF(G2&amp;Q2&lt;&gt;"",W2&amp;Q2,"")</f>
        <v>0397BCgoldie</v>
      </c>
      <c r="B2" s="60" t="str">
        <f>IF(C2&lt;&gt;"",LEFT(C2,9),"")</f>
        <v>03-024-20</v>
      </c>
      <c r="C2" s="72" t="s">
        <v>967</v>
      </c>
      <c r="D2" s="72" t="s">
        <v>968</v>
      </c>
      <c r="E2" s="72" t="s">
        <v>969</v>
      </c>
      <c r="F2" s="73">
        <v>57</v>
      </c>
      <c r="G2" s="73" t="s">
        <v>970</v>
      </c>
      <c r="H2" s="72" t="s">
        <v>157</v>
      </c>
      <c r="I2" s="72" t="s">
        <v>971</v>
      </c>
      <c r="J2" s="72" t="s">
        <v>325</v>
      </c>
      <c r="K2" s="72" t="s">
        <v>382</v>
      </c>
      <c r="L2" s="72" t="s">
        <v>972</v>
      </c>
      <c r="M2" s="72" t="s">
        <v>384</v>
      </c>
      <c r="O2" s="72" t="s">
        <v>539</v>
      </c>
      <c r="P2" s="72" t="s">
        <v>973</v>
      </c>
      <c r="Q2" s="72" t="s">
        <v>974</v>
      </c>
      <c r="R2" s="72" t="s">
        <v>65</v>
      </c>
      <c r="V2" s="60" t="str">
        <f>W2&amp;H2</f>
        <v>0397BCзолотой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0397BC</v>
      </c>
      <c r="X2" s="60" t="str">
        <f>IF(A2&lt;&gt;"",IFERROR(IF(FIND(" ",G2)&gt;=1,MID(G2,FIND(" ",G2)+1,LEN(G2)),""),""),"")</f>
        <v>Bermuda Casual</v>
      </c>
      <c r="AC2" s="51">
        <f>IFERROR(VALUE(MID($C2,1,2)),0)</f>
        <v>3</v>
      </c>
      <c r="AD2" s="44">
        <f t="shared" ref="AD2:AD66" si="1">IFERROR(VALUE(MID($C2,4,3)),0)</f>
        <v>24</v>
      </c>
      <c r="AE2" s="51">
        <f>VALUE(RIGHT("00"&amp;AC2,2)&amp;RIGHT("000"&amp;AD2,3))</f>
        <v>3024</v>
      </c>
    </row>
    <row r="3" spans="1:38">
      <c r="A3" s="60" t="str">
        <f t="shared" ref="A3:A66" si="2">IF(G3&amp;Q3&lt;&gt;"",W3&amp;Q3,"")</f>
        <v>0397BCgoldie</v>
      </c>
      <c r="B3" s="60" t="str">
        <f t="shared" ref="B3:B66" si="3">IF(C3&lt;&gt;"",LEFT(C3,9),"")</f>
        <v>03-024-20</v>
      </c>
      <c r="C3" s="72" t="s">
        <v>975</v>
      </c>
      <c r="D3" s="72" t="s">
        <v>968</v>
      </c>
      <c r="E3" s="72" t="s">
        <v>976</v>
      </c>
      <c r="F3" s="73">
        <v>59</v>
      </c>
      <c r="G3" s="73" t="s">
        <v>970</v>
      </c>
      <c r="H3" s="72" t="s">
        <v>157</v>
      </c>
      <c r="I3" s="72" t="s">
        <v>971</v>
      </c>
      <c r="J3" s="72" t="s">
        <v>325</v>
      </c>
      <c r="K3" s="72" t="s">
        <v>382</v>
      </c>
      <c r="L3" s="72" t="s">
        <v>972</v>
      </c>
      <c r="M3" s="72" t="s">
        <v>384</v>
      </c>
      <c r="O3" s="72" t="s">
        <v>539</v>
      </c>
      <c r="P3" s="72" t="s">
        <v>973</v>
      </c>
      <c r="Q3" s="72" t="s">
        <v>974</v>
      </c>
      <c r="R3" s="72" t="s">
        <v>65</v>
      </c>
      <c r="V3" s="60" t="str">
        <f t="shared" ref="V3:V66" si="4">W3&amp;H3</f>
        <v>0397BCзолотой</v>
      </c>
      <c r="W3" s="60" t="str">
        <f t="shared" si="0"/>
        <v>0397BC</v>
      </c>
      <c r="X3" s="60" t="str">
        <f t="shared" ref="X3:X66" si="5">IF(A3&lt;&gt;"",IFERROR(IF(FIND(" ",G3)&gt;=1,MID(G3,FIND(" ",G3)+1,LEN(G3)),""),""),"")</f>
        <v>Bermuda Casual</v>
      </c>
      <c r="AC3" s="51">
        <f t="shared" ref="AC3:AC66" si="6">IFERROR(VALUE(MID($C3,1,2)),0)</f>
        <v>3</v>
      </c>
      <c r="AD3" s="44">
        <f t="shared" si="1"/>
        <v>24</v>
      </c>
      <c r="AE3" s="51">
        <f t="shared" ref="AE3:AE66" si="7">VALUE(RIGHT("00"&amp;AC3,2)&amp;RIGHT("000"&amp;AD3,3))</f>
        <v>3024</v>
      </c>
    </row>
    <row r="4" spans="1:38">
      <c r="A4" s="60" t="str">
        <f t="shared" si="2"/>
        <v>K4105SPnavy/white/red</v>
      </c>
      <c r="B4" s="60" t="str">
        <f t="shared" si="3"/>
        <v>03-036-72</v>
      </c>
      <c r="C4" s="72" t="s">
        <v>977</v>
      </c>
      <c r="D4" s="72" t="s">
        <v>978</v>
      </c>
      <c r="E4" s="72" t="s">
        <v>969</v>
      </c>
      <c r="F4" s="73">
        <v>57</v>
      </c>
      <c r="G4" s="73" t="s">
        <v>979</v>
      </c>
      <c r="H4" s="72" t="s">
        <v>252</v>
      </c>
      <c r="I4" s="72" t="s">
        <v>980</v>
      </c>
      <c r="J4" s="72" t="s">
        <v>325</v>
      </c>
      <c r="K4" s="72" t="s">
        <v>382</v>
      </c>
      <c r="L4" s="72" t="s">
        <v>981</v>
      </c>
      <c r="M4" s="72" t="s">
        <v>384</v>
      </c>
      <c r="O4" s="72" t="s">
        <v>386</v>
      </c>
      <c r="P4" s="72" t="s">
        <v>973</v>
      </c>
      <c r="Q4" s="72" t="s">
        <v>982</v>
      </c>
      <c r="R4" s="72" t="s">
        <v>71</v>
      </c>
      <c r="V4" s="60" t="str">
        <f t="shared" si="4"/>
        <v>K4105SPсиний / красный</v>
      </c>
      <c r="W4" s="60" t="str">
        <f t="shared" si="0"/>
        <v>K4105SP</v>
      </c>
      <c r="X4" s="60" t="str">
        <f t="shared" si="5"/>
        <v>Bold Stripe Bucket</v>
      </c>
      <c r="AC4" s="51">
        <f t="shared" si="6"/>
        <v>3</v>
      </c>
      <c r="AD4" s="44">
        <f t="shared" si="1"/>
        <v>36</v>
      </c>
      <c r="AE4" s="51">
        <f t="shared" si="7"/>
        <v>3036</v>
      </c>
    </row>
    <row r="5" spans="1:38">
      <c r="A5" s="60" t="str">
        <f t="shared" si="2"/>
        <v>K4105SPnavy/white/red</v>
      </c>
      <c r="B5" s="60" t="str">
        <f t="shared" si="3"/>
        <v>03-036-72</v>
      </c>
      <c r="C5" s="72" t="s">
        <v>983</v>
      </c>
      <c r="D5" s="72" t="s">
        <v>978</v>
      </c>
      <c r="E5" s="72" t="s">
        <v>976</v>
      </c>
      <c r="F5" s="73">
        <v>59</v>
      </c>
      <c r="G5" s="73" t="s">
        <v>979</v>
      </c>
      <c r="H5" s="72" t="s">
        <v>252</v>
      </c>
      <c r="I5" s="72" t="s">
        <v>980</v>
      </c>
      <c r="J5" s="72" t="s">
        <v>325</v>
      </c>
      <c r="K5" s="72" t="s">
        <v>382</v>
      </c>
      <c r="L5" s="72" t="s">
        <v>981</v>
      </c>
      <c r="M5" s="72" t="s">
        <v>384</v>
      </c>
      <c r="O5" s="72" t="s">
        <v>386</v>
      </c>
      <c r="P5" s="72" t="s">
        <v>973</v>
      </c>
      <c r="Q5" s="72" t="s">
        <v>982</v>
      </c>
      <c r="R5" s="72" t="s">
        <v>71</v>
      </c>
      <c r="V5" s="60" t="str">
        <f t="shared" si="4"/>
        <v>K4105SPсиний / красный</v>
      </c>
      <c r="W5" s="60" t="str">
        <f t="shared" si="0"/>
        <v>K4105SP</v>
      </c>
      <c r="X5" s="60" t="str">
        <f t="shared" si="5"/>
        <v>Bold Stripe Bucket</v>
      </c>
      <c r="AC5" s="51">
        <f t="shared" si="6"/>
        <v>3</v>
      </c>
      <c r="AD5" s="44">
        <f t="shared" si="1"/>
        <v>36</v>
      </c>
      <c r="AE5" s="51">
        <f t="shared" si="7"/>
        <v>3036</v>
      </c>
    </row>
    <row r="6" spans="1:38">
      <c r="A6" s="60" t="str">
        <f t="shared" si="2"/>
        <v>K3134HTwhite</v>
      </c>
      <c r="B6" s="60" t="str">
        <f t="shared" si="3"/>
        <v>03-033-17</v>
      </c>
      <c r="C6" s="72" t="s">
        <v>984</v>
      </c>
      <c r="D6" s="72" t="s">
        <v>985</v>
      </c>
      <c r="E6" s="72" t="s">
        <v>976</v>
      </c>
      <c r="F6" s="73">
        <v>59</v>
      </c>
      <c r="G6" s="73" t="s">
        <v>986</v>
      </c>
      <c r="H6" s="72" t="s">
        <v>109</v>
      </c>
      <c r="I6" s="72" t="s">
        <v>987</v>
      </c>
      <c r="J6" s="72" t="s">
        <v>320</v>
      </c>
      <c r="K6" s="72" t="s">
        <v>382</v>
      </c>
      <c r="L6" s="72" t="s">
        <v>988</v>
      </c>
      <c r="M6" s="72" t="s">
        <v>384</v>
      </c>
      <c r="O6" s="72" t="s">
        <v>386</v>
      </c>
      <c r="P6" s="72" t="s">
        <v>973</v>
      </c>
      <c r="Q6" s="72" t="s">
        <v>989</v>
      </c>
      <c r="R6" s="72" t="s">
        <v>57</v>
      </c>
      <c r="V6" s="60" t="str">
        <f t="shared" si="4"/>
        <v>K3134HTбелый / зеленый</v>
      </c>
      <c r="W6" s="60" t="str">
        <f t="shared" si="0"/>
        <v>K3134HT</v>
      </c>
      <c r="X6" s="60" t="str">
        <f t="shared" si="5"/>
        <v>Cut Up 507</v>
      </c>
      <c r="AC6" s="51">
        <f t="shared" si="6"/>
        <v>3</v>
      </c>
      <c r="AD6" s="44">
        <f t="shared" si="1"/>
        <v>33</v>
      </c>
      <c r="AE6" s="51">
        <f t="shared" si="7"/>
        <v>3033</v>
      </c>
    </row>
    <row r="7" spans="1:38">
      <c r="A7" s="60" t="str">
        <f t="shared" si="2"/>
        <v>K4144STwhite</v>
      </c>
      <c r="B7" s="60" t="str">
        <f t="shared" si="3"/>
        <v>03-041-17</v>
      </c>
      <c r="C7" s="72" t="s">
        <v>990</v>
      </c>
      <c r="D7" s="72" t="s">
        <v>991</v>
      </c>
      <c r="E7" s="72" t="s">
        <v>976</v>
      </c>
      <c r="F7" s="73">
        <v>59</v>
      </c>
      <c r="G7" s="73" t="s">
        <v>992</v>
      </c>
      <c r="H7" s="72" t="s">
        <v>57</v>
      </c>
      <c r="I7" s="72" t="s">
        <v>910</v>
      </c>
      <c r="J7" s="72" t="s">
        <v>325</v>
      </c>
      <c r="K7" s="72" t="s">
        <v>382</v>
      </c>
      <c r="L7" s="72" t="s">
        <v>972</v>
      </c>
      <c r="M7" s="72" t="s">
        <v>384</v>
      </c>
      <c r="O7" s="72" t="s">
        <v>386</v>
      </c>
      <c r="P7" s="72" t="s">
        <v>973</v>
      </c>
      <c r="Q7" s="72" t="s">
        <v>989</v>
      </c>
      <c r="R7" s="72" t="s">
        <v>57</v>
      </c>
      <c r="V7" s="60" t="str">
        <f t="shared" si="4"/>
        <v>K4144STбелый</v>
      </c>
      <c r="W7" s="60" t="str">
        <f t="shared" si="0"/>
        <v>K4144ST</v>
      </c>
      <c r="X7" s="60" t="str">
        <f t="shared" si="5"/>
        <v>Mix Tape Reversible Bucket</v>
      </c>
      <c r="AC7" s="51">
        <f t="shared" si="6"/>
        <v>3</v>
      </c>
      <c r="AD7" s="44">
        <f t="shared" si="1"/>
        <v>41</v>
      </c>
      <c r="AE7" s="51">
        <f t="shared" si="7"/>
        <v>3041</v>
      </c>
    </row>
    <row r="8" spans="1:38">
      <c r="A8" s="60" t="str">
        <f t="shared" si="2"/>
        <v>K4144STwhite</v>
      </c>
      <c r="B8" s="60" t="str">
        <f t="shared" si="3"/>
        <v>03-041-17</v>
      </c>
      <c r="C8" s="72" t="s">
        <v>993</v>
      </c>
      <c r="D8" s="72" t="s">
        <v>991</v>
      </c>
      <c r="E8" s="72" t="s">
        <v>969</v>
      </c>
      <c r="F8" s="73">
        <v>57</v>
      </c>
      <c r="G8" s="73" t="s">
        <v>992</v>
      </c>
      <c r="H8" s="72" t="s">
        <v>57</v>
      </c>
      <c r="I8" s="72" t="s">
        <v>910</v>
      </c>
      <c r="J8" s="72" t="s">
        <v>325</v>
      </c>
      <c r="K8" s="72" t="s">
        <v>382</v>
      </c>
      <c r="L8" s="72" t="s">
        <v>972</v>
      </c>
      <c r="M8" s="72" t="s">
        <v>384</v>
      </c>
      <c r="O8" s="72" t="s">
        <v>386</v>
      </c>
      <c r="P8" s="72" t="s">
        <v>973</v>
      </c>
      <c r="Q8" s="72" t="s">
        <v>989</v>
      </c>
      <c r="R8" s="72" t="s">
        <v>57</v>
      </c>
      <c r="V8" s="60" t="str">
        <f t="shared" si="4"/>
        <v>K4144STбелый</v>
      </c>
      <c r="W8" s="60" t="str">
        <f t="shared" si="0"/>
        <v>K4144ST</v>
      </c>
      <c r="X8" s="60" t="str">
        <f t="shared" si="5"/>
        <v>Mix Tape Reversible Bucket</v>
      </c>
      <c r="AC8" s="51">
        <f t="shared" si="6"/>
        <v>3</v>
      </c>
      <c r="AD8" s="44">
        <f t="shared" si="1"/>
        <v>41</v>
      </c>
      <c r="AE8" s="51">
        <f t="shared" si="7"/>
        <v>3041</v>
      </c>
    </row>
    <row r="9" spans="1:38">
      <c r="A9" s="60" t="str">
        <f t="shared" si="2"/>
        <v>K3130HTbrown</v>
      </c>
      <c r="B9" s="60" t="str">
        <f t="shared" si="3"/>
        <v>03-042-92</v>
      </c>
      <c r="C9" s="72" t="s">
        <v>994</v>
      </c>
      <c r="D9" s="72" t="s">
        <v>995</v>
      </c>
      <c r="E9" s="72" t="s">
        <v>969</v>
      </c>
      <c r="F9" s="73">
        <v>57</v>
      </c>
      <c r="G9" s="73" t="s">
        <v>996</v>
      </c>
      <c r="H9" s="72" t="s">
        <v>175</v>
      </c>
      <c r="I9" s="72" t="s">
        <v>997</v>
      </c>
      <c r="J9" s="72" t="s">
        <v>320</v>
      </c>
      <c r="K9" s="72" t="s">
        <v>382</v>
      </c>
      <c r="L9" s="72" t="s">
        <v>988</v>
      </c>
      <c r="M9" s="72" t="s">
        <v>384</v>
      </c>
      <c r="O9" s="72" t="s">
        <v>539</v>
      </c>
      <c r="P9" s="72" t="s">
        <v>973</v>
      </c>
      <c r="Q9" s="72" t="s">
        <v>998</v>
      </c>
      <c r="R9" s="72" t="s">
        <v>86</v>
      </c>
      <c r="V9" s="60" t="str">
        <f t="shared" si="4"/>
        <v>K3130HTкоричневый / синий</v>
      </c>
      <c r="W9" s="60" t="str">
        <f t="shared" si="0"/>
        <v>K3130HT</v>
      </c>
      <c r="X9" s="60" t="str">
        <f t="shared" si="5"/>
        <v>Rib Plaid 504</v>
      </c>
      <c r="AC9" s="51">
        <f t="shared" si="6"/>
        <v>3</v>
      </c>
      <c r="AD9" s="44">
        <f t="shared" si="1"/>
        <v>42</v>
      </c>
      <c r="AE9" s="51">
        <f t="shared" si="7"/>
        <v>3042</v>
      </c>
    </row>
    <row r="10" spans="1:38">
      <c r="A10" s="60" t="str">
        <f t="shared" si="2"/>
        <v>K3130HTbrown</v>
      </c>
      <c r="B10" s="60" t="str">
        <f t="shared" si="3"/>
        <v>03-042-92</v>
      </c>
      <c r="C10" s="72" t="s">
        <v>999</v>
      </c>
      <c r="D10" s="72" t="s">
        <v>995</v>
      </c>
      <c r="E10" s="72" t="s">
        <v>976</v>
      </c>
      <c r="F10" s="73">
        <v>59</v>
      </c>
      <c r="G10" s="73" t="s">
        <v>996</v>
      </c>
      <c r="H10" s="72" t="s">
        <v>175</v>
      </c>
      <c r="I10" s="72" t="s">
        <v>997</v>
      </c>
      <c r="J10" s="72" t="s">
        <v>320</v>
      </c>
      <c r="K10" s="72" t="s">
        <v>382</v>
      </c>
      <c r="L10" s="72" t="s">
        <v>988</v>
      </c>
      <c r="M10" s="72" t="s">
        <v>384</v>
      </c>
      <c r="O10" s="72" t="s">
        <v>539</v>
      </c>
      <c r="P10" s="72" t="s">
        <v>973</v>
      </c>
      <c r="Q10" s="72" t="s">
        <v>998</v>
      </c>
      <c r="R10" s="72" t="s">
        <v>86</v>
      </c>
      <c r="V10" s="60" t="str">
        <f t="shared" si="4"/>
        <v>K3130HTкоричневый / синий</v>
      </c>
      <c r="W10" s="60" t="str">
        <f t="shared" si="0"/>
        <v>K3130HT</v>
      </c>
      <c r="X10" s="60" t="str">
        <f t="shared" si="5"/>
        <v>Rib Plaid 504</v>
      </c>
      <c r="AC10" s="51">
        <f t="shared" si="6"/>
        <v>3</v>
      </c>
      <c r="AD10" s="44">
        <f t="shared" si="1"/>
        <v>42</v>
      </c>
      <c r="AE10" s="51">
        <f t="shared" si="7"/>
        <v>3042</v>
      </c>
    </row>
    <row r="11" spans="1:38">
      <c r="A11" s="60" t="str">
        <f t="shared" si="2"/>
        <v>0289BCblack</v>
      </c>
      <c r="B11" s="60" t="str">
        <f t="shared" si="3"/>
        <v>03-043-52</v>
      </c>
      <c r="C11" s="72" t="s">
        <v>1000</v>
      </c>
      <c r="D11" s="72" t="s">
        <v>1001</v>
      </c>
      <c r="E11" s="72" t="s">
        <v>976</v>
      </c>
      <c r="F11" s="73">
        <v>59</v>
      </c>
      <c r="G11" s="73" t="s">
        <v>1002</v>
      </c>
      <c r="H11" s="72" t="s">
        <v>53</v>
      </c>
      <c r="I11" s="72" t="s">
        <v>1003</v>
      </c>
      <c r="J11" s="72" t="s">
        <v>348</v>
      </c>
      <c r="K11" s="72" t="s">
        <v>382</v>
      </c>
      <c r="L11" s="72" t="s">
        <v>1004</v>
      </c>
      <c r="M11" s="72" t="s">
        <v>384</v>
      </c>
      <c r="O11" s="72" t="s">
        <v>539</v>
      </c>
      <c r="P11" s="72" t="s">
        <v>808</v>
      </c>
      <c r="Q11" s="72" t="s">
        <v>1005</v>
      </c>
      <c r="R11" s="72" t="s">
        <v>53</v>
      </c>
      <c r="V11" s="60" t="str">
        <f t="shared" si="4"/>
        <v>0289BCчерный</v>
      </c>
      <c r="W11" s="60" t="str">
        <f t="shared" si="0"/>
        <v>0289BC</v>
      </c>
      <c r="X11" s="60" t="str">
        <f t="shared" si="5"/>
        <v>Tropic Spitfire</v>
      </c>
      <c r="AC11" s="51">
        <f t="shared" si="6"/>
        <v>3</v>
      </c>
      <c r="AD11" s="44">
        <f t="shared" si="1"/>
        <v>43</v>
      </c>
      <c r="AE11" s="51">
        <f t="shared" si="7"/>
        <v>3043</v>
      </c>
    </row>
    <row r="12" spans="1:38">
      <c r="A12" s="60" t="str">
        <f t="shared" si="2"/>
        <v>0289BCblack</v>
      </c>
      <c r="B12" s="60" t="str">
        <f t="shared" si="3"/>
        <v>03-043-52</v>
      </c>
      <c r="C12" s="72" t="s">
        <v>1006</v>
      </c>
      <c r="D12" s="72" t="s">
        <v>1001</v>
      </c>
      <c r="E12" s="72" t="s">
        <v>969</v>
      </c>
      <c r="F12" s="73">
        <v>57</v>
      </c>
      <c r="G12" s="73" t="s">
        <v>1002</v>
      </c>
      <c r="H12" s="72" t="s">
        <v>53</v>
      </c>
      <c r="I12" s="72" t="s">
        <v>1003</v>
      </c>
      <c r="J12" s="72" t="s">
        <v>348</v>
      </c>
      <c r="K12" s="72" t="s">
        <v>382</v>
      </c>
      <c r="L12" s="72" t="s">
        <v>1004</v>
      </c>
      <c r="M12" s="72" t="s">
        <v>384</v>
      </c>
      <c r="O12" s="72" t="s">
        <v>539</v>
      </c>
      <c r="P12" s="72" t="s">
        <v>808</v>
      </c>
      <c r="Q12" s="72" t="s">
        <v>1005</v>
      </c>
      <c r="R12" s="72" t="s">
        <v>53</v>
      </c>
      <c r="V12" s="60" t="str">
        <f t="shared" si="4"/>
        <v>0289BCчерный</v>
      </c>
      <c r="W12" s="60" t="str">
        <f t="shared" si="0"/>
        <v>0289BC</v>
      </c>
      <c r="X12" s="60" t="str">
        <f t="shared" si="5"/>
        <v>Tropic Spitfire</v>
      </c>
      <c r="AC12" s="51">
        <f t="shared" si="6"/>
        <v>3</v>
      </c>
      <c r="AD12" s="44">
        <f t="shared" si="1"/>
        <v>43</v>
      </c>
      <c r="AE12" s="51">
        <f t="shared" si="7"/>
        <v>3043</v>
      </c>
    </row>
    <row r="13" spans="1:38">
      <c r="A13" s="60" t="str">
        <f t="shared" si="2"/>
        <v>0290BCalgae</v>
      </c>
      <c r="B13" s="60" t="str">
        <f t="shared" si="3"/>
        <v>03-023-11</v>
      </c>
      <c r="C13" s="72" t="s">
        <v>1007</v>
      </c>
      <c r="D13" s="72" t="s">
        <v>1008</v>
      </c>
      <c r="E13" s="72" t="s">
        <v>976</v>
      </c>
      <c r="F13" s="73">
        <v>59</v>
      </c>
      <c r="G13" s="73" t="s">
        <v>1009</v>
      </c>
      <c r="H13" s="72" t="s">
        <v>60</v>
      </c>
      <c r="I13" s="72" t="s">
        <v>1010</v>
      </c>
      <c r="J13" s="72" t="s">
        <v>320</v>
      </c>
      <c r="K13" s="72" t="s">
        <v>382</v>
      </c>
      <c r="L13" s="72" t="s">
        <v>988</v>
      </c>
      <c r="M13" s="72" t="s">
        <v>384</v>
      </c>
      <c r="O13" s="72" t="s">
        <v>539</v>
      </c>
      <c r="P13" s="72" t="s">
        <v>973</v>
      </c>
      <c r="Q13" s="72" t="s">
        <v>1011</v>
      </c>
      <c r="R13" s="72" t="s">
        <v>60</v>
      </c>
      <c r="V13" s="60" t="str">
        <f t="shared" si="4"/>
        <v>0290BCзеленый</v>
      </c>
      <c r="W13" s="60" t="str">
        <f t="shared" si="0"/>
        <v>0290BC</v>
      </c>
      <c r="X13" s="60" t="str">
        <f t="shared" si="5"/>
        <v>Tropic 504 Ventair</v>
      </c>
      <c r="AC13" s="51">
        <f t="shared" si="6"/>
        <v>3</v>
      </c>
      <c r="AD13" s="44">
        <f t="shared" si="1"/>
        <v>23</v>
      </c>
      <c r="AE13" s="51">
        <f t="shared" si="7"/>
        <v>3023</v>
      </c>
    </row>
    <row r="14" spans="1:38">
      <c r="A14" s="60" t="str">
        <f t="shared" si="2"/>
        <v>0290BCalgae</v>
      </c>
      <c r="B14" s="60" t="str">
        <f t="shared" si="3"/>
        <v>03-023-11</v>
      </c>
      <c r="C14" s="72" t="s">
        <v>1012</v>
      </c>
      <c r="D14" s="72" t="s">
        <v>1008</v>
      </c>
      <c r="E14" s="72" t="s">
        <v>969</v>
      </c>
      <c r="F14" s="73">
        <v>57</v>
      </c>
      <c r="G14" s="73" t="s">
        <v>1009</v>
      </c>
      <c r="H14" s="72" t="s">
        <v>60</v>
      </c>
      <c r="I14" s="72" t="s">
        <v>1010</v>
      </c>
      <c r="J14" s="72" t="s">
        <v>320</v>
      </c>
      <c r="K14" s="72" t="s">
        <v>382</v>
      </c>
      <c r="L14" s="72" t="s">
        <v>988</v>
      </c>
      <c r="M14" s="72" t="s">
        <v>384</v>
      </c>
      <c r="O14" s="72" t="s">
        <v>539</v>
      </c>
      <c r="P14" s="72" t="s">
        <v>973</v>
      </c>
      <c r="Q14" s="72" t="s">
        <v>1011</v>
      </c>
      <c r="R14" s="72" t="s">
        <v>60</v>
      </c>
      <c r="V14" s="60" t="str">
        <f t="shared" si="4"/>
        <v>0290BCзеленый</v>
      </c>
      <c r="W14" s="60" t="str">
        <f t="shared" si="0"/>
        <v>0290BC</v>
      </c>
      <c r="X14" s="60" t="str">
        <f t="shared" si="5"/>
        <v>Tropic 504 Ventair</v>
      </c>
      <c r="AC14" s="51">
        <f t="shared" si="6"/>
        <v>3</v>
      </c>
      <c r="AD14" s="44">
        <f t="shared" si="1"/>
        <v>23</v>
      </c>
      <c r="AE14" s="51">
        <f t="shared" si="7"/>
        <v>3023</v>
      </c>
    </row>
    <row r="15" spans="1:38">
      <c r="A15" s="60" t="str">
        <f t="shared" si="2"/>
        <v>1456BCnavy</v>
      </c>
      <c r="B15" s="60" t="str">
        <f t="shared" si="3"/>
        <v>03-025-16</v>
      </c>
      <c r="C15" s="72" t="s">
        <v>1013</v>
      </c>
      <c r="D15" s="72" t="s">
        <v>1014</v>
      </c>
      <c r="E15" s="72" t="s">
        <v>976</v>
      </c>
      <c r="F15" s="73">
        <v>59</v>
      </c>
      <c r="G15" s="73" t="s">
        <v>1015</v>
      </c>
      <c r="H15" s="72" t="s">
        <v>55</v>
      </c>
      <c r="I15" s="72" t="s">
        <v>1016</v>
      </c>
      <c r="J15" s="72" t="s">
        <v>327</v>
      </c>
      <c r="K15" s="72" t="s">
        <v>382</v>
      </c>
      <c r="L15" s="72" t="s">
        <v>988</v>
      </c>
      <c r="M15" s="72" t="s">
        <v>384</v>
      </c>
      <c r="O15" s="72" t="s">
        <v>386</v>
      </c>
      <c r="P15" s="72" t="s">
        <v>973</v>
      </c>
      <c r="Q15" s="72" t="s">
        <v>1017</v>
      </c>
      <c r="R15" s="72" t="s">
        <v>71</v>
      </c>
      <c r="V15" s="60" t="str">
        <f t="shared" si="4"/>
        <v>1456BCтемно-синий</v>
      </c>
      <c r="W15" s="60" t="str">
        <f t="shared" si="0"/>
        <v>1456BC</v>
      </c>
      <c r="X15" s="60" t="str">
        <f t="shared" si="5"/>
        <v>Tropic Ventair Spacecap</v>
      </c>
      <c r="AC15" s="51">
        <f t="shared" si="6"/>
        <v>3</v>
      </c>
      <c r="AD15" s="44">
        <f t="shared" si="1"/>
        <v>25</v>
      </c>
      <c r="AE15" s="51">
        <f t="shared" si="7"/>
        <v>3025</v>
      </c>
    </row>
    <row r="16" spans="1:38">
      <c r="A16" s="60" t="str">
        <f t="shared" si="2"/>
        <v>1456BCnavy</v>
      </c>
      <c r="B16" s="60" t="str">
        <f t="shared" si="3"/>
        <v>03-025-16</v>
      </c>
      <c r="C16" s="72" t="s">
        <v>1018</v>
      </c>
      <c r="D16" s="72" t="s">
        <v>1014</v>
      </c>
      <c r="E16" s="72" t="s">
        <v>969</v>
      </c>
      <c r="F16" s="73">
        <v>57</v>
      </c>
      <c r="G16" s="73" t="s">
        <v>1015</v>
      </c>
      <c r="H16" s="72" t="s">
        <v>55</v>
      </c>
      <c r="I16" s="72" t="s">
        <v>1016</v>
      </c>
      <c r="J16" s="72" t="s">
        <v>327</v>
      </c>
      <c r="K16" s="72" t="s">
        <v>382</v>
      </c>
      <c r="L16" s="72" t="s">
        <v>988</v>
      </c>
      <c r="M16" s="72" t="s">
        <v>384</v>
      </c>
      <c r="O16" s="72" t="s">
        <v>386</v>
      </c>
      <c r="P16" s="72" t="s">
        <v>973</v>
      </c>
      <c r="Q16" s="72" t="s">
        <v>1017</v>
      </c>
      <c r="R16" s="72" t="s">
        <v>71</v>
      </c>
      <c r="V16" s="60" t="str">
        <f t="shared" si="4"/>
        <v>1456BCтемно-синий</v>
      </c>
      <c r="W16" s="60" t="str">
        <f t="shared" si="0"/>
        <v>1456BC</v>
      </c>
      <c r="X16" s="60" t="str">
        <f t="shared" si="5"/>
        <v>Tropic Ventair Spacecap</v>
      </c>
      <c r="AC16" s="51">
        <f t="shared" si="6"/>
        <v>3</v>
      </c>
      <c r="AD16" s="44">
        <f t="shared" si="1"/>
        <v>25</v>
      </c>
      <c r="AE16" s="51">
        <f t="shared" si="7"/>
        <v>3025</v>
      </c>
    </row>
    <row r="17" spans="1:31">
      <c r="A17" s="60" t="str">
        <f t="shared" si="2"/>
        <v>K5165HTsky</v>
      </c>
      <c r="B17" s="60" t="str">
        <f t="shared" si="3"/>
        <v>03-038-06</v>
      </c>
      <c r="C17" s="72" t="s">
        <v>1019</v>
      </c>
      <c r="D17" s="72" t="s">
        <v>1020</v>
      </c>
      <c r="E17" s="72" t="s">
        <v>909</v>
      </c>
      <c r="F17" s="73">
        <v>0</v>
      </c>
      <c r="G17" s="73" t="s">
        <v>1021</v>
      </c>
      <c r="H17" s="72" t="s">
        <v>71</v>
      </c>
      <c r="I17" s="72" t="s">
        <v>910</v>
      </c>
      <c r="J17" s="72" t="s">
        <v>327</v>
      </c>
      <c r="K17" s="72" t="s">
        <v>382</v>
      </c>
      <c r="L17" s="72" t="s">
        <v>988</v>
      </c>
      <c r="M17" s="72" t="s">
        <v>384</v>
      </c>
      <c r="N17" s="72" t="s">
        <v>43</v>
      </c>
      <c r="O17" s="72" t="s">
        <v>533</v>
      </c>
      <c r="P17" s="72" t="s">
        <v>973</v>
      </c>
      <c r="Q17" s="72" t="s">
        <v>1022</v>
      </c>
      <c r="R17" s="72" t="s">
        <v>71</v>
      </c>
      <c r="V17" s="60" t="str">
        <f t="shared" si="4"/>
        <v>K5165HTсиний</v>
      </c>
      <c r="W17" s="60" t="str">
        <f t="shared" si="0"/>
        <v>K5165HT</v>
      </c>
      <c r="X17" s="60" t="str">
        <f t="shared" si="5"/>
        <v>Washed Baseball</v>
      </c>
      <c r="AC17" s="51">
        <f t="shared" si="6"/>
        <v>3</v>
      </c>
      <c r="AD17" s="44">
        <f t="shared" si="1"/>
        <v>38</v>
      </c>
      <c r="AE17" s="51">
        <f t="shared" si="7"/>
        <v>3038</v>
      </c>
    </row>
    <row r="18" spans="1:31">
      <c r="A18" s="60" t="str">
        <f t="shared" si="2"/>
        <v>K5165HTwhite</v>
      </c>
      <c r="B18" s="60" t="str">
        <f t="shared" si="3"/>
        <v>03-038-17</v>
      </c>
      <c r="C18" s="72" t="s">
        <v>1023</v>
      </c>
      <c r="D18" s="72" t="s">
        <v>1024</v>
      </c>
      <c r="E18" s="72" t="s">
        <v>909</v>
      </c>
      <c r="F18" s="73">
        <v>0</v>
      </c>
      <c r="G18" s="73" t="s">
        <v>1021</v>
      </c>
      <c r="H18" s="72" t="s">
        <v>57</v>
      </c>
      <c r="I18" s="72" t="s">
        <v>910</v>
      </c>
      <c r="J18" s="72" t="s">
        <v>327</v>
      </c>
      <c r="K18" s="72" t="s">
        <v>382</v>
      </c>
      <c r="L18" s="72" t="s">
        <v>1004</v>
      </c>
      <c r="M18" s="72" t="s">
        <v>384</v>
      </c>
      <c r="N18" s="72" t="s">
        <v>43</v>
      </c>
      <c r="O18" s="72" t="s">
        <v>533</v>
      </c>
      <c r="P18" s="72" t="s">
        <v>808</v>
      </c>
      <c r="Q18" s="72" t="s">
        <v>989</v>
      </c>
      <c r="R18" s="72" t="s">
        <v>57</v>
      </c>
      <c r="V18" s="60" t="str">
        <f t="shared" si="4"/>
        <v>K5165HTбелый</v>
      </c>
      <c r="W18" s="60" t="str">
        <f t="shared" si="0"/>
        <v>K5165HT</v>
      </c>
      <c r="X18" s="60" t="str">
        <f t="shared" si="5"/>
        <v>Washed Baseball</v>
      </c>
      <c r="AC18" s="51">
        <f t="shared" si="6"/>
        <v>3</v>
      </c>
      <c r="AD18" s="44">
        <f t="shared" si="1"/>
        <v>38</v>
      </c>
      <c r="AE18" s="51">
        <f t="shared" si="7"/>
        <v>3038</v>
      </c>
    </row>
    <row r="19" spans="1:31">
      <c r="A19" s="60" t="str">
        <f t="shared" si="2"/>
        <v>0287BCblack</v>
      </c>
      <c r="B19" s="60" t="str">
        <f t="shared" si="3"/>
        <v>03-056-09</v>
      </c>
      <c r="C19" s="72" t="s">
        <v>1025</v>
      </c>
      <c r="D19" s="72" t="s">
        <v>1026</v>
      </c>
      <c r="E19" s="72" t="s">
        <v>976</v>
      </c>
      <c r="F19" s="73">
        <v>59</v>
      </c>
      <c r="G19" s="73" t="s">
        <v>1027</v>
      </c>
      <c r="H19" s="72" t="s">
        <v>53</v>
      </c>
      <c r="I19" s="72" t="s">
        <v>997</v>
      </c>
      <c r="J19" s="72" t="s">
        <v>320</v>
      </c>
      <c r="K19" s="72" t="s">
        <v>382</v>
      </c>
      <c r="L19" s="72" t="s">
        <v>1004</v>
      </c>
      <c r="M19" s="72" t="s">
        <v>384</v>
      </c>
      <c r="O19" s="72" t="s">
        <v>386</v>
      </c>
      <c r="P19" s="72" t="s">
        <v>808</v>
      </c>
      <c r="Q19" s="72" t="s">
        <v>1005</v>
      </c>
      <c r="R19" s="72" t="s">
        <v>53</v>
      </c>
      <c r="V19" s="60" t="str">
        <f t="shared" si="4"/>
        <v>0287BCчерный</v>
      </c>
      <c r="W19" s="60" t="str">
        <f t="shared" si="0"/>
        <v>0287BC</v>
      </c>
      <c r="X19" s="60" t="str">
        <f t="shared" si="5"/>
        <v>Tropic 504</v>
      </c>
      <c r="AC19" s="51">
        <f t="shared" si="6"/>
        <v>3</v>
      </c>
      <c r="AD19" s="44">
        <f t="shared" si="1"/>
        <v>56</v>
      </c>
      <c r="AE19" s="51">
        <f t="shared" si="7"/>
        <v>3056</v>
      </c>
    </row>
    <row r="20" spans="1:31">
      <c r="A20" s="60" t="str">
        <f t="shared" si="2"/>
        <v>0287BCblack</v>
      </c>
      <c r="B20" s="60" t="str">
        <f t="shared" si="3"/>
        <v>03-056-09</v>
      </c>
      <c r="C20" s="72" t="s">
        <v>1028</v>
      </c>
      <c r="D20" s="72" t="s">
        <v>1026</v>
      </c>
      <c r="E20" s="72" t="s">
        <v>969</v>
      </c>
      <c r="F20" s="73">
        <v>57</v>
      </c>
      <c r="G20" s="73" t="s">
        <v>1027</v>
      </c>
      <c r="H20" s="72" t="s">
        <v>53</v>
      </c>
      <c r="I20" s="72" t="s">
        <v>997</v>
      </c>
      <c r="J20" s="72" t="s">
        <v>320</v>
      </c>
      <c r="K20" s="72" t="s">
        <v>382</v>
      </c>
      <c r="L20" s="72" t="s">
        <v>1004</v>
      </c>
      <c r="M20" s="72" t="s">
        <v>384</v>
      </c>
      <c r="O20" s="72" t="s">
        <v>386</v>
      </c>
      <c r="P20" s="72" t="s">
        <v>808</v>
      </c>
      <c r="Q20" s="72" t="s">
        <v>1005</v>
      </c>
      <c r="R20" s="72" t="s">
        <v>53</v>
      </c>
      <c r="V20" s="60" t="str">
        <f t="shared" si="4"/>
        <v>0287BCчерный</v>
      </c>
      <c r="W20" s="60" t="str">
        <f t="shared" si="0"/>
        <v>0287BC</v>
      </c>
      <c r="X20" s="60" t="str">
        <f t="shared" si="5"/>
        <v>Tropic 504</v>
      </c>
      <c r="AC20" s="51">
        <f t="shared" si="6"/>
        <v>3</v>
      </c>
      <c r="AD20" s="44">
        <f t="shared" si="1"/>
        <v>56</v>
      </c>
      <c r="AE20" s="51">
        <f t="shared" si="7"/>
        <v>3056</v>
      </c>
    </row>
    <row r="21" spans="1:31">
      <c r="A21" s="60" t="str">
        <f t="shared" si="2"/>
        <v>0287BCblack</v>
      </c>
      <c r="B21" s="60" t="str">
        <f t="shared" si="3"/>
        <v>03-056-09</v>
      </c>
      <c r="C21" s="72" t="s">
        <v>1029</v>
      </c>
      <c r="D21" s="72" t="s">
        <v>1026</v>
      </c>
      <c r="E21" s="72" t="s">
        <v>1030</v>
      </c>
      <c r="F21" s="73">
        <v>61</v>
      </c>
      <c r="G21" s="73" t="s">
        <v>1027</v>
      </c>
      <c r="H21" s="72" t="s">
        <v>53</v>
      </c>
      <c r="I21" s="72" t="s">
        <v>997</v>
      </c>
      <c r="J21" s="72" t="s">
        <v>320</v>
      </c>
      <c r="K21" s="72" t="s">
        <v>382</v>
      </c>
      <c r="L21" s="72" t="s">
        <v>1004</v>
      </c>
      <c r="M21" s="72" t="s">
        <v>384</v>
      </c>
      <c r="O21" s="72" t="s">
        <v>386</v>
      </c>
      <c r="P21" s="72" t="s">
        <v>808</v>
      </c>
      <c r="Q21" s="72" t="s">
        <v>1005</v>
      </c>
      <c r="R21" s="72" t="s">
        <v>53</v>
      </c>
      <c r="V21" s="60" t="str">
        <f t="shared" si="4"/>
        <v>0287BCчерный</v>
      </c>
      <c r="W21" s="60" t="str">
        <f t="shared" si="0"/>
        <v>0287BC</v>
      </c>
      <c r="X21" s="60" t="str">
        <f t="shared" si="5"/>
        <v>Tropic 504</v>
      </c>
      <c r="AC21" s="51">
        <f t="shared" si="6"/>
        <v>3</v>
      </c>
      <c r="AD21" s="44">
        <f t="shared" si="1"/>
        <v>56</v>
      </c>
      <c r="AE21" s="51">
        <f t="shared" si="7"/>
        <v>3056</v>
      </c>
    </row>
    <row r="22" spans="1:31">
      <c r="A22" s="60" t="str">
        <f t="shared" si="2"/>
        <v>0287BCblack</v>
      </c>
      <c r="B22" s="60" t="str">
        <f t="shared" si="3"/>
        <v>03-056-09</v>
      </c>
      <c r="C22" s="72" t="s">
        <v>1031</v>
      </c>
      <c r="D22" s="72" t="s">
        <v>1026</v>
      </c>
      <c r="E22" s="72" t="s">
        <v>1032</v>
      </c>
      <c r="F22" s="73">
        <v>55</v>
      </c>
      <c r="G22" s="73" t="s">
        <v>1027</v>
      </c>
      <c r="H22" s="72" t="s">
        <v>53</v>
      </c>
      <c r="I22" s="72" t="s">
        <v>997</v>
      </c>
      <c r="J22" s="72" t="s">
        <v>320</v>
      </c>
      <c r="K22" s="72" t="s">
        <v>382</v>
      </c>
      <c r="L22" s="72" t="s">
        <v>1004</v>
      </c>
      <c r="M22" s="72" t="s">
        <v>384</v>
      </c>
      <c r="O22" s="72" t="s">
        <v>386</v>
      </c>
      <c r="P22" s="72" t="s">
        <v>808</v>
      </c>
      <c r="Q22" s="72" t="s">
        <v>1005</v>
      </c>
      <c r="R22" s="72" t="s">
        <v>53</v>
      </c>
      <c r="V22" s="60" t="str">
        <f t="shared" si="4"/>
        <v>0287BCчерный</v>
      </c>
      <c r="W22" s="60" t="str">
        <f t="shared" si="0"/>
        <v>0287BC</v>
      </c>
      <c r="X22" s="60" t="str">
        <f t="shared" si="5"/>
        <v>Tropic 504</v>
      </c>
      <c r="AC22" s="51">
        <f t="shared" si="6"/>
        <v>3</v>
      </c>
      <c r="AD22" s="44">
        <f t="shared" si="1"/>
        <v>56</v>
      </c>
      <c r="AE22" s="51">
        <f t="shared" si="7"/>
        <v>3056</v>
      </c>
    </row>
    <row r="23" spans="1:31">
      <c r="A23" s="60" t="str">
        <f t="shared" si="2"/>
        <v>0284KGblack</v>
      </c>
      <c r="B23" s="60" t="str">
        <f t="shared" si="3"/>
        <v>03-057-09</v>
      </c>
      <c r="C23" s="72" t="s">
        <v>1033</v>
      </c>
      <c r="D23" s="72" t="s">
        <v>1034</v>
      </c>
      <c r="E23" s="72" t="s">
        <v>1032</v>
      </c>
      <c r="F23" s="73">
        <v>55</v>
      </c>
      <c r="G23" s="73" t="s">
        <v>1035</v>
      </c>
      <c r="H23" s="72" t="s">
        <v>53</v>
      </c>
      <c r="I23" s="72" t="s">
        <v>1003</v>
      </c>
      <c r="J23" s="72" t="s">
        <v>334</v>
      </c>
      <c r="K23" s="72" t="s">
        <v>382</v>
      </c>
      <c r="L23" s="72" t="s">
        <v>1004</v>
      </c>
      <c r="M23" s="72" t="s">
        <v>384</v>
      </c>
      <c r="O23" s="72" t="s">
        <v>539</v>
      </c>
      <c r="P23" s="72" t="s">
        <v>808</v>
      </c>
      <c r="Q23" s="72" t="s">
        <v>1005</v>
      </c>
      <c r="R23" s="72" t="s">
        <v>53</v>
      </c>
      <c r="V23" s="60" t="str">
        <f t="shared" si="4"/>
        <v>0284KGчерный</v>
      </c>
      <c r="W23" s="60" t="str">
        <f t="shared" si="0"/>
        <v>0284KG</v>
      </c>
      <c r="X23" s="60" t="str">
        <f t="shared" si="5"/>
        <v>Tropic Monty</v>
      </c>
      <c r="AC23" s="51">
        <f t="shared" si="6"/>
        <v>3</v>
      </c>
      <c r="AD23" s="44">
        <f t="shared" si="1"/>
        <v>57</v>
      </c>
      <c r="AE23" s="51">
        <f t="shared" si="7"/>
        <v>3057</v>
      </c>
    </row>
    <row r="24" spans="1:31">
      <c r="A24" s="60" t="str">
        <f t="shared" si="2"/>
        <v>0284KGblack</v>
      </c>
      <c r="B24" s="60" t="str">
        <f t="shared" si="3"/>
        <v>03-057-09</v>
      </c>
      <c r="C24" s="72" t="s">
        <v>1036</v>
      </c>
      <c r="D24" s="72" t="s">
        <v>1034</v>
      </c>
      <c r="E24" s="72" t="s">
        <v>969</v>
      </c>
      <c r="F24" s="73">
        <v>57</v>
      </c>
      <c r="G24" s="73" t="s">
        <v>1035</v>
      </c>
      <c r="H24" s="72" t="s">
        <v>53</v>
      </c>
      <c r="I24" s="72" t="s">
        <v>1003</v>
      </c>
      <c r="J24" s="72" t="s">
        <v>334</v>
      </c>
      <c r="K24" s="72" t="s">
        <v>382</v>
      </c>
      <c r="L24" s="72" t="s">
        <v>1004</v>
      </c>
      <c r="M24" s="72" t="s">
        <v>384</v>
      </c>
      <c r="O24" s="72" t="s">
        <v>539</v>
      </c>
      <c r="P24" s="72" t="s">
        <v>808</v>
      </c>
      <c r="Q24" s="72" t="s">
        <v>1005</v>
      </c>
      <c r="R24" s="72" t="s">
        <v>53</v>
      </c>
      <c r="V24" s="60" t="str">
        <f t="shared" si="4"/>
        <v>0284KGчерный</v>
      </c>
      <c r="W24" s="60" t="str">
        <f t="shared" si="0"/>
        <v>0284KG</v>
      </c>
      <c r="X24" s="60" t="str">
        <f t="shared" si="5"/>
        <v>Tropic Monty</v>
      </c>
      <c r="AC24" s="51">
        <f t="shared" si="6"/>
        <v>3</v>
      </c>
      <c r="AD24" s="44">
        <f t="shared" si="1"/>
        <v>57</v>
      </c>
      <c r="AE24" s="51">
        <f t="shared" si="7"/>
        <v>3057</v>
      </c>
    </row>
    <row r="25" spans="1:31">
      <c r="A25" s="60" t="str">
        <f t="shared" si="2"/>
        <v>0284KGblack</v>
      </c>
      <c r="B25" s="60" t="str">
        <f t="shared" si="3"/>
        <v>03-057-09</v>
      </c>
      <c r="C25" s="72" t="s">
        <v>1037</v>
      </c>
      <c r="D25" s="72" t="s">
        <v>1034</v>
      </c>
      <c r="E25" s="72" t="s">
        <v>976</v>
      </c>
      <c r="F25" s="73">
        <v>59</v>
      </c>
      <c r="G25" s="73" t="s">
        <v>1035</v>
      </c>
      <c r="H25" s="72" t="s">
        <v>53</v>
      </c>
      <c r="I25" s="72" t="s">
        <v>1003</v>
      </c>
      <c r="J25" s="72" t="s">
        <v>334</v>
      </c>
      <c r="K25" s="72" t="s">
        <v>382</v>
      </c>
      <c r="L25" s="72" t="s">
        <v>1004</v>
      </c>
      <c r="M25" s="72" t="s">
        <v>384</v>
      </c>
      <c r="O25" s="72" t="s">
        <v>539</v>
      </c>
      <c r="P25" s="72" t="s">
        <v>808</v>
      </c>
      <c r="Q25" s="72" t="s">
        <v>1005</v>
      </c>
      <c r="R25" s="72" t="s">
        <v>53</v>
      </c>
      <c r="V25" s="60" t="str">
        <f t="shared" si="4"/>
        <v>0284KGчерный</v>
      </c>
      <c r="W25" s="60" t="str">
        <f t="shared" si="0"/>
        <v>0284KG</v>
      </c>
      <c r="X25" s="60" t="str">
        <f t="shared" si="5"/>
        <v>Tropic Monty</v>
      </c>
      <c r="AC25" s="51">
        <f t="shared" si="6"/>
        <v>3</v>
      </c>
      <c r="AD25" s="44">
        <f t="shared" si="1"/>
        <v>57</v>
      </c>
      <c r="AE25" s="51">
        <f t="shared" si="7"/>
        <v>3057</v>
      </c>
    </row>
    <row r="26" spans="1:31">
      <c r="A26" s="60" t="str">
        <f t="shared" si="2"/>
        <v>0284KGblack</v>
      </c>
      <c r="B26" s="60" t="str">
        <f t="shared" si="3"/>
        <v>03-057-09</v>
      </c>
      <c r="C26" s="72" t="s">
        <v>1038</v>
      </c>
      <c r="D26" s="72" t="s">
        <v>1034</v>
      </c>
      <c r="E26" s="72" t="s">
        <v>1030</v>
      </c>
      <c r="F26" s="73">
        <v>61</v>
      </c>
      <c r="G26" s="73" t="s">
        <v>1035</v>
      </c>
      <c r="H26" s="72" t="s">
        <v>53</v>
      </c>
      <c r="I26" s="72" t="s">
        <v>1003</v>
      </c>
      <c r="J26" s="72" t="s">
        <v>334</v>
      </c>
      <c r="K26" s="72" t="s">
        <v>382</v>
      </c>
      <c r="L26" s="72" t="s">
        <v>1004</v>
      </c>
      <c r="M26" s="72" t="s">
        <v>384</v>
      </c>
      <c r="O26" s="72" t="s">
        <v>539</v>
      </c>
      <c r="P26" s="72" t="s">
        <v>808</v>
      </c>
      <c r="Q26" s="72" t="s">
        <v>1005</v>
      </c>
      <c r="R26" s="72" t="s">
        <v>53</v>
      </c>
      <c r="V26" s="60" t="str">
        <f t="shared" si="4"/>
        <v>0284KGчерный</v>
      </c>
      <c r="W26" s="60" t="str">
        <f t="shared" si="0"/>
        <v>0284KG</v>
      </c>
      <c r="X26" s="60" t="str">
        <f t="shared" si="5"/>
        <v>Tropic Monty</v>
      </c>
      <c r="AC26" s="51">
        <f t="shared" si="6"/>
        <v>3</v>
      </c>
      <c r="AD26" s="44">
        <f t="shared" si="1"/>
        <v>57</v>
      </c>
      <c r="AE26" s="51">
        <f t="shared" si="7"/>
        <v>3057</v>
      </c>
    </row>
    <row r="27" spans="1:31">
      <c r="A27" s="60" t="str">
        <f t="shared" si="2"/>
        <v>K3211HTnavy</v>
      </c>
      <c r="B27" s="60" t="str">
        <f t="shared" si="3"/>
        <v>03-058-16</v>
      </c>
      <c r="C27" s="72" t="s">
        <v>1039</v>
      </c>
      <c r="D27" s="72" t="s">
        <v>1040</v>
      </c>
      <c r="E27" s="72" t="s">
        <v>969</v>
      </c>
      <c r="F27" s="73">
        <v>57</v>
      </c>
      <c r="G27" s="73" t="s">
        <v>1041</v>
      </c>
      <c r="H27" s="72" t="s">
        <v>55</v>
      </c>
      <c r="I27" s="72" t="s">
        <v>1042</v>
      </c>
      <c r="J27" s="72" t="s">
        <v>320</v>
      </c>
      <c r="K27" s="72" t="s">
        <v>382</v>
      </c>
      <c r="L27" s="72" t="s">
        <v>988</v>
      </c>
      <c r="M27" s="72" t="s">
        <v>384</v>
      </c>
      <c r="O27" s="72" t="s">
        <v>539</v>
      </c>
      <c r="P27" s="72" t="s">
        <v>973</v>
      </c>
      <c r="Q27" s="72" t="s">
        <v>1017</v>
      </c>
      <c r="R27" s="72" t="s">
        <v>71</v>
      </c>
      <c r="V27" s="60" t="str">
        <f t="shared" si="4"/>
        <v>K3211HTтемно-синий</v>
      </c>
      <c r="W27" s="60" t="str">
        <f t="shared" si="0"/>
        <v>K3211HT</v>
      </c>
      <c r="X27" s="60" t="str">
        <f t="shared" si="5"/>
        <v>Travel Stripe 507</v>
      </c>
      <c r="AC27" s="51">
        <f t="shared" si="6"/>
        <v>3</v>
      </c>
      <c r="AD27" s="44">
        <f t="shared" si="1"/>
        <v>58</v>
      </c>
      <c r="AE27" s="51">
        <f t="shared" si="7"/>
        <v>3058</v>
      </c>
    </row>
    <row r="28" spans="1:31">
      <c r="A28" s="60" t="str">
        <f t="shared" si="2"/>
        <v>K3211HTnavy</v>
      </c>
      <c r="B28" s="60" t="str">
        <f t="shared" si="3"/>
        <v>03-058-16</v>
      </c>
      <c r="C28" s="72" t="s">
        <v>1043</v>
      </c>
      <c r="D28" s="72" t="s">
        <v>1040</v>
      </c>
      <c r="E28" s="72" t="s">
        <v>976</v>
      </c>
      <c r="F28" s="73">
        <v>59</v>
      </c>
      <c r="G28" s="73" t="s">
        <v>1041</v>
      </c>
      <c r="H28" s="72" t="s">
        <v>55</v>
      </c>
      <c r="I28" s="72" t="s">
        <v>1042</v>
      </c>
      <c r="J28" s="72" t="s">
        <v>320</v>
      </c>
      <c r="K28" s="72" t="s">
        <v>382</v>
      </c>
      <c r="L28" s="72" t="s">
        <v>988</v>
      </c>
      <c r="M28" s="72" t="s">
        <v>384</v>
      </c>
      <c r="O28" s="72" t="s">
        <v>539</v>
      </c>
      <c r="P28" s="72" t="s">
        <v>973</v>
      </c>
      <c r="Q28" s="72" t="s">
        <v>1017</v>
      </c>
      <c r="R28" s="72" t="s">
        <v>71</v>
      </c>
      <c r="V28" s="60" t="str">
        <f t="shared" si="4"/>
        <v>K3211HTтемно-синий</v>
      </c>
      <c r="W28" s="60" t="str">
        <f t="shared" si="0"/>
        <v>K3211HT</v>
      </c>
      <c r="X28" s="60" t="str">
        <f t="shared" si="5"/>
        <v>Travel Stripe 507</v>
      </c>
      <c r="AC28" s="51">
        <f t="shared" si="6"/>
        <v>3</v>
      </c>
      <c r="AD28" s="44">
        <f t="shared" si="1"/>
        <v>58</v>
      </c>
      <c r="AE28" s="51">
        <f t="shared" si="7"/>
        <v>3058</v>
      </c>
    </row>
    <row r="29" spans="1:31">
      <c r="A29" s="60" t="str">
        <f t="shared" si="2"/>
        <v>K2036COwhite</v>
      </c>
      <c r="B29" s="60" t="str">
        <f t="shared" si="3"/>
        <v>03-059-17</v>
      </c>
      <c r="C29" s="72" t="s">
        <v>1044</v>
      </c>
      <c r="D29" s="72" t="s">
        <v>1045</v>
      </c>
      <c r="E29" s="72" t="s">
        <v>909</v>
      </c>
      <c r="F29" s="73">
        <v>0</v>
      </c>
      <c r="G29" s="73" t="s">
        <v>1046</v>
      </c>
      <c r="H29" s="72" t="s">
        <v>57</v>
      </c>
      <c r="I29" s="72" t="s">
        <v>910</v>
      </c>
      <c r="J29" s="72" t="s">
        <v>327</v>
      </c>
      <c r="K29" s="72" t="s">
        <v>382</v>
      </c>
      <c r="L29" s="72" t="s">
        <v>988</v>
      </c>
      <c r="M29" s="72" t="s">
        <v>384</v>
      </c>
      <c r="N29" s="72" t="s">
        <v>43</v>
      </c>
      <c r="O29" s="72" t="s">
        <v>386</v>
      </c>
      <c r="P29" s="72" t="s">
        <v>973</v>
      </c>
      <c r="Q29" s="72" t="s">
        <v>989</v>
      </c>
      <c r="R29" s="72" t="s">
        <v>57</v>
      </c>
      <c r="V29" s="60" t="str">
        <f t="shared" si="4"/>
        <v>K2036COбелый</v>
      </c>
      <c r="W29" s="60" t="str">
        <f t="shared" si="0"/>
        <v>K2036CO</v>
      </c>
      <c r="X29" s="60" t="str">
        <f t="shared" si="5"/>
        <v>Adjustable Baseball</v>
      </c>
      <c r="AC29" s="51">
        <f t="shared" si="6"/>
        <v>3</v>
      </c>
      <c r="AD29" s="44">
        <f t="shared" si="1"/>
        <v>59</v>
      </c>
      <c r="AE29" s="51">
        <f t="shared" si="7"/>
        <v>3059</v>
      </c>
    </row>
    <row r="30" spans="1:31">
      <c r="A30" s="60" t="str">
        <f t="shared" si="2"/>
        <v>K2036COnavy</v>
      </c>
      <c r="B30" s="60" t="str">
        <f t="shared" si="3"/>
        <v>03-059-16</v>
      </c>
      <c r="C30" s="72" t="s">
        <v>1047</v>
      </c>
      <c r="D30" s="72" t="s">
        <v>1048</v>
      </c>
      <c r="E30" s="72" t="s">
        <v>909</v>
      </c>
      <c r="F30" s="73">
        <v>0</v>
      </c>
      <c r="G30" s="73" t="s">
        <v>1046</v>
      </c>
      <c r="H30" s="72" t="s">
        <v>55</v>
      </c>
      <c r="I30" s="72" t="s">
        <v>910</v>
      </c>
      <c r="J30" s="72" t="s">
        <v>327</v>
      </c>
      <c r="K30" s="72" t="s">
        <v>382</v>
      </c>
      <c r="L30" s="72" t="s">
        <v>988</v>
      </c>
      <c r="M30" s="72" t="s">
        <v>384</v>
      </c>
      <c r="N30" s="72" t="s">
        <v>43</v>
      </c>
      <c r="O30" s="72" t="s">
        <v>386</v>
      </c>
      <c r="P30" s="72" t="s">
        <v>973</v>
      </c>
      <c r="Q30" s="72" t="s">
        <v>1017</v>
      </c>
      <c r="R30" s="72" t="s">
        <v>71</v>
      </c>
      <c r="V30" s="60" t="str">
        <f t="shared" si="4"/>
        <v>K2036COтемно-синий</v>
      </c>
      <c r="W30" s="60" t="str">
        <f t="shared" si="0"/>
        <v>K2036CO</v>
      </c>
      <c r="X30" s="60" t="str">
        <f t="shared" si="5"/>
        <v>Adjustable Baseball</v>
      </c>
      <c r="AC30" s="51">
        <f t="shared" si="6"/>
        <v>3</v>
      </c>
      <c r="AD30" s="44">
        <f t="shared" si="1"/>
        <v>59</v>
      </c>
      <c r="AE30" s="51">
        <f t="shared" si="7"/>
        <v>3059</v>
      </c>
    </row>
    <row r="31" spans="1:31">
      <c r="A31" s="60" t="str">
        <f t="shared" si="2"/>
        <v>K2036COblack</v>
      </c>
      <c r="B31" s="60" t="str">
        <f t="shared" si="3"/>
        <v>03-059-09</v>
      </c>
      <c r="C31" s="72" t="s">
        <v>1049</v>
      </c>
      <c r="D31" s="72" t="s">
        <v>1050</v>
      </c>
      <c r="E31" s="72" t="s">
        <v>909</v>
      </c>
      <c r="F31" s="73">
        <v>0</v>
      </c>
      <c r="G31" s="73" t="s">
        <v>1046</v>
      </c>
      <c r="H31" s="72" t="s">
        <v>53</v>
      </c>
      <c r="I31" s="72" t="s">
        <v>910</v>
      </c>
      <c r="J31" s="72" t="s">
        <v>327</v>
      </c>
      <c r="K31" s="72" t="s">
        <v>382</v>
      </c>
      <c r="L31" s="72" t="s">
        <v>981</v>
      </c>
      <c r="M31" s="72" t="s">
        <v>384</v>
      </c>
      <c r="N31" s="72" t="s">
        <v>43</v>
      </c>
      <c r="O31" s="72" t="s">
        <v>386</v>
      </c>
      <c r="P31" s="72" t="s">
        <v>808</v>
      </c>
      <c r="Q31" s="72" t="s">
        <v>1005</v>
      </c>
      <c r="R31" s="72" t="s">
        <v>53</v>
      </c>
      <c r="V31" s="60" t="str">
        <f t="shared" si="4"/>
        <v>K2036COчерный</v>
      </c>
      <c r="W31" s="60" t="str">
        <f t="shared" si="0"/>
        <v>K2036CO</v>
      </c>
      <c r="X31" s="60" t="str">
        <f t="shared" si="5"/>
        <v>Adjustable Baseball</v>
      </c>
      <c r="AC31" s="51">
        <f t="shared" si="6"/>
        <v>3</v>
      </c>
      <c r="AD31" s="44">
        <f t="shared" si="1"/>
        <v>59</v>
      </c>
      <c r="AE31" s="51">
        <f t="shared" si="7"/>
        <v>3059</v>
      </c>
    </row>
    <row r="32" spans="1:31">
      <c r="A32" s="60" t="str">
        <f t="shared" si="2"/>
        <v>K5178HTcamo</v>
      </c>
      <c r="B32" s="60" t="str">
        <f t="shared" si="3"/>
        <v>03-060-03</v>
      </c>
      <c r="C32" s="72" t="s">
        <v>1051</v>
      </c>
      <c r="D32" s="72" t="s">
        <v>1052</v>
      </c>
      <c r="E32" s="72" t="s">
        <v>1053</v>
      </c>
      <c r="F32" s="73">
        <v>56</v>
      </c>
      <c r="G32" s="73" t="s">
        <v>1054</v>
      </c>
      <c r="H32" s="72" t="s">
        <v>158</v>
      </c>
      <c r="I32" s="72" t="s">
        <v>1055</v>
      </c>
      <c r="J32" s="72" t="s">
        <v>327</v>
      </c>
      <c r="K32" s="72" t="s">
        <v>382</v>
      </c>
      <c r="L32" s="72" t="s">
        <v>981</v>
      </c>
      <c r="M32" s="72" t="s">
        <v>384</v>
      </c>
      <c r="O32" s="72" t="s">
        <v>533</v>
      </c>
      <c r="P32" s="72" t="s">
        <v>808</v>
      </c>
      <c r="Q32" s="72" t="s">
        <v>1056</v>
      </c>
      <c r="R32" s="72" t="s">
        <v>195</v>
      </c>
      <c r="V32" s="60" t="str">
        <f t="shared" si="4"/>
        <v>K5178HTкамуфляж</v>
      </c>
      <c r="W32" s="60" t="str">
        <f t="shared" si="0"/>
        <v>K5178HT</v>
      </c>
      <c r="X32" s="60" t="str">
        <f t="shared" si="5"/>
        <v>Pattern Flexfit Baseball</v>
      </c>
      <c r="AC32" s="51">
        <f t="shared" si="6"/>
        <v>3</v>
      </c>
      <c r="AD32" s="44">
        <f t="shared" si="1"/>
        <v>60</v>
      </c>
      <c r="AE32" s="51">
        <f t="shared" si="7"/>
        <v>3060</v>
      </c>
    </row>
    <row r="33" spans="1:31">
      <c r="A33" s="60" t="str">
        <f t="shared" si="2"/>
        <v>K5178HTcamo</v>
      </c>
      <c r="B33" s="60" t="str">
        <f t="shared" si="3"/>
        <v>03-060-03</v>
      </c>
      <c r="C33" s="72" t="s">
        <v>1057</v>
      </c>
      <c r="D33" s="72" t="s">
        <v>1052</v>
      </c>
      <c r="E33" s="72" t="s">
        <v>1058</v>
      </c>
      <c r="F33" s="73">
        <v>60</v>
      </c>
      <c r="G33" s="73" t="s">
        <v>1054</v>
      </c>
      <c r="H33" s="72" t="s">
        <v>158</v>
      </c>
      <c r="I33" s="72" t="s">
        <v>1055</v>
      </c>
      <c r="J33" s="72" t="s">
        <v>327</v>
      </c>
      <c r="K33" s="72" t="s">
        <v>382</v>
      </c>
      <c r="L33" s="72" t="s">
        <v>981</v>
      </c>
      <c r="M33" s="72" t="s">
        <v>384</v>
      </c>
      <c r="O33" s="72" t="s">
        <v>533</v>
      </c>
      <c r="P33" s="72" t="s">
        <v>808</v>
      </c>
      <c r="Q33" s="72" t="s">
        <v>1056</v>
      </c>
      <c r="R33" s="72" t="s">
        <v>195</v>
      </c>
      <c r="V33" s="60" t="str">
        <f t="shared" si="4"/>
        <v>K5178HTкамуфляж</v>
      </c>
      <c r="W33" s="60" t="str">
        <f t="shared" si="0"/>
        <v>K5178HT</v>
      </c>
      <c r="X33" s="60" t="str">
        <f t="shared" si="5"/>
        <v>Pattern Flexfit Baseball</v>
      </c>
      <c r="AC33" s="51">
        <f t="shared" si="6"/>
        <v>3</v>
      </c>
      <c r="AD33" s="44">
        <f t="shared" si="1"/>
        <v>60</v>
      </c>
      <c r="AE33" s="51">
        <f t="shared" si="7"/>
        <v>3060</v>
      </c>
    </row>
    <row r="34" spans="1:31">
      <c r="A34" s="60" t="str">
        <f t="shared" si="2"/>
        <v>K5245HTcamo</v>
      </c>
      <c r="B34" s="60" t="str">
        <f t="shared" si="3"/>
        <v>03-061-03</v>
      </c>
      <c r="C34" s="72" t="s">
        <v>1059</v>
      </c>
      <c r="D34" s="72" t="s">
        <v>1060</v>
      </c>
      <c r="E34" s="72" t="s">
        <v>1053</v>
      </c>
      <c r="F34" s="73">
        <v>56</v>
      </c>
      <c r="G34" s="73" t="s">
        <v>1061</v>
      </c>
      <c r="H34" s="72" t="s">
        <v>158</v>
      </c>
      <c r="I34" s="72" t="s">
        <v>1055</v>
      </c>
      <c r="J34" s="72" t="s">
        <v>320</v>
      </c>
      <c r="K34" s="72" t="s">
        <v>382</v>
      </c>
      <c r="L34" s="72" t="s">
        <v>988</v>
      </c>
      <c r="M34" s="72" t="s">
        <v>384</v>
      </c>
      <c r="O34" s="72" t="s">
        <v>533</v>
      </c>
      <c r="P34" s="72" t="s">
        <v>973</v>
      </c>
      <c r="Q34" s="72" t="s">
        <v>1056</v>
      </c>
      <c r="R34" s="72" t="s">
        <v>60</v>
      </c>
      <c r="V34" s="60" t="str">
        <f t="shared" si="4"/>
        <v>K5245HTкамуфляж</v>
      </c>
      <c r="W34" s="60" t="str">
        <f t="shared" si="0"/>
        <v>K5245HT</v>
      </c>
      <c r="X34" s="60" t="str">
        <f t="shared" si="5"/>
        <v>Pattern Flexfit 504</v>
      </c>
      <c r="AC34" s="51">
        <f t="shared" si="6"/>
        <v>3</v>
      </c>
      <c r="AD34" s="44">
        <f t="shared" si="1"/>
        <v>61</v>
      </c>
      <c r="AE34" s="51">
        <f t="shared" si="7"/>
        <v>3061</v>
      </c>
    </row>
    <row r="35" spans="1:31">
      <c r="A35" s="60" t="str">
        <f t="shared" si="2"/>
        <v>K5245HTcamo</v>
      </c>
      <c r="B35" s="60" t="str">
        <f t="shared" si="3"/>
        <v>03-061-03</v>
      </c>
      <c r="C35" s="72" t="s">
        <v>1062</v>
      </c>
      <c r="D35" s="72" t="s">
        <v>1060</v>
      </c>
      <c r="E35" s="72" t="s">
        <v>1058</v>
      </c>
      <c r="F35" s="73">
        <v>60</v>
      </c>
      <c r="G35" s="73" t="s">
        <v>1061</v>
      </c>
      <c r="H35" s="72" t="s">
        <v>158</v>
      </c>
      <c r="I35" s="72" t="s">
        <v>1055</v>
      </c>
      <c r="J35" s="72" t="s">
        <v>320</v>
      </c>
      <c r="K35" s="72" t="s">
        <v>382</v>
      </c>
      <c r="L35" s="72" t="s">
        <v>988</v>
      </c>
      <c r="M35" s="72" t="s">
        <v>384</v>
      </c>
      <c r="O35" s="72" t="s">
        <v>533</v>
      </c>
      <c r="P35" s="72" t="s">
        <v>973</v>
      </c>
      <c r="Q35" s="72" t="s">
        <v>1056</v>
      </c>
      <c r="R35" s="72" t="s">
        <v>60</v>
      </c>
      <c r="V35" s="60" t="str">
        <f t="shared" si="4"/>
        <v>K5245HTкамуфляж</v>
      </c>
      <c r="W35" s="60" t="str">
        <f t="shared" si="0"/>
        <v>K5245HT</v>
      </c>
      <c r="X35" s="60" t="str">
        <f t="shared" si="5"/>
        <v>Pattern Flexfit 504</v>
      </c>
      <c r="AC35" s="51">
        <f t="shared" si="6"/>
        <v>3</v>
      </c>
      <c r="AD35" s="44">
        <f t="shared" si="1"/>
        <v>61</v>
      </c>
      <c r="AE35" s="51">
        <f t="shared" si="7"/>
        <v>3061</v>
      </c>
    </row>
    <row r="36" spans="1:31">
      <c r="A36" s="60" t="str">
        <f t="shared" si="2"/>
        <v>K3226STblack</v>
      </c>
      <c r="B36" s="60" t="str">
        <f t="shared" si="3"/>
        <v>03-062-09</v>
      </c>
      <c r="C36" s="72" t="s">
        <v>1063</v>
      </c>
      <c r="D36" s="72" t="s">
        <v>1064</v>
      </c>
      <c r="E36" s="72" t="s">
        <v>1032</v>
      </c>
      <c r="F36" s="73">
        <v>55</v>
      </c>
      <c r="G36" s="73" t="s">
        <v>1065</v>
      </c>
      <c r="H36" s="72" t="s">
        <v>53</v>
      </c>
      <c r="I36" s="72" t="s">
        <v>1066</v>
      </c>
      <c r="J36" s="72" t="s">
        <v>334</v>
      </c>
      <c r="K36" s="72" t="s">
        <v>382</v>
      </c>
      <c r="L36" s="72" t="s">
        <v>988</v>
      </c>
      <c r="M36" s="72" t="s">
        <v>384</v>
      </c>
      <c r="O36" s="72" t="s">
        <v>539</v>
      </c>
      <c r="P36" s="72" t="s">
        <v>973</v>
      </c>
      <c r="Q36" s="72" t="s">
        <v>1005</v>
      </c>
      <c r="R36" s="72" t="s">
        <v>53</v>
      </c>
      <c r="V36" s="60" t="str">
        <f t="shared" si="4"/>
        <v>K3226STчерный</v>
      </c>
      <c r="W36" s="60" t="str">
        <f t="shared" si="0"/>
        <v>K3226ST</v>
      </c>
      <c r="X36" s="60" t="str">
        <f t="shared" si="5"/>
        <v>Tropic Beret</v>
      </c>
      <c r="AC36" s="51">
        <f t="shared" si="6"/>
        <v>3</v>
      </c>
      <c r="AD36" s="44">
        <f t="shared" si="1"/>
        <v>62</v>
      </c>
      <c r="AE36" s="51">
        <f t="shared" si="7"/>
        <v>3062</v>
      </c>
    </row>
    <row r="37" spans="1:31">
      <c r="A37" s="60" t="str">
        <f t="shared" si="2"/>
        <v>K3226STblack</v>
      </c>
      <c r="B37" s="60" t="str">
        <f t="shared" si="3"/>
        <v>03-062-09</v>
      </c>
      <c r="C37" s="72" t="s">
        <v>1067</v>
      </c>
      <c r="D37" s="72" t="s">
        <v>1064</v>
      </c>
      <c r="E37" s="72" t="s">
        <v>969</v>
      </c>
      <c r="F37" s="73">
        <v>57</v>
      </c>
      <c r="G37" s="73" t="s">
        <v>1065</v>
      </c>
      <c r="H37" s="72" t="s">
        <v>53</v>
      </c>
      <c r="I37" s="72" t="s">
        <v>1066</v>
      </c>
      <c r="J37" s="72" t="s">
        <v>334</v>
      </c>
      <c r="K37" s="72" t="s">
        <v>382</v>
      </c>
      <c r="L37" s="72" t="s">
        <v>988</v>
      </c>
      <c r="M37" s="72" t="s">
        <v>384</v>
      </c>
      <c r="O37" s="72" t="s">
        <v>539</v>
      </c>
      <c r="P37" s="72" t="s">
        <v>973</v>
      </c>
      <c r="Q37" s="72" t="s">
        <v>1005</v>
      </c>
      <c r="R37" s="72" t="s">
        <v>53</v>
      </c>
      <c r="V37" s="60" t="str">
        <f t="shared" si="4"/>
        <v>K3226STчерный</v>
      </c>
      <c r="W37" s="60" t="str">
        <f t="shared" si="0"/>
        <v>K3226ST</v>
      </c>
      <c r="X37" s="60" t="str">
        <f t="shared" si="5"/>
        <v>Tropic Beret</v>
      </c>
      <c r="AC37" s="51">
        <f t="shared" si="6"/>
        <v>3</v>
      </c>
      <c r="AD37" s="44">
        <f t="shared" si="1"/>
        <v>62</v>
      </c>
      <c r="AE37" s="51">
        <f t="shared" si="7"/>
        <v>3062</v>
      </c>
    </row>
    <row r="38" spans="1:31">
      <c r="A38" s="60" t="str">
        <f t="shared" si="2"/>
        <v>K3226STblack</v>
      </c>
      <c r="B38" s="60" t="str">
        <f t="shared" si="3"/>
        <v>03-062-09</v>
      </c>
      <c r="C38" s="72" t="s">
        <v>1068</v>
      </c>
      <c r="D38" s="72" t="s">
        <v>1064</v>
      </c>
      <c r="E38" s="72" t="s">
        <v>976</v>
      </c>
      <c r="F38" s="73">
        <v>59</v>
      </c>
      <c r="G38" s="73" t="s">
        <v>1065</v>
      </c>
      <c r="H38" s="72" t="s">
        <v>53</v>
      </c>
      <c r="I38" s="72" t="s">
        <v>1066</v>
      </c>
      <c r="J38" s="72" t="s">
        <v>334</v>
      </c>
      <c r="K38" s="72" t="s">
        <v>382</v>
      </c>
      <c r="L38" s="72" t="s">
        <v>988</v>
      </c>
      <c r="M38" s="72" t="s">
        <v>384</v>
      </c>
      <c r="O38" s="72" t="s">
        <v>539</v>
      </c>
      <c r="P38" s="72" t="s">
        <v>973</v>
      </c>
      <c r="Q38" s="72" t="s">
        <v>1005</v>
      </c>
      <c r="R38" s="72" t="s">
        <v>53</v>
      </c>
      <c r="V38" s="60" t="str">
        <f t="shared" si="4"/>
        <v>K3226STчерный</v>
      </c>
      <c r="W38" s="60" t="str">
        <f t="shared" si="0"/>
        <v>K3226ST</v>
      </c>
      <c r="X38" s="60" t="str">
        <f t="shared" si="5"/>
        <v>Tropic Beret</v>
      </c>
      <c r="AC38" s="51">
        <f t="shared" si="6"/>
        <v>3</v>
      </c>
      <c r="AD38" s="44">
        <f t="shared" si="1"/>
        <v>62</v>
      </c>
      <c r="AE38" s="51">
        <f t="shared" si="7"/>
        <v>3062</v>
      </c>
    </row>
    <row r="39" spans="1:31">
      <c r="A39" s="60" t="str">
        <f t="shared" si="2"/>
        <v>K3226STblack</v>
      </c>
      <c r="B39" s="60" t="str">
        <f t="shared" si="3"/>
        <v>03-062-09</v>
      </c>
      <c r="C39" s="72" t="s">
        <v>1069</v>
      </c>
      <c r="D39" s="72" t="s">
        <v>1064</v>
      </c>
      <c r="E39" s="72" t="s">
        <v>1030</v>
      </c>
      <c r="F39" s="73">
        <v>61</v>
      </c>
      <c r="G39" s="73" t="s">
        <v>1065</v>
      </c>
      <c r="H39" s="72" t="s">
        <v>53</v>
      </c>
      <c r="I39" s="72" t="s">
        <v>1066</v>
      </c>
      <c r="J39" s="72" t="s">
        <v>334</v>
      </c>
      <c r="K39" s="72" t="s">
        <v>382</v>
      </c>
      <c r="L39" s="72" t="s">
        <v>988</v>
      </c>
      <c r="M39" s="72" t="s">
        <v>384</v>
      </c>
      <c r="O39" s="72" t="s">
        <v>539</v>
      </c>
      <c r="P39" s="72" t="s">
        <v>973</v>
      </c>
      <c r="Q39" s="72" t="s">
        <v>1005</v>
      </c>
      <c r="R39" s="72" t="s">
        <v>53</v>
      </c>
      <c r="V39" s="60" t="str">
        <f t="shared" si="4"/>
        <v>K3226STчерный</v>
      </c>
      <c r="W39" s="60" t="str">
        <f t="shared" si="0"/>
        <v>K3226ST</v>
      </c>
      <c r="X39" s="60" t="str">
        <f t="shared" si="5"/>
        <v>Tropic Beret</v>
      </c>
      <c r="AC39" s="51">
        <f t="shared" si="6"/>
        <v>3</v>
      </c>
      <c r="AD39" s="44">
        <f t="shared" si="1"/>
        <v>62</v>
      </c>
      <c r="AE39" s="51">
        <f t="shared" si="7"/>
        <v>3062</v>
      </c>
    </row>
    <row r="40" spans="1:31">
      <c r="A40" s="60" t="str">
        <f t="shared" si="2"/>
        <v>K3143STblack</v>
      </c>
      <c r="B40" s="60" t="str">
        <f t="shared" si="3"/>
        <v>03-063-09</v>
      </c>
      <c r="C40" s="72" t="s">
        <v>1070</v>
      </c>
      <c r="D40" s="72" t="s">
        <v>1071</v>
      </c>
      <c r="E40" s="72" t="s">
        <v>1032</v>
      </c>
      <c r="F40" s="73">
        <v>55</v>
      </c>
      <c r="G40" s="73" t="s">
        <v>1072</v>
      </c>
      <c r="H40" s="72" t="s">
        <v>53</v>
      </c>
      <c r="I40" s="72" t="s">
        <v>1073</v>
      </c>
      <c r="J40" s="72" t="s">
        <v>334</v>
      </c>
      <c r="K40" s="72" t="s">
        <v>382</v>
      </c>
      <c r="L40" s="72" t="s">
        <v>1004</v>
      </c>
      <c r="M40" s="72" t="s">
        <v>384</v>
      </c>
      <c r="O40" s="72" t="s">
        <v>539</v>
      </c>
      <c r="P40" s="72" t="s">
        <v>808</v>
      </c>
      <c r="Q40" s="72" t="s">
        <v>1005</v>
      </c>
      <c r="R40" s="72" t="s">
        <v>53</v>
      </c>
      <c r="V40" s="60" t="str">
        <f t="shared" si="4"/>
        <v>K3143STчерный</v>
      </c>
      <c r="W40" s="60" t="str">
        <f t="shared" si="0"/>
        <v>K3143ST</v>
      </c>
      <c r="X40" s="60" t="str">
        <f t="shared" si="5"/>
        <v>Bamboo Jax Beret</v>
      </c>
      <c r="AC40" s="51">
        <f t="shared" si="6"/>
        <v>3</v>
      </c>
      <c r="AD40" s="44">
        <f t="shared" si="1"/>
        <v>63</v>
      </c>
      <c r="AE40" s="51">
        <f t="shared" si="7"/>
        <v>3063</v>
      </c>
    </row>
    <row r="41" spans="1:31">
      <c r="A41" s="60" t="str">
        <f t="shared" si="2"/>
        <v>K3143STblack</v>
      </c>
      <c r="B41" s="60" t="str">
        <f t="shared" si="3"/>
        <v>03-063-09</v>
      </c>
      <c r="C41" s="72" t="s">
        <v>1074</v>
      </c>
      <c r="D41" s="72" t="s">
        <v>1071</v>
      </c>
      <c r="E41" s="72" t="s">
        <v>969</v>
      </c>
      <c r="F41" s="73">
        <v>57</v>
      </c>
      <c r="G41" s="73" t="s">
        <v>1072</v>
      </c>
      <c r="H41" s="72" t="s">
        <v>53</v>
      </c>
      <c r="I41" s="72" t="s">
        <v>1073</v>
      </c>
      <c r="J41" s="72" t="s">
        <v>334</v>
      </c>
      <c r="K41" s="72" t="s">
        <v>382</v>
      </c>
      <c r="L41" s="72" t="s">
        <v>1004</v>
      </c>
      <c r="M41" s="72" t="s">
        <v>384</v>
      </c>
      <c r="O41" s="72" t="s">
        <v>539</v>
      </c>
      <c r="P41" s="72" t="s">
        <v>808</v>
      </c>
      <c r="Q41" s="72" t="s">
        <v>1005</v>
      </c>
      <c r="R41" s="72" t="s">
        <v>53</v>
      </c>
      <c r="V41" s="60" t="str">
        <f t="shared" si="4"/>
        <v>K3143STчерный</v>
      </c>
      <c r="W41" s="60" t="str">
        <f t="shared" si="0"/>
        <v>K3143ST</v>
      </c>
      <c r="X41" s="60" t="str">
        <f t="shared" si="5"/>
        <v>Bamboo Jax Beret</v>
      </c>
      <c r="AC41" s="51">
        <f t="shared" si="6"/>
        <v>3</v>
      </c>
      <c r="AD41" s="44">
        <f t="shared" si="1"/>
        <v>63</v>
      </c>
      <c r="AE41" s="51">
        <f t="shared" si="7"/>
        <v>3063</v>
      </c>
    </row>
    <row r="42" spans="1:31">
      <c r="A42" s="60" t="str">
        <f t="shared" si="2"/>
        <v>K3143STblack</v>
      </c>
      <c r="B42" s="60" t="str">
        <f t="shared" si="3"/>
        <v>03-063-09</v>
      </c>
      <c r="C42" s="72" t="s">
        <v>1075</v>
      </c>
      <c r="D42" s="72" t="s">
        <v>1071</v>
      </c>
      <c r="E42" s="72" t="s">
        <v>976</v>
      </c>
      <c r="F42" s="73">
        <v>59</v>
      </c>
      <c r="G42" s="73" t="s">
        <v>1072</v>
      </c>
      <c r="H42" s="72" t="s">
        <v>53</v>
      </c>
      <c r="I42" s="72" t="s">
        <v>1073</v>
      </c>
      <c r="J42" s="72" t="s">
        <v>334</v>
      </c>
      <c r="K42" s="72" t="s">
        <v>382</v>
      </c>
      <c r="L42" s="72" t="s">
        <v>1004</v>
      </c>
      <c r="M42" s="72" t="s">
        <v>384</v>
      </c>
      <c r="O42" s="72" t="s">
        <v>539</v>
      </c>
      <c r="P42" s="72" t="s">
        <v>808</v>
      </c>
      <c r="Q42" s="72" t="s">
        <v>1005</v>
      </c>
      <c r="R42" s="72" t="s">
        <v>53</v>
      </c>
      <c r="V42" s="60" t="str">
        <f t="shared" si="4"/>
        <v>K3143STчерный</v>
      </c>
      <c r="W42" s="60" t="str">
        <f t="shared" si="0"/>
        <v>K3143ST</v>
      </c>
      <c r="X42" s="60" t="str">
        <f t="shared" si="5"/>
        <v>Bamboo Jax Beret</v>
      </c>
      <c r="AC42" s="51">
        <f t="shared" si="6"/>
        <v>3</v>
      </c>
      <c r="AD42" s="44">
        <f t="shared" si="1"/>
        <v>63</v>
      </c>
      <c r="AE42" s="51">
        <f t="shared" si="7"/>
        <v>3063</v>
      </c>
    </row>
    <row r="43" spans="1:31">
      <c r="A43" s="60" t="str">
        <f t="shared" si="2"/>
        <v>K3143STblack</v>
      </c>
      <c r="B43" s="60" t="str">
        <f t="shared" si="3"/>
        <v>03-063-09</v>
      </c>
      <c r="C43" s="72" t="s">
        <v>1076</v>
      </c>
      <c r="D43" s="72" t="s">
        <v>1071</v>
      </c>
      <c r="E43" s="72" t="s">
        <v>1030</v>
      </c>
      <c r="F43" s="73">
        <v>61</v>
      </c>
      <c r="G43" s="73" t="s">
        <v>1072</v>
      </c>
      <c r="H43" s="72" t="s">
        <v>53</v>
      </c>
      <c r="I43" s="72" t="s">
        <v>1073</v>
      </c>
      <c r="J43" s="72" t="s">
        <v>334</v>
      </c>
      <c r="K43" s="72" t="s">
        <v>382</v>
      </c>
      <c r="L43" s="72" t="s">
        <v>1004</v>
      </c>
      <c r="M43" s="72" t="s">
        <v>384</v>
      </c>
      <c r="O43" s="72" t="s">
        <v>539</v>
      </c>
      <c r="P43" s="72" t="s">
        <v>808</v>
      </c>
      <c r="Q43" s="72" t="s">
        <v>1005</v>
      </c>
      <c r="R43" s="72" t="s">
        <v>53</v>
      </c>
      <c r="V43" s="60" t="str">
        <f t="shared" si="4"/>
        <v>K3143STчерный</v>
      </c>
      <c r="W43" s="60" t="str">
        <f t="shared" si="0"/>
        <v>K3143ST</v>
      </c>
      <c r="X43" s="60" t="str">
        <f t="shared" si="5"/>
        <v>Bamboo Jax Beret</v>
      </c>
      <c r="AC43" s="51">
        <f t="shared" si="6"/>
        <v>3</v>
      </c>
      <c r="AD43" s="44">
        <f t="shared" si="1"/>
        <v>63</v>
      </c>
      <c r="AE43" s="51">
        <f t="shared" si="7"/>
        <v>3063</v>
      </c>
    </row>
    <row r="44" spans="1:31">
      <c r="A44" s="60" t="str">
        <f t="shared" si="2"/>
        <v>K4208STblack</v>
      </c>
      <c r="B44" s="60" t="str">
        <f t="shared" si="3"/>
        <v>03-064-09</v>
      </c>
      <c r="C44" s="72" t="s">
        <v>1077</v>
      </c>
      <c r="D44" s="72" t="s">
        <v>1078</v>
      </c>
      <c r="E44" s="72" t="s">
        <v>969</v>
      </c>
      <c r="F44" s="73">
        <v>57</v>
      </c>
      <c r="G44" s="73" t="s">
        <v>1079</v>
      </c>
      <c r="H44" s="72" t="s">
        <v>53</v>
      </c>
      <c r="I44" s="72" t="s">
        <v>910</v>
      </c>
      <c r="J44" s="72" t="s">
        <v>325</v>
      </c>
      <c r="K44" s="72" t="s">
        <v>382</v>
      </c>
      <c r="L44" s="72" t="s">
        <v>972</v>
      </c>
      <c r="M44" s="72" t="s">
        <v>384</v>
      </c>
      <c r="N44" s="72" t="s">
        <v>43</v>
      </c>
      <c r="O44" s="72" t="s">
        <v>386</v>
      </c>
      <c r="P44" s="72" t="s">
        <v>973</v>
      </c>
      <c r="Q44" s="72" t="s">
        <v>1005</v>
      </c>
      <c r="R44" s="72" t="s">
        <v>53</v>
      </c>
      <c r="V44" s="60" t="str">
        <f t="shared" si="4"/>
        <v>K4208STчерный</v>
      </c>
      <c r="W44" s="60" t="str">
        <f t="shared" si="0"/>
        <v>K4208ST</v>
      </c>
      <c r="X44" s="60" t="str">
        <f t="shared" si="5"/>
        <v>Comet Rev Bucket</v>
      </c>
      <c r="AC44" s="51">
        <f t="shared" si="6"/>
        <v>3</v>
      </c>
      <c r="AD44" s="44">
        <f t="shared" si="1"/>
        <v>64</v>
      </c>
      <c r="AE44" s="51">
        <f t="shared" si="7"/>
        <v>3064</v>
      </c>
    </row>
    <row r="45" spans="1:31">
      <c r="A45" s="60" t="str">
        <f t="shared" si="2"/>
        <v>K4208STblack</v>
      </c>
      <c r="B45" s="60" t="str">
        <f t="shared" si="3"/>
        <v>03-064-09</v>
      </c>
      <c r="C45" s="72" t="s">
        <v>1080</v>
      </c>
      <c r="D45" s="72" t="s">
        <v>1078</v>
      </c>
      <c r="E45" s="72" t="s">
        <v>976</v>
      </c>
      <c r="F45" s="73">
        <v>59</v>
      </c>
      <c r="G45" s="73" t="s">
        <v>1079</v>
      </c>
      <c r="H45" s="72" t="s">
        <v>53</v>
      </c>
      <c r="I45" s="72" t="s">
        <v>910</v>
      </c>
      <c r="J45" s="72" t="s">
        <v>325</v>
      </c>
      <c r="K45" s="72" t="s">
        <v>382</v>
      </c>
      <c r="L45" s="72" t="s">
        <v>972</v>
      </c>
      <c r="M45" s="72" t="s">
        <v>384</v>
      </c>
      <c r="N45" s="72" t="s">
        <v>43</v>
      </c>
      <c r="O45" s="72" t="s">
        <v>386</v>
      </c>
      <c r="P45" s="72" t="s">
        <v>973</v>
      </c>
      <c r="Q45" s="72" t="s">
        <v>1005</v>
      </c>
      <c r="R45" s="72" t="s">
        <v>53</v>
      </c>
      <c r="V45" s="60" t="str">
        <f t="shared" si="4"/>
        <v>K4208STчерный</v>
      </c>
      <c r="W45" s="60" t="str">
        <f t="shared" si="0"/>
        <v>K4208ST</v>
      </c>
      <c r="X45" s="60" t="str">
        <f t="shared" si="5"/>
        <v>Comet Rev Bucket</v>
      </c>
      <c r="AC45" s="51">
        <f t="shared" si="6"/>
        <v>3</v>
      </c>
      <c r="AD45" s="44">
        <f t="shared" si="1"/>
        <v>64</v>
      </c>
      <c r="AE45" s="51">
        <f t="shared" si="7"/>
        <v>3064</v>
      </c>
    </row>
    <row r="46" spans="1:31">
      <c r="A46" s="60" t="str">
        <f t="shared" si="2"/>
        <v>K3217HTbeige</v>
      </c>
      <c r="B46" s="60" t="str">
        <f t="shared" si="3"/>
        <v>03-065-02</v>
      </c>
      <c r="C46" s="72" t="s">
        <v>1081</v>
      </c>
      <c r="D46" s="72" t="s">
        <v>1082</v>
      </c>
      <c r="E46" s="72" t="s">
        <v>1032</v>
      </c>
      <c r="F46" s="73">
        <v>55</v>
      </c>
      <c r="G46" s="73" t="s">
        <v>1083</v>
      </c>
      <c r="H46" s="72" t="s">
        <v>63</v>
      </c>
      <c r="I46" s="72" t="s">
        <v>1084</v>
      </c>
      <c r="J46" s="72" t="s">
        <v>318</v>
      </c>
      <c r="K46" s="72" t="s">
        <v>382</v>
      </c>
      <c r="L46" s="72" t="s">
        <v>988</v>
      </c>
      <c r="M46" s="72" t="s">
        <v>388</v>
      </c>
      <c r="O46" s="72" t="s">
        <v>539</v>
      </c>
      <c r="P46" s="72" t="s">
        <v>973</v>
      </c>
      <c r="Q46" s="72" t="s">
        <v>1085</v>
      </c>
      <c r="R46" s="72" t="s">
        <v>63</v>
      </c>
      <c r="V46" s="60" t="str">
        <f t="shared" si="4"/>
        <v>K3217HTбежевый</v>
      </c>
      <c r="W46" s="60" t="str">
        <f t="shared" si="0"/>
        <v>K3217HT</v>
      </c>
      <c r="X46" s="60" t="str">
        <f t="shared" si="5"/>
        <v>Bamboo Hawker</v>
      </c>
      <c r="AC46" s="51">
        <f t="shared" si="6"/>
        <v>3</v>
      </c>
      <c r="AD46" s="44">
        <f t="shared" si="1"/>
        <v>65</v>
      </c>
      <c r="AE46" s="51">
        <f t="shared" si="7"/>
        <v>3065</v>
      </c>
    </row>
    <row r="47" spans="1:31">
      <c r="A47" s="60" t="str">
        <f t="shared" si="2"/>
        <v>K3217HTbeige</v>
      </c>
      <c r="B47" s="60" t="str">
        <f t="shared" si="3"/>
        <v>03-065-02</v>
      </c>
      <c r="C47" s="72" t="s">
        <v>1086</v>
      </c>
      <c r="D47" s="72" t="s">
        <v>1082</v>
      </c>
      <c r="E47" s="72" t="s">
        <v>969</v>
      </c>
      <c r="F47" s="73">
        <v>57</v>
      </c>
      <c r="G47" s="73" t="s">
        <v>1083</v>
      </c>
      <c r="H47" s="72" t="s">
        <v>63</v>
      </c>
      <c r="I47" s="72" t="s">
        <v>1084</v>
      </c>
      <c r="J47" s="72" t="s">
        <v>318</v>
      </c>
      <c r="K47" s="72" t="s">
        <v>382</v>
      </c>
      <c r="L47" s="72" t="s">
        <v>988</v>
      </c>
      <c r="M47" s="72" t="s">
        <v>388</v>
      </c>
      <c r="O47" s="72" t="s">
        <v>539</v>
      </c>
      <c r="P47" s="72" t="s">
        <v>973</v>
      </c>
      <c r="Q47" s="72" t="s">
        <v>1085</v>
      </c>
      <c r="R47" s="72" t="s">
        <v>63</v>
      </c>
      <c r="V47" s="60" t="str">
        <f t="shared" si="4"/>
        <v>K3217HTбежевый</v>
      </c>
      <c r="W47" s="60" t="str">
        <f t="shared" si="0"/>
        <v>K3217HT</v>
      </c>
      <c r="X47" s="60" t="str">
        <f t="shared" si="5"/>
        <v>Bamboo Hawker</v>
      </c>
      <c r="AC47" s="51">
        <f t="shared" si="6"/>
        <v>3</v>
      </c>
      <c r="AD47" s="44">
        <f t="shared" si="1"/>
        <v>65</v>
      </c>
      <c r="AE47" s="51">
        <f t="shared" si="7"/>
        <v>3065</v>
      </c>
    </row>
    <row r="48" spans="1:31">
      <c r="A48" s="60" t="str">
        <f t="shared" si="2"/>
        <v>K3217HTbeige</v>
      </c>
      <c r="B48" s="60" t="str">
        <f t="shared" si="3"/>
        <v>03-065-02</v>
      </c>
      <c r="C48" s="72" t="s">
        <v>1087</v>
      </c>
      <c r="D48" s="72" t="s">
        <v>1082</v>
      </c>
      <c r="E48" s="72" t="s">
        <v>976</v>
      </c>
      <c r="F48" s="73">
        <v>59</v>
      </c>
      <c r="G48" s="73" t="s">
        <v>1083</v>
      </c>
      <c r="H48" s="72" t="s">
        <v>63</v>
      </c>
      <c r="I48" s="72" t="s">
        <v>1084</v>
      </c>
      <c r="J48" s="72" t="s">
        <v>318</v>
      </c>
      <c r="K48" s="72" t="s">
        <v>382</v>
      </c>
      <c r="L48" s="72" t="s">
        <v>988</v>
      </c>
      <c r="M48" s="72" t="s">
        <v>388</v>
      </c>
      <c r="O48" s="72" t="s">
        <v>539</v>
      </c>
      <c r="P48" s="72" t="s">
        <v>973</v>
      </c>
      <c r="Q48" s="72" t="s">
        <v>1085</v>
      </c>
      <c r="R48" s="72" t="s">
        <v>63</v>
      </c>
      <c r="V48" s="60" t="str">
        <f t="shared" si="4"/>
        <v>K3217HTбежевый</v>
      </c>
      <c r="W48" s="60" t="str">
        <f t="shared" si="0"/>
        <v>K3217HT</v>
      </c>
      <c r="X48" s="60" t="str">
        <f t="shared" si="5"/>
        <v>Bamboo Hawker</v>
      </c>
      <c r="AC48" s="51">
        <f t="shared" si="6"/>
        <v>3</v>
      </c>
      <c r="AD48" s="44">
        <f t="shared" si="1"/>
        <v>65</v>
      </c>
      <c r="AE48" s="51">
        <f t="shared" si="7"/>
        <v>3065</v>
      </c>
    </row>
    <row r="49" spans="1:31">
      <c r="A49" s="60" t="str">
        <f t="shared" si="2"/>
        <v>K3217HTbeige</v>
      </c>
      <c r="B49" s="60" t="str">
        <f t="shared" si="3"/>
        <v>03-065-02</v>
      </c>
      <c r="C49" s="72" t="s">
        <v>1088</v>
      </c>
      <c r="D49" s="72" t="s">
        <v>1082</v>
      </c>
      <c r="E49" s="72" t="s">
        <v>1030</v>
      </c>
      <c r="F49" s="73">
        <v>61</v>
      </c>
      <c r="G49" s="73" t="s">
        <v>1083</v>
      </c>
      <c r="H49" s="72" t="s">
        <v>63</v>
      </c>
      <c r="I49" s="72" t="s">
        <v>1084</v>
      </c>
      <c r="J49" s="72" t="s">
        <v>318</v>
      </c>
      <c r="K49" s="72" t="s">
        <v>382</v>
      </c>
      <c r="L49" s="72" t="s">
        <v>988</v>
      </c>
      <c r="M49" s="72" t="s">
        <v>388</v>
      </c>
      <c r="O49" s="72" t="s">
        <v>539</v>
      </c>
      <c r="P49" s="72" t="s">
        <v>973</v>
      </c>
      <c r="Q49" s="72" t="s">
        <v>1085</v>
      </c>
      <c r="R49" s="72" t="s">
        <v>63</v>
      </c>
      <c r="V49" s="60" t="str">
        <f t="shared" si="4"/>
        <v>K3217HTбежевый</v>
      </c>
      <c r="W49" s="60" t="str">
        <f t="shared" si="0"/>
        <v>K3217HT</v>
      </c>
      <c r="X49" s="60" t="str">
        <f t="shared" si="5"/>
        <v>Bamboo Hawker</v>
      </c>
      <c r="AC49" s="51">
        <f t="shared" si="6"/>
        <v>3</v>
      </c>
      <c r="AD49" s="44">
        <f t="shared" si="1"/>
        <v>65</v>
      </c>
      <c r="AE49" s="51">
        <f t="shared" si="7"/>
        <v>3065</v>
      </c>
    </row>
    <row r="50" spans="1:31">
      <c r="A50" s="60" t="str">
        <f t="shared" si="2"/>
        <v>K4202STindigo</v>
      </c>
      <c r="B50" s="60" t="str">
        <f t="shared" si="3"/>
        <v>03-066-16</v>
      </c>
      <c r="C50" s="72" t="s">
        <v>1089</v>
      </c>
      <c r="D50" s="72" t="s">
        <v>1090</v>
      </c>
      <c r="E50" s="72" t="s">
        <v>969</v>
      </c>
      <c r="F50" s="73">
        <v>57</v>
      </c>
      <c r="G50" s="73" t="s">
        <v>1091</v>
      </c>
      <c r="H50" s="72" t="s">
        <v>55</v>
      </c>
      <c r="I50" s="72" t="s">
        <v>910</v>
      </c>
      <c r="J50" s="72" t="s">
        <v>325</v>
      </c>
      <c r="K50" s="72" t="s">
        <v>382</v>
      </c>
      <c r="L50" s="72" t="s">
        <v>972</v>
      </c>
      <c r="M50" s="72" t="s">
        <v>384</v>
      </c>
      <c r="N50" s="72" t="s">
        <v>43</v>
      </c>
      <c r="O50" s="72" t="s">
        <v>386</v>
      </c>
      <c r="P50" s="72" t="s">
        <v>973</v>
      </c>
      <c r="Q50" s="72" t="s">
        <v>1092</v>
      </c>
      <c r="R50" s="72" t="s">
        <v>71</v>
      </c>
      <c r="V50" s="60" t="str">
        <f t="shared" si="4"/>
        <v>K4202STтемно-синий</v>
      </c>
      <c r="W50" s="60" t="str">
        <f t="shared" si="0"/>
        <v>K4202ST</v>
      </c>
      <c r="X50" s="60" t="str">
        <f t="shared" si="5"/>
        <v>Denim Stitch Bucket</v>
      </c>
      <c r="AC50" s="51">
        <f t="shared" si="6"/>
        <v>3</v>
      </c>
      <c r="AD50" s="44">
        <f t="shared" si="1"/>
        <v>66</v>
      </c>
      <c r="AE50" s="51">
        <f t="shared" si="7"/>
        <v>3066</v>
      </c>
    </row>
    <row r="51" spans="1:31">
      <c r="A51" s="60" t="str">
        <f t="shared" si="2"/>
        <v>K4202STindigo</v>
      </c>
      <c r="B51" s="60" t="str">
        <f t="shared" si="3"/>
        <v>03-066-16</v>
      </c>
      <c r="C51" s="72" t="s">
        <v>1093</v>
      </c>
      <c r="D51" s="72" t="s">
        <v>1090</v>
      </c>
      <c r="E51" s="72" t="s">
        <v>976</v>
      </c>
      <c r="F51" s="73">
        <v>59</v>
      </c>
      <c r="G51" s="73" t="s">
        <v>1091</v>
      </c>
      <c r="H51" s="72" t="s">
        <v>55</v>
      </c>
      <c r="I51" s="72" t="s">
        <v>910</v>
      </c>
      <c r="J51" s="72" t="s">
        <v>325</v>
      </c>
      <c r="K51" s="72" t="s">
        <v>382</v>
      </c>
      <c r="L51" s="72" t="s">
        <v>972</v>
      </c>
      <c r="M51" s="72" t="s">
        <v>384</v>
      </c>
      <c r="N51" s="72" t="s">
        <v>43</v>
      </c>
      <c r="O51" s="72" t="s">
        <v>386</v>
      </c>
      <c r="P51" s="72" t="s">
        <v>973</v>
      </c>
      <c r="Q51" s="72" t="s">
        <v>1092</v>
      </c>
      <c r="R51" s="72" t="s">
        <v>71</v>
      </c>
      <c r="V51" s="60" t="str">
        <f t="shared" si="4"/>
        <v>K4202STтемно-синий</v>
      </c>
      <c r="W51" s="60" t="str">
        <f t="shared" si="0"/>
        <v>K4202ST</v>
      </c>
      <c r="X51" s="60" t="str">
        <f t="shared" si="5"/>
        <v>Denim Stitch Bucket</v>
      </c>
      <c r="AC51" s="51">
        <f t="shared" si="6"/>
        <v>3</v>
      </c>
      <c r="AD51" s="44">
        <f t="shared" si="1"/>
        <v>66</v>
      </c>
      <c r="AE51" s="51">
        <f t="shared" si="7"/>
        <v>3066</v>
      </c>
    </row>
    <row r="52" spans="1:31">
      <c r="A52" s="60" t="str">
        <f t="shared" si="2"/>
        <v>K3156HTindigo wash</v>
      </c>
      <c r="B52" s="60" t="str">
        <f t="shared" si="3"/>
        <v>03-067-19</v>
      </c>
      <c r="C52" s="72" t="s">
        <v>1094</v>
      </c>
      <c r="D52" s="72" t="s">
        <v>1095</v>
      </c>
      <c r="E52" s="72" t="s">
        <v>1032</v>
      </c>
      <c r="F52" s="73">
        <v>55</v>
      </c>
      <c r="G52" s="73" t="s">
        <v>1096</v>
      </c>
      <c r="H52" s="72" t="s">
        <v>91</v>
      </c>
      <c r="I52" s="72" t="s">
        <v>1097</v>
      </c>
      <c r="J52" s="72" t="s">
        <v>320</v>
      </c>
      <c r="K52" s="72" t="s">
        <v>382</v>
      </c>
      <c r="L52" s="72" t="s">
        <v>981</v>
      </c>
      <c r="M52" s="72" t="s">
        <v>384</v>
      </c>
      <c r="N52" s="72" t="s">
        <v>43</v>
      </c>
      <c r="O52" s="72" t="s">
        <v>386</v>
      </c>
      <c r="P52" s="72" t="s">
        <v>808</v>
      </c>
      <c r="Q52" s="72" t="s">
        <v>1098</v>
      </c>
      <c r="R52" s="72" t="s">
        <v>91</v>
      </c>
      <c r="V52" s="60" t="str">
        <f t="shared" si="4"/>
        <v>K3156HTголубой</v>
      </c>
      <c r="W52" s="60" t="str">
        <f t="shared" si="0"/>
        <v>K3156HT</v>
      </c>
      <c r="X52" s="60" t="str">
        <f t="shared" si="5"/>
        <v>Indigo 507</v>
      </c>
      <c r="AC52" s="51">
        <f t="shared" si="6"/>
        <v>3</v>
      </c>
      <c r="AD52" s="44">
        <f t="shared" si="1"/>
        <v>67</v>
      </c>
      <c r="AE52" s="51">
        <f t="shared" si="7"/>
        <v>3067</v>
      </c>
    </row>
    <row r="53" spans="1:31">
      <c r="A53" s="60" t="str">
        <f t="shared" si="2"/>
        <v>K3156HTindigo wash</v>
      </c>
      <c r="B53" s="60" t="str">
        <f t="shared" si="3"/>
        <v>03-067-19</v>
      </c>
      <c r="C53" s="72" t="s">
        <v>1099</v>
      </c>
      <c r="D53" s="72" t="s">
        <v>1095</v>
      </c>
      <c r="E53" s="72" t="s">
        <v>969</v>
      </c>
      <c r="F53" s="73">
        <v>57</v>
      </c>
      <c r="G53" s="73" t="s">
        <v>1096</v>
      </c>
      <c r="H53" s="72" t="s">
        <v>91</v>
      </c>
      <c r="I53" s="72" t="s">
        <v>1097</v>
      </c>
      <c r="J53" s="72" t="s">
        <v>320</v>
      </c>
      <c r="K53" s="72" t="s">
        <v>382</v>
      </c>
      <c r="L53" s="72" t="s">
        <v>981</v>
      </c>
      <c r="M53" s="72" t="s">
        <v>384</v>
      </c>
      <c r="N53" s="72" t="s">
        <v>43</v>
      </c>
      <c r="O53" s="72" t="s">
        <v>386</v>
      </c>
      <c r="P53" s="72" t="s">
        <v>808</v>
      </c>
      <c r="Q53" s="72" t="s">
        <v>1098</v>
      </c>
      <c r="R53" s="72" t="s">
        <v>91</v>
      </c>
      <c r="V53" s="60" t="str">
        <f t="shared" si="4"/>
        <v>K3156HTголубой</v>
      </c>
      <c r="W53" s="60" t="str">
        <f t="shared" si="0"/>
        <v>K3156HT</v>
      </c>
      <c r="X53" s="60" t="str">
        <f t="shared" si="5"/>
        <v>Indigo 507</v>
      </c>
      <c r="AC53" s="51">
        <f t="shared" si="6"/>
        <v>3</v>
      </c>
      <c r="AD53" s="44">
        <f t="shared" si="1"/>
        <v>67</v>
      </c>
      <c r="AE53" s="51">
        <f t="shared" si="7"/>
        <v>3067</v>
      </c>
    </row>
    <row r="54" spans="1:31">
      <c r="A54" s="60" t="str">
        <f t="shared" si="2"/>
        <v>K3156HTindigo wash</v>
      </c>
      <c r="B54" s="60" t="str">
        <f t="shared" si="3"/>
        <v>03-067-19</v>
      </c>
      <c r="C54" s="72" t="s">
        <v>1100</v>
      </c>
      <c r="D54" s="72" t="s">
        <v>1095</v>
      </c>
      <c r="E54" s="72" t="s">
        <v>976</v>
      </c>
      <c r="F54" s="73">
        <v>59</v>
      </c>
      <c r="G54" s="73" t="s">
        <v>1096</v>
      </c>
      <c r="H54" s="72" t="s">
        <v>91</v>
      </c>
      <c r="I54" s="72" t="s">
        <v>1097</v>
      </c>
      <c r="J54" s="72" t="s">
        <v>320</v>
      </c>
      <c r="K54" s="72" t="s">
        <v>382</v>
      </c>
      <c r="L54" s="72" t="s">
        <v>981</v>
      </c>
      <c r="M54" s="72" t="s">
        <v>384</v>
      </c>
      <c r="N54" s="72" t="s">
        <v>43</v>
      </c>
      <c r="O54" s="72" t="s">
        <v>386</v>
      </c>
      <c r="P54" s="72" t="s">
        <v>808</v>
      </c>
      <c r="Q54" s="72" t="s">
        <v>1098</v>
      </c>
      <c r="R54" s="72" t="s">
        <v>91</v>
      </c>
      <c r="V54" s="60" t="str">
        <f t="shared" si="4"/>
        <v>K3156HTголубой</v>
      </c>
      <c r="W54" s="60" t="str">
        <f t="shared" si="0"/>
        <v>K3156HT</v>
      </c>
      <c r="X54" s="60" t="str">
        <f t="shared" si="5"/>
        <v>Indigo 507</v>
      </c>
      <c r="AC54" s="51">
        <f t="shared" si="6"/>
        <v>3</v>
      </c>
      <c r="AD54" s="44">
        <f t="shared" si="1"/>
        <v>67</v>
      </c>
      <c r="AE54" s="51">
        <f t="shared" si="7"/>
        <v>3067</v>
      </c>
    </row>
    <row r="55" spans="1:31">
      <c r="A55" s="60" t="str">
        <f t="shared" si="2"/>
        <v>K3156HTindigo wash</v>
      </c>
      <c r="B55" s="60" t="str">
        <f t="shared" si="3"/>
        <v>03-067-19</v>
      </c>
      <c r="C55" s="72" t="s">
        <v>1101</v>
      </c>
      <c r="D55" s="72" t="s">
        <v>1095</v>
      </c>
      <c r="E55" s="72" t="s">
        <v>1030</v>
      </c>
      <c r="F55" s="73">
        <v>61</v>
      </c>
      <c r="G55" s="73" t="s">
        <v>1096</v>
      </c>
      <c r="H55" s="72" t="s">
        <v>91</v>
      </c>
      <c r="I55" s="72" t="s">
        <v>1097</v>
      </c>
      <c r="J55" s="72" t="s">
        <v>320</v>
      </c>
      <c r="K55" s="72" t="s">
        <v>382</v>
      </c>
      <c r="L55" s="72" t="s">
        <v>981</v>
      </c>
      <c r="M55" s="72" t="s">
        <v>384</v>
      </c>
      <c r="N55" s="72" t="s">
        <v>43</v>
      </c>
      <c r="O55" s="72" t="s">
        <v>386</v>
      </c>
      <c r="P55" s="72" t="s">
        <v>808</v>
      </c>
      <c r="Q55" s="72" t="s">
        <v>1098</v>
      </c>
      <c r="R55" s="72" t="s">
        <v>91</v>
      </c>
      <c r="V55" s="60" t="str">
        <f t="shared" si="4"/>
        <v>K3156HTголубой</v>
      </c>
      <c r="W55" s="60" t="str">
        <f t="shared" si="0"/>
        <v>K3156HT</v>
      </c>
      <c r="X55" s="60" t="str">
        <f t="shared" si="5"/>
        <v>Indigo 507</v>
      </c>
      <c r="AC55" s="51">
        <f t="shared" si="6"/>
        <v>3</v>
      </c>
      <c r="AD55" s="44">
        <f t="shared" si="1"/>
        <v>67</v>
      </c>
      <c r="AE55" s="51">
        <f t="shared" si="7"/>
        <v>3067</v>
      </c>
    </row>
    <row r="56" spans="1:31">
      <c r="A56" s="60" t="str">
        <f t="shared" si="2"/>
        <v>0248HTdark blue</v>
      </c>
      <c r="B56" s="60" t="str">
        <f t="shared" si="3"/>
        <v>03-044-16</v>
      </c>
      <c r="C56" s="72" t="s">
        <v>1102</v>
      </c>
      <c r="D56" s="72" t="s">
        <v>1103</v>
      </c>
      <c r="E56" s="72" t="s">
        <v>1032</v>
      </c>
      <c r="F56" s="73">
        <v>55</v>
      </c>
      <c r="G56" s="73" t="s">
        <v>1104</v>
      </c>
      <c r="H56" s="72" t="s">
        <v>55</v>
      </c>
      <c r="I56" s="72" t="s">
        <v>1105</v>
      </c>
      <c r="J56" s="72" t="s">
        <v>334</v>
      </c>
      <c r="K56" s="72" t="s">
        <v>382</v>
      </c>
      <c r="L56" s="72" t="s">
        <v>988</v>
      </c>
      <c r="M56" s="72" t="s">
        <v>388</v>
      </c>
      <c r="N56" s="72" t="s">
        <v>44</v>
      </c>
      <c r="O56" s="72" t="s">
        <v>386</v>
      </c>
      <c r="P56" s="72" t="s">
        <v>808</v>
      </c>
      <c r="Q56" s="72" t="s">
        <v>1106</v>
      </c>
      <c r="R56" s="72" t="s">
        <v>71</v>
      </c>
      <c r="V56" s="60" t="str">
        <f t="shared" si="4"/>
        <v>0248HTтемно-синий</v>
      </c>
      <c r="W56" s="60" t="str">
        <f t="shared" si="0"/>
        <v>0248HT</v>
      </c>
      <c r="X56" s="60" t="str">
        <f t="shared" si="5"/>
        <v>Wool Monty</v>
      </c>
      <c r="AC56" s="51">
        <f t="shared" si="6"/>
        <v>3</v>
      </c>
      <c r="AD56" s="44">
        <f t="shared" si="1"/>
        <v>44</v>
      </c>
      <c r="AE56" s="51">
        <f t="shared" si="7"/>
        <v>3044</v>
      </c>
    </row>
    <row r="57" spans="1:31">
      <c r="A57" s="60" t="str">
        <f t="shared" si="2"/>
        <v>0248HTdark blue</v>
      </c>
      <c r="B57" s="60" t="str">
        <f t="shared" si="3"/>
        <v>03-044-16</v>
      </c>
      <c r="C57" s="72" t="s">
        <v>1107</v>
      </c>
      <c r="D57" s="72" t="s">
        <v>1103</v>
      </c>
      <c r="E57" s="72" t="s">
        <v>969</v>
      </c>
      <c r="F57" s="73">
        <v>57</v>
      </c>
      <c r="G57" s="73" t="s">
        <v>1104</v>
      </c>
      <c r="H57" s="72" t="s">
        <v>55</v>
      </c>
      <c r="I57" s="72" t="s">
        <v>1105</v>
      </c>
      <c r="J57" s="72" t="s">
        <v>334</v>
      </c>
      <c r="K57" s="72" t="s">
        <v>382</v>
      </c>
      <c r="L57" s="72" t="s">
        <v>988</v>
      </c>
      <c r="M57" s="72" t="s">
        <v>388</v>
      </c>
      <c r="N57" s="72" t="s">
        <v>44</v>
      </c>
      <c r="O57" s="72" t="s">
        <v>386</v>
      </c>
      <c r="P57" s="72" t="s">
        <v>808</v>
      </c>
      <c r="Q57" s="72" t="s">
        <v>1106</v>
      </c>
      <c r="R57" s="72" t="s">
        <v>71</v>
      </c>
      <c r="V57" s="60" t="str">
        <f t="shared" si="4"/>
        <v>0248HTтемно-синий</v>
      </c>
      <c r="W57" s="60" t="str">
        <f t="shared" si="0"/>
        <v>0248HT</v>
      </c>
      <c r="X57" s="60" t="str">
        <f t="shared" si="5"/>
        <v>Wool Monty</v>
      </c>
      <c r="AC57" s="51">
        <f t="shared" si="6"/>
        <v>3</v>
      </c>
      <c r="AD57" s="44">
        <f t="shared" si="1"/>
        <v>44</v>
      </c>
      <c r="AE57" s="51">
        <f t="shared" si="7"/>
        <v>3044</v>
      </c>
    </row>
    <row r="58" spans="1:31">
      <c r="A58" s="60" t="str">
        <f t="shared" si="2"/>
        <v>0248HTdark blue</v>
      </c>
      <c r="B58" s="60" t="str">
        <f t="shared" si="3"/>
        <v>03-044-16</v>
      </c>
      <c r="C58" s="72" t="s">
        <v>1108</v>
      </c>
      <c r="D58" s="72" t="s">
        <v>1103</v>
      </c>
      <c r="E58" s="72" t="s">
        <v>976</v>
      </c>
      <c r="F58" s="73">
        <v>59</v>
      </c>
      <c r="G58" s="73" t="s">
        <v>1104</v>
      </c>
      <c r="H58" s="72" t="s">
        <v>55</v>
      </c>
      <c r="I58" s="72" t="s">
        <v>1105</v>
      </c>
      <c r="J58" s="72" t="s">
        <v>334</v>
      </c>
      <c r="K58" s="72" t="s">
        <v>382</v>
      </c>
      <c r="L58" s="72" t="s">
        <v>988</v>
      </c>
      <c r="M58" s="72" t="s">
        <v>388</v>
      </c>
      <c r="N58" s="72" t="s">
        <v>44</v>
      </c>
      <c r="O58" s="72" t="s">
        <v>386</v>
      </c>
      <c r="P58" s="72" t="s">
        <v>808</v>
      </c>
      <c r="Q58" s="72" t="s">
        <v>1106</v>
      </c>
      <c r="R58" s="72" t="s">
        <v>71</v>
      </c>
      <c r="V58" s="60" t="str">
        <f t="shared" si="4"/>
        <v>0248HTтемно-синий</v>
      </c>
      <c r="W58" s="60" t="str">
        <f t="shared" si="0"/>
        <v>0248HT</v>
      </c>
      <c r="X58" s="60" t="str">
        <f t="shared" si="5"/>
        <v>Wool Monty</v>
      </c>
      <c r="AC58" s="51">
        <f t="shared" si="6"/>
        <v>3</v>
      </c>
      <c r="AD58" s="44">
        <f t="shared" si="1"/>
        <v>44</v>
      </c>
      <c r="AE58" s="51">
        <f t="shared" si="7"/>
        <v>3044</v>
      </c>
    </row>
    <row r="59" spans="1:31">
      <c r="A59" s="60" t="str">
        <f t="shared" si="2"/>
        <v>0248HTdark blue</v>
      </c>
      <c r="B59" s="60" t="str">
        <f t="shared" si="3"/>
        <v>03-044-16</v>
      </c>
      <c r="C59" s="72" t="s">
        <v>1109</v>
      </c>
      <c r="D59" s="72" t="s">
        <v>1103</v>
      </c>
      <c r="E59" s="72" t="s">
        <v>1030</v>
      </c>
      <c r="F59" s="73">
        <v>61</v>
      </c>
      <c r="G59" s="73" t="s">
        <v>1104</v>
      </c>
      <c r="H59" s="72" t="s">
        <v>55</v>
      </c>
      <c r="I59" s="72" t="s">
        <v>1105</v>
      </c>
      <c r="J59" s="72" t="s">
        <v>334</v>
      </c>
      <c r="K59" s="72" t="s">
        <v>382</v>
      </c>
      <c r="L59" s="72" t="s">
        <v>988</v>
      </c>
      <c r="M59" s="72" t="s">
        <v>388</v>
      </c>
      <c r="N59" s="72" t="s">
        <v>44</v>
      </c>
      <c r="O59" s="72" t="s">
        <v>386</v>
      </c>
      <c r="P59" s="72" t="s">
        <v>808</v>
      </c>
      <c r="Q59" s="72" t="s">
        <v>1106</v>
      </c>
      <c r="R59" s="72" t="s">
        <v>71</v>
      </c>
      <c r="V59" s="60" t="str">
        <f t="shared" si="4"/>
        <v>0248HTтемно-синий</v>
      </c>
      <c r="W59" s="60" t="str">
        <f t="shared" si="0"/>
        <v>0248HT</v>
      </c>
      <c r="X59" s="60" t="str">
        <f t="shared" si="5"/>
        <v>Wool Monty</v>
      </c>
      <c r="AC59" s="51">
        <f t="shared" si="6"/>
        <v>3</v>
      </c>
      <c r="AD59" s="44">
        <f t="shared" si="1"/>
        <v>44</v>
      </c>
      <c r="AE59" s="51">
        <f t="shared" si="7"/>
        <v>3044</v>
      </c>
    </row>
    <row r="60" spans="1:31">
      <c r="A60" s="60" t="str">
        <f t="shared" si="2"/>
        <v>0248HTforrester</v>
      </c>
      <c r="B60" s="60" t="str">
        <f t="shared" si="3"/>
        <v>03-044-11</v>
      </c>
      <c r="C60" s="72" t="s">
        <v>1110</v>
      </c>
      <c r="D60" s="72" t="s">
        <v>1111</v>
      </c>
      <c r="E60" s="72" t="s">
        <v>976</v>
      </c>
      <c r="F60" s="73">
        <v>59</v>
      </c>
      <c r="G60" s="73" t="s">
        <v>1104</v>
      </c>
      <c r="H60" s="72" t="s">
        <v>60</v>
      </c>
      <c r="I60" s="72" t="s">
        <v>1105</v>
      </c>
      <c r="J60" s="72" t="s">
        <v>334</v>
      </c>
      <c r="K60" s="72" t="s">
        <v>382</v>
      </c>
      <c r="L60" s="72" t="s">
        <v>988</v>
      </c>
      <c r="M60" s="72" t="s">
        <v>388</v>
      </c>
      <c r="N60" s="72" t="s">
        <v>44</v>
      </c>
      <c r="O60" s="72" t="s">
        <v>386</v>
      </c>
      <c r="P60" s="72" t="s">
        <v>973</v>
      </c>
      <c r="Q60" s="72" t="s">
        <v>1112</v>
      </c>
      <c r="R60" s="72" t="s">
        <v>60</v>
      </c>
      <c r="V60" s="60" t="str">
        <f t="shared" si="4"/>
        <v>0248HTзеленый</v>
      </c>
      <c r="W60" s="60" t="str">
        <f t="shared" si="0"/>
        <v>0248HT</v>
      </c>
      <c r="X60" s="60" t="str">
        <f t="shared" si="5"/>
        <v>Wool Monty</v>
      </c>
      <c r="AC60" s="51">
        <f t="shared" si="6"/>
        <v>3</v>
      </c>
      <c r="AD60" s="44">
        <f t="shared" si="1"/>
        <v>44</v>
      </c>
      <c r="AE60" s="51">
        <f t="shared" si="7"/>
        <v>3044</v>
      </c>
    </row>
    <row r="61" spans="1:31">
      <c r="A61" s="60" t="str">
        <f t="shared" si="2"/>
        <v>0248HTforrester</v>
      </c>
      <c r="B61" s="60" t="str">
        <f t="shared" si="3"/>
        <v>03-044-11</v>
      </c>
      <c r="C61" s="72" t="s">
        <v>1113</v>
      </c>
      <c r="D61" s="72" t="s">
        <v>1111</v>
      </c>
      <c r="E61" s="72" t="s">
        <v>969</v>
      </c>
      <c r="F61" s="73">
        <v>57</v>
      </c>
      <c r="G61" s="73" t="s">
        <v>1104</v>
      </c>
      <c r="H61" s="72" t="s">
        <v>60</v>
      </c>
      <c r="I61" s="72" t="s">
        <v>1105</v>
      </c>
      <c r="J61" s="72" t="s">
        <v>334</v>
      </c>
      <c r="K61" s="72" t="s">
        <v>382</v>
      </c>
      <c r="L61" s="72" t="s">
        <v>988</v>
      </c>
      <c r="M61" s="72" t="s">
        <v>388</v>
      </c>
      <c r="N61" s="72" t="s">
        <v>44</v>
      </c>
      <c r="O61" s="72" t="s">
        <v>386</v>
      </c>
      <c r="P61" s="72" t="s">
        <v>973</v>
      </c>
      <c r="Q61" s="72" t="s">
        <v>1112</v>
      </c>
      <c r="R61" s="72" t="s">
        <v>60</v>
      </c>
      <c r="V61" s="60" t="str">
        <f t="shared" si="4"/>
        <v>0248HTзеленый</v>
      </c>
      <c r="W61" s="60" t="str">
        <f t="shared" si="0"/>
        <v>0248HT</v>
      </c>
      <c r="X61" s="60" t="str">
        <f t="shared" si="5"/>
        <v>Wool Monty</v>
      </c>
      <c r="AC61" s="51">
        <f t="shared" si="6"/>
        <v>3</v>
      </c>
      <c r="AD61" s="44">
        <f t="shared" si="1"/>
        <v>44</v>
      </c>
      <c r="AE61" s="51">
        <f t="shared" si="7"/>
        <v>3044</v>
      </c>
    </row>
    <row r="62" spans="1:31">
      <c r="A62" s="60" t="str">
        <f t="shared" si="2"/>
        <v>0248HTforrester</v>
      </c>
      <c r="B62" s="60" t="str">
        <f t="shared" si="3"/>
        <v>03-044-11</v>
      </c>
      <c r="C62" s="72" t="s">
        <v>1114</v>
      </c>
      <c r="D62" s="72" t="s">
        <v>1111</v>
      </c>
      <c r="E62" s="72" t="s">
        <v>1032</v>
      </c>
      <c r="F62" s="73">
        <v>55</v>
      </c>
      <c r="G62" s="73" t="s">
        <v>1104</v>
      </c>
      <c r="H62" s="72" t="s">
        <v>60</v>
      </c>
      <c r="I62" s="72" t="s">
        <v>1105</v>
      </c>
      <c r="J62" s="72" t="s">
        <v>334</v>
      </c>
      <c r="K62" s="72" t="s">
        <v>382</v>
      </c>
      <c r="L62" s="72" t="s">
        <v>988</v>
      </c>
      <c r="M62" s="72" t="s">
        <v>388</v>
      </c>
      <c r="N62" s="72" t="s">
        <v>44</v>
      </c>
      <c r="O62" s="72" t="s">
        <v>386</v>
      </c>
      <c r="P62" s="72" t="s">
        <v>973</v>
      </c>
      <c r="Q62" s="72" t="s">
        <v>1112</v>
      </c>
      <c r="R62" s="72" t="s">
        <v>60</v>
      </c>
      <c r="V62" s="60" t="str">
        <f t="shared" si="4"/>
        <v>0248HTзеленый</v>
      </c>
      <c r="W62" s="60" t="str">
        <f t="shared" si="0"/>
        <v>0248HT</v>
      </c>
      <c r="X62" s="60" t="str">
        <f t="shared" si="5"/>
        <v>Wool Monty</v>
      </c>
      <c r="AC62" s="51">
        <f t="shared" si="6"/>
        <v>3</v>
      </c>
      <c r="AD62" s="44">
        <f t="shared" si="1"/>
        <v>44</v>
      </c>
      <c r="AE62" s="51">
        <f t="shared" si="7"/>
        <v>3044</v>
      </c>
    </row>
    <row r="63" spans="1:31">
      <c r="A63" s="60" t="str">
        <f t="shared" si="2"/>
        <v>0248HTforrester</v>
      </c>
      <c r="B63" s="60" t="str">
        <f t="shared" si="3"/>
        <v>03-044-11</v>
      </c>
      <c r="C63" s="72" t="s">
        <v>1115</v>
      </c>
      <c r="D63" s="72" t="s">
        <v>1111</v>
      </c>
      <c r="E63" s="72" t="s">
        <v>1030</v>
      </c>
      <c r="F63" s="73">
        <v>61</v>
      </c>
      <c r="G63" s="73" t="s">
        <v>1104</v>
      </c>
      <c r="H63" s="72" t="s">
        <v>60</v>
      </c>
      <c r="I63" s="72" t="s">
        <v>1105</v>
      </c>
      <c r="J63" s="72" t="s">
        <v>334</v>
      </c>
      <c r="K63" s="72" t="s">
        <v>382</v>
      </c>
      <c r="L63" s="72" t="s">
        <v>988</v>
      </c>
      <c r="M63" s="72" t="s">
        <v>388</v>
      </c>
      <c r="N63" s="72" t="s">
        <v>44</v>
      </c>
      <c r="O63" s="72" t="s">
        <v>386</v>
      </c>
      <c r="P63" s="72" t="s">
        <v>973</v>
      </c>
      <c r="Q63" s="72" t="s">
        <v>1112</v>
      </c>
      <c r="R63" s="72" t="s">
        <v>60</v>
      </c>
      <c r="V63" s="60" t="str">
        <f t="shared" si="4"/>
        <v>0248HTзеленый</v>
      </c>
      <c r="W63" s="60" t="str">
        <f t="shared" si="0"/>
        <v>0248HT</v>
      </c>
      <c r="X63" s="60" t="str">
        <f t="shared" si="5"/>
        <v>Wool Monty</v>
      </c>
      <c r="AC63" s="51">
        <f t="shared" si="6"/>
        <v>3</v>
      </c>
      <c r="AD63" s="44">
        <f t="shared" si="1"/>
        <v>44</v>
      </c>
      <c r="AE63" s="51">
        <f t="shared" si="7"/>
        <v>3044</v>
      </c>
    </row>
    <row r="64" spans="1:31">
      <c r="A64" s="60" t="str">
        <f t="shared" si="2"/>
        <v>0258BCflannel</v>
      </c>
      <c r="B64" s="60" t="str">
        <f t="shared" si="3"/>
        <v>03-002-08</v>
      </c>
      <c r="C64" s="72" t="s">
        <v>1116</v>
      </c>
      <c r="D64" s="72" t="s">
        <v>1117</v>
      </c>
      <c r="E64" s="72" t="s">
        <v>1032</v>
      </c>
      <c r="F64" s="73">
        <v>55</v>
      </c>
      <c r="G64" s="73" t="s">
        <v>1118</v>
      </c>
      <c r="H64" s="72" t="s">
        <v>83</v>
      </c>
      <c r="I64" s="72" t="s">
        <v>1105</v>
      </c>
      <c r="J64" s="72" t="s">
        <v>320</v>
      </c>
      <c r="K64" s="72" t="s">
        <v>382</v>
      </c>
      <c r="L64" s="72" t="s">
        <v>988</v>
      </c>
      <c r="M64" s="72" t="s">
        <v>388</v>
      </c>
      <c r="N64" s="72" t="s">
        <v>44</v>
      </c>
      <c r="O64" s="72" t="s">
        <v>539</v>
      </c>
      <c r="P64" s="72" t="s">
        <v>973</v>
      </c>
      <c r="Q64" s="72" t="s">
        <v>1119</v>
      </c>
      <c r="R64" s="72" t="s">
        <v>83</v>
      </c>
      <c r="V64" s="60" t="str">
        <f t="shared" si="4"/>
        <v>0258BCсерый</v>
      </c>
      <c r="W64" s="60" t="str">
        <f t="shared" si="0"/>
        <v>0258BC</v>
      </c>
      <c r="X64" s="60" t="str">
        <f t="shared" si="5"/>
        <v>Wool 504</v>
      </c>
      <c r="AC64" s="51">
        <f t="shared" si="6"/>
        <v>3</v>
      </c>
      <c r="AD64" s="44">
        <f t="shared" si="1"/>
        <v>2</v>
      </c>
      <c r="AE64" s="51">
        <f t="shared" si="7"/>
        <v>3002</v>
      </c>
    </row>
    <row r="65" spans="1:31">
      <c r="A65" s="60" t="str">
        <f t="shared" si="2"/>
        <v>0258BCflannel</v>
      </c>
      <c r="B65" s="60" t="str">
        <f t="shared" si="3"/>
        <v>03-002-08</v>
      </c>
      <c r="C65" s="72" t="s">
        <v>1120</v>
      </c>
      <c r="D65" s="72" t="s">
        <v>1117</v>
      </c>
      <c r="E65" s="72" t="s">
        <v>969</v>
      </c>
      <c r="F65" s="73">
        <v>57</v>
      </c>
      <c r="G65" s="73" t="s">
        <v>1118</v>
      </c>
      <c r="H65" s="72" t="s">
        <v>83</v>
      </c>
      <c r="I65" s="72" t="s">
        <v>1105</v>
      </c>
      <c r="J65" s="72" t="s">
        <v>320</v>
      </c>
      <c r="K65" s="72" t="s">
        <v>382</v>
      </c>
      <c r="L65" s="72" t="s">
        <v>988</v>
      </c>
      <c r="M65" s="72" t="s">
        <v>388</v>
      </c>
      <c r="N65" s="72" t="s">
        <v>44</v>
      </c>
      <c r="O65" s="72" t="s">
        <v>539</v>
      </c>
      <c r="P65" s="72" t="s">
        <v>973</v>
      </c>
      <c r="Q65" s="72" t="s">
        <v>1119</v>
      </c>
      <c r="R65" s="72" t="s">
        <v>83</v>
      </c>
      <c r="V65" s="60" t="str">
        <f t="shared" si="4"/>
        <v>0258BCсерый</v>
      </c>
      <c r="W65" s="60" t="str">
        <f t="shared" si="0"/>
        <v>0258BC</v>
      </c>
      <c r="X65" s="60" t="str">
        <f t="shared" si="5"/>
        <v>Wool 504</v>
      </c>
      <c r="AC65" s="51">
        <f t="shared" si="6"/>
        <v>3</v>
      </c>
      <c r="AD65" s="44">
        <f t="shared" si="1"/>
        <v>2</v>
      </c>
      <c r="AE65" s="51">
        <f t="shared" si="7"/>
        <v>3002</v>
      </c>
    </row>
    <row r="66" spans="1:31">
      <c r="A66" s="60" t="str">
        <f t="shared" si="2"/>
        <v>0258BCflannel</v>
      </c>
      <c r="B66" s="60" t="str">
        <f t="shared" si="3"/>
        <v>03-002-08</v>
      </c>
      <c r="C66" s="72" t="s">
        <v>1121</v>
      </c>
      <c r="D66" s="72" t="s">
        <v>1117</v>
      </c>
      <c r="E66" s="72" t="s">
        <v>976</v>
      </c>
      <c r="F66" s="73">
        <v>59</v>
      </c>
      <c r="G66" s="73" t="s">
        <v>1118</v>
      </c>
      <c r="H66" s="72" t="s">
        <v>83</v>
      </c>
      <c r="I66" s="72" t="s">
        <v>1105</v>
      </c>
      <c r="J66" s="72" t="s">
        <v>320</v>
      </c>
      <c r="K66" s="72" t="s">
        <v>382</v>
      </c>
      <c r="L66" s="72" t="s">
        <v>988</v>
      </c>
      <c r="M66" s="72" t="s">
        <v>388</v>
      </c>
      <c r="N66" s="72" t="s">
        <v>44</v>
      </c>
      <c r="O66" s="72" t="s">
        <v>539</v>
      </c>
      <c r="P66" s="72" t="s">
        <v>973</v>
      </c>
      <c r="Q66" s="72" t="s">
        <v>1119</v>
      </c>
      <c r="R66" s="72" t="s">
        <v>83</v>
      </c>
      <c r="V66" s="60" t="str">
        <f t="shared" si="4"/>
        <v>0258BCсерый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0258BC</v>
      </c>
      <c r="X66" s="60" t="str">
        <f t="shared" si="5"/>
        <v>Wool 504</v>
      </c>
      <c r="AC66" s="51">
        <f t="shared" si="6"/>
        <v>3</v>
      </c>
      <c r="AD66" s="44">
        <f t="shared" si="1"/>
        <v>2</v>
      </c>
      <c r="AE66" s="51">
        <f t="shared" si="7"/>
        <v>3002</v>
      </c>
    </row>
    <row r="67" spans="1:31">
      <c r="A67" s="60" t="str">
        <f t="shared" ref="A67:A130" si="9">IF(G67&amp;Q67&lt;&gt;"",W67&amp;Q67,"")</f>
        <v>0258BCflannel</v>
      </c>
      <c r="B67" s="60" t="str">
        <f t="shared" ref="B67:B130" si="10">IF(C67&lt;&gt;"",LEFT(C67,9),"")</f>
        <v>03-002-08</v>
      </c>
      <c r="C67" s="72" t="s">
        <v>1122</v>
      </c>
      <c r="D67" s="72" t="s">
        <v>1117</v>
      </c>
      <c r="E67" s="72" t="s">
        <v>1030</v>
      </c>
      <c r="F67" s="73">
        <v>61</v>
      </c>
      <c r="G67" s="73" t="s">
        <v>1118</v>
      </c>
      <c r="H67" s="72" t="s">
        <v>83</v>
      </c>
      <c r="I67" s="72" t="s">
        <v>1105</v>
      </c>
      <c r="J67" s="72" t="s">
        <v>320</v>
      </c>
      <c r="K67" s="72" t="s">
        <v>382</v>
      </c>
      <c r="L67" s="72" t="s">
        <v>988</v>
      </c>
      <c r="M67" s="72" t="s">
        <v>388</v>
      </c>
      <c r="N67" s="72" t="s">
        <v>44</v>
      </c>
      <c r="O67" s="72" t="s">
        <v>539</v>
      </c>
      <c r="P67" s="72" t="s">
        <v>973</v>
      </c>
      <c r="Q67" s="72" t="s">
        <v>1119</v>
      </c>
      <c r="R67" s="72" t="s">
        <v>83</v>
      </c>
      <c r="V67" s="60" t="str">
        <f t="shared" ref="V67:V130" si="11">W67&amp;H67</f>
        <v>0258BCсерый</v>
      </c>
      <c r="W67" s="60" t="str">
        <f t="shared" si="8"/>
        <v>0258BC</v>
      </c>
      <c r="X67" s="60" t="str">
        <f t="shared" ref="X67:X130" si="12">IF(A67&lt;&gt;"",IFERROR(IF(FIND(" ",G67)&gt;=1,MID(G67,FIND(" ",G67)+1,LEN(G67)),""),""),"")</f>
        <v>Wool 504</v>
      </c>
      <c r="AC67" s="51">
        <f t="shared" ref="AC67:AC130" si="13">IFERROR(VALUE(MID($C67,1,2)),0)</f>
        <v>3</v>
      </c>
      <c r="AD67" s="44">
        <f t="shared" ref="AD67:AD130" si="14">IFERROR(VALUE(MID($C67,4,3)),0)</f>
        <v>2</v>
      </c>
      <c r="AE67" s="51">
        <f t="shared" ref="AE67:AE130" si="15">VALUE(RIGHT("00"&amp;AC67,2)&amp;RIGHT("000"&amp;AD67,3))</f>
        <v>3002</v>
      </c>
    </row>
    <row r="68" spans="1:31">
      <c r="A68" s="60" t="str">
        <f t="shared" si="9"/>
        <v>0258BCultramarine</v>
      </c>
      <c r="B68" s="60" t="str">
        <f t="shared" si="10"/>
        <v>03-002-88</v>
      </c>
      <c r="C68" s="72" t="s">
        <v>1123</v>
      </c>
      <c r="D68" s="72" t="s">
        <v>1124</v>
      </c>
      <c r="E68" s="72" t="s">
        <v>1032</v>
      </c>
      <c r="F68" s="73">
        <v>55</v>
      </c>
      <c r="G68" s="73" t="s">
        <v>1118</v>
      </c>
      <c r="H68" s="72" t="s">
        <v>71</v>
      </c>
      <c r="I68" s="72" t="s">
        <v>1105</v>
      </c>
      <c r="J68" s="72" t="s">
        <v>320</v>
      </c>
      <c r="K68" s="72" t="s">
        <v>382</v>
      </c>
      <c r="L68" s="72" t="s">
        <v>988</v>
      </c>
      <c r="M68" s="72" t="s">
        <v>388</v>
      </c>
      <c r="N68" s="72" t="s">
        <v>44</v>
      </c>
      <c r="O68" s="72" t="s">
        <v>386</v>
      </c>
      <c r="P68" s="72" t="s">
        <v>973</v>
      </c>
      <c r="Q68" s="72" t="s">
        <v>1125</v>
      </c>
      <c r="R68" s="72" t="s">
        <v>71</v>
      </c>
      <c r="V68" s="60" t="str">
        <f t="shared" si="11"/>
        <v>0258BCсиний</v>
      </c>
      <c r="W68" s="60" t="str">
        <f t="shared" si="8"/>
        <v>0258BC</v>
      </c>
      <c r="X68" s="60" t="str">
        <f t="shared" si="12"/>
        <v>Wool 504</v>
      </c>
      <c r="AC68" s="51">
        <f t="shared" si="13"/>
        <v>3</v>
      </c>
      <c r="AD68" s="44">
        <f t="shared" si="14"/>
        <v>2</v>
      </c>
      <c r="AE68" s="51">
        <f t="shared" si="15"/>
        <v>3002</v>
      </c>
    </row>
    <row r="69" spans="1:31">
      <c r="A69" s="60" t="str">
        <f t="shared" si="9"/>
        <v>0258BCultramarine</v>
      </c>
      <c r="B69" s="60" t="str">
        <f t="shared" si="10"/>
        <v>03-002-88</v>
      </c>
      <c r="C69" s="72" t="s">
        <v>1126</v>
      </c>
      <c r="D69" s="72" t="s">
        <v>1124</v>
      </c>
      <c r="E69" s="72" t="s">
        <v>969</v>
      </c>
      <c r="F69" s="73">
        <v>57</v>
      </c>
      <c r="G69" s="73" t="s">
        <v>1118</v>
      </c>
      <c r="H69" s="72" t="s">
        <v>71</v>
      </c>
      <c r="I69" s="72" t="s">
        <v>1105</v>
      </c>
      <c r="J69" s="72" t="s">
        <v>320</v>
      </c>
      <c r="K69" s="72" t="s">
        <v>382</v>
      </c>
      <c r="L69" s="72" t="s">
        <v>988</v>
      </c>
      <c r="M69" s="72" t="s">
        <v>388</v>
      </c>
      <c r="N69" s="72" t="s">
        <v>44</v>
      </c>
      <c r="O69" s="72" t="s">
        <v>386</v>
      </c>
      <c r="P69" s="72" t="s">
        <v>973</v>
      </c>
      <c r="Q69" s="72" t="s">
        <v>1125</v>
      </c>
      <c r="R69" s="72" t="s">
        <v>71</v>
      </c>
      <c r="V69" s="60" t="str">
        <f t="shared" si="11"/>
        <v>0258BCсиний</v>
      </c>
      <c r="W69" s="60" t="str">
        <f t="shared" si="8"/>
        <v>0258BC</v>
      </c>
      <c r="X69" s="60" t="str">
        <f t="shared" si="12"/>
        <v>Wool 504</v>
      </c>
      <c r="AC69" s="51">
        <f t="shared" si="13"/>
        <v>3</v>
      </c>
      <c r="AD69" s="44">
        <f t="shared" si="14"/>
        <v>2</v>
      </c>
      <c r="AE69" s="51">
        <f t="shared" si="15"/>
        <v>3002</v>
      </c>
    </row>
    <row r="70" spans="1:31">
      <c r="A70" s="60" t="str">
        <f t="shared" si="9"/>
        <v>0258BCultramarine</v>
      </c>
      <c r="B70" s="60" t="str">
        <f t="shared" si="10"/>
        <v>03-002-88</v>
      </c>
      <c r="C70" s="72" t="s">
        <v>1127</v>
      </c>
      <c r="D70" s="72" t="s">
        <v>1124</v>
      </c>
      <c r="E70" s="72" t="s">
        <v>976</v>
      </c>
      <c r="F70" s="73">
        <v>59</v>
      </c>
      <c r="G70" s="73" t="s">
        <v>1118</v>
      </c>
      <c r="H70" s="72" t="s">
        <v>71</v>
      </c>
      <c r="I70" s="72" t="s">
        <v>1105</v>
      </c>
      <c r="J70" s="72" t="s">
        <v>320</v>
      </c>
      <c r="K70" s="72" t="s">
        <v>382</v>
      </c>
      <c r="L70" s="72" t="s">
        <v>988</v>
      </c>
      <c r="M70" s="72" t="s">
        <v>388</v>
      </c>
      <c r="N70" s="72" t="s">
        <v>44</v>
      </c>
      <c r="O70" s="72" t="s">
        <v>386</v>
      </c>
      <c r="P70" s="72" t="s">
        <v>973</v>
      </c>
      <c r="Q70" s="72" t="s">
        <v>1125</v>
      </c>
      <c r="R70" s="72" t="s">
        <v>71</v>
      </c>
      <c r="V70" s="60" t="str">
        <f t="shared" si="11"/>
        <v>0258BCсиний</v>
      </c>
      <c r="W70" s="60" t="str">
        <f t="shared" si="8"/>
        <v>0258BC</v>
      </c>
      <c r="X70" s="60" t="str">
        <f t="shared" si="12"/>
        <v>Wool 504</v>
      </c>
      <c r="AC70" s="51">
        <f t="shared" si="13"/>
        <v>3</v>
      </c>
      <c r="AD70" s="44">
        <f t="shared" si="14"/>
        <v>2</v>
      </c>
      <c r="AE70" s="51">
        <f t="shared" si="15"/>
        <v>3002</v>
      </c>
    </row>
    <row r="71" spans="1:31">
      <c r="A71" s="60" t="str">
        <f t="shared" si="9"/>
        <v>0258BCultramarine</v>
      </c>
      <c r="B71" s="60" t="str">
        <f t="shared" si="10"/>
        <v>03-002-88</v>
      </c>
      <c r="C71" s="72" t="s">
        <v>1128</v>
      </c>
      <c r="D71" s="72" t="s">
        <v>1124</v>
      </c>
      <c r="E71" s="72" t="s">
        <v>1030</v>
      </c>
      <c r="F71" s="73">
        <v>61</v>
      </c>
      <c r="G71" s="73" t="s">
        <v>1118</v>
      </c>
      <c r="H71" s="72" t="s">
        <v>71</v>
      </c>
      <c r="I71" s="72" t="s">
        <v>1105</v>
      </c>
      <c r="J71" s="72" t="s">
        <v>320</v>
      </c>
      <c r="K71" s="72" t="s">
        <v>382</v>
      </c>
      <c r="L71" s="72" t="s">
        <v>988</v>
      </c>
      <c r="M71" s="72" t="s">
        <v>388</v>
      </c>
      <c r="N71" s="72" t="s">
        <v>44</v>
      </c>
      <c r="O71" s="72" t="s">
        <v>386</v>
      </c>
      <c r="P71" s="72" t="s">
        <v>973</v>
      </c>
      <c r="Q71" s="72" t="s">
        <v>1125</v>
      </c>
      <c r="R71" s="72" t="s">
        <v>71</v>
      </c>
      <c r="V71" s="60" t="str">
        <f t="shared" si="11"/>
        <v>0258BCсиний</v>
      </c>
      <c r="W71" s="60" t="str">
        <f t="shared" si="8"/>
        <v>0258BC</v>
      </c>
      <c r="X71" s="60" t="str">
        <f t="shared" si="12"/>
        <v>Wool 504</v>
      </c>
      <c r="AC71" s="51">
        <f t="shared" si="13"/>
        <v>3</v>
      </c>
      <c r="AD71" s="44">
        <f t="shared" si="14"/>
        <v>2</v>
      </c>
      <c r="AE71" s="51">
        <f t="shared" si="15"/>
        <v>3002</v>
      </c>
    </row>
    <row r="72" spans="1:31">
      <c r="A72" s="60" t="str">
        <f t="shared" si="9"/>
        <v>K0875FAultramarine</v>
      </c>
      <c r="B72" s="60" t="str">
        <f t="shared" si="10"/>
        <v>03-008-06</v>
      </c>
      <c r="C72" s="72" t="s">
        <v>1129</v>
      </c>
      <c r="D72" s="72" t="s">
        <v>1130</v>
      </c>
      <c r="E72" s="72" t="s">
        <v>969</v>
      </c>
      <c r="F72" s="73">
        <v>57</v>
      </c>
      <c r="G72" s="73" t="s">
        <v>1131</v>
      </c>
      <c r="H72" s="72" t="s">
        <v>71</v>
      </c>
      <c r="I72" s="72" t="s">
        <v>1132</v>
      </c>
      <c r="J72" s="72" t="s">
        <v>320</v>
      </c>
      <c r="K72" s="72" t="s">
        <v>382</v>
      </c>
      <c r="L72" s="72" t="s">
        <v>988</v>
      </c>
      <c r="M72" s="72" t="s">
        <v>388</v>
      </c>
      <c r="N72" s="72" t="s">
        <v>44</v>
      </c>
      <c r="O72" s="72" t="s">
        <v>539</v>
      </c>
      <c r="P72" s="72" t="s">
        <v>973</v>
      </c>
      <c r="Q72" s="72" t="s">
        <v>1125</v>
      </c>
      <c r="R72" s="72" t="s">
        <v>71</v>
      </c>
      <c r="V72" s="60" t="str">
        <f t="shared" si="11"/>
        <v>K0875FAсиний</v>
      </c>
      <c r="W72" s="60" t="str">
        <f t="shared" si="8"/>
        <v>K0875FA</v>
      </c>
      <c r="X72" s="60" t="str">
        <f t="shared" si="12"/>
        <v>Seamless Wool 507</v>
      </c>
      <c r="AC72" s="51">
        <f t="shared" si="13"/>
        <v>3</v>
      </c>
      <c r="AD72" s="44">
        <f t="shared" si="14"/>
        <v>8</v>
      </c>
      <c r="AE72" s="51">
        <f t="shared" si="15"/>
        <v>3008</v>
      </c>
    </row>
    <row r="73" spans="1:31">
      <c r="A73" s="60" t="str">
        <f t="shared" si="9"/>
        <v>K0875FAultramarine</v>
      </c>
      <c r="B73" s="60" t="str">
        <f t="shared" si="10"/>
        <v>03-008-06</v>
      </c>
      <c r="C73" s="72" t="s">
        <v>1133</v>
      </c>
      <c r="D73" s="72" t="s">
        <v>1130</v>
      </c>
      <c r="E73" s="72" t="s">
        <v>976</v>
      </c>
      <c r="F73" s="73">
        <v>59</v>
      </c>
      <c r="G73" s="73" t="s">
        <v>1131</v>
      </c>
      <c r="H73" s="72" t="s">
        <v>71</v>
      </c>
      <c r="I73" s="72" t="s">
        <v>1132</v>
      </c>
      <c r="J73" s="72" t="s">
        <v>320</v>
      </c>
      <c r="K73" s="72" t="s">
        <v>382</v>
      </c>
      <c r="L73" s="72" t="s">
        <v>988</v>
      </c>
      <c r="M73" s="72" t="s">
        <v>388</v>
      </c>
      <c r="N73" s="72" t="s">
        <v>44</v>
      </c>
      <c r="O73" s="72" t="s">
        <v>539</v>
      </c>
      <c r="P73" s="72" t="s">
        <v>973</v>
      </c>
      <c r="Q73" s="72" t="s">
        <v>1125</v>
      </c>
      <c r="R73" s="72" t="s">
        <v>71</v>
      </c>
      <c r="V73" s="60" t="str">
        <f t="shared" si="11"/>
        <v>K0875FAсиний</v>
      </c>
      <c r="W73" s="60" t="str">
        <f t="shared" si="8"/>
        <v>K0875FA</v>
      </c>
      <c r="X73" s="60" t="str">
        <f t="shared" si="12"/>
        <v>Seamless Wool 507</v>
      </c>
      <c r="AC73" s="51">
        <f t="shared" si="13"/>
        <v>3</v>
      </c>
      <c r="AD73" s="44">
        <f t="shared" si="14"/>
        <v>8</v>
      </c>
      <c r="AE73" s="51">
        <f t="shared" si="15"/>
        <v>3008</v>
      </c>
    </row>
    <row r="74" spans="1:31">
      <c r="A74" s="60" t="str">
        <f t="shared" si="9"/>
        <v>K0875FAwood</v>
      </c>
      <c r="B74" s="60" t="str">
        <f t="shared" si="10"/>
        <v>03-008-90</v>
      </c>
      <c r="C74" s="72" t="s">
        <v>1134</v>
      </c>
      <c r="D74" s="72" t="s">
        <v>1135</v>
      </c>
      <c r="E74" s="72" t="s">
        <v>1032</v>
      </c>
      <c r="F74" s="73">
        <v>55</v>
      </c>
      <c r="G74" s="73" t="s">
        <v>1131</v>
      </c>
      <c r="H74" s="72" t="s">
        <v>161</v>
      </c>
      <c r="I74" s="72" t="s">
        <v>1132</v>
      </c>
      <c r="J74" s="72" t="s">
        <v>320</v>
      </c>
      <c r="K74" s="72" t="s">
        <v>382</v>
      </c>
      <c r="L74" s="72" t="s">
        <v>988</v>
      </c>
      <c r="M74" s="72" t="s">
        <v>388</v>
      </c>
      <c r="N74" s="72" t="s">
        <v>44</v>
      </c>
      <c r="O74" s="72" t="s">
        <v>539</v>
      </c>
      <c r="P74" s="72" t="s">
        <v>973</v>
      </c>
      <c r="Q74" s="72" t="s">
        <v>1136</v>
      </c>
      <c r="R74" s="72" t="s">
        <v>86</v>
      </c>
      <c r="V74" s="60" t="str">
        <f t="shared" si="11"/>
        <v>K0875FAконьячный</v>
      </c>
      <c r="W74" s="60" t="str">
        <f t="shared" si="8"/>
        <v>K0875FA</v>
      </c>
      <c r="X74" s="60" t="str">
        <f t="shared" si="12"/>
        <v>Seamless Wool 507</v>
      </c>
      <c r="AC74" s="51">
        <f t="shared" si="13"/>
        <v>3</v>
      </c>
      <c r="AD74" s="44">
        <f t="shared" si="14"/>
        <v>8</v>
      </c>
      <c r="AE74" s="51">
        <f t="shared" si="15"/>
        <v>3008</v>
      </c>
    </row>
    <row r="75" spans="1:31">
      <c r="A75" s="60" t="str">
        <f t="shared" si="9"/>
        <v>K0875FAwood</v>
      </c>
      <c r="B75" s="60" t="str">
        <f t="shared" si="10"/>
        <v>03-008-90</v>
      </c>
      <c r="C75" s="72" t="s">
        <v>1137</v>
      </c>
      <c r="D75" s="72" t="s">
        <v>1135</v>
      </c>
      <c r="E75" s="72" t="s">
        <v>969</v>
      </c>
      <c r="F75" s="73">
        <v>57</v>
      </c>
      <c r="G75" s="73" t="s">
        <v>1131</v>
      </c>
      <c r="H75" s="72" t="s">
        <v>161</v>
      </c>
      <c r="I75" s="72" t="s">
        <v>1132</v>
      </c>
      <c r="J75" s="72" t="s">
        <v>320</v>
      </c>
      <c r="K75" s="72" t="s">
        <v>382</v>
      </c>
      <c r="L75" s="72" t="s">
        <v>988</v>
      </c>
      <c r="M75" s="72" t="s">
        <v>388</v>
      </c>
      <c r="N75" s="72" t="s">
        <v>44</v>
      </c>
      <c r="O75" s="72" t="s">
        <v>539</v>
      </c>
      <c r="P75" s="72" t="s">
        <v>973</v>
      </c>
      <c r="Q75" s="72" t="s">
        <v>1136</v>
      </c>
      <c r="R75" s="72" t="s">
        <v>86</v>
      </c>
      <c r="V75" s="60" t="str">
        <f t="shared" si="11"/>
        <v>K0875FAконьячный</v>
      </c>
      <c r="W75" s="60" t="str">
        <f t="shared" si="8"/>
        <v>K0875FA</v>
      </c>
      <c r="X75" s="60" t="str">
        <f t="shared" si="12"/>
        <v>Seamless Wool 507</v>
      </c>
      <c r="AC75" s="51">
        <f t="shared" si="13"/>
        <v>3</v>
      </c>
      <c r="AD75" s="44">
        <f t="shared" si="14"/>
        <v>8</v>
      </c>
      <c r="AE75" s="51">
        <f t="shared" si="15"/>
        <v>3008</v>
      </c>
    </row>
    <row r="76" spans="1:31">
      <c r="A76" s="60" t="str">
        <f t="shared" si="9"/>
        <v>K0875FAwood</v>
      </c>
      <c r="B76" s="60" t="str">
        <f t="shared" si="10"/>
        <v>03-008-90</v>
      </c>
      <c r="C76" s="72" t="s">
        <v>1138</v>
      </c>
      <c r="D76" s="72" t="s">
        <v>1135</v>
      </c>
      <c r="E76" s="72" t="s">
        <v>976</v>
      </c>
      <c r="F76" s="73">
        <v>59</v>
      </c>
      <c r="G76" s="73" t="s">
        <v>1131</v>
      </c>
      <c r="H76" s="72" t="s">
        <v>161</v>
      </c>
      <c r="I76" s="72" t="s">
        <v>1132</v>
      </c>
      <c r="J76" s="72" t="s">
        <v>320</v>
      </c>
      <c r="K76" s="72" t="s">
        <v>382</v>
      </c>
      <c r="L76" s="72" t="s">
        <v>988</v>
      </c>
      <c r="M76" s="72" t="s">
        <v>388</v>
      </c>
      <c r="N76" s="72" t="s">
        <v>44</v>
      </c>
      <c r="O76" s="72" t="s">
        <v>539</v>
      </c>
      <c r="P76" s="72" t="s">
        <v>973</v>
      </c>
      <c r="Q76" s="72" t="s">
        <v>1136</v>
      </c>
      <c r="R76" s="72" t="s">
        <v>86</v>
      </c>
      <c r="V76" s="60" t="str">
        <f t="shared" si="11"/>
        <v>K0875FAконьячный</v>
      </c>
      <c r="W76" s="60" t="str">
        <f t="shared" si="8"/>
        <v>K0875FA</v>
      </c>
      <c r="X76" s="60" t="str">
        <f t="shared" si="12"/>
        <v>Seamless Wool 507</v>
      </c>
      <c r="AC76" s="51">
        <f t="shared" si="13"/>
        <v>3</v>
      </c>
      <c r="AD76" s="44">
        <f t="shared" si="14"/>
        <v>8</v>
      </c>
      <c r="AE76" s="51">
        <f t="shared" si="15"/>
        <v>3008</v>
      </c>
    </row>
    <row r="77" spans="1:31">
      <c r="A77" s="60" t="str">
        <f t="shared" si="9"/>
        <v>K0875FAwood</v>
      </c>
      <c r="B77" s="60" t="str">
        <f t="shared" si="10"/>
        <v>03-008-90</v>
      </c>
      <c r="C77" s="72" t="s">
        <v>1139</v>
      </c>
      <c r="D77" s="72" t="s">
        <v>1135</v>
      </c>
      <c r="E77" s="72" t="s">
        <v>1030</v>
      </c>
      <c r="F77" s="73">
        <v>61</v>
      </c>
      <c r="G77" s="73" t="s">
        <v>1131</v>
      </c>
      <c r="H77" s="72" t="s">
        <v>161</v>
      </c>
      <c r="I77" s="72" t="s">
        <v>1132</v>
      </c>
      <c r="J77" s="72" t="s">
        <v>320</v>
      </c>
      <c r="K77" s="72" t="s">
        <v>382</v>
      </c>
      <c r="L77" s="72" t="s">
        <v>988</v>
      </c>
      <c r="M77" s="72" t="s">
        <v>388</v>
      </c>
      <c r="N77" s="72" t="s">
        <v>44</v>
      </c>
      <c r="O77" s="72" t="s">
        <v>539</v>
      </c>
      <c r="P77" s="72" t="s">
        <v>973</v>
      </c>
      <c r="Q77" s="72" t="s">
        <v>1136</v>
      </c>
      <c r="R77" s="72" t="s">
        <v>86</v>
      </c>
      <c r="V77" s="60" t="str">
        <f t="shared" si="11"/>
        <v>K0875FAконьячный</v>
      </c>
      <c r="W77" s="60" t="str">
        <f t="shared" si="8"/>
        <v>K0875FA</v>
      </c>
      <c r="X77" s="60" t="str">
        <f t="shared" si="12"/>
        <v>Seamless Wool 507</v>
      </c>
      <c r="AC77" s="51">
        <f t="shared" si="13"/>
        <v>3</v>
      </c>
      <c r="AD77" s="44">
        <f t="shared" si="14"/>
        <v>8</v>
      </c>
      <c r="AE77" s="51">
        <f t="shared" si="15"/>
        <v>3008</v>
      </c>
    </row>
    <row r="78" spans="1:31">
      <c r="A78" s="60" t="str">
        <f t="shared" si="9"/>
        <v>K3124HTblack</v>
      </c>
      <c r="B78" s="60" t="str">
        <f t="shared" si="10"/>
        <v>03-045-09</v>
      </c>
      <c r="C78" s="72" t="s">
        <v>1140</v>
      </c>
      <c r="D78" s="72" t="s">
        <v>1141</v>
      </c>
      <c r="E78" s="72" t="s">
        <v>1032</v>
      </c>
      <c r="F78" s="73">
        <v>55</v>
      </c>
      <c r="G78" s="73" t="s">
        <v>1142</v>
      </c>
      <c r="H78" s="72" t="s">
        <v>53</v>
      </c>
      <c r="I78" s="72" t="s">
        <v>1132</v>
      </c>
      <c r="J78" s="72" t="s">
        <v>348</v>
      </c>
      <c r="K78" s="72" t="s">
        <v>382</v>
      </c>
      <c r="L78" s="72" t="s">
        <v>988</v>
      </c>
      <c r="M78" s="72" t="s">
        <v>388</v>
      </c>
      <c r="N78" s="72" t="s">
        <v>44</v>
      </c>
      <c r="O78" s="72" t="s">
        <v>539</v>
      </c>
      <c r="P78" s="72" t="s">
        <v>973</v>
      </c>
      <c r="Q78" s="72" t="s">
        <v>1005</v>
      </c>
      <c r="R78" s="72" t="s">
        <v>53</v>
      </c>
      <c r="V78" s="60" t="str">
        <f t="shared" si="11"/>
        <v>K3124HTчерный</v>
      </c>
      <c r="W78" s="60" t="str">
        <f t="shared" si="8"/>
        <v>K3124HT</v>
      </c>
      <c r="X78" s="60" t="str">
        <f t="shared" si="12"/>
        <v>Wool Enfield</v>
      </c>
      <c r="AC78" s="51">
        <f t="shared" si="13"/>
        <v>3</v>
      </c>
      <c r="AD78" s="44">
        <f t="shared" si="14"/>
        <v>45</v>
      </c>
      <c r="AE78" s="51">
        <f t="shared" si="15"/>
        <v>3045</v>
      </c>
    </row>
    <row r="79" spans="1:31">
      <c r="A79" s="60" t="str">
        <f t="shared" si="9"/>
        <v>K3124HTblack</v>
      </c>
      <c r="B79" s="60" t="str">
        <f t="shared" si="10"/>
        <v>03-045-09</v>
      </c>
      <c r="C79" s="72" t="s">
        <v>1143</v>
      </c>
      <c r="D79" s="72" t="s">
        <v>1141</v>
      </c>
      <c r="E79" s="72" t="s">
        <v>969</v>
      </c>
      <c r="F79" s="73">
        <v>57</v>
      </c>
      <c r="G79" s="73" t="s">
        <v>1142</v>
      </c>
      <c r="H79" s="72" t="s">
        <v>53</v>
      </c>
      <c r="I79" s="72" t="s">
        <v>1132</v>
      </c>
      <c r="J79" s="72" t="s">
        <v>348</v>
      </c>
      <c r="K79" s="72" t="s">
        <v>382</v>
      </c>
      <c r="L79" s="72" t="s">
        <v>988</v>
      </c>
      <c r="M79" s="72" t="s">
        <v>388</v>
      </c>
      <c r="N79" s="72" t="s">
        <v>44</v>
      </c>
      <c r="O79" s="72" t="s">
        <v>539</v>
      </c>
      <c r="P79" s="72" t="s">
        <v>973</v>
      </c>
      <c r="Q79" s="72" t="s">
        <v>1005</v>
      </c>
      <c r="R79" s="72" t="s">
        <v>53</v>
      </c>
      <c r="V79" s="60" t="str">
        <f t="shared" si="11"/>
        <v>K3124HTчерный</v>
      </c>
      <c r="W79" s="60" t="str">
        <f t="shared" si="8"/>
        <v>K3124HT</v>
      </c>
      <c r="X79" s="60" t="str">
        <f t="shared" si="12"/>
        <v>Wool Enfield</v>
      </c>
      <c r="AC79" s="51">
        <f t="shared" si="13"/>
        <v>3</v>
      </c>
      <c r="AD79" s="44">
        <f t="shared" si="14"/>
        <v>45</v>
      </c>
      <c r="AE79" s="51">
        <f t="shared" si="15"/>
        <v>3045</v>
      </c>
    </row>
    <row r="80" spans="1:31">
      <c r="A80" s="60" t="str">
        <f t="shared" si="9"/>
        <v>K3124HTblack</v>
      </c>
      <c r="B80" s="60" t="str">
        <f t="shared" si="10"/>
        <v>03-045-09</v>
      </c>
      <c r="C80" s="72" t="s">
        <v>1144</v>
      </c>
      <c r="D80" s="72" t="s">
        <v>1141</v>
      </c>
      <c r="E80" s="72" t="s">
        <v>976</v>
      </c>
      <c r="F80" s="73">
        <v>59</v>
      </c>
      <c r="G80" s="73" t="s">
        <v>1142</v>
      </c>
      <c r="H80" s="72" t="s">
        <v>53</v>
      </c>
      <c r="I80" s="72" t="s">
        <v>1132</v>
      </c>
      <c r="J80" s="72" t="s">
        <v>348</v>
      </c>
      <c r="K80" s="72" t="s">
        <v>382</v>
      </c>
      <c r="L80" s="72" t="s">
        <v>988</v>
      </c>
      <c r="M80" s="72" t="s">
        <v>388</v>
      </c>
      <c r="N80" s="72" t="s">
        <v>44</v>
      </c>
      <c r="O80" s="72" t="s">
        <v>539</v>
      </c>
      <c r="P80" s="72" t="s">
        <v>973</v>
      </c>
      <c r="Q80" s="72" t="s">
        <v>1005</v>
      </c>
      <c r="R80" s="72" t="s">
        <v>53</v>
      </c>
      <c r="V80" s="60" t="str">
        <f t="shared" si="11"/>
        <v>K3124HTчерный</v>
      </c>
      <c r="W80" s="60" t="str">
        <f t="shared" si="8"/>
        <v>K3124HT</v>
      </c>
      <c r="X80" s="60" t="str">
        <f t="shared" si="12"/>
        <v>Wool Enfield</v>
      </c>
      <c r="AC80" s="51">
        <f t="shared" si="13"/>
        <v>3</v>
      </c>
      <c r="AD80" s="44">
        <f t="shared" si="14"/>
        <v>45</v>
      </c>
      <c r="AE80" s="51">
        <f t="shared" si="15"/>
        <v>3045</v>
      </c>
    </row>
    <row r="81" spans="1:31">
      <c r="A81" s="60" t="str">
        <f t="shared" si="9"/>
        <v>K3124HTblack</v>
      </c>
      <c r="B81" s="60" t="str">
        <f t="shared" si="10"/>
        <v>03-045-09</v>
      </c>
      <c r="C81" s="72" t="s">
        <v>1145</v>
      </c>
      <c r="D81" s="72" t="s">
        <v>1141</v>
      </c>
      <c r="E81" s="72" t="s">
        <v>1030</v>
      </c>
      <c r="F81" s="73">
        <v>61</v>
      </c>
      <c r="G81" s="73" t="s">
        <v>1142</v>
      </c>
      <c r="H81" s="72" t="s">
        <v>53</v>
      </c>
      <c r="I81" s="72" t="s">
        <v>1132</v>
      </c>
      <c r="J81" s="72" t="s">
        <v>348</v>
      </c>
      <c r="K81" s="72" t="s">
        <v>382</v>
      </c>
      <c r="L81" s="72" t="s">
        <v>988</v>
      </c>
      <c r="M81" s="72" t="s">
        <v>388</v>
      </c>
      <c r="N81" s="72" t="s">
        <v>44</v>
      </c>
      <c r="O81" s="72" t="s">
        <v>539</v>
      </c>
      <c r="P81" s="72" t="s">
        <v>973</v>
      </c>
      <c r="Q81" s="72" t="s">
        <v>1005</v>
      </c>
      <c r="R81" s="72" t="s">
        <v>53</v>
      </c>
      <c r="V81" s="60" t="str">
        <f t="shared" si="11"/>
        <v>K3124HTчерный</v>
      </c>
      <c r="W81" s="60" t="str">
        <f t="shared" si="8"/>
        <v>K3124HT</v>
      </c>
      <c r="X81" s="60" t="str">
        <f t="shared" si="12"/>
        <v>Wool Enfield</v>
      </c>
      <c r="AC81" s="51">
        <f t="shared" si="13"/>
        <v>3</v>
      </c>
      <c r="AD81" s="44">
        <f t="shared" si="14"/>
        <v>45</v>
      </c>
      <c r="AE81" s="51">
        <f t="shared" si="15"/>
        <v>3045</v>
      </c>
    </row>
    <row r="82" spans="1:31">
      <c r="A82" s="60" t="str">
        <f t="shared" si="9"/>
        <v>K3124HTdk.flannel</v>
      </c>
      <c r="B82" s="60" t="str">
        <f t="shared" si="10"/>
        <v>03-045-05</v>
      </c>
      <c r="C82" s="72" t="s">
        <v>1146</v>
      </c>
      <c r="D82" s="72" t="s">
        <v>1147</v>
      </c>
      <c r="E82" s="72" t="s">
        <v>969</v>
      </c>
      <c r="F82" s="73">
        <v>57</v>
      </c>
      <c r="G82" s="73" t="s">
        <v>1142</v>
      </c>
      <c r="H82" s="72" t="s">
        <v>277</v>
      </c>
      <c r="I82" s="72" t="s">
        <v>1132</v>
      </c>
      <c r="J82" s="72" t="s">
        <v>348</v>
      </c>
      <c r="K82" s="72" t="s">
        <v>382</v>
      </c>
      <c r="L82" s="72" t="s">
        <v>988</v>
      </c>
      <c r="M82" s="72" t="s">
        <v>388</v>
      </c>
      <c r="N82" s="72" t="s">
        <v>44</v>
      </c>
      <c r="O82" s="72" t="s">
        <v>539</v>
      </c>
      <c r="P82" s="72" t="s">
        <v>973</v>
      </c>
      <c r="Q82" s="72" t="s">
        <v>1148</v>
      </c>
      <c r="R82" s="72" t="s">
        <v>83</v>
      </c>
      <c r="V82" s="60" t="str">
        <f t="shared" si="11"/>
        <v>K3124HTтемно-серый</v>
      </c>
      <c r="W82" s="60" t="str">
        <f t="shared" si="8"/>
        <v>K3124HT</v>
      </c>
      <c r="X82" s="60" t="str">
        <f t="shared" si="12"/>
        <v>Wool Enfield</v>
      </c>
      <c r="AC82" s="51">
        <f t="shared" si="13"/>
        <v>3</v>
      </c>
      <c r="AD82" s="44">
        <f t="shared" si="14"/>
        <v>45</v>
      </c>
      <c r="AE82" s="51">
        <f t="shared" si="15"/>
        <v>3045</v>
      </c>
    </row>
    <row r="83" spans="1:31">
      <c r="A83" s="60" t="str">
        <f t="shared" si="9"/>
        <v>K3124HTdk.flannel</v>
      </c>
      <c r="B83" s="60" t="str">
        <f t="shared" si="10"/>
        <v>03-045-05</v>
      </c>
      <c r="C83" s="72" t="s">
        <v>1149</v>
      </c>
      <c r="D83" s="72" t="s">
        <v>1147</v>
      </c>
      <c r="E83" s="72" t="s">
        <v>976</v>
      </c>
      <c r="F83" s="73">
        <v>59</v>
      </c>
      <c r="G83" s="73" t="s">
        <v>1142</v>
      </c>
      <c r="H83" s="72" t="s">
        <v>277</v>
      </c>
      <c r="I83" s="72" t="s">
        <v>1132</v>
      </c>
      <c r="J83" s="72" t="s">
        <v>348</v>
      </c>
      <c r="K83" s="72" t="s">
        <v>382</v>
      </c>
      <c r="L83" s="72" t="s">
        <v>988</v>
      </c>
      <c r="M83" s="72" t="s">
        <v>388</v>
      </c>
      <c r="N83" s="72" t="s">
        <v>44</v>
      </c>
      <c r="O83" s="72" t="s">
        <v>539</v>
      </c>
      <c r="P83" s="72" t="s">
        <v>973</v>
      </c>
      <c r="Q83" s="72" t="s">
        <v>1148</v>
      </c>
      <c r="R83" s="72" t="s">
        <v>83</v>
      </c>
      <c r="V83" s="60" t="str">
        <f t="shared" si="11"/>
        <v>K3124HTтемно-серый</v>
      </c>
      <c r="W83" s="60" t="str">
        <f t="shared" si="8"/>
        <v>K3124HT</v>
      </c>
      <c r="X83" s="60" t="str">
        <f t="shared" si="12"/>
        <v>Wool Enfield</v>
      </c>
      <c r="AC83" s="51">
        <f t="shared" si="13"/>
        <v>3</v>
      </c>
      <c r="AD83" s="44">
        <f t="shared" si="14"/>
        <v>45</v>
      </c>
      <c r="AE83" s="51">
        <f t="shared" si="15"/>
        <v>3045</v>
      </c>
    </row>
    <row r="84" spans="1:31">
      <c r="A84" s="60" t="str">
        <f t="shared" si="9"/>
        <v>K3164HTflannel</v>
      </c>
      <c r="B84" s="60" t="str">
        <f t="shared" si="10"/>
        <v>03-046-08</v>
      </c>
      <c r="C84" s="72" t="s">
        <v>1150</v>
      </c>
      <c r="D84" s="72" t="s">
        <v>1151</v>
      </c>
      <c r="E84" s="72" t="s">
        <v>1032</v>
      </c>
      <c r="F84" s="73">
        <v>55</v>
      </c>
      <c r="G84" s="73" t="s">
        <v>1152</v>
      </c>
      <c r="H84" s="72" t="s">
        <v>83</v>
      </c>
      <c r="I84" s="72" t="s">
        <v>1132</v>
      </c>
      <c r="J84" s="72" t="s">
        <v>318</v>
      </c>
      <c r="K84" s="72" t="s">
        <v>382</v>
      </c>
      <c r="L84" s="72" t="s">
        <v>988</v>
      </c>
      <c r="M84" s="72" t="s">
        <v>388</v>
      </c>
      <c r="N84" s="72" t="s">
        <v>44</v>
      </c>
      <c r="O84" s="72" t="s">
        <v>539</v>
      </c>
      <c r="P84" s="72" t="s">
        <v>973</v>
      </c>
      <c r="Q84" s="72" t="s">
        <v>1119</v>
      </c>
      <c r="R84" s="72" t="s">
        <v>83</v>
      </c>
      <c r="V84" s="60" t="str">
        <f t="shared" si="11"/>
        <v>K3164HTсерый</v>
      </c>
      <c r="W84" s="60" t="str">
        <f t="shared" si="8"/>
        <v>K3164HT</v>
      </c>
      <c r="X84" s="60" t="str">
        <f t="shared" si="12"/>
        <v>Wool Hawker</v>
      </c>
      <c r="AC84" s="51">
        <f t="shared" si="13"/>
        <v>3</v>
      </c>
      <c r="AD84" s="44">
        <f t="shared" si="14"/>
        <v>46</v>
      </c>
      <c r="AE84" s="51">
        <f t="shared" si="15"/>
        <v>3046</v>
      </c>
    </row>
    <row r="85" spans="1:31">
      <c r="A85" s="60" t="str">
        <f t="shared" si="9"/>
        <v>K3164HTflannel</v>
      </c>
      <c r="B85" s="60" t="str">
        <f t="shared" si="10"/>
        <v>03-046-08</v>
      </c>
      <c r="C85" s="72" t="s">
        <v>1153</v>
      </c>
      <c r="D85" s="72" t="s">
        <v>1151</v>
      </c>
      <c r="E85" s="72" t="s">
        <v>969</v>
      </c>
      <c r="F85" s="73">
        <v>57</v>
      </c>
      <c r="G85" s="73" t="s">
        <v>1152</v>
      </c>
      <c r="H85" s="72" t="s">
        <v>83</v>
      </c>
      <c r="I85" s="72" t="s">
        <v>1132</v>
      </c>
      <c r="J85" s="72" t="s">
        <v>318</v>
      </c>
      <c r="K85" s="72" t="s">
        <v>382</v>
      </c>
      <c r="L85" s="72" t="s">
        <v>988</v>
      </c>
      <c r="M85" s="72" t="s">
        <v>388</v>
      </c>
      <c r="N85" s="72" t="s">
        <v>44</v>
      </c>
      <c r="O85" s="72" t="s">
        <v>539</v>
      </c>
      <c r="P85" s="72" t="s">
        <v>973</v>
      </c>
      <c r="Q85" s="72" t="s">
        <v>1119</v>
      </c>
      <c r="R85" s="72" t="s">
        <v>83</v>
      </c>
      <c r="V85" s="60" t="str">
        <f t="shared" si="11"/>
        <v>K3164HTсерый</v>
      </c>
      <c r="W85" s="60" t="str">
        <f t="shared" si="8"/>
        <v>K3164HT</v>
      </c>
      <c r="X85" s="60" t="str">
        <f t="shared" si="12"/>
        <v>Wool Hawker</v>
      </c>
      <c r="AC85" s="51">
        <f t="shared" si="13"/>
        <v>3</v>
      </c>
      <c r="AD85" s="44">
        <f t="shared" si="14"/>
        <v>46</v>
      </c>
      <c r="AE85" s="51">
        <f t="shared" si="15"/>
        <v>3046</v>
      </c>
    </row>
    <row r="86" spans="1:31">
      <c r="A86" s="60" t="str">
        <f t="shared" si="9"/>
        <v>K3164HTflannel</v>
      </c>
      <c r="B86" s="60" t="str">
        <f t="shared" si="10"/>
        <v>03-046-08</v>
      </c>
      <c r="C86" s="72" t="s">
        <v>1154</v>
      </c>
      <c r="D86" s="72" t="s">
        <v>1151</v>
      </c>
      <c r="E86" s="72" t="s">
        <v>976</v>
      </c>
      <c r="F86" s="73">
        <v>59</v>
      </c>
      <c r="G86" s="73" t="s">
        <v>1152</v>
      </c>
      <c r="H86" s="72" t="s">
        <v>83</v>
      </c>
      <c r="I86" s="72" t="s">
        <v>1132</v>
      </c>
      <c r="J86" s="72" t="s">
        <v>318</v>
      </c>
      <c r="K86" s="72" t="s">
        <v>382</v>
      </c>
      <c r="L86" s="72" t="s">
        <v>988</v>
      </c>
      <c r="M86" s="72" t="s">
        <v>388</v>
      </c>
      <c r="N86" s="72" t="s">
        <v>44</v>
      </c>
      <c r="O86" s="72" t="s">
        <v>539</v>
      </c>
      <c r="P86" s="72" t="s">
        <v>973</v>
      </c>
      <c r="Q86" s="72" t="s">
        <v>1119</v>
      </c>
      <c r="R86" s="72" t="s">
        <v>83</v>
      </c>
      <c r="V86" s="60" t="str">
        <f t="shared" si="11"/>
        <v>K3164HTсерый</v>
      </c>
      <c r="W86" s="60" t="str">
        <f t="shared" si="8"/>
        <v>K3164HT</v>
      </c>
      <c r="X86" s="60" t="str">
        <f t="shared" si="12"/>
        <v>Wool Hawker</v>
      </c>
      <c r="AC86" s="51">
        <f t="shared" si="13"/>
        <v>3</v>
      </c>
      <c r="AD86" s="44">
        <f t="shared" si="14"/>
        <v>46</v>
      </c>
      <c r="AE86" s="51">
        <f t="shared" si="15"/>
        <v>3046</v>
      </c>
    </row>
    <row r="87" spans="1:31">
      <c r="A87" s="60" t="str">
        <f t="shared" si="9"/>
        <v>K3164HTflannel</v>
      </c>
      <c r="B87" s="60" t="str">
        <f t="shared" si="10"/>
        <v>03-046-08</v>
      </c>
      <c r="C87" s="72" t="s">
        <v>1155</v>
      </c>
      <c r="D87" s="72" t="s">
        <v>1151</v>
      </c>
      <c r="E87" s="72" t="s">
        <v>1030</v>
      </c>
      <c r="F87" s="73">
        <v>61</v>
      </c>
      <c r="G87" s="73" t="s">
        <v>1152</v>
      </c>
      <c r="H87" s="72" t="s">
        <v>83</v>
      </c>
      <c r="I87" s="72" t="s">
        <v>1132</v>
      </c>
      <c r="J87" s="72" t="s">
        <v>318</v>
      </c>
      <c r="K87" s="72" t="s">
        <v>382</v>
      </c>
      <c r="L87" s="72" t="s">
        <v>988</v>
      </c>
      <c r="M87" s="72" t="s">
        <v>388</v>
      </c>
      <c r="N87" s="72" t="s">
        <v>44</v>
      </c>
      <c r="O87" s="72" t="s">
        <v>539</v>
      </c>
      <c r="P87" s="72" t="s">
        <v>973</v>
      </c>
      <c r="Q87" s="72" t="s">
        <v>1119</v>
      </c>
      <c r="R87" s="72" t="s">
        <v>83</v>
      </c>
      <c r="V87" s="60" t="str">
        <f t="shared" si="11"/>
        <v>K3164HTсерый</v>
      </c>
      <c r="W87" s="60" t="str">
        <f t="shared" si="8"/>
        <v>K3164HT</v>
      </c>
      <c r="X87" s="60" t="str">
        <f t="shared" si="12"/>
        <v>Wool Hawker</v>
      </c>
      <c r="AC87" s="51">
        <f t="shared" si="13"/>
        <v>3</v>
      </c>
      <c r="AD87" s="44">
        <f t="shared" si="14"/>
        <v>46</v>
      </c>
      <c r="AE87" s="51">
        <f t="shared" si="15"/>
        <v>3046</v>
      </c>
    </row>
    <row r="88" spans="1:31">
      <c r="A88" s="60" t="str">
        <f t="shared" si="9"/>
        <v>K3167HTether/deep</v>
      </c>
      <c r="B88" s="60" t="str">
        <f t="shared" si="10"/>
        <v>03-047-26</v>
      </c>
      <c r="C88" s="72" t="s">
        <v>1156</v>
      </c>
      <c r="D88" s="72" t="s">
        <v>1157</v>
      </c>
      <c r="E88" s="72" t="s">
        <v>969</v>
      </c>
      <c r="F88" s="73">
        <v>57</v>
      </c>
      <c r="G88" s="73" t="s">
        <v>1158</v>
      </c>
      <c r="H88" s="72" t="s">
        <v>245</v>
      </c>
      <c r="I88" s="72" t="s">
        <v>1159</v>
      </c>
      <c r="J88" s="72" t="s">
        <v>324</v>
      </c>
      <c r="K88" s="72" t="s">
        <v>382</v>
      </c>
      <c r="L88" s="72" t="s">
        <v>988</v>
      </c>
      <c r="M88" s="72" t="s">
        <v>388</v>
      </c>
      <c r="N88" s="72" t="s">
        <v>44</v>
      </c>
      <c r="O88" s="72" t="s">
        <v>539</v>
      </c>
      <c r="P88" s="72" t="s">
        <v>973</v>
      </c>
      <c r="Q88" s="72" t="s">
        <v>1160</v>
      </c>
      <c r="R88" s="72" t="s">
        <v>83</v>
      </c>
      <c r="V88" s="60" t="str">
        <f t="shared" si="11"/>
        <v>K3167HTсерый / синий</v>
      </c>
      <c r="W88" s="60" t="str">
        <f t="shared" si="8"/>
        <v>K3167HT</v>
      </c>
      <c r="X88" s="60" t="str">
        <f t="shared" si="12"/>
        <v>Code Stripe 504</v>
      </c>
      <c r="AC88" s="51">
        <f t="shared" si="13"/>
        <v>3</v>
      </c>
      <c r="AD88" s="44">
        <f t="shared" si="14"/>
        <v>47</v>
      </c>
      <c r="AE88" s="51">
        <f t="shared" si="15"/>
        <v>3047</v>
      </c>
    </row>
    <row r="89" spans="1:31">
      <c r="A89" s="60" t="str">
        <f t="shared" si="9"/>
        <v>K3167HTether/deep</v>
      </c>
      <c r="B89" s="60" t="str">
        <f t="shared" si="10"/>
        <v>03-047-26</v>
      </c>
      <c r="C89" s="72" t="s">
        <v>1161</v>
      </c>
      <c r="D89" s="72" t="s">
        <v>1157</v>
      </c>
      <c r="E89" s="72" t="s">
        <v>976</v>
      </c>
      <c r="F89" s="73">
        <v>59</v>
      </c>
      <c r="G89" s="73" t="s">
        <v>1158</v>
      </c>
      <c r="H89" s="72" t="s">
        <v>245</v>
      </c>
      <c r="I89" s="72" t="s">
        <v>1159</v>
      </c>
      <c r="J89" s="72" t="s">
        <v>324</v>
      </c>
      <c r="K89" s="72" t="s">
        <v>382</v>
      </c>
      <c r="L89" s="72" t="s">
        <v>988</v>
      </c>
      <c r="M89" s="72" t="s">
        <v>388</v>
      </c>
      <c r="N89" s="72" t="s">
        <v>44</v>
      </c>
      <c r="O89" s="72" t="s">
        <v>539</v>
      </c>
      <c r="P89" s="72" t="s">
        <v>973</v>
      </c>
      <c r="Q89" s="72" t="s">
        <v>1160</v>
      </c>
      <c r="R89" s="72" t="s">
        <v>83</v>
      </c>
      <c r="V89" s="60" t="str">
        <f t="shared" si="11"/>
        <v>K3167HTсерый / синий</v>
      </c>
      <c r="W89" s="60" t="str">
        <f t="shared" si="8"/>
        <v>K3167HT</v>
      </c>
      <c r="X89" s="60" t="str">
        <f t="shared" si="12"/>
        <v>Code Stripe 504</v>
      </c>
      <c r="AC89" s="51">
        <f t="shared" si="13"/>
        <v>3</v>
      </c>
      <c r="AD89" s="44">
        <f t="shared" si="14"/>
        <v>47</v>
      </c>
      <c r="AE89" s="51">
        <f t="shared" si="15"/>
        <v>3047</v>
      </c>
    </row>
    <row r="90" spans="1:31">
      <c r="A90" s="60" t="str">
        <f t="shared" si="9"/>
        <v>K3175HTdk.flannel</v>
      </c>
      <c r="B90" s="60" t="str">
        <f t="shared" si="10"/>
        <v>03-048-05</v>
      </c>
      <c r="C90" s="72" t="s">
        <v>1162</v>
      </c>
      <c r="D90" s="72" t="s">
        <v>1163</v>
      </c>
      <c r="E90" s="72" t="s">
        <v>969</v>
      </c>
      <c r="F90" s="73">
        <v>57</v>
      </c>
      <c r="G90" s="73" t="s">
        <v>1164</v>
      </c>
      <c r="H90" s="72" t="s">
        <v>277</v>
      </c>
      <c r="I90" s="72" t="s">
        <v>1165</v>
      </c>
      <c r="J90" s="72" t="s">
        <v>336</v>
      </c>
      <c r="K90" s="72" t="s">
        <v>382</v>
      </c>
      <c r="L90" s="72" t="s">
        <v>988</v>
      </c>
      <c r="M90" s="72" t="s">
        <v>389</v>
      </c>
      <c r="N90" s="72" t="s">
        <v>44</v>
      </c>
      <c r="O90" s="72" t="s">
        <v>386</v>
      </c>
      <c r="P90" s="72" t="s">
        <v>973</v>
      </c>
      <c r="Q90" s="72" t="s">
        <v>1148</v>
      </c>
      <c r="R90" s="72" t="s">
        <v>83</v>
      </c>
      <c r="V90" s="60" t="str">
        <f t="shared" si="11"/>
        <v>K3175HTтемно-серый</v>
      </c>
      <c r="W90" s="60" t="str">
        <f t="shared" si="8"/>
        <v>K3175HT</v>
      </c>
      <c r="X90" s="60" t="str">
        <f t="shared" si="12"/>
        <v>Boiled Wool Earlap 507</v>
      </c>
      <c r="AC90" s="51">
        <f t="shared" si="13"/>
        <v>3</v>
      </c>
      <c r="AD90" s="44">
        <f t="shared" si="14"/>
        <v>48</v>
      </c>
      <c r="AE90" s="51">
        <f t="shared" si="15"/>
        <v>3048</v>
      </c>
    </row>
    <row r="91" spans="1:31">
      <c r="A91" s="60" t="str">
        <f t="shared" si="9"/>
        <v>K3175HTdk.flannel</v>
      </c>
      <c r="B91" s="60" t="str">
        <f t="shared" si="10"/>
        <v>03-048-05</v>
      </c>
      <c r="C91" s="72" t="s">
        <v>1166</v>
      </c>
      <c r="D91" s="72" t="s">
        <v>1163</v>
      </c>
      <c r="E91" s="72" t="s">
        <v>976</v>
      </c>
      <c r="F91" s="73">
        <v>59</v>
      </c>
      <c r="G91" s="73" t="s">
        <v>1164</v>
      </c>
      <c r="H91" s="72" t="s">
        <v>277</v>
      </c>
      <c r="I91" s="72" t="s">
        <v>1165</v>
      </c>
      <c r="J91" s="72" t="s">
        <v>336</v>
      </c>
      <c r="K91" s="72" t="s">
        <v>382</v>
      </c>
      <c r="L91" s="72" t="s">
        <v>988</v>
      </c>
      <c r="M91" s="72" t="s">
        <v>389</v>
      </c>
      <c r="N91" s="72" t="s">
        <v>44</v>
      </c>
      <c r="O91" s="72" t="s">
        <v>386</v>
      </c>
      <c r="P91" s="72" t="s">
        <v>973</v>
      </c>
      <c r="Q91" s="72" t="s">
        <v>1148</v>
      </c>
      <c r="R91" s="72" t="s">
        <v>83</v>
      </c>
      <c r="V91" s="60" t="str">
        <f t="shared" si="11"/>
        <v>K3175HTтемно-серый</v>
      </c>
      <c r="W91" s="60" t="str">
        <f t="shared" si="8"/>
        <v>K3175HT</v>
      </c>
      <c r="X91" s="60" t="str">
        <f t="shared" si="12"/>
        <v>Boiled Wool Earlap 507</v>
      </c>
      <c r="AC91" s="51">
        <f t="shared" si="13"/>
        <v>3</v>
      </c>
      <c r="AD91" s="44">
        <f t="shared" si="14"/>
        <v>48</v>
      </c>
      <c r="AE91" s="51">
        <f t="shared" si="15"/>
        <v>3048</v>
      </c>
    </row>
    <row r="92" spans="1:31">
      <c r="A92" s="60" t="str">
        <f t="shared" si="9"/>
        <v>K5142HTblack</v>
      </c>
      <c r="B92" s="60" t="str">
        <f t="shared" si="10"/>
        <v>03-049-09</v>
      </c>
      <c r="C92" s="72" t="s">
        <v>1167</v>
      </c>
      <c r="D92" s="72" t="s">
        <v>1168</v>
      </c>
      <c r="E92" s="72" t="s">
        <v>1053</v>
      </c>
      <c r="F92" s="73">
        <v>56</v>
      </c>
      <c r="G92" s="73" t="s">
        <v>1169</v>
      </c>
      <c r="H92" s="72" t="s">
        <v>53</v>
      </c>
      <c r="I92" s="72" t="s">
        <v>1170</v>
      </c>
      <c r="J92" s="72" t="s">
        <v>327</v>
      </c>
      <c r="K92" s="72" t="s">
        <v>382</v>
      </c>
      <c r="L92" s="72" t="s">
        <v>988</v>
      </c>
      <c r="M92" s="72" t="s">
        <v>388</v>
      </c>
      <c r="N92" s="72" t="s">
        <v>44</v>
      </c>
      <c r="O92" s="72" t="s">
        <v>533</v>
      </c>
      <c r="P92" s="72" t="s">
        <v>973</v>
      </c>
      <c r="Q92" s="72" t="s">
        <v>1005</v>
      </c>
      <c r="R92" s="72" t="s">
        <v>53</v>
      </c>
      <c r="V92" s="60" t="str">
        <f t="shared" si="11"/>
        <v>K5142HTчерный</v>
      </c>
      <c r="W92" s="60" t="str">
        <f t="shared" si="8"/>
        <v>K5142HT</v>
      </c>
      <c r="X92" s="60" t="str">
        <f t="shared" si="12"/>
        <v>Textured Wool Baseball</v>
      </c>
      <c r="AC92" s="51">
        <f t="shared" si="13"/>
        <v>3</v>
      </c>
      <c r="AD92" s="44">
        <f t="shared" si="14"/>
        <v>49</v>
      </c>
      <c r="AE92" s="51">
        <f t="shared" si="15"/>
        <v>3049</v>
      </c>
    </row>
    <row r="93" spans="1:31">
      <c r="A93" s="60" t="str">
        <f t="shared" si="9"/>
        <v>K5142HTblack</v>
      </c>
      <c r="B93" s="60" t="str">
        <f t="shared" si="10"/>
        <v>03-049-09</v>
      </c>
      <c r="C93" s="72" t="s">
        <v>1171</v>
      </c>
      <c r="D93" s="72" t="s">
        <v>1168</v>
      </c>
      <c r="E93" s="72" t="s">
        <v>1058</v>
      </c>
      <c r="F93" s="73">
        <v>60</v>
      </c>
      <c r="G93" s="73" t="s">
        <v>1169</v>
      </c>
      <c r="H93" s="72" t="s">
        <v>53</v>
      </c>
      <c r="I93" s="72" t="s">
        <v>1170</v>
      </c>
      <c r="J93" s="72" t="s">
        <v>327</v>
      </c>
      <c r="K93" s="72" t="s">
        <v>382</v>
      </c>
      <c r="L93" s="72" t="s">
        <v>988</v>
      </c>
      <c r="M93" s="72" t="s">
        <v>388</v>
      </c>
      <c r="N93" s="72" t="s">
        <v>44</v>
      </c>
      <c r="O93" s="72" t="s">
        <v>533</v>
      </c>
      <c r="P93" s="72" t="s">
        <v>973</v>
      </c>
      <c r="Q93" s="72" t="s">
        <v>1005</v>
      </c>
      <c r="R93" s="72" t="s">
        <v>53</v>
      </c>
      <c r="V93" s="60" t="str">
        <f t="shared" si="11"/>
        <v>K5142HTчерный</v>
      </c>
      <c r="W93" s="60" t="str">
        <f t="shared" si="8"/>
        <v>K5142HT</v>
      </c>
      <c r="X93" s="60" t="str">
        <f t="shared" si="12"/>
        <v>Textured Wool Baseball</v>
      </c>
      <c r="AC93" s="51">
        <f t="shared" si="13"/>
        <v>3</v>
      </c>
      <c r="AD93" s="44">
        <f t="shared" si="14"/>
        <v>49</v>
      </c>
      <c r="AE93" s="51">
        <f t="shared" si="15"/>
        <v>3049</v>
      </c>
    </row>
    <row r="94" spans="1:31">
      <c r="A94" s="60" t="str">
        <f t="shared" si="9"/>
        <v>K5142HTnavy</v>
      </c>
      <c r="B94" s="60" t="str">
        <f t="shared" si="10"/>
        <v>03-049-16</v>
      </c>
      <c r="C94" s="72" t="s">
        <v>1172</v>
      </c>
      <c r="D94" s="72" t="s">
        <v>1173</v>
      </c>
      <c r="E94" s="72" t="s">
        <v>1053</v>
      </c>
      <c r="F94" s="73">
        <v>56</v>
      </c>
      <c r="G94" s="73" t="s">
        <v>1169</v>
      </c>
      <c r="H94" s="72" t="s">
        <v>55</v>
      </c>
      <c r="I94" s="72" t="s">
        <v>1170</v>
      </c>
      <c r="J94" s="72" t="s">
        <v>327</v>
      </c>
      <c r="K94" s="72" t="s">
        <v>382</v>
      </c>
      <c r="L94" s="72" t="s">
        <v>988</v>
      </c>
      <c r="M94" s="72" t="s">
        <v>388</v>
      </c>
      <c r="N94" s="72" t="s">
        <v>44</v>
      </c>
      <c r="O94" s="72" t="s">
        <v>533</v>
      </c>
      <c r="P94" s="72" t="s">
        <v>973</v>
      </c>
      <c r="Q94" s="72" t="s">
        <v>1017</v>
      </c>
      <c r="R94" s="72" t="s">
        <v>71</v>
      </c>
      <c r="V94" s="60" t="str">
        <f t="shared" si="11"/>
        <v>K5142HTтемно-синий</v>
      </c>
      <c r="W94" s="60" t="str">
        <f t="shared" si="8"/>
        <v>K5142HT</v>
      </c>
      <c r="X94" s="60" t="str">
        <f t="shared" si="12"/>
        <v>Textured Wool Baseball</v>
      </c>
      <c r="AC94" s="51">
        <f t="shared" si="13"/>
        <v>3</v>
      </c>
      <c r="AD94" s="44">
        <f t="shared" si="14"/>
        <v>49</v>
      </c>
      <c r="AE94" s="51">
        <f t="shared" si="15"/>
        <v>3049</v>
      </c>
    </row>
    <row r="95" spans="1:31">
      <c r="A95" s="60" t="str">
        <f t="shared" si="9"/>
        <v>K5142HTnavy</v>
      </c>
      <c r="B95" s="60" t="str">
        <f t="shared" si="10"/>
        <v>03-049-16</v>
      </c>
      <c r="C95" s="72" t="s">
        <v>1174</v>
      </c>
      <c r="D95" s="72" t="s">
        <v>1173</v>
      </c>
      <c r="E95" s="72" t="s">
        <v>1058</v>
      </c>
      <c r="F95" s="73">
        <v>60</v>
      </c>
      <c r="G95" s="73" t="s">
        <v>1169</v>
      </c>
      <c r="H95" s="72" t="s">
        <v>55</v>
      </c>
      <c r="I95" s="72" t="s">
        <v>1170</v>
      </c>
      <c r="J95" s="72" t="s">
        <v>327</v>
      </c>
      <c r="K95" s="72" t="s">
        <v>382</v>
      </c>
      <c r="L95" s="72" t="s">
        <v>988</v>
      </c>
      <c r="M95" s="72" t="s">
        <v>388</v>
      </c>
      <c r="N95" s="72" t="s">
        <v>44</v>
      </c>
      <c r="O95" s="72" t="s">
        <v>533</v>
      </c>
      <c r="P95" s="72" t="s">
        <v>973</v>
      </c>
      <c r="Q95" s="72" t="s">
        <v>1017</v>
      </c>
      <c r="R95" s="72" t="s">
        <v>71</v>
      </c>
      <c r="V95" s="60" t="str">
        <f t="shared" si="11"/>
        <v>K5142HTтемно-синий</v>
      </c>
      <c r="W95" s="60" t="str">
        <f t="shared" si="8"/>
        <v>K5142HT</v>
      </c>
      <c r="X95" s="60" t="str">
        <f t="shared" si="12"/>
        <v>Textured Wool Baseball</v>
      </c>
      <c r="AC95" s="51">
        <f t="shared" si="13"/>
        <v>3</v>
      </c>
      <c r="AD95" s="44">
        <f t="shared" si="14"/>
        <v>49</v>
      </c>
      <c r="AE95" s="51">
        <f t="shared" si="15"/>
        <v>3049</v>
      </c>
    </row>
    <row r="96" spans="1:31">
      <c r="A96" s="60" t="str">
        <f t="shared" si="9"/>
        <v>K5143HTnavy check</v>
      </c>
      <c r="B96" s="60" t="str">
        <f t="shared" si="10"/>
        <v>03-050-16</v>
      </c>
      <c r="C96" s="72" t="s">
        <v>1175</v>
      </c>
      <c r="D96" s="72" t="s">
        <v>1176</v>
      </c>
      <c r="E96" s="72" t="s">
        <v>1058</v>
      </c>
      <c r="F96" s="73">
        <v>60</v>
      </c>
      <c r="G96" s="73" t="s">
        <v>1177</v>
      </c>
      <c r="H96" s="72" t="s">
        <v>55</v>
      </c>
      <c r="I96" s="72" t="s">
        <v>1178</v>
      </c>
      <c r="J96" s="72" t="s">
        <v>327</v>
      </c>
      <c r="K96" s="72" t="s">
        <v>382</v>
      </c>
      <c r="L96" s="72" t="s">
        <v>988</v>
      </c>
      <c r="M96" s="72" t="s">
        <v>388</v>
      </c>
      <c r="N96" s="72" t="s">
        <v>44</v>
      </c>
      <c r="O96" s="72" t="s">
        <v>533</v>
      </c>
      <c r="P96" s="72" t="s">
        <v>973</v>
      </c>
      <c r="Q96" s="72" t="s">
        <v>1179</v>
      </c>
      <c r="R96" s="72" t="s">
        <v>71</v>
      </c>
      <c r="V96" s="60" t="str">
        <f t="shared" si="11"/>
        <v>K5143HTтемно-синий</v>
      </c>
      <c r="W96" s="60" t="str">
        <f t="shared" si="8"/>
        <v>K5143HT</v>
      </c>
      <c r="X96" s="60" t="str">
        <f t="shared" si="12"/>
        <v>Pattern Flexfit Baseball</v>
      </c>
      <c r="AC96" s="51">
        <f t="shared" si="13"/>
        <v>3</v>
      </c>
      <c r="AD96" s="44">
        <f t="shared" si="14"/>
        <v>50</v>
      </c>
      <c r="AE96" s="51">
        <f t="shared" si="15"/>
        <v>3050</v>
      </c>
    </row>
    <row r="97" spans="1:31">
      <c r="A97" s="60" t="str">
        <f t="shared" si="9"/>
        <v>K5143HTnavy check</v>
      </c>
      <c r="B97" s="60" t="str">
        <f t="shared" si="10"/>
        <v>03-050-16</v>
      </c>
      <c r="C97" s="72" t="s">
        <v>1180</v>
      </c>
      <c r="D97" s="72" t="s">
        <v>1176</v>
      </c>
      <c r="E97" s="72" t="s">
        <v>1053</v>
      </c>
      <c r="F97" s="73">
        <v>56</v>
      </c>
      <c r="G97" s="73" t="s">
        <v>1177</v>
      </c>
      <c r="H97" s="72" t="s">
        <v>55</v>
      </c>
      <c r="I97" s="72" t="s">
        <v>1178</v>
      </c>
      <c r="J97" s="72" t="s">
        <v>327</v>
      </c>
      <c r="K97" s="72" t="s">
        <v>382</v>
      </c>
      <c r="L97" s="72" t="s">
        <v>988</v>
      </c>
      <c r="M97" s="72" t="s">
        <v>388</v>
      </c>
      <c r="N97" s="72" t="s">
        <v>44</v>
      </c>
      <c r="O97" s="72" t="s">
        <v>533</v>
      </c>
      <c r="P97" s="72" t="s">
        <v>973</v>
      </c>
      <c r="Q97" s="72" t="s">
        <v>1179</v>
      </c>
      <c r="R97" s="72" t="s">
        <v>71</v>
      </c>
      <c r="V97" s="60" t="str">
        <f t="shared" si="11"/>
        <v>K5143HTтемно-синий</v>
      </c>
      <c r="W97" s="60" t="str">
        <f t="shared" si="8"/>
        <v>K5143HT</v>
      </c>
      <c r="X97" s="60" t="str">
        <f t="shared" si="12"/>
        <v>Pattern Flexfit Baseball</v>
      </c>
      <c r="AC97" s="51">
        <f t="shared" si="13"/>
        <v>3</v>
      </c>
      <c r="AD97" s="44">
        <f t="shared" si="14"/>
        <v>50</v>
      </c>
      <c r="AE97" s="51">
        <f t="shared" si="15"/>
        <v>3050</v>
      </c>
    </row>
    <row r="98" spans="1:31">
      <c r="A98" s="60" t="str">
        <f t="shared" si="9"/>
        <v>K5143HTwaffle marl</v>
      </c>
      <c r="B98" s="60" t="str">
        <f t="shared" si="10"/>
        <v>03-050-08</v>
      </c>
      <c r="C98" s="72" t="s">
        <v>1181</v>
      </c>
      <c r="D98" s="72" t="s">
        <v>1182</v>
      </c>
      <c r="E98" s="72" t="s">
        <v>1053</v>
      </c>
      <c r="F98" s="73">
        <v>56</v>
      </c>
      <c r="G98" s="73" t="s">
        <v>1177</v>
      </c>
      <c r="H98" s="72" t="s">
        <v>83</v>
      </c>
      <c r="I98" s="72" t="s">
        <v>1183</v>
      </c>
      <c r="J98" s="72" t="s">
        <v>327</v>
      </c>
      <c r="K98" s="72" t="s">
        <v>382</v>
      </c>
      <c r="L98" s="72" t="s">
        <v>988</v>
      </c>
      <c r="M98" s="72" t="s">
        <v>388</v>
      </c>
      <c r="N98" s="72" t="s">
        <v>44</v>
      </c>
      <c r="O98" s="72" t="s">
        <v>533</v>
      </c>
      <c r="P98" s="72" t="s">
        <v>973</v>
      </c>
      <c r="Q98" s="72" t="s">
        <v>1184</v>
      </c>
      <c r="R98" s="72" t="s">
        <v>83</v>
      </c>
      <c r="V98" s="60" t="str">
        <f t="shared" si="11"/>
        <v>K5143HTсерый</v>
      </c>
      <c r="W98" s="60" t="str">
        <f t="shared" si="8"/>
        <v>K5143HT</v>
      </c>
      <c r="X98" s="60" t="str">
        <f t="shared" si="12"/>
        <v>Pattern Flexfit Baseball</v>
      </c>
      <c r="AC98" s="51">
        <f t="shared" si="13"/>
        <v>3</v>
      </c>
      <c r="AD98" s="44">
        <f t="shared" si="14"/>
        <v>50</v>
      </c>
      <c r="AE98" s="51">
        <f t="shared" si="15"/>
        <v>3050</v>
      </c>
    </row>
    <row r="99" spans="1:31">
      <c r="A99" s="60" t="str">
        <f t="shared" si="9"/>
        <v>K5143HTwaffle marl</v>
      </c>
      <c r="B99" s="60" t="str">
        <f t="shared" si="10"/>
        <v>03-050-08</v>
      </c>
      <c r="C99" s="72" t="s">
        <v>1185</v>
      </c>
      <c r="D99" s="72" t="s">
        <v>1182</v>
      </c>
      <c r="E99" s="72" t="s">
        <v>1058</v>
      </c>
      <c r="F99" s="73">
        <v>60</v>
      </c>
      <c r="G99" s="73" t="s">
        <v>1177</v>
      </c>
      <c r="H99" s="72" t="s">
        <v>83</v>
      </c>
      <c r="I99" s="72" t="s">
        <v>1183</v>
      </c>
      <c r="J99" s="72" t="s">
        <v>327</v>
      </c>
      <c r="K99" s="72" t="s">
        <v>382</v>
      </c>
      <c r="L99" s="72" t="s">
        <v>988</v>
      </c>
      <c r="M99" s="72" t="s">
        <v>388</v>
      </c>
      <c r="N99" s="72" t="s">
        <v>44</v>
      </c>
      <c r="O99" s="72" t="s">
        <v>533</v>
      </c>
      <c r="P99" s="72" t="s">
        <v>973</v>
      </c>
      <c r="Q99" s="72" t="s">
        <v>1184</v>
      </c>
      <c r="R99" s="72" t="s">
        <v>83</v>
      </c>
      <c r="V99" s="60" t="str">
        <f t="shared" si="11"/>
        <v>K5143HTсерый</v>
      </c>
      <c r="W99" s="60" t="str">
        <f t="shared" si="8"/>
        <v>K5143HT</v>
      </c>
      <c r="X99" s="60" t="str">
        <f t="shared" si="12"/>
        <v>Pattern Flexfit Baseball</v>
      </c>
      <c r="AC99" s="51">
        <f t="shared" si="13"/>
        <v>3</v>
      </c>
      <c r="AD99" s="44">
        <f t="shared" si="14"/>
        <v>50</v>
      </c>
      <c r="AE99" s="51">
        <f t="shared" si="15"/>
        <v>3050</v>
      </c>
    </row>
    <row r="100" spans="1:31">
      <c r="A100" s="60" t="str">
        <f t="shared" si="9"/>
        <v>0248HTblack</v>
      </c>
      <c r="B100" s="60" t="str">
        <f t="shared" si="10"/>
        <v>03-044-09</v>
      </c>
      <c r="C100" s="72" t="s">
        <v>1186</v>
      </c>
      <c r="D100" s="72" t="s">
        <v>1187</v>
      </c>
      <c r="E100" s="72" t="s">
        <v>1032</v>
      </c>
      <c r="F100" s="73">
        <v>55</v>
      </c>
      <c r="G100" s="73" t="s">
        <v>1104</v>
      </c>
      <c r="H100" s="72" t="s">
        <v>53</v>
      </c>
      <c r="I100" s="72" t="s">
        <v>1105</v>
      </c>
      <c r="J100" s="72" t="s">
        <v>334</v>
      </c>
      <c r="K100" s="72" t="s">
        <v>382</v>
      </c>
      <c r="L100" s="72" t="s">
        <v>988</v>
      </c>
      <c r="M100" s="72" t="s">
        <v>388</v>
      </c>
      <c r="N100" s="72" t="s">
        <v>44</v>
      </c>
      <c r="O100" s="72" t="s">
        <v>386</v>
      </c>
      <c r="P100" s="72" t="s">
        <v>808</v>
      </c>
      <c r="Q100" s="72" t="s">
        <v>1005</v>
      </c>
      <c r="R100" s="72" t="s">
        <v>53</v>
      </c>
      <c r="V100" s="60" t="str">
        <f t="shared" si="11"/>
        <v>0248HTчерный</v>
      </c>
      <c r="W100" s="60" t="str">
        <f t="shared" si="8"/>
        <v>0248HT</v>
      </c>
      <c r="X100" s="60" t="str">
        <f t="shared" si="12"/>
        <v>Wool Monty</v>
      </c>
      <c r="AC100" s="51">
        <f t="shared" si="13"/>
        <v>3</v>
      </c>
      <c r="AD100" s="44">
        <f t="shared" si="14"/>
        <v>44</v>
      </c>
      <c r="AE100" s="51">
        <f t="shared" si="15"/>
        <v>3044</v>
      </c>
    </row>
    <row r="101" spans="1:31">
      <c r="A101" s="60" t="str">
        <f t="shared" si="9"/>
        <v>0248HTblack</v>
      </c>
      <c r="B101" s="60" t="str">
        <f t="shared" si="10"/>
        <v>03-044-09</v>
      </c>
      <c r="C101" s="72" t="s">
        <v>1188</v>
      </c>
      <c r="D101" s="72" t="s">
        <v>1187</v>
      </c>
      <c r="E101" s="72" t="s">
        <v>969</v>
      </c>
      <c r="F101" s="73">
        <v>57</v>
      </c>
      <c r="G101" s="73" t="s">
        <v>1104</v>
      </c>
      <c r="H101" s="72" t="s">
        <v>53</v>
      </c>
      <c r="I101" s="72" t="s">
        <v>1105</v>
      </c>
      <c r="J101" s="72" t="s">
        <v>334</v>
      </c>
      <c r="K101" s="72" t="s">
        <v>382</v>
      </c>
      <c r="L101" s="72" t="s">
        <v>988</v>
      </c>
      <c r="M101" s="72" t="s">
        <v>388</v>
      </c>
      <c r="N101" s="72" t="s">
        <v>44</v>
      </c>
      <c r="O101" s="72" t="s">
        <v>386</v>
      </c>
      <c r="P101" s="72" t="s">
        <v>808</v>
      </c>
      <c r="Q101" s="72" t="s">
        <v>1005</v>
      </c>
      <c r="R101" s="72" t="s">
        <v>53</v>
      </c>
      <c r="V101" s="60" t="str">
        <f t="shared" si="11"/>
        <v>0248HTчерный</v>
      </c>
      <c r="W101" s="60" t="str">
        <f t="shared" si="8"/>
        <v>0248HT</v>
      </c>
      <c r="X101" s="60" t="str">
        <f t="shared" si="12"/>
        <v>Wool Monty</v>
      </c>
      <c r="AC101" s="51">
        <f t="shared" si="13"/>
        <v>3</v>
      </c>
      <c r="AD101" s="44">
        <f t="shared" si="14"/>
        <v>44</v>
      </c>
      <c r="AE101" s="51">
        <f t="shared" si="15"/>
        <v>3044</v>
      </c>
    </row>
    <row r="102" spans="1:31">
      <c r="A102" s="60" t="str">
        <f t="shared" si="9"/>
        <v>0248HTblack</v>
      </c>
      <c r="B102" s="60" t="str">
        <f t="shared" si="10"/>
        <v>03-044-09</v>
      </c>
      <c r="C102" s="72" t="s">
        <v>1189</v>
      </c>
      <c r="D102" s="72" t="s">
        <v>1187</v>
      </c>
      <c r="E102" s="72" t="s">
        <v>976</v>
      </c>
      <c r="F102" s="73">
        <v>59</v>
      </c>
      <c r="G102" s="73" t="s">
        <v>1104</v>
      </c>
      <c r="H102" s="72" t="s">
        <v>53</v>
      </c>
      <c r="I102" s="72" t="s">
        <v>1105</v>
      </c>
      <c r="J102" s="72" t="s">
        <v>334</v>
      </c>
      <c r="K102" s="72" t="s">
        <v>382</v>
      </c>
      <c r="L102" s="72" t="s">
        <v>988</v>
      </c>
      <c r="M102" s="72" t="s">
        <v>388</v>
      </c>
      <c r="N102" s="72" t="s">
        <v>44</v>
      </c>
      <c r="O102" s="72" t="s">
        <v>386</v>
      </c>
      <c r="P102" s="72" t="s">
        <v>808</v>
      </c>
      <c r="Q102" s="72" t="s">
        <v>1005</v>
      </c>
      <c r="R102" s="72" t="s">
        <v>53</v>
      </c>
      <c r="V102" s="60" t="str">
        <f t="shared" si="11"/>
        <v>0248HTчерный</v>
      </c>
      <c r="W102" s="60" t="str">
        <f t="shared" si="8"/>
        <v>0248HT</v>
      </c>
      <c r="X102" s="60" t="str">
        <f t="shared" si="12"/>
        <v>Wool Monty</v>
      </c>
      <c r="AC102" s="51">
        <f t="shared" si="13"/>
        <v>3</v>
      </c>
      <c r="AD102" s="44">
        <f t="shared" si="14"/>
        <v>44</v>
      </c>
      <c r="AE102" s="51">
        <f t="shared" si="15"/>
        <v>3044</v>
      </c>
    </row>
    <row r="103" spans="1:31">
      <c r="A103" s="60" t="str">
        <f t="shared" si="9"/>
        <v>0248HTblack</v>
      </c>
      <c r="B103" s="60" t="str">
        <f t="shared" si="10"/>
        <v>03-044-09</v>
      </c>
      <c r="C103" s="72" t="s">
        <v>1190</v>
      </c>
      <c r="D103" s="72" t="s">
        <v>1187</v>
      </c>
      <c r="E103" s="72" t="s">
        <v>1030</v>
      </c>
      <c r="F103" s="73">
        <v>61</v>
      </c>
      <c r="G103" s="73" t="s">
        <v>1104</v>
      </c>
      <c r="H103" s="72" t="s">
        <v>53</v>
      </c>
      <c r="I103" s="72" t="s">
        <v>1105</v>
      </c>
      <c r="J103" s="72" t="s">
        <v>334</v>
      </c>
      <c r="K103" s="72" t="s">
        <v>382</v>
      </c>
      <c r="L103" s="72" t="s">
        <v>988</v>
      </c>
      <c r="M103" s="72" t="s">
        <v>388</v>
      </c>
      <c r="N103" s="72" t="s">
        <v>44</v>
      </c>
      <c r="O103" s="72" t="s">
        <v>386</v>
      </c>
      <c r="P103" s="72" t="s">
        <v>808</v>
      </c>
      <c r="Q103" s="72" t="s">
        <v>1005</v>
      </c>
      <c r="R103" s="72" t="s">
        <v>53</v>
      </c>
      <c r="V103" s="60" t="str">
        <f t="shared" si="11"/>
        <v>0248HTчерный</v>
      </c>
      <c r="W103" s="60" t="str">
        <f t="shared" si="8"/>
        <v>0248HT</v>
      </c>
      <c r="X103" s="60" t="str">
        <f t="shared" si="12"/>
        <v>Wool Monty</v>
      </c>
      <c r="AC103" s="51">
        <f t="shared" si="13"/>
        <v>3</v>
      </c>
      <c r="AD103" s="44">
        <f t="shared" si="14"/>
        <v>44</v>
      </c>
      <c r="AE103" s="51">
        <f t="shared" si="15"/>
        <v>3044</v>
      </c>
    </row>
    <row r="104" spans="1:31">
      <c r="A104" s="60" t="str">
        <f t="shared" si="9"/>
        <v>0259BCnavy</v>
      </c>
      <c r="B104" s="60" t="str">
        <f t="shared" si="10"/>
        <v>03-015-16</v>
      </c>
      <c r="C104" s="72" t="s">
        <v>1191</v>
      </c>
      <c r="D104" s="72" t="s">
        <v>1192</v>
      </c>
      <c r="E104" s="72" t="s">
        <v>1032</v>
      </c>
      <c r="F104" s="73">
        <v>55</v>
      </c>
      <c r="G104" s="73" t="s">
        <v>1193</v>
      </c>
      <c r="H104" s="72" t="s">
        <v>55</v>
      </c>
      <c r="I104" s="72" t="s">
        <v>1194</v>
      </c>
      <c r="J104" s="72" t="s">
        <v>348</v>
      </c>
      <c r="K104" s="72" t="s">
        <v>382</v>
      </c>
      <c r="L104" s="72" t="s">
        <v>988</v>
      </c>
      <c r="M104" s="72" t="s">
        <v>388</v>
      </c>
      <c r="N104" s="72" t="s">
        <v>44</v>
      </c>
      <c r="O104" s="72" t="s">
        <v>539</v>
      </c>
      <c r="P104" s="72" t="s">
        <v>973</v>
      </c>
      <c r="Q104" s="72" t="s">
        <v>1017</v>
      </c>
      <c r="R104" s="72" t="s">
        <v>71</v>
      </c>
      <c r="V104" s="60" t="str">
        <f t="shared" si="11"/>
        <v>0259BCтемно-синий</v>
      </c>
      <c r="W104" s="60" t="str">
        <f t="shared" si="8"/>
        <v>0259BC</v>
      </c>
      <c r="X104" s="60" t="str">
        <f t="shared" si="12"/>
        <v>Wool Spitfire</v>
      </c>
      <c r="AC104" s="51">
        <f t="shared" si="13"/>
        <v>3</v>
      </c>
      <c r="AD104" s="44">
        <f t="shared" si="14"/>
        <v>15</v>
      </c>
      <c r="AE104" s="51">
        <f t="shared" si="15"/>
        <v>3015</v>
      </c>
    </row>
    <row r="105" spans="1:31">
      <c r="A105" s="60" t="str">
        <f t="shared" si="9"/>
        <v>0259BCnavy</v>
      </c>
      <c r="B105" s="60" t="str">
        <f t="shared" si="10"/>
        <v>03-015-16</v>
      </c>
      <c r="C105" s="72" t="s">
        <v>1195</v>
      </c>
      <c r="D105" s="72" t="s">
        <v>1192</v>
      </c>
      <c r="E105" s="72" t="s">
        <v>976</v>
      </c>
      <c r="F105" s="73">
        <v>59</v>
      </c>
      <c r="G105" s="73" t="s">
        <v>1193</v>
      </c>
      <c r="H105" s="72" t="s">
        <v>55</v>
      </c>
      <c r="I105" s="72" t="s">
        <v>1194</v>
      </c>
      <c r="J105" s="72" t="s">
        <v>348</v>
      </c>
      <c r="K105" s="72" t="s">
        <v>382</v>
      </c>
      <c r="L105" s="72" t="s">
        <v>988</v>
      </c>
      <c r="M105" s="72" t="s">
        <v>388</v>
      </c>
      <c r="N105" s="72" t="s">
        <v>44</v>
      </c>
      <c r="O105" s="72" t="s">
        <v>539</v>
      </c>
      <c r="P105" s="72" t="s">
        <v>973</v>
      </c>
      <c r="Q105" s="72" t="s">
        <v>1017</v>
      </c>
      <c r="R105" s="72" t="s">
        <v>71</v>
      </c>
      <c r="V105" s="60" t="str">
        <f t="shared" si="11"/>
        <v>0259BCтемно-синий</v>
      </c>
      <c r="W105" s="60" t="str">
        <f t="shared" si="8"/>
        <v>0259BC</v>
      </c>
      <c r="X105" s="60" t="str">
        <f t="shared" si="12"/>
        <v>Wool Spitfire</v>
      </c>
      <c r="AC105" s="51">
        <f t="shared" si="13"/>
        <v>3</v>
      </c>
      <c r="AD105" s="44">
        <f t="shared" si="14"/>
        <v>15</v>
      </c>
      <c r="AE105" s="51">
        <f t="shared" si="15"/>
        <v>3015</v>
      </c>
    </row>
    <row r="106" spans="1:31">
      <c r="A106" s="60" t="str">
        <f t="shared" si="9"/>
        <v>0259BCnavy</v>
      </c>
      <c r="B106" s="60" t="str">
        <f t="shared" si="10"/>
        <v>03-015-16</v>
      </c>
      <c r="C106" s="72" t="s">
        <v>1196</v>
      </c>
      <c r="D106" s="72" t="s">
        <v>1192</v>
      </c>
      <c r="E106" s="72" t="s">
        <v>969</v>
      </c>
      <c r="F106" s="73">
        <v>57</v>
      </c>
      <c r="G106" s="73" t="s">
        <v>1193</v>
      </c>
      <c r="H106" s="72" t="s">
        <v>55</v>
      </c>
      <c r="I106" s="72" t="s">
        <v>1194</v>
      </c>
      <c r="J106" s="72" t="s">
        <v>348</v>
      </c>
      <c r="K106" s="72" t="s">
        <v>382</v>
      </c>
      <c r="L106" s="72" t="s">
        <v>988</v>
      </c>
      <c r="M106" s="72" t="s">
        <v>388</v>
      </c>
      <c r="N106" s="72" t="s">
        <v>44</v>
      </c>
      <c r="O106" s="72" t="s">
        <v>539</v>
      </c>
      <c r="P106" s="72" t="s">
        <v>973</v>
      </c>
      <c r="Q106" s="72" t="s">
        <v>1017</v>
      </c>
      <c r="R106" s="72" t="s">
        <v>71</v>
      </c>
      <c r="V106" s="60" t="str">
        <f t="shared" si="11"/>
        <v>0259BCтемно-синий</v>
      </c>
      <c r="W106" s="60" t="str">
        <f t="shared" si="8"/>
        <v>0259BC</v>
      </c>
      <c r="X106" s="60" t="str">
        <f t="shared" si="12"/>
        <v>Wool Spitfire</v>
      </c>
      <c r="AC106" s="51">
        <f t="shared" si="13"/>
        <v>3</v>
      </c>
      <c r="AD106" s="44">
        <f t="shared" si="14"/>
        <v>15</v>
      </c>
      <c r="AE106" s="51">
        <f t="shared" si="15"/>
        <v>3015</v>
      </c>
    </row>
    <row r="107" spans="1:31">
      <c r="A107" s="60" t="str">
        <f t="shared" si="9"/>
        <v>0259BCnavy</v>
      </c>
      <c r="B107" s="60" t="str">
        <f t="shared" si="10"/>
        <v>03-015-16</v>
      </c>
      <c r="C107" s="72" t="s">
        <v>1197</v>
      </c>
      <c r="D107" s="72" t="s">
        <v>1192</v>
      </c>
      <c r="E107" s="72" t="s">
        <v>1030</v>
      </c>
      <c r="F107" s="73">
        <v>61</v>
      </c>
      <c r="G107" s="73" t="s">
        <v>1193</v>
      </c>
      <c r="H107" s="72" t="s">
        <v>55</v>
      </c>
      <c r="I107" s="72" t="s">
        <v>1194</v>
      </c>
      <c r="J107" s="72" t="s">
        <v>348</v>
      </c>
      <c r="K107" s="72" t="s">
        <v>382</v>
      </c>
      <c r="L107" s="72" t="s">
        <v>988</v>
      </c>
      <c r="M107" s="72" t="s">
        <v>388</v>
      </c>
      <c r="N107" s="72" t="s">
        <v>44</v>
      </c>
      <c r="O107" s="72" t="s">
        <v>539</v>
      </c>
      <c r="P107" s="72" t="s">
        <v>973</v>
      </c>
      <c r="Q107" s="72" t="s">
        <v>1017</v>
      </c>
      <c r="R107" s="72" t="s">
        <v>71</v>
      </c>
      <c r="V107" s="60" t="str">
        <f t="shared" si="11"/>
        <v>0259BCтемно-синий</v>
      </c>
      <c r="W107" s="60" t="str">
        <f t="shared" si="8"/>
        <v>0259BC</v>
      </c>
      <c r="X107" s="60" t="str">
        <f t="shared" si="12"/>
        <v>Wool Spitfire</v>
      </c>
      <c r="AC107" s="51">
        <f t="shared" si="13"/>
        <v>3</v>
      </c>
      <c r="AD107" s="44">
        <f t="shared" si="14"/>
        <v>15</v>
      </c>
      <c r="AE107" s="51">
        <f t="shared" si="15"/>
        <v>3015</v>
      </c>
    </row>
    <row r="108" spans="1:31">
      <c r="A108" s="60" t="str">
        <f t="shared" si="9"/>
        <v>K3164HTblack</v>
      </c>
      <c r="B108" s="60" t="str">
        <f t="shared" si="10"/>
        <v>03-046-09</v>
      </c>
      <c r="C108" s="72" t="s">
        <v>1198</v>
      </c>
      <c r="D108" s="72" t="s">
        <v>1199</v>
      </c>
      <c r="E108" s="72" t="s">
        <v>1032</v>
      </c>
      <c r="F108" s="73">
        <v>55</v>
      </c>
      <c r="G108" s="73" t="s">
        <v>1152</v>
      </c>
      <c r="H108" s="72" t="s">
        <v>53</v>
      </c>
      <c r="I108" s="72" t="s">
        <v>1132</v>
      </c>
      <c r="J108" s="72" t="s">
        <v>318</v>
      </c>
      <c r="K108" s="72" t="s">
        <v>382</v>
      </c>
      <c r="L108" s="72" t="s">
        <v>988</v>
      </c>
      <c r="M108" s="72" t="s">
        <v>388</v>
      </c>
      <c r="N108" s="72" t="s">
        <v>44</v>
      </c>
      <c r="O108" s="72" t="s">
        <v>539</v>
      </c>
      <c r="P108" s="72" t="s">
        <v>973</v>
      </c>
      <c r="Q108" s="72" t="s">
        <v>1005</v>
      </c>
      <c r="R108" s="72" t="s">
        <v>53</v>
      </c>
      <c r="V108" s="60" t="str">
        <f t="shared" si="11"/>
        <v>K3164HTчерный</v>
      </c>
      <c r="W108" s="60" t="str">
        <f t="shared" si="8"/>
        <v>K3164HT</v>
      </c>
      <c r="X108" s="60" t="str">
        <f t="shared" si="12"/>
        <v>Wool Hawker</v>
      </c>
      <c r="AC108" s="51">
        <f t="shared" si="13"/>
        <v>3</v>
      </c>
      <c r="AD108" s="44">
        <f t="shared" si="14"/>
        <v>46</v>
      </c>
      <c r="AE108" s="51">
        <f t="shared" si="15"/>
        <v>3046</v>
      </c>
    </row>
    <row r="109" spans="1:31">
      <c r="A109" s="60" t="str">
        <f t="shared" si="9"/>
        <v>K3164HTblack</v>
      </c>
      <c r="B109" s="60" t="str">
        <f t="shared" si="10"/>
        <v>03-046-09</v>
      </c>
      <c r="C109" s="72" t="s">
        <v>1200</v>
      </c>
      <c r="D109" s="72" t="s">
        <v>1199</v>
      </c>
      <c r="E109" s="72" t="s">
        <v>969</v>
      </c>
      <c r="F109" s="73">
        <v>57</v>
      </c>
      <c r="G109" s="73" t="s">
        <v>1152</v>
      </c>
      <c r="H109" s="72" t="s">
        <v>53</v>
      </c>
      <c r="I109" s="72" t="s">
        <v>1132</v>
      </c>
      <c r="J109" s="72" t="s">
        <v>318</v>
      </c>
      <c r="K109" s="72" t="s">
        <v>382</v>
      </c>
      <c r="L109" s="72" t="s">
        <v>988</v>
      </c>
      <c r="M109" s="72" t="s">
        <v>388</v>
      </c>
      <c r="N109" s="72" t="s">
        <v>44</v>
      </c>
      <c r="O109" s="72" t="s">
        <v>539</v>
      </c>
      <c r="P109" s="72" t="s">
        <v>973</v>
      </c>
      <c r="Q109" s="72" t="s">
        <v>1005</v>
      </c>
      <c r="R109" s="72" t="s">
        <v>53</v>
      </c>
      <c r="V109" s="60" t="str">
        <f t="shared" si="11"/>
        <v>K3164HTчерный</v>
      </c>
      <c r="W109" s="60" t="str">
        <f t="shared" si="8"/>
        <v>K3164HT</v>
      </c>
      <c r="X109" s="60" t="str">
        <f t="shared" si="12"/>
        <v>Wool Hawker</v>
      </c>
      <c r="AC109" s="51">
        <f t="shared" si="13"/>
        <v>3</v>
      </c>
      <c r="AD109" s="44">
        <f t="shared" si="14"/>
        <v>46</v>
      </c>
      <c r="AE109" s="51">
        <f t="shared" si="15"/>
        <v>3046</v>
      </c>
    </row>
    <row r="110" spans="1:31">
      <c r="A110" s="60" t="str">
        <f t="shared" si="9"/>
        <v>K3164HTblack</v>
      </c>
      <c r="B110" s="60" t="str">
        <f t="shared" si="10"/>
        <v>03-046-09</v>
      </c>
      <c r="C110" s="72" t="s">
        <v>1201</v>
      </c>
      <c r="D110" s="72" t="s">
        <v>1199</v>
      </c>
      <c r="E110" s="72" t="s">
        <v>976</v>
      </c>
      <c r="F110" s="73">
        <v>59</v>
      </c>
      <c r="G110" s="73" t="s">
        <v>1152</v>
      </c>
      <c r="H110" s="72" t="s">
        <v>53</v>
      </c>
      <c r="I110" s="72" t="s">
        <v>1132</v>
      </c>
      <c r="J110" s="72" t="s">
        <v>318</v>
      </c>
      <c r="K110" s="72" t="s">
        <v>382</v>
      </c>
      <c r="L110" s="72" t="s">
        <v>988</v>
      </c>
      <c r="M110" s="72" t="s">
        <v>388</v>
      </c>
      <c r="N110" s="72" t="s">
        <v>44</v>
      </c>
      <c r="O110" s="72" t="s">
        <v>539</v>
      </c>
      <c r="P110" s="72" t="s">
        <v>973</v>
      </c>
      <c r="Q110" s="72" t="s">
        <v>1005</v>
      </c>
      <c r="R110" s="72" t="s">
        <v>53</v>
      </c>
      <c r="V110" s="60" t="str">
        <f t="shared" si="11"/>
        <v>K3164HTчерный</v>
      </c>
      <c r="W110" s="60" t="str">
        <f t="shared" si="8"/>
        <v>K3164HT</v>
      </c>
      <c r="X110" s="60" t="str">
        <f t="shared" si="12"/>
        <v>Wool Hawker</v>
      </c>
      <c r="AC110" s="51">
        <f t="shared" si="13"/>
        <v>3</v>
      </c>
      <c r="AD110" s="44">
        <f t="shared" si="14"/>
        <v>46</v>
      </c>
      <c r="AE110" s="51">
        <f t="shared" si="15"/>
        <v>3046</v>
      </c>
    </row>
    <row r="111" spans="1:31">
      <c r="A111" s="60" t="str">
        <f t="shared" si="9"/>
        <v>K3164HTblack</v>
      </c>
      <c r="B111" s="60" t="str">
        <f t="shared" si="10"/>
        <v>03-046-09</v>
      </c>
      <c r="C111" s="72" t="s">
        <v>1202</v>
      </c>
      <c r="D111" s="72" t="s">
        <v>1199</v>
      </c>
      <c r="E111" s="72" t="s">
        <v>1030</v>
      </c>
      <c r="F111" s="73">
        <v>61</v>
      </c>
      <c r="G111" s="73" t="s">
        <v>1152</v>
      </c>
      <c r="H111" s="72" t="s">
        <v>53</v>
      </c>
      <c r="I111" s="72" t="s">
        <v>1132</v>
      </c>
      <c r="J111" s="72" t="s">
        <v>318</v>
      </c>
      <c r="K111" s="72" t="s">
        <v>382</v>
      </c>
      <c r="L111" s="72" t="s">
        <v>988</v>
      </c>
      <c r="M111" s="72" t="s">
        <v>388</v>
      </c>
      <c r="N111" s="72" t="s">
        <v>44</v>
      </c>
      <c r="O111" s="72" t="s">
        <v>539</v>
      </c>
      <c r="P111" s="72" t="s">
        <v>973</v>
      </c>
      <c r="Q111" s="72" t="s">
        <v>1005</v>
      </c>
      <c r="R111" s="72" t="s">
        <v>53</v>
      </c>
      <c r="V111" s="60" t="str">
        <f t="shared" si="11"/>
        <v>K3164HTчерный</v>
      </c>
      <c r="W111" s="60" t="str">
        <f t="shared" si="8"/>
        <v>K3164HT</v>
      </c>
      <c r="X111" s="60" t="str">
        <f t="shared" si="12"/>
        <v>Wool Hawker</v>
      </c>
      <c r="AC111" s="51">
        <f t="shared" si="13"/>
        <v>3</v>
      </c>
      <c r="AD111" s="44">
        <f t="shared" si="14"/>
        <v>46</v>
      </c>
      <c r="AE111" s="51">
        <f t="shared" si="15"/>
        <v>3046</v>
      </c>
    </row>
    <row r="112" spans="1:31">
      <c r="A112" s="60" t="str">
        <f t="shared" si="9"/>
        <v>K3164HThunter mix</v>
      </c>
      <c r="B112" s="60" t="str">
        <f t="shared" si="10"/>
        <v>03-046-11</v>
      </c>
      <c r="C112" s="72" t="s">
        <v>1203</v>
      </c>
      <c r="D112" s="72" t="s">
        <v>1204</v>
      </c>
      <c r="E112" s="72" t="s">
        <v>1032</v>
      </c>
      <c r="F112" s="73">
        <v>55</v>
      </c>
      <c r="G112" s="73" t="s">
        <v>1152</v>
      </c>
      <c r="H112" s="72" t="s">
        <v>60</v>
      </c>
      <c r="I112" s="72" t="s">
        <v>1132</v>
      </c>
      <c r="J112" s="72" t="s">
        <v>318</v>
      </c>
      <c r="K112" s="72" t="s">
        <v>382</v>
      </c>
      <c r="L112" s="72" t="s">
        <v>988</v>
      </c>
      <c r="M112" s="72" t="s">
        <v>388</v>
      </c>
      <c r="N112" s="72" t="s">
        <v>44</v>
      </c>
      <c r="O112" s="72" t="s">
        <v>539</v>
      </c>
      <c r="P112" s="72" t="s">
        <v>973</v>
      </c>
      <c r="Q112" s="72" t="s">
        <v>1205</v>
      </c>
      <c r="R112" s="72" t="s">
        <v>60</v>
      </c>
      <c r="V112" s="60" t="str">
        <f t="shared" si="11"/>
        <v>K3164HTзеленый</v>
      </c>
      <c r="W112" s="60" t="str">
        <f t="shared" si="8"/>
        <v>K3164HT</v>
      </c>
      <c r="X112" s="60" t="str">
        <f t="shared" si="12"/>
        <v>Wool Hawker</v>
      </c>
      <c r="AC112" s="51">
        <f t="shared" si="13"/>
        <v>3</v>
      </c>
      <c r="AD112" s="44">
        <f t="shared" si="14"/>
        <v>46</v>
      </c>
      <c r="AE112" s="51">
        <f t="shared" si="15"/>
        <v>3046</v>
      </c>
    </row>
    <row r="113" spans="1:31">
      <c r="A113" s="60" t="str">
        <f t="shared" si="9"/>
        <v>K3164HThunter mix</v>
      </c>
      <c r="B113" s="60" t="str">
        <f t="shared" si="10"/>
        <v>03-046-11</v>
      </c>
      <c r="C113" s="72" t="s">
        <v>1206</v>
      </c>
      <c r="D113" s="72" t="s">
        <v>1204</v>
      </c>
      <c r="E113" s="72" t="s">
        <v>969</v>
      </c>
      <c r="F113" s="73">
        <v>57</v>
      </c>
      <c r="G113" s="73" t="s">
        <v>1152</v>
      </c>
      <c r="H113" s="72" t="s">
        <v>60</v>
      </c>
      <c r="I113" s="72" t="s">
        <v>1132</v>
      </c>
      <c r="J113" s="72" t="s">
        <v>318</v>
      </c>
      <c r="K113" s="72" t="s">
        <v>382</v>
      </c>
      <c r="L113" s="72" t="s">
        <v>988</v>
      </c>
      <c r="M113" s="72" t="s">
        <v>388</v>
      </c>
      <c r="N113" s="72" t="s">
        <v>44</v>
      </c>
      <c r="O113" s="72" t="s">
        <v>539</v>
      </c>
      <c r="P113" s="72" t="s">
        <v>973</v>
      </c>
      <c r="Q113" s="72" t="s">
        <v>1205</v>
      </c>
      <c r="R113" s="72" t="s">
        <v>60</v>
      </c>
      <c r="V113" s="60" t="str">
        <f t="shared" si="11"/>
        <v>K3164HTзеленый</v>
      </c>
      <c r="W113" s="60" t="str">
        <f t="shared" si="8"/>
        <v>K3164HT</v>
      </c>
      <c r="X113" s="60" t="str">
        <f t="shared" si="12"/>
        <v>Wool Hawker</v>
      </c>
      <c r="AC113" s="51">
        <f t="shared" si="13"/>
        <v>3</v>
      </c>
      <c r="AD113" s="44">
        <f t="shared" si="14"/>
        <v>46</v>
      </c>
      <c r="AE113" s="51">
        <f t="shared" si="15"/>
        <v>3046</v>
      </c>
    </row>
    <row r="114" spans="1:31">
      <c r="A114" s="60" t="str">
        <f t="shared" si="9"/>
        <v>K3164HThunter mix</v>
      </c>
      <c r="B114" s="60" t="str">
        <f t="shared" si="10"/>
        <v>03-046-11</v>
      </c>
      <c r="C114" s="72" t="s">
        <v>1207</v>
      </c>
      <c r="D114" s="72" t="s">
        <v>1204</v>
      </c>
      <c r="E114" s="72" t="s">
        <v>976</v>
      </c>
      <c r="F114" s="73">
        <v>59</v>
      </c>
      <c r="G114" s="73" t="s">
        <v>1152</v>
      </c>
      <c r="H114" s="72" t="s">
        <v>60</v>
      </c>
      <c r="I114" s="72" t="s">
        <v>1132</v>
      </c>
      <c r="J114" s="72" t="s">
        <v>318</v>
      </c>
      <c r="K114" s="72" t="s">
        <v>382</v>
      </c>
      <c r="L114" s="72" t="s">
        <v>988</v>
      </c>
      <c r="M114" s="72" t="s">
        <v>388</v>
      </c>
      <c r="N114" s="72" t="s">
        <v>44</v>
      </c>
      <c r="O114" s="72" t="s">
        <v>539</v>
      </c>
      <c r="P114" s="72" t="s">
        <v>973</v>
      </c>
      <c r="Q114" s="72" t="s">
        <v>1205</v>
      </c>
      <c r="R114" s="72" t="s">
        <v>60</v>
      </c>
      <c r="V114" s="60" t="str">
        <f t="shared" si="11"/>
        <v>K3164HTзеленый</v>
      </c>
      <c r="W114" s="60" t="str">
        <f t="shared" si="8"/>
        <v>K3164HT</v>
      </c>
      <c r="X114" s="60" t="str">
        <f t="shared" si="12"/>
        <v>Wool Hawker</v>
      </c>
      <c r="AC114" s="51">
        <f t="shared" si="13"/>
        <v>3</v>
      </c>
      <c r="AD114" s="44">
        <f t="shared" si="14"/>
        <v>46</v>
      </c>
      <c r="AE114" s="51">
        <f t="shared" si="15"/>
        <v>3046</v>
      </c>
    </row>
    <row r="115" spans="1:31">
      <c r="A115" s="60" t="str">
        <f t="shared" si="9"/>
        <v>K3164HThunter mix</v>
      </c>
      <c r="B115" s="60" t="str">
        <f t="shared" si="10"/>
        <v>03-046-11</v>
      </c>
      <c r="C115" s="72" t="s">
        <v>1208</v>
      </c>
      <c r="D115" s="72" t="s">
        <v>1204</v>
      </c>
      <c r="E115" s="72" t="s">
        <v>1030</v>
      </c>
      <c r="F115" s="73">
        <v>61</v>
      </c>
      <c r="G115" s="73" t="s">
        <v>1152</v>
      </c>
      <c r="H115" s="72" t="s">
        <v>60</v>
      </c>
      <c r="I115" s="72" t="s">
        <v>1132</v>
      </c>
      <c r="J115" s="72" t="s">
        <v>318</v>
      </c>
      <c r="K115" s="72" t="s">
        <v>382</v>
      </c>
      <c r="L115" s="72" t="s">
        <v>988</v>
      </c>
      <c r="M115" s="72" t="s">
        <v>388</v>
      </c>
      <c r="N115" s="72" t="s">
        <v>44</v>
      </c>
      <c r="O115" s="72" t="s">
        <v>539</v>
      </c>
      <c r="P115" s="72" t="s">
        <v>973</v>
      </c>
      <c r="Q115" s="72" t="s">
        <v>1205</v>
      </c>
      <c r="R115" s="72" t="s">
        <v>60</v>
      </c>
      <c r="V115" s="60" t="str">
        <f t="shared" si="11"/>
        <v>K3164HTзеленый</v>
      </c>
      <c r="W115" s="60" t="str">
        <f t="shared" si="8"/>
        <v>K3164HT</v>
      </c>
      <c r="X115" s="60" t="str">
        <f t="shared" si="12"/>
        <v>Wool Hawker</v>
      </c>
      <c r="AC115" s="51">
        <f t="shared" si="13"/>
        <v>3</v>
      </c>
      <c r="AD115" s="44">
        <f t="shared" si="14"/>
        <v>46</v>
      </c>
      <c r="AE115" s="51">
        <f t="shared" si="15"/>
        <v>3046</v>
      </c>
    </row>
    <row r="116" spans="1:31">
      <c r="A116" s="60" t="str">
        <f t="shared" si="9"/>
        <v>K3167HTblack/wood</v>
      </c>
      <c r="B116" s="60" t="str">
        <f t="shared" si="10"/>
        <v>03-047-96</v>
      </c>
      <c r="C116" s="72" t="s">
        <v>1209</v>
      </c>
      <c r="D116" s="72" t="s">
        <v>1210</v>
      </c>
      <c r="E116" s="72" t="s">
        <v>969</v>
      </c>
      <c r="F116" s="73">
        <v>57</v>
      </c>
      <c r="G116" s="73" t="s">
        <v>1158</v>
      </c>
      <c r="H116" s="72" t="s">
        <v>301</v>
      </c>
      <c r="I116" s="72" t="s">
        <v>1159</v>
      </c>
      <c r="J116" s="72" t="s">
        <v>324</v>
      </c>
      <c r="K116" s="72" t="s">
        <v>382</v>
      </c>
      <c r="L116" s="72" t="s">
        <v>988</v>
      </c>
      <c r="M116" s="72" t="s">
        <v>388</v>
      </c>
      <c r="N116" s="72" t="s">
        <v>44</v>
      </c>
      <c r="O116" s="72" t="s">
        <v>539</v>
      </c>
      <c r="P116" s="72" t="s">
        <v>973</v>
      </c>
      <c r="Q116" s="72" t="s">
        <v>1211</v>
      </c>
      <c r="R116" s="72" t="s">
        <v>53</v>
      </c>
      <c r="V116" s="60" t="str">
        <f t="shared" si="11"/>
        <v>K3167HTчерный / коричневый</v>
      </c>
      <c r="W116" s="60" t="str">
        <f t="shared" si="8"/>
        <v>K3167HT</v>
      </c>
      <c r="X116" s="60" t="str">
        <f t="shared" si="12"/>
        <v>Code Stripe 504</v>
      </c>
      <c r="AC116" s="51">
        <f t="shared" si="13"/>
        <v>3</v>
      </c>
      <c r="AD116" s="44">
        <f t="shared" si="14"/>
        <v>47</v>
      </c>
      <c r="AE116" s="51">
        <f t="shared" si="15"/>
        <v>3047</v>
      </c>
    </row>
    <row r="117" spans="1:31">
      <c r="A117" s="60" t="str">
        <f t="shared" si="9"/>
        <v>K3167HTblack/wood</v>
      </c>
      <c r="B117" s="60" t="str">
        <f t="shared" si="10"/>
        <v>03-047-96</v>
      </c>
      <c r="C117" s="72" t="s">
        <v>1212</v>
      </c>
      <c r="D117" s="72" t="s">
        <v>1210</v>
      </c>
      <c r="E117" s="72" t="s">
        <v>976</v>
      </c>
      <c r="F117" s="73">
        <v>59</v>
      </c>
      <c r="G117" s="73" t="s">
        <v>1158</v>
      </c>
      <c r="H117" s="72" t="s">
        <v>301</v>
      </c>
      <c r="I117" s="72" t="s">
        <v>1159</v>
      </c>
      <c r="J117" s="72" t="s">
        <v>324</v>
      </c>
      <c r="K117" s="72" t="s">
        <v>382</v>
      </c>
      <c r="L117" s="72" t="s">
        <v>988</v>
      </c>
      <c r="M117" s="72" t="s">
        <v>388</v>
      </c>
      <c r="N117" s="72" t="s">
        <v>44</v>
      </c>
      <c r="O117" s="72" t="s">
        <v>539</v>
      </c>
      <c r="P117" s="72" t="s">
        <v>973</v>
      </c>
      <c r="Q117" s="72" t="s">
        <v>1211</v>
      </c>
      <c r="R117" s="72" t="s">
        <v>53</v>
      </c>
      <c r="V117" s="60" t="str">
        <f t="shared" si="11"/>
        <v>K3167HTчерный / коричневый</v>
      </c>
      <c r="W117" s="60" t="str">
        <f t="shared" si="8"/>
        <v>K3167HT</v>
      </c>
      <c r="X117" s="60" t="str">
        <f t="shared" si="12"/>
        <v>Code Stripe 504</v>
      </c>
      <c r="AC117" s="51">
        <f t="shared" si="13"/>
        <v>3</v>
      </c>
      <c r="AD117" s="44">
        <f t="shared" si="14"/>
        <v>47</v>
      </c>
      <c r="AE117" s="51">
        <f t="shared" si="15"/>
        <v>3047</v>
      </c>
    </row>
    <row r="118" spans="1:31">
      <c r="A118" s="60" t="str">
        <f t="shared" si="9"/>
        <v>K3119HTblack</v>
      </c>
      <c r="B118" s="60" t="str">
        <f t="shared" si="10"/>
        <v>03-051-09</v>
      </c>
      <c r="C118" s="72" t="s">
        <v>1213</v>
      </c>
      <c r="D118" s="72" t="s">
        <v>1214</v>
      </c>
      <c r="E118" s="72" t="s">
        <v>909</v>
      </c>
      <c r="F118" s="73">
        <v>0</v>
      </c>
      <c r="G118" s="73" t="s">
        <v>1215</v>
      </c>
      <c r="H118" s="72" t="s">
        <v>53</v>
      </c>
      <c r="I118" s="72" t="s">
        <v>1105</v>
      </c>
      <c r="J118" s="72" t="s">
        <v>340</v>
      </c>
      <c r="K118" s="72" t="s">
        <v>390</v>
      </c>
      <c r="L118" s="72" t="s">
        <v>988</v>
      </c>
      <c r="M118" s="72" t="s">
        <v>389</v>
      </c>
      <c r="N118" s="72" t="s">
        <v>44</v>
      </c>
      <c r="O118" s="72" t="s">
        <v>539</v>
      </c>
      <c r="P118" s="72" t="s">
        <v>973</v>
      </c>
      <c r="Q118" s="72" t="s">
        <v>1005</v>
      </c>
      <c r="R118" s="72" t="s">
        <v>53</v>
      </c>
      <c r="V118" s="60" t="str">
        <f t="shared" si="11"/>
        <v>K3119HTчерный</v>
      </c>
      <c r="W118" s="60" t="str">
        <f t="shared" si="8"/>
        <v>K3119HT</v>
      </c>
      <c r="X118" s="60" t="str">
        <f t="shared" si="12"/>
        <v>Reefer Cuff</v>
      </c>
      <c r="AC118" s="51">
        <f t="shared" si="13"/>
        <v>3</v>
      </c>
      <c r="AD118" s="44">
        <f t="shared" si="14"/>
        <v>51</v>
      </c>
      <c r="AE118" s="51">
        <f t="shared" si="15"/>
        <v>3051</v>
      </c>
    </row>
    <row r="119" spans="1:31">
      <c r="A119" s="60" t="str">
        <f t="shared" si="9"/>
        <v>K3119HTdark blue</v>
      </c>
      <c r="B119" s="60" t="str">
        <f t="shared" si="10"/>
        <v>03-051-16</v>
      </c>
      <c r="C119" s="72" t="s">
        <v>1216</v>
      </c>
      <c r="D119" s="72" t="s">
        <v>1217</v>
      </c>
      <c r="E119" s="72" t="s">
        <v>909</v>
      </c>
      <c r="F119" s="73">
        <v>0</v>
      </c>
      <c r="G119" s="73" t="s">
        <v>1215</v>
      </c>
      <c r="H119" s="72" t="s">
        <v>55</v>
      </c>
      <c r="I119" s="72" t="s">
        <v>1105</v>
      </c>
      <c r="J119" s="72" t="s">
        <v>340</v>
      </c>
      <c r="K119" s="72" t="s">
        <v>390</v>
      </c>
      <c r="L119" s="72" t="s">
        <v>988</v>
      </c>
      <c r="M119" s="72" t="s">
        <v>389</v>
      </c>
      <c r="N119" s="72" t="s">
        <v>44</v>
      </c>
      <c r="O119" s="72" t="s">
        <v>539</v>
      </c>
      <c r="P119" s="72" t="s">
        <v>973</v>
      </c>
      <c r="Q119" s="72" t="s">
        <v>1106</v>
      </c>
      <c r="R119" s="72" t="s">
        <v>71</v>
      </c>
      <c r="V119" s="60" t="str">
        <f t="shared" si="11"/>
        <v>K3119HTтемно-синий</v>
      </c>
      <c r="W119" s="60" t="str">
        <f t="shared" si="8"/>
        <v>K3119HT</v>
      </c>
      <c r="X119" s="60" t="str">
        <f t="shared" si="12"/>
        <v>Reefer Cuff</v>
      </c>
      <c r="AC119" s="51">
        <f t="shared" si="13"/>
        <v>3</v>
      </c>
      <c r="AD119" s="44">
        <f t="shared" si="14"/>
        <v>51</v>
      </c>
      <c r="AE119" s="51">
        <f t="shared" si="15"/>
        <v>3051</v>
      </c>
    </row>
    <row r="120" spans="1:31">
      <c r="A120" s="60" t="str">
        <f t="shared" si="9"/>
        <v>K4180STblack</v>
      </c>
      <c r="B120" s="60" t="str">
        <f t="shared" si="10"/>
        <v>03-052-09</v>
      </c>
      <c r="C120" s="72" t="s">
        <v>1218</v>
      </c>
      <c r="D120" s="72" t="s">
        <v>1219</v>
      </c>
      <c r="E120" s="72" t="s">
        <v>909</v>
      </c>
      <c r="F120" s="73">
        <v>0</v>
      </c>
      <c r="G120" s="73" t="s">
        <v>1220</v>
      </c>
      <c r="H120" s="72" t="s">
        <v>53</v>
      </c>
      <c r="I120" s="72" t="s">
        <v>1221</v>
      </c>
      <c r="J120" s="72" t="s">
        <v>340</v>
      </c>
      <c r="K120" s="72" t="s">
        <v>390</v>
      </c>
      <c r="L120" s="72" t="s">
        <v>972</v>
      </c>
      <c r="M120" s="72" t="s">
        <v>389</v>
      </c>
      <c r="N120" s="72" t="s">
        <v>46</v>
      </c>
      <c r="O120" s="72" t="s">
        <v>386</v>
      </c>
      <c r="P120" s="72" t="s">
        <v>973</v>
      </c>
      <c r="Q120" s="72" t="s">
        <v>1005</v>
      </c>
      <c r="R120" s="72" t="s">
        <v>53</v>
      </c>
      <c r="V120" s="60" t="str">
        <f t="shared" si="11"/>
        <v>K4180STчерный</v>
      </c>
      <c r="W120" s="60" t="str">
        <f t="shared" si="8"/>
        <v>K4180ST</v>
      </c>
      <c r="X120" s="60" t="str">
        <f t="shared" si="12"/>
        <v>Gold Beanie</v>
      </c>
      <c r="AC120" s="51">
        <f t="shared" si="13"/>
        <v>3</v>
      </c>
      <c r="AD120" s="44">
        <f t="shared" si="14"/>
        <v>52</v>
      </c>
      <c r="AE120" s="51">
        <f t="shared" si="15"/>
        <v>3052</v>
      </c>
    </row>
    <row r="121" spans="1:31">
      <c r="A121" s="60" t="str">
        <f t="shared" si="9"/>
        <v>K3020STblack</v>
      </c>
      <c r="B121" s="60" t="str">
        <f t="shared" si="10"/>
        <v>03-053-09</v>
      </c>
      <c r="C121" s="72" t="s">
        <v>1222</v>
      </c>
      <c r="D121" s="72" t="s">
        <v>1223</v>
      </c>
      <c r="E121" s="72" t="s">
        <v>909</v>
      </c>
      <c r="F121" s="73">
        <v>0</v>
      </c>
      <c r="G121" s="73" t="s">
        <v>1224</v>
      </c>
      <c r="H121" s="72" t="s">
        <v>53</v>
      </c>
      <c r="I121" s="72" t="s">
        <v>1221</v>
      </c>
      <c r="J121" s="72" t="s">
        <v>340</v>
      </c>
      <c r="K121" s="72" t="s">
        <v>390</v>
      </c>
      <c r="L121" s="72" t="s">
        <v>972</v>
      </c>
      <c r="M121" s="72" t="s">
        <v>389</v>
      </c>
      <c r="N121" s="72" t="s">
        <v>46</v>
      </c>
      <c r="O121" s="72" t="s">
        <v>539</v>
      </c>
      <c r="P121" s="72" t="s">
        <v>973</v>
      </c>
      <c r="Q121" s="72" t="s">
        <v>1005</v>
      </c>
      <c r="R121" s="72" t="s">
        <v>53</v>
      </c>
      <c r="V121" s="60" t="str">
        <f t="shared" si="11"/>
        <v>K3020STчерный</v>
      </c>
      <c r="W121" s="60" t="str">
        <f t="shared" si="8"/>
        <v>K3020ST</v>
      </c>
      <c r="X121" s="60" t="str">
        <f t="shared" si="12"/>
        <v>Patch Beanie</v>
      </c>
      <c r="AC121" s="51">
        <f t="shared" si="13"/>
        <v>3</v>
      </c>
      <c r="AD121" s="44">
        <f t="shared" si="14"/>
        <v>53</v>
      </c>
      <c r="AE121" s="51">
        <f t="shared" si="15"/>
        <v>3053</v>
      </c>
    </row>
    <row r="122" spans="1:31">
      <c r="A122" s="60" t="str">
        <f t="shared" si="9"/>
        <v>K3020STnavy</v>
      </c>
      <c r="B122" s="60" t="str">
        <f t="shared" si="10"/>
        <v>03-053-16</v>
      </c>
      <c r="C122" s="72" t="s">
        <v>1225</v>
      </c>
      <c r="D122" s="72" t="s">
        <v>1226</v>
      </c>
      <c r="E122" s="72" t="s">
        <v>909</v>
      </c>
      <c r="F122" s="73">
        <v>0</v>
      </c>
      <c r="G122" s="73" t="s">
        <v>1224</v>
      </c>
      <c r="H122" s="72" t="s">
        <v>55</v>
      </c>
      <c r="I122" s="72" t="s">
        <v>1221</v>
      </c>
      <c r="J122" s="72" t="s">
        <v>340</v>
      </c>
      <c r="K122" s="72" t="s">
        <v>390</v>
      </c>
      <c r="L122" s="72" t="s">
        <v>972</v>
      </c>
      <c r="M122" s="72" t="s">
        <v>389</v>
      </c>
      <c r="N122" s="72" t="s">
        <v>46</v>
      </c>
      <c r="O122" s="72" t="s">
        <v>539</v>
      </c>
      <c r="P122" s="72" t="s">
        <v>973</v>
      </c>
      <c r="Q122" s="72" t="s">
        <v>1017</v>
      </c>
      <c r="R122" s="72" t="s">
        <v>71</v>
      </c>
      <c r="V122" s="60" t="str">
        <f t="shared" si="11"/>
        <v>K3020STтемно-синий</v>
      </c>
      <c r="W122" s="60" t="str">
        <f t="shared" si="8"/>
        <v>K3020ST</v>
      </c>
      <c r="X122" s="60" t="str">
        <f t="shared" si="12"/>
        <v>Patch Beanie</v>
      </c>
      <c r="AC122" s="51">
        <f t="shared" si="13"/>
        <v>3</v>
      </c>
      <c r="AD122" s="44">
        <f t="shared" si="14"/>
        <v>53</v>
      </c>
      <c r="AE122" s="51">
        <f t="shared" si="15"/>
        <v>3053</v>
      </c>
    </row>
    <row r="123" spans="1:31">
      <c r="A123" s="60" t="str">
        <f t="shared" si="9"/>
        <v>K3020STlight flannel</v>
      </c>
      <c r="B123" s="60" t="str">
        <f t="shared" si="10"/>
        <v>03-053-08</v>
      </c>
      <c r="C123" s="72" t="s">
        <v>1227</v>
      </c>
      <c r="D123" s="72" t="s">
        <v>1228</v>
      </c>
      <c r="E123" s="72" t="s">
        <v>909</v>
      </c>
      <c r="F123" s="73">
        <v>0</v>
      </c>
      <c r="G123" s="73" t="s">
        <v>1224</v>
      </c>
      <c r="H123" s="72" t="s">
        <v>83</v>
      </c>
      <c r="I123" s="72" t="s">
        <v>1221</v>
      </c>
      <c r="J123" s="72" t="s">
        <v>340</v>
      </c>
      <c r="K123" s="72" t="s">
        <v>390</v>
      </c>
      <c r="L123" s="72" t="s">
        <v>972</v>
      </c>
      <c r="M123" s="72" t="s">
        <v>389</v>
      </c>
      <c r="N123" s="72" t="s">
        <v>46</v>
      </c>
      <c r="O123" s="72" t="s">
        <v>539</v>
      </c>
      <c r="P123" s="72" t="s">
        <v>973</v>
      </c>
      <c r="Q123" s="72" t="s">
        <v>1229</v>
      </c>
      <c r="R123" s="72" t="s">
        <v>83</v>
      </c>
      <c r="V123" s="60" t="str">
        <f t="shared" si="11"/>
        <v>K3020STсерый</v>
      </c>
      <c r="W123" s="60" t="str">
        <f t="shared" si="8"/>
        <v>K3020ST</v>
      </c>
      <c r="X123" s="60" t="str">
        <f t="shared" si="12"/>
        <v>Patch Beanie</v>
      </c>
      <c r="AC123" s="51">
        <f t="shared" si="13"/>
        <v>3</v>
      </c>
      <c r="AD123" s="44">
        <f t="shared" si="14"/>
        <v>53</v>
      </c>
      <c r="AE123" s="51">
        <f t="shared" si="15"/>
        <v>3053</v>
      </c>
    </row>
    <row r="124" spans="1:31">
      <c r="A124" s="60" t="str">
        <f t="shared" si="9"/>
        <v>K5206HTnavy</v>
      </c>
      <c r="B124" s="60" t="str">
        <f t="shared" si="10"/>
        <v>03-054-16</v>
      </c>
      <c r="C124" s="72" t="s">
        <v>1230</v>
      </c>
      <c r="D124" s="72" t="s">
        <v>1231</v>
      </c>
      <c r="E124" s="72" t="s">
        <v>1058</v>
      </c>
      <c r="F124" s="73">
        <v>60</v>
      </c>
      <c r="G124" s="73" t="s">
        <v>1232</v>
      </c>
      <c r="H124" s="72" t="s">
        <v>55</v>
      </c>
      <c r="I124" s="72" t="s">
        <v>1233</v>
      </c>
      <c r="J124" s="72" t="s">
        <v>327</v>
      </c>
      <c r="K124" s="72" t="s">
        <v>382</v>
      </c>
      <c r="L124" s="72" t="s">
        <v>988</v>
      </c>
      <c r="M124" s="72" t="s">
        <v>388</v>
      </c>
      <c r="N124" s="72" t="s">
        <v>43</v>
      </c>
      <c r="O124" s="72" t="s">
        <v>386</v>
      </c>
      <c r="P124" s="72" t="s">
        <v>973</v>
      </c>
      <c r="Q124" s="72" t="s">
        <v>1017</v>
      </c>
      <c r="R124" s="72" t="s">
        <v>71</v>
      </c>
      <c r="V124" s="60" t="str">
        <f t="shared" si="11"/>
        <v>K5206HTтемно-синий</v>
      </c>
      <c r="W124" s="60" t="str">
        <f t="shared" si="8"/>
        <v>K5206HT</v>
      </c>
      <c r="X124" s="60" t="str">
        <f t="shared" si="12"/>
        <v>Cord Baseball</v>
      </c>
      <c r="AC124" s="51">
        <f t="shared" si="13"/>
        <v>3</v>
      </c>
      <c r="AD124" s="44">
        <f t="shared" si="14"/>
        <v>54</v>
      </c>
      <c r="AE124" s="51">
        <f t="shared" si="15"/>
        <v>3054</v>
      </c>
    </row>
    <row r="125" spans="1:31">
      <c r="A125" s="60" t="str">
        <f t="shared" si="9"/>
        <v>K5206HTnavy</v>
      </c>
      <c r="B125" s="60" t="str">
        <f t="shared" si="10"/>
        <v>03-054-16</v>
      </c>
      <c r="C125" s="72" t="s">
        <v>1234</v>
      </c>
      <c r="D125" s="72" t="s">
        <v>1231</v>
      </c>
      <c r="E125" s="72" t="s">
        <v>909</v>
      </c>
      <c r="F125" s="73">
        <v>0</v>
      </c>
      <c r="G125" s="73" t="s">
        <v>1232</v>
      </c>
      <c r="H125" s="72" t="s">
        <v>55</v>
      </c>
      <c r="I125" s="72" t="s">
        <v>1233</v>
      </c>
      <c r="J125" s="72" t="s">
        <v>327</v>
      </c>
      <c r="K125" s="72" t="s">
        <v>382</v>
      </c>
      <c r="L125" s="72" t="s">
        <v>988</v>
      </c>
      <c r="M125" s="72" t="s">
        <v>388</v>
      </c>
      <c r="N125" s="72" t="s">
        <v>43</v>
      </c>
      <c r="O125" s="72" t="s">
        <v>386</v>
      </c>
      <c r="P125" s="72" t="s">
        <v>973</v>
      </c>
      <c r="Q125" s="72" t="s">
        <v>1017</v>
      </c>
      <c r="R125" s="72" t="s">
        <v>71</v>
      </c>
      <c r="V125" s="60" t="str">
        <f t="shared" si="11"/>
        <v>K5206HTтемно-синий</v>
      </c>
      <c r="W125" s="60" t="str">
        <f t="shared" si="8"/>
        <v>K5206HT</v>
      </c>
      <c r="X125" s="60" t="str">
        <f t="shared" si="12"/>
        <v>Cord Baseball</v>
      </c>
      <c r="AC125" s="51">
        <f t="shared" si="13"/>
        <v>3</v>
      </c>
      <c r="AD125" s="44">
        <f t="shared" si="14"/>
        <v>54</v>
      </c>
      <c r="AE125" s="51">
        <f t="shared" si="15"/>
        <v>3054</v>
      </c>
    </row>
    <row r="126" spans="1:31">
      <c r="A126" s="60" t="str">
        <f t="shared" si="9"/>
        <v>K5206HTbeige</v>
      </c>
      <c r="B126" s="60" t="str">
        <f t="shared" si="10"/>
        <v>03-054-02</v>
      </c>
      <c r="C126" s="72" t="s">
        <v>1235</v>
      </c>
      <c r="D126" s="72" t="s">
        <v>1236</v>
      </c>
      <c r="E126" s="72" t="s">
        <v>909</v>
      </c>
      <c r="F126" s="73">
        <v>0</v>
      </c>
      <c r="G126" s="73" t="s">
        <v>1232</v>
      </c>
      <c r="H126" s="72" t="s">
        <v>63</v>
      </c>
      <c r="I126" s="72" t="s">
        <v>910</v>
      </c>
      <c r="J126" s="72" t="s">
        <v>327</v>
      </c>
      <c r="K126" s="72" t="s">
        <v>382</v>
      </c>
      <c r="L126" s="72" t="s">
        <v>988</v>
      </c>
      <c r="M126" s="72" t="s">
        <v>388</v>
      </c>
      <c r="N126" s="72" t="s">
        <v>43</v>
      </c>
      <c r="O126" s="72" t="s">
        <v>386</v>
      </c>
      <c r="P126" s="72" t="s">
        <v>973</v>
      </c>
      <c r="Q126" s="72" t="s">
        <v>1085</v>
      </c>
      <c r="R126" s="72" t="s">
        <v>63</v>
      </c>
      <c r="V126" s="60" t="str">
        <f t="shared" si="11"/>
        <v>K5206HTбежевый</v>
      </c>
      <c r="W126" s="60" t="str">
        <f t="shared" si="8"/>
        <v>K5206HT</v>
      </c>
      <c r="X126" s="60" t="str">
        <f t="shared" si="12"/>
        <v>Cord Baseball</v>
      </c>
      <c r="AC126" s="51">
        <f t="shared" si="13"/>
        <v>3</v>
      </c>
      <c r="AD126" s="44">
        <f t="shared" si="14"/>
        <v>54</v>
      </c>
      <c r="AE126" s="51">
        <f t="shared" si="15"/>
        <v>3054</v>
      </c>
    </row>
    <row r="127" spans="1:31">
      <c r="A127" s="60" t="str">
        <f t="shared" si="9"/>
        <v>K5206HTforrester</v>
      </c>
      <c r="B127" s="60" t="str">
        <f t="shared" si="10"/>
        <v>03-054-11</v>
      </c>
      <c r="C127" s="72" t="s">
        <v>1237</v>
      </c>
      <c r="D127" s="72" t="s">
        <v>1238</v>
      </c>
      <c r="E127" s="72" t="s">
        <v>909</v>
      </c>
      <c r="F127" s="73">
        <v>0</v>
      </c>
      <c r="G127" s="73" t="s">
        <v>1232</v>
      </c>
      <c r="H127" s="72" t="s">
        <v>60</v>
      </c>
      <c r="I127" s="72" t="s">
        <v>910</v>
      </c>
      <c r="J127" s="72" t="s">
        <v>327</v>
      </c>
      <c r="K127" s="72" t="s">
        <v>382</v>
      </c>
      <c r="L127" s="72" t="s">
        <v>988</v>
      </c>
      <c r="M127" s="72" t="s">
        <v>388</v>
      </c>
      <c r="N127" s="72" t="s">
        <v>43</v>
      </c>
      <c r="O127" s="72" t="s">
        <v>386</v>
      </c>
      <c r="P127" s="72" t="s">
        <v>973</v>
      </c>
      <c r="Q127" s="72" t="s">
        <v>1112</v>
      </c>
      <c r="R127" s="72" t="s">
        <v>60</v>
      </c>
      <c r="V127" s="60" t="str">
        <f t="shared" si="11"/>
        <v>K5206HTзеленый</v>
      </c>
      <c r="W127" s="60" t="str">
        <f t="shared" si="8"/>
        <v>K5206HT</v>
      </c>
      <c r="X127" s="60" t="str">
        <f t="shared" si="12"/>
        <v>Cord Baseball</v>
      </c>
      <c r="AC127" s="51">
        <f t="shared" si="13"/>
        <v>3</v>
      </c>
      <c r="AD127" s="44">
        <f t="shared" si="14"/>
        <v>54</v>
      </c>
      <c r="AE127" s="51">
        <f t="shared" si="15"/>
        <v>3054</v>
      </c>
    </row>
    <row r="128" spans="1:31">
      <c r="A128" s="60" t="str">
        <f t="shared" si="9"/>
        <v>K5206HTblack</v>
      </c>
      <c r="B128" s="60" t="str">
        <f t="shared" si="10"/>
        <v>03-054-09</v>
      </c>
      <c r="C128" s="72" t="s">
        <v>1239</v>
      </c>
      <c r="D128" s="72" t="s">
        <v>1240</v>
      </c>
      <c r="E128" s="72" t="s">
        <v>909</v>
      </c>
      <c r="F128" s="73">
        <v>0</v>
      </c>
      <c r="G128" s="73" t="s">
        <v>1232</v>
      </c>
      <c r="H128" s="72" t="s">
        <v>53</v>
      </c>
      <c r="I128" s="72" t="s">
        <v>1233</v>
      </c>
      <c r="J128" s="72" t="s">
        <v>327</v>
      </c>
      <c r="K128" s="72" t="s">
        <v>382</v>
      </c>
      <c r="L128" s="72" t="s">
        <v>988</v>
      </c>
      <c r="M128" s="72" t="s">
        <v>388</v>
      </c>
      <c r="N128" s="72" t="s">
        <v>43</v>
      </c>
      <c r="O128" s="72" t="s">
        <v>386</v>
      </c>
      <c r="P128" s="72" t="s">
        <v>973</v>
      </c>
      <c r="Q128" s="72" t="s">
        <v>1005</v>
      </c>
      <c r="R128" s="72" t="s">
        <v>53</v>
      </c>
      <c r="V128" s="60" t="str">
        <f t="shared" si="11"/>
        <v>K5206HTчерный</v>
      </c>
      <c r="W128" s="60" t="str">
        <f t="shared" si="8"/>
        <v>K5206HT</v>
      </c>
      <c r="X128" s="60" t="str">
        <f t="shared" si="12"/>
        <v>Cord Baseball</v>
      </c>
      <c r="AC128" s="51">
        <f t="shared" si="13"/>
        <v>3</v>
      </c>
      <c r="AD128" s="44">
        <f t="shared" si="14"/>
        <v>54</v>
      </c>
      <c r="AE128" s="51">
        <f t="shared" si="15"/>
        <v>3054</v>
      </c>
    </row>
    <row r="129" spans="1:31">
      <c r="A129" s="60" t="str">
        <f t="shared" si="9"/>
        <v>K4177HTblack</v>
      </c>
      <c r="B129" s="60" t="str">
        <f t="shared" si="10"/>
        <v>03-055-09</v>
      </c>
      <c r="C129" s="72" t="s">
        <v>1241</v>
      </c>
      <c r="D129" s="72" t="s">
        <v>1242</v>
      </c>
      <c r="E129" s="72" t="s">
        <v>1032</v>
      </c>
      <c r="F129" s="73">
        <v>55</v>
      </c>
      <c r="G129" s="73" t="s">
        <v>1243</v>
      </c>
      <c r="H129" s="72" t="s">
        <v>53</v>
      </c>
      <c r="I129" s="72" t="s">
        <v>910</v>
      </c>
      <c r="J129" s="72" t="s">
        <v>318</v>
      </c>
      <c r="K129" s="72" t="s">
        <v>382</v>
      </c>
      <c r="L129" s="72" t="s">
        <v>988</v>
      </c>
      <c r="M129" s="72" t="s">
        <v>384</v>
      </c>
      <c r="N129" s="72" t="s">
        <v>1244</v>
      </c>
      <c r="O129" s="72" t="s">
        <v>386</v>
      </c>
      <c r="P129" s="72" t="s">
        <v>973</v>
      </c>
      <c r="Q129" s="72" t="s">
        <v>1005</v>
      </c>
      <c r="R129" s="72" t="s">
        <v>53</v>
      </c>
      <c r="V129" s="60" t="str">
        <f t="shared" si="11"/>
        <v>K4177HTчерный</v>
      </c>
      <c r="W129" s="60" t="str">
        <f t="shared" si="8"/>
        <v>K4177HT</v>
      </c>
      <c r="X129" s="60" t="str">
        <f t="shared" si="12"/>
        <v>Cord Hawker</v>
      </c>
      <c r="AC129" s="51">
        <f t="shared" si="13"/>
        <v>3</v>
      </c>
      <c r="AD129" s="44">
        <f t="shared" si="14"/>
        <v>55</v>
      </c>
      <c r="AE129" s="51">
        <f t="shared" si="15"/>
        <v>3055</v>
      </c>
    </row>
    <row r="130" spans="1:31">
      <c r="A130" s="60" t="str">
        <f t="shared" si="9"/>
        <v>K4177HTblack</v>
      </c>
      <c r="B130" s="60" t="str">
        <f t="shared" si="10"/>
        <v>03-055-09</v>
      </c>
      <c r="C130" s="72" t="s">
        <v>1245</v>
      </c>
      <c r="D130" s="72" t="s">
        <v>1242</v>
      </c>
      <c r="E130" s="72" t="s">
        <v>969</v>
      </c>
      <c r="F130" s="73">
        <v>57</v>
      </c>
      <c r="G130" s="73" t="s">
        <v>1243</v>
      </c>
      <c r="H130" s="72" t="s">
        <v>53</v>
      </c>
      <c r="I130" s="72" t="s">
        <v>910</v>
      </c>
      <c r="J130" s="72" t="s">
        <v>318</v>
      </c>
      <c r="K130" s="72" t="s">
        <v>382</v>
      </c>
      <c r="L130" s="72" t="s">
        <v>988</v>
      </c>
      <c r="M130" s="72" t="s">
        <v>384</v>
      </c>
      <c r="N130" s="72" t="s">
        <v>1244</v>
      </c>
      <c r="O130" s="72" t="s">
        <v>386</v>
      </c>
      <c r="P130" s="72" t="s">
        <v>973</v>
      </c>
      <c r="Q130" s="72" t="s">
        <v>1005</v>
      </c>
      <c r="R130" s="72" t="s">
        <v>53</v>
      </c>
      <c r="V130" s="60" t="str">
        <f t="shared" si="11"/>
        <v>K4177HTчерный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K4177HT</v>
      </c>
      <c r="X130" s="60" t="str">
        <f t="shared" si="12"/>
        <v>Cord Hawker</v>
      </c>
      <c r="AC130" s="51">
        <f t="shared" si="13"/>
        <v>3</v>
      </c>
      <c r="AD130" s="44">
        <f t="shared" si="14"/>
        <v>55</v>
      </c>
      <c r="AE130" s="51">
        <f t="shared" si="15"/>
        <v>3055</v>
      </c>
    </row>
    <row r="131" spans="1:31">
      <c r="A131" s="60" t="str">
        <f t="shared" ref="A131:A194" si="17">IF(G131&amp;Q131&lt;&gt;"",W131&amp;Q131,"")</f>
        <v>K4177HTblack</v>
      </c>
      <c r="B131" s="60" t="str">
        <f t="shared" ref="B131:B194" si="18">IF(C131&lt;&gt;"",LEFT(C131,9),"")</f>
        <v>03-055-09</v>
      </c>
      <c r="C131" s="72" t="s">
        <v>1246</v>
      </c>
      <c r="D131" s="72" t="s">
        <v>1242</v>
      </c>
      <c r="E131" s="72" t="s">
        <v>976</v>
      </c>
      <c r="F131" s="73">
        <v>59</v>
      </c>
      <c r="G131" s="73" t="s">
        <v>1243</v>
      </c>
      <c r="H131" s="72" t="s">
        <v>53</v>
      </c>
      <c r="I131" s="72" t="s">
        <v>910</v>
      </c>
      <c r="J131" s="72" t="s">
        <v>318</v>
      </c>
      <c r="K131" s="72" t="s">
        <v>382</v>
      </c>
      <c r="L131" s="72" t="s">
        <v>988</v>
      </c>
      <c r="M131" s="72" t="s">
        <v>384</v>
      </c>
      <c r="N131" s="72" t="s">
        <v>1244</v>
      </c>
      <c r="O131" s="72" t="s">
        <v>386</v>
      </c>
      <c r="P131" s="72" t="s">
        <v>973</v>
      </c>
      <c r="Q131" s="72" t="s">
        <v>1005</v>
      </c>
      <c r="R131" s="72" t="s">
        <v>53</v>
      </c>
      <c r="V131" s="60" t="str">
        <f t="shared" ref="V131:V194" si="19">W131&amp;H131</f>
        <v>K4177HTчерный</v>
      </c>
      <c r="W131" s="60" t="str">
        <f t="shared" si="16"/>
        <v>K4177HT</v>
      </c>
      <c r="X131" s="60" t="str">
        <f t="shared" ref="X131:X194" si="20">IF(A131&lt;&gt;"",IFERROR(IF(FIND(" ",G131)&gt;=1,MID(G131,FIND(" ",G131)+1,LEN(G131)),""),""),"")</f>
        <v>Cord Hawker</v>
      </c>
      <c r="AC131" s="51">
        <f t="shared" ref="AC131:AC194" si="21">IFERROR(VALUE(MID($C131,1,2)),0)</f>
        <v>3</v>
      </c>
      <c r="AD131" s="44">
        <f t="shared" ref="AD131:AD194" si="22">IFERROR(VALUE(MID($C131,4,3)),0)</f>
        <v>55</v>
      </c>
      <c r="AE131" s="51">
        <f t="shared" ref="AE131:AE194" si="23">VALUE(RIGHT("00"&amp;AC131,2)&amp;RIGHT("000"&amp;AD131,3))</f>
        <v>3055</v>
      </c>
    </row>
    <row r="132" spans="1:31">
      <c r="A132" s="60" t="str">
        <f t="shared" si="17"/>
        <v>K4177HTblack</v>
      </c>
      <c r="B132" s="60" t="str">
        <f t="shared" si="18"/>
        <v>03-055-09</v>
      </c>
      <c r="C132" s="72" t="s">
        <v>1247</v>
      </c>
      <c r="D132" s="72" t="s">
        <v>1242</v>
      </c>
      <c r="E132" s="72" t="s">
        <v>1030</v>
      </c>
      <c r="F132" s="73">
        <v>61</v>
      </c>
      <c r="G132" s="73" t="s">
        <v>1243</v>
      </c>
      <c r="H132" s="72" t="s">
        <v>53</v>
      </c>
      <c r="I132" s="72" t="s">
        <v>910</v>
      </c>
      <c r="J132" s="72" t="s">
        <v>318</v>
      </c>
      <c r="K132" s="72" t="s">
        <v>382</v>
      </c>
      <c r="L132" s="72" t="s">
        <v>988</v>
      </c>
      <c r="M132" s="72" t="s">
        <v>384</v>
      </c>
      <c r="N132" s="72" t="s">
        <v>1244</v>
      </c>
      <c r="O132" s="72" t="s">
        <v>386</v>
      </c>
      <c r="P132" s="72" t="s">
        <v>973</v>
      </c>
      <c r="Q132" s="72" t="s">
        <v>1005</v>
      </c>
      <c r="R132" s="72" t="s">
        <v>53</v>
      </c>
      <c r="V132" s="60" t="str">
        <f t="shared" si="19"/>
        <v>K4177HTчерный</v>
      </c>
      <c r="W132" s="60" t="str">
        <f t="shared" si="16"/>
        <v>K4177HT</v>
      </c>
      <c r="X132" s="60" t="str">
        <f t="shared" si="20"/>
        <v>Cord Hawker</v>
      </c>
      <c r="AC132" s="51">
        <f t="shared" si="21"/>
        <v>3</v>
      </c>
      <c r="AD132" s="44">
        <f t="shared" si="22"/>
        <v>55</v>
      </c>
      <c r="AE132" s="51">
        <f t="shared" si="23"/>
        <v>3055</v>
      </c>
    </row>
    <row r="133" spans="1:31">
      <c r="A133" s="60" t="str">
        <f t="shared" si="17"/>
        <v>K4177HTnavy</v>
      </c>
      <c r="B133" s="60" t="str">
        <f t="shared" si="18"/>
        <v>03-055-16</v>
      </c>
      <c r="C133" s="72" t="s">
        <v>1248</v>
      </c>
      <c r="D133" s="72" t="s">
        <v>1249</v>
      </c>
      <c r="E133" s="72" t="s">
        <v>1032</v>
      </c>
      <c r="F133" s="73">
        <v>55</v>
      </c>
      <c r="G133" s="73" t="s">
        <v>1243</v>
      </c>
      <c r="H133" s="72" t="s">
        <v>55</v>
      </c>
      <c r="I133" s="72" t="s">
        <v>910</v>
      </c>
      <c r="J133" s="72" t="s">
        <v>318</v>
      </c>
      <c r="K133" s="72" t="s">
        <v>382</v>
      </c>
      <c r="L133" s="72" t="s">
        <v>988</v>
      </c>
      <c r="M133" s="72" t="s">
        <v>388</v>
      </c>
      <c r="N133" s="72" t="s">
        <v>1244</v>
      </c>
      <c r="O133" s="72" t="s">
        <v>386</v>
      </c>
      <c r="P133" s="72" t="s">
        <v>973</v>
      </c>
      <c r="Q133" s="72" t="s">
        <v>1017</v>
      </c>
      <c r="R133" s="72" t="s">
        <v>71</v>
      </c>
      <c r="V133" s="60" t="str">
        <f t="shared" si="19"/>
        <v>K4177HTтемно-синий</v>
      </c>
      <c r="W133" s="60" t="str">
        <f t="shared" si="16"/>
        <v>K4177HT</v>
      </c>
      <c r="X133" s="60" t="str">
        <f t="shared" si="20"/>
        <v>Cord Hawker</v>
      </c>
      <c r="AC133" s="51">
        <f t="shared" si="21"/>
        <v>3</v>
      </c>
      <c r="AD133" s="44">
        <f t="shared" si="22"/>
        <v>55</v>
      </c>
      <c r="AE133" s="51">
        <f t="shared" si="23"/>
        <v>3055</v>
      </c>
    </row>
    <row r="134" spans="1:31">
      <c r="A134" s="60" t="str">
        <f t="shared" si="17"/>
        <v>K4177HTnavy</v>
      </c>
      <c r="B134" s="60" t="str">
        <f t="shared" si="18"/>
        <v>03-055-16</v>
      </c>
      <c r="C134" s="72" t="s">
        <v>1250</v>
      </c>
      <c r="D134" s="72" t="s">
        <v>1249</v>
      </c>
      <c r="E134" s="72" t="s">
        <v>969</v>
      </c>
      <c r="F134" s="73">
        <v>57</v>
      </c>
      <c r="G134" s="73" t="s">
        <v>1243</v>
      </c>
      <c r="H134" s="72" t="s">
        <v>55</v>
      </c>
      <c r="I134" s="72" t="s">
        <v>910</v>
      </c>
      <c r="J134" s="72" t="s">
        <v>318</v>
      </c>
      <c r="K134" s="72" t="s">
        <v>382</v>
      </c>
      <c r="L134" s="72" t="s">
        <v>988</v>
      </c>
      <c r="M134" s="72" t="s">
        <v>388</v>
      </c>
      <c r="N134" s="72" t="s">
        <v>1244</v>
      </c>
      <c r="O134" s="72" t="s">
        <v>386</v>
      </c>
      <c r="P134" s="72" t="s">
        <v>973</v>
      </c>
      <c r="Q134" s="72" t="s">
        <v>1017</v>
      </c>
      <c r="R134" s="72" t="s">
        <v>71</v>
      </c>
      <c r="V134" s="60" t="str">
        <f t="shared" si="19"/>
        <v>K4177HTтемно-синий</v>
      </c>
      <c r="W134" s="60" t="str">
        <f t="shared" si="16"/>
        <v>K4177HT</v>
      </c>
      <c r="X134" s="60" t="str">
        <f t="shared" si="20"/>
        <v>Cord Hawker</v>
      </c>
      <c r="AC134" s="51">
        <f t="shared" si="21"/>
        <v>3</v>
      </c>
      <c r="AD134" s="44">
        <f t="shared" si="22"/>
        <v>55</v>
      </c>
      <c r="AE134" s="51">
        <f t="shared" si="23"/>
        <v>3055</v>
      </c>
    </row>
    <row r="135" spans="1:31">
      <c r="A135" s="60" t="str">
        <f t="shared" si="17"/>
        <v>K4177HTnavy</v>
      </c>
      <c r="B135" s="60" t="str">
        <f t="shared" si="18"/>
        <v>03-055-16</v>
      </c>
      <c r="C135" s="72" t="s">
        <v>1251</v>
      </c>
      <c r="D135" s="72" t="s">
        <v>1249</v>
      </c>
      <c r="E135" s="72" t="s">
        <v>976</v>
      </c>
      <c r="F135" s="73">
        <v>59</v>
      </c>
      <c r="G135" s="73" t="s">
        <v>1243</v>
      </c>
      <c r="H135" s="72" t="s">
        <v>55</v>
      </c>
      <c r="I135" s="72" t="s">
        <v>910</v>
      </c>
      <c r="J135" s="72" t="s">
        <v>318</v>
      </c>
      <c r="K135" s="72" t="s">
        <v>382</v>
      </c>
      <c r="L135" s="72" t="s">
        <v>988</v>
      </c>
      <c r="M135" s="72" t="s">
        <v>388</v>
      </c>
      <c r="N135" s="72" t="s">
        <v>1244</v>
      </c>
      <c r="O135" s="72" t="s">
        <v>386</v>
      </c>
      <c r="P135" s="72" t="s">
        <v>973</v>
      </c>
      <c r="Q135" s="72" t="s">
        <v>1017</v>
      </c>
      <c r="R135" s="72" t="s">
        <v>71</v>
      </c>
      <c r="V135" s="60" t="str">
        <f t="shared" si="19"/>
        <v>K4177HTтемно-синий</v>
      </c>
      <c r="W135" s="60" t="str">
        <f t="shared" si="16"/>
        <v>K4177HT</v>
      </c>
      <c r="X135" s="60" t="str">
        <f t="shared" si="20"/>
        <v>Cord Hawker</v>
      </c>
      <c r="AC135" s="51">
        <f t="shared" si="21"/>
        <v>3</v>
      </c>
      <c r="AD135" s="44">
        <f t="shared" si="22"/>
        <v>55</v>
      </c>
      <c r="AE135" s="51">
        <f t="shared" si="23"/>
        <v>3055</v>
      </c>
    </row>
    <row r="136" spans="1:31">
      <c r="A136" s="60" t="str">
        <f t="shared" si="17"/>
        <v>K4177HTnavy</v>
      </c>
      <c r="B136" s="60" t="str">
        <f t="shared" si="18"/>
        <v>03-055-16</v>
      </c>
      <c r="C136" s="72" t="s">
        <v>1252</v>
      </c>
      <c r="D136" s="72" t="s">
        <v>1249</v>
      </c>
      <c r="E136" s="72" t="s">
        <v>1030</v>
      </c>
      <c r="F136" s="73">
        <v>61</v>
      </c>
      <c r="G136" s="73" t="s">
        <v>1243</v>
      </c>
      <c r="H136" s="72" t="s">
        <v>55</v>
      </c>
      <c r="I136" s="72" t="s">
        <v>910</v>
      </c>
      <c r="J136" s="72" t="s">
        <v>318</v>
      </c>
      <c r="K136" s="72" t="s">
        <v>382</v>
      </c>
      <c r="L136" s="72" t="s">
        <v>988</v>
      </c>
      <c r="M136" s="72" t="s">
        <v>388</v>
      </c>
      <c r="N136" s="72" t="s">
        <v>1244</v>
      </c>
      <c r="O136" s="72" t="s">
        <v>386</v>
      </c>
      <c r="P136" s="72" t="s">
        <v>973</v>
      </c>
      <c r="Q136" s="72" t="s">
        <v>1017</v>
      </c>
      <c r="R136" s="72" t="s">
        <v>71</v>
      </c>
      <c r="V136" s="60" t="str">
        <f t="shared" si="19"/>
        <v>K4177HTтемно-синий</v>
      </c>
      <c r="W136" s="60" t="str">
        <f t="shared" si="16"/>
        <v>K4177HT</v>
      </c>
      <c r="X136" s="60" t="str">
        <f t="shared" si="20"/>
        <v>Cord Hawker</v>
      </c>
      <c r="AC136" s="51">
        <f t="shared" si="21"/>
        <v>3</v>
      </c>
      <c r="AD136" s="44">
        <f t="shared" si="22"/>
        <v>55</v>
      </c>
      <c r="AE136" s="51">
        <f t="shared" si="23"/>
        <v>3055</v>
      </c>
    </row>
    <row r="137" spans="1:31">
      <c r="A137" s="60" t="str">
        <f t="shared" si="17"/>
        <v>0248HTred</v>
      </c>
      <c r="B137" s="60" t="str">
        <f t="shared" si="18"/>
        <v>03-044-18</v>
      </c>
      <c r="C137" s="72" t="s">
        <v>1253</v>
      </c>
      <c r="D137" s="72" t="s">
        <v>1254</v>
      </c>
      <c r="E137" s="72" t="s">
        <v>1032</v>
      </c>
      <c r="F137" s="73">
        <v>55</v>
      </c>
      <c r="G137" s="73" t="s">
        <v>1104</v>
      </c>
      <c r="H137" s="72" t="s">
        <v>78</v>
      </c>
      <c r="I137" s="72" t="s">
        <v>1105</v>
      </c>
      <c r="J137" s="72" t="s">
        <v>334</v>
      </c>
      <c r="K137" s="72" t="s">
        <v>387</v>
      </c>
      <c r="L137" s="72" t="s">
        <v>988</v>
      </c>
      <c r="M137" s="72" t="s">
        <v>388</v>
      </c>
      <c r="N137" s="72" t="s">
        <v>44</v>
      </c>
      <c r="O137" s="72" t="s">
        <v>386</v>
      </c>
      <c r="P137" s="72" t="s">
        <v>973</v>
      </c>
      <c r="Q137" s="72" t="s">
        <v>1255</v>
      </c>
      <c r="R137" s="72" t="s">
        <v>78</v>
      </c>
      <c r="V137" s="60" t="str">
        <f t="shared" si="19"/>
        <v>0248HTкрасный</v>
      </c>
      <c r="W137" s="60" t="str">
        <f t="shared" si="16"/>
        <v>0248HT</v>
      </c>
      <c r="X137" s="60" t="str">
        <f t="shared" si="20"/>
        <v>Wool Monty</v>
      </c>
      <c r="AC137" s="51">
        <f t="shared" si="21"/>
        <v>3</v>
      </c>
      <c r="AD137" s="44">
        <f t="shared" si="22"/>
        <v>44</v>
      </c>
      <c r="AE137" s="51">
        <f t="shared" si="23"/>
        <v>3044</v>
      </c>
    </row>
    <row r="138" spans="1:31">
      <c r="A138" s="60" t="str">
        <f t="shared" si="17"/>
        <v>0248HTred</v>
      </c>
      <c r="B138" s="60" t="str">
        <f t="shared" si="18"/>
        <v>03-044-18</v>
      </c>
      <c r="C138" s="72" t="s">
        <v>1256</v>
      </c>
      <c r="D138" s="72" t="s">
        <v>1254</v>
      </c>
      <c r="E138" s="72" t="s">
        <v>969</v>
      </c>
      <c r="F138" s="73">
        <v>57</v>
      </c>
      <c r="G138" s="73" t="s">
        <v>1104</v>
      </c>
      <c r="H138" s="72" t="s">
        <v>78</v>
      </c>
      <c r="I138" s="72" t="s">
        <v>1105</v>
      </c>
      <c r="J138" s="72" t="s">
        <v>334</v>
      </c>
      <c r="K138" s="72" t="s">
        <v>387</v>
      </c>
      <c r="L138" s="72" t="s">
        <v>988</v>
      </c>
      <c r="M138" s="72" t="s">
        <v>388</v>
      </c>
      <c r="N138" s="72" t="s">
        <v>44</v>
      </c>
      <c r="O138" s="72" t="s">
        <v>386</v>
      </c>
      <c r="P138" s="72" t="s">
        <v>973</v>
      </c>
      <c r="Q138" s="72" t="s">
        <v>1255</v>
      </c>
      <c r="R138" s="72" t="s">
        <v>78</v>
      </c>
      <c r="V138" s="60" t="str">
        <f t="shared" si="19"/>
        <v>0248HTкрасный</v>
      </c>
      <c r="W138" s="60" t="str">
        <f t="shared" si="16"/>
        <v>0248HT</v>
      </c>
      <c r="X138" s="60" t="str">
        <f t="shared" si="20"/>
        <v>Wool Monty</v>
      </c>
      <c r="AC138" s="51">
        <f t="shared" si="21"/>
        <v>3</v>
      </c>
      <c r="AD138" s="44">
        <f t="shared" si="22"/>
        <v>44</v>
      </c>
      <c r="AE138" s="51">
        <f t="shared" si="23"/>
        <v>3044</v>
      </c>
    </row>
    <row r="139" spans="1:31">
      <c r="A139" s="60" t="str">
        <f t="shared" si="17"/>
        <v>0248HTred</v>
      </c>
      <c r="B139" s="60" t="str">
        <f t="shared" si="18"/>
        <v>03-044-18</v>
      </c>
      <c r="C139" s="72" t="s">
        <v>1257</v>
      </c>
      <c r="D139" s="72" t="s">
        <v>1254</v>
      </c>
      <c r="E139" s="72" t="s">
        <v>976</v>
      </c>
      <c r="F139" s="73">
        <v>59</v>
      </c>
      <c r="G139" s="73" t="s">
        <v>1104</v>
      </c>
      <c r="H139" s="72" t="s">
        <v>78</v>
      </c>
      <c r="I139" s="72" t="s">
        <v>1105</v>
      </c>
      <c r="J139" s="72" t="s">
        <v>334</v>
      </c>
      <c r="K139" s="72" t="s">
        <v>387</v>
      </c>
      <c r="L139" s="72" t="s">
        <v>988</v>
      </c>
      <c r="M139" s="72" t="s">
        <v>388</v>
      </c>
      <c r="N139" s="72" t="s">
        <v>44</v>
      </c>
      <c r="O139" s="72" t="s">
        <v>386</v>
      </c>
      <c r="P139" s="72" t="s">
        <v>973</v>
      </c>
      <c r="Q139" s="72" t="s">
        <v>1255</v>
      </c>
      <c r="R139" s="72" t="s">
        <v>78</v>
      </c>
      <c r="V139" s="60" t="str">
        <f t="shared" si="19"/>
        <v>0248HTкрасный</v>
      </c>
      <c r="W139" s="60" t="str">
        <f t="shared" si="16"/>
        <v>0248HT</v>
      </c>
      <c r="X139" s="60" t="str">
        <f t="shared" si="20"/>
        <v>Wool Monty</v>
      </c>
      <c r="AC139" s="51">
        <f t="shared" si="21"/>
        <v>3</v>
      </c>
      <c r="AD139" s="44">
        <f t="shared" si="22"/>
        <v>44</v>
      </c>
      <c r="AE139" s="51">
        <f t="shared" si="23"/>
        <v>3044</v>
      </c>
    </row>
    <row r="140" spans="1:31">
      <c r="A140" s="60" t="str">
        <f t="shared" si="17"/>
        <v>0248HTred</v>
      </c>
      <c r="B140" s="60" t="str">
        <f t="shared" si="18"/>
        <v>03-044-18</v>
      </c>
      <c r="C140" s="72" t="s">
        <v>1258</v>
      </c>
      <c r="D140" s="72" t="s">
        <v>1254</v>
      </c>
      <c r="E140" s="72" t="s">
        <v>1030</v>
      </c>
      <c r="F140" s="73">
        <v>61</v>
      </c>
      <c r="G140" s="73" t="s">
        <v>1104</v>
      </c>
      <c r="H140" s="72" t="s">
        <v>78</v>
      </c>
      <c r="I140" s="72" t="s">
        <v>1105</v>
      </c>
      <c r="J140" s="72" t="s">
        <v>334</v>
      </c>
      <c r="K140" s="72" t="s">
        <v>387</v>
      </c>
      <c r="L140" s="72" t="s">
        <v>988</v>
      </c>
      <c r="M140" s="72" t="s">
        <v>388</v>
      </c>
      <c r="N140" s="72" t="s">
        <v>44</v>
      </c>
      <c r="O140" s="72" t="s">
        <v>386</v>
      </c>
      <c r="P140" s="72" t="s">
        <v>973</v>
      </c>
      <c r="Q140" s="72" t="s">
        <v>1255</v>
      </c>
      <c r="R140" s="72" t="s">
        <v>78</v>
      </c>
      <c r="V140" s="60" t="str">
        <f t="shared" si="19"/>
        <v>0248HTкрасный</v>
      </c>
      <c r="W140" s="60" t="str">
        <f t="shared" si="16"/>
        <v>0248HT</v>
      </c>
      <c r="X140" s="60" t="str">
        <f t="shared" si="20"/>
        <v>Wool Monty</v>
      </c>
      <c r="AC140" s="51">
        <f t="shared" si="21"/>
        <v>3</v>
      </c>
      <c r="AD140" s="44">
        <f t="shared" si="22"/>
        <v>44</v>
      </c>
      <c r="AE140" s="51">
        <f t="shared" si="23"/>
        <v>3044</v>
      </c>
    </row>
    <row r="141" spans="1:31">
      <c r="A141" s="60" t="str">
        <f t="shared" si="17"/>
        <v>K3259HTblack</v>
      </c>
      <c r="B141" s="60" t="str">
        <f t="shared" si="18"/>
        <v>03-068-09</v>
      </c>
      <c r="C141" s="72" t="s">
        <v>1259</v>
      </c>
      <c r="D141" s="72" t="s">
        <v>1260</v>
      </c>
      <c r="E141" s="72" t="s">
        <v>909</v>
      </c>
      <c r="F141" s="73">
        <v>0</v>
      </c>
      <c r="G141" s="73" t="s">
        <v>1261</v>
      </c>
      <c r="H141" s="72" t="s">
        <v>53</v>
      </c>
      <c r="I141" s="72" t="s">
        <v>1262</v>
      </c>
      <c r="J141" s="72" t="s">
        <v>514</v>
      </c>
      <c r="K141" s="72" t="s">
        <v>390</v>
      </c>
      <c r="L141" s="72" t="s">
        <v>988</v>
      </c>
      <c r="M141" s="72" t="s">
        <v>389</v>
      </c>
      <c r="N141" s="72" t="s">
        <v>46</v>
      </c>
      <c r="O141" s="72" t="s">
        <v>539</v>
      </c>
      <c r="P141" s="72" t="s">
        <v>973</v>
      </c>
      <c r="Q141" s="72" t="s">
        <v>1005</v>
      </c>
      <c r="R141" s="72" t="s">
        <v>53</v>
      </c>
      <c r="V141" s="60" t="str">
        <f t="shared" si="19"/>
        <v>K3259HTчерный</v>
      </c>
      <c r="W141" s="60" t="str">
        <f t="shared" si="16"/>
        <v>K3259HT</v>
      </c>
      <c r="X141" s="60" t="str">
        <f t="shared" si="20"/>
        <v>Cord Rib Toque</v>
      </c>
      <c r="AC141" s="51">
        <f t="shared" si="21"/>
        <v>3</v>
      </c>
      <c r="AD141" s="44">
        <f t="shared" si="22"/>
        <v>68</v>
      </c>
      <c r="AE141" s="51">
        <f t="shared" si="23"/>
        <v>3068</v>
      </c>
    </row>
    <row r="142" spans="1:31">
      <c r="A142" s="60" t="str">
        <f t="shared" si="17"/>
        <v>K5240SLblack</v>
      </c>
      <c r="B142" s="60" t="str">
        <f t="shared" si="18"/>
        <v>03-069-09</v>
      </c>
      <c r="C142" s="72" t="s">
        <v>1263</v>
      </c>
      <c r="D142" s="72" t="s">
        <v>1264</v>
      </c>
      <c r="E142" s="72" t="s">
        <v>1053</v>
      </c>
      <c r="F142" s="73">
        <v>56</v>
      </c>
      <c r="G142" s="73" t="s">
        <v>1265</v>
      </c>
      <c r="H142" s="72" t="s">
        <v>53</v>
      </c>
      <c r="I142" s="72" t="s">
        <v>1105</v>
      </c>
      <c r="J142" s="72" t="s">
        <v>340</v>
      </c>
      <c r="K142" s="72" t="s">
        <v>390</v>
      </c>
      <c r="L142" s="72" t="s">
        <v>988</v>
      </c>
      <c r="M142" s="72" t="s">
        <v>389</v>
      </c>
      <c r="N142" s="72" t="s">
        <v>44</v>
      </c>
      <c r="O142" s="72" t="s">
        <v>539</v>
      </c>
      <c r="P142" s="72" t="s">
        <v>973</v>
      </c>
      <c r="Q142" s="72" t="s">
        <v>1005</v>
      </c>
      <c r="R142" s="72" t="s">
        <v>53</v>
      </c>
      <c r="V142" s="60" t="str">
        <f t="shared" si="19"/>
        <v>K5240SLчерный</v>
      </c>
      <c r="W142" s="60" t="str">
        <f t="shared" si="16"/>
        <v>K5240SL</v>
      </c>
      <c r="X142" s="60" t="str">
        <f t="shared" si="20"/>
        <v>Wool Docker</v>
      </c>
      <c r="AC142" s="51">
        <f t="shared" si="21"/>
        <v>3</v>
      </c>
      <c r="AD142" s="44">
        <f t="shared" si="22"/>
        <v>69</v>
      </c>
      <c r="AE142" s="51">
        <f t="shared" si="23"/>
        <v>3069</v>
      </c>
    </row>
    <row r="143" spans="1:31">
      <c r="A143" s="60" t="str">
        <f t="shared" si="17"/>
        <v>K5240SLblack</v>
      </c>
      <c r="B143" s="60" t="str">
        <f t="shared" si="18"/>
        <v>03-069-09</v>
      </c>
      <c r="C143" s="72" t="s">
        <v>1266</v>
      </c>
      <c r="D143" s="72" t="s">
        <v>1264</v>
      </c>
      <c r="E143" s="72" t="s">
        <v>1058</v>
      </c>
      <c r="F143" s="73">
        <v>60</v>
      </c>
      <c r="G143" s="73" t="s">
        <v>1265</v>
      </c>
      <c r="H143" s="72" t="s">
        <v>53</v>
      </c>
      <c r="I143" s="72" t="s">
        <v>1105</v>
      </c>
      <c r="J143" s="72" t="s">
        <v>340</v>
      </c>
      <c r="K143" s="72" t="s">
        <v>390</v>
      </c>
      <c r="L143" s="72" t="s">
        <v>988</v>
      </c>
      <c r="M143" s="72" t="s">
        <v>389</v>
      </c>
      <c r="N143" s="72" t="s">
        <v>44</v>
      </c>
      <c r="O143" s="72" t="s">
        <v>539</v>
      </c>
      <c r="P143" s="72" t="s">
        <v>973</v>
      </c>
      <c r="Q143" s="72" t="s">
        <v>1005</v>
      </c>
      <c r="R143" s="72" t="s">
        <v>53</v>
      </c>
      <c r="V143" s="60" t="str">
        <f t="shared" si="19"/>
        <v>K5240SLчерный</v>
      </c>
      <c r="W143" s="60" t="str">
        <f t="shared" si="16"/>
        <v>K5240SL</v>
      </c>
      <c r="X143" s="60" t="str">
        <f t="shared" si="20"/>
        <v>Wool Docker</v>
      </c>
      <c r="AC143" s="51">
        <f t="shared" si="21"/>
        <v>3</v>
      </c>
      <c r="AD143" s="44">
        <f t="shared" si="22"/>
        <v>69</v>
      </c>
      <c r="AE143" s="51">
        <f t="shared" si="23"/>
        <v>3069</v>
      </c>
    </row>
    <row r="144" spans="1:31">
      <c r="A144" s="60" t="str">
        <f t="shared" si="17"/>
        <v>K3179STblack</v>
      </c>
      <c r="B144" s="60" t="str">
        <f t="shared" si="18"/>
        <v>03-070-09</v>
      </c>
      <c r="C144" s="72" t="s">
        <v>1267</v>
      </c>
      <c r="D144" s="72" t="s">
        <v>1268</v>
      </c>
      <c r="E144" s="72" t="s">
        <v>909</v>
      </c>
      <c r="F144" s="73">
        <v>0</v>
      </c>
      <c r="G144" s="73" t="s">
        <v>1269</v>
      </c>
      <c r="H144" s="72" t="s">
        <v>53</v>
      </c>
      <c r="I144" s="72" t="s">
        <v>1270</v>
      </c>
      <c r="J144" s="72" t="s">
        <v>340</v>
      </c>
      <c r="K144" s="72" t="s">
        <v>387</v>
      </c>
      <c r="L144" s="72" t="s">
        <v>972</v>
      </c>
      <c r="M144" s="72" t="s">
        <v>389</v>
      </c>
      <c r="N144" s="72" t="s">
        <v>44</v>
      </c>
      <c r="O144" s="72" t="s">
        <v>386</v>
      </c>
      <c r="P144" s="72" t="s">
        <v>973</v>
      </c>
      <c r="Q144" s="72" t="s">
        <v>1005</v>
      </c>
      <c r="R144" s="72" t="s">
        <v>53</v>
      </c>
      <c r="V144" s="60" t="str">
        <f t="shared" si="19"/>
        <v>K3179STчерный</v>
      </c>
      <c r="W144" s="60" t="str">
        <f t="shared" si="16"/>
        <v>K3179ST</v>
      </c>
      <c r="X144" s="60" t="str">
        <f t="shared" si="20"/>
        <v>Furgora Cuff Pull-on</v>
      </c>
      <c r="AC144" s="51">
        <f t="shared" si="21"/>
        <v>3</v>
      </c>
      <c r="AD144" s="44">
        <f t="shared" si="22"/>
        <v>70</v>
      </c>
      <c r="AE144" s="51">
        <f t="shared" si="23"/>
        <v>3070</v>
      </c>
    </row>
    <row r="145" spans="1:31">
      <c r="A145" s="60" t="str">
        <f t="shared" si="17"/>
        <v>K3201STblack</v>
      </c>
      <c r="B145" s="60" t="str">
        <f t="shared" si="18"/>
        <v>03-071-09</v>
      </c>
      <c r="C145" s="72" t="s">
        <v>1271</v>
      </c>
      <c r="D145" s="72" t="s">
        <v>1272</v>
      </c>
      <c r="E145" s="72" t="s">
        <v>1058</v>
      </c>
      <c r="F145" s="73">
        <v>60</v>
      </c>
      <c r="G145" s="73" t="s">
        <v>1273</v>
      </c>
      <c r="H145" s="72" t="s">
        <v>53</v>
      </c>
      <c r="I145" s="72" t="s">
        <v>1274</v>
      </c>
      <c r="J145" s="72" t="s">
        <v>327</v>
      </c>
      <c r="K145" s="72" t="s">
        <v>387</v>
      </c>
      <c r="L145" s="72" t="s">
        <v>972</v>
      </c>
      <c r="M145" s="72" t="s">
        <v>389</v>
      </c>
      <c r="N145" s="72" t="s">
        <v>44</v>
      </c>
      <c r="O145" s="72" t="s">
        <v>539</v>
      </c>
      <c r="P145" s="72" t="s">
        <v>973</v>
      </c>
      <c r="Q145" s="72" t="s">
        <v>1005</v>
      </c>
      <c r="R145" s="72" t="s">
        <v>53</v>
      </c>
      <c r="V145" s="60" t="str">
        <f t="shared" si="19"/>
        <v>K3201STчерный</v>
      </c>
      <c r="W145" s="60" t="str">
        <f t="shared" si="16"/>
        <v>K3201ST</v>
      </c>
      <c r="X145" s="60" t="str">
        <f t="shared" si="20"/>
        <v>Furgora Spacecap</v>
      </c>
      <c r="AC145" s="51">
        <f t="shared" si="21"/>
        <v>3</v>
      </c>
      <c r="AD145" s="44">
        <f t="shared" si="22"/>
        <v>71</v>
      </c>
      <c r="AE145" s="51">
        <f t="shared" si="23"/>
        <v>3071</v>
      </c>
    </row>
    <row r="146" spans="1:31">
      <c r="A146" s="60" t="str">
        <f t="shared" si="17"/>
        <v>K3201STblack</v>
      </c>
      <c r="B146" s="60" t="str">
        <f t="shared" si="18"/>
        <v>03-071-09</v>
      </c>
      <c r="C146" s="72" t="s">
        <v>1275</v>
      </c>
      <c r="D146" s="72" t="s">
        <v>1272</v>
      </c>
      <c r="E146" s="72" t="s">
        <v>1053</v>
      </c>
      <c r="F146" s="73">
        <v>56</v>
      </c>
      <c r="G146" s="73" t="s">
        <v>1273</v>
      </c>
      <c r="H146" s="72" t="s">
        <v>53</v>
      </c>
      <c r="I146" s="72" t="s">
        <v>1274</v>
      </c>
      <c r="J146" s="72" t="s">
        <v>327</v>
      </c>
      <c r="K146" s="72" t="s">
        <v>387</v>
      </c>
      <c r="L146" s="72" t="s">
        <v>972</v>
      </c>
      <c r="M146" s="72" t="s">
        <v>389</v>
      </c>
      <c r="N146" s="72" t="s">
        <v>44</v>
      </c>
      <c r="O146" s="72" t="s">
        <v>539</v>
      </c>
      <c r="P146" s="72" t="s">
        <v>973</v>
      </c>
      <c r="Q146" s="72" t="s">
        <v>1005</v>
      </c>
      <c r="R146" s="72" t="s">
        <v>53</v>
      </c>
      <c r="V146" s="60" t="str">
        <f t="shared" si="19"/>
        <v>K3201STчерный</v>
      </c>
      <c r="W146" s="60" t="str">
        <f t="shared" si="16"/>
        <v>K3201ST</v>
      </c>
      <c r="X146" s="60" t="str">
        <f t="shared" si="20"/>
        <v>Furgora Spacecap</v>
      </c>
      <c r="AC146" s="51">
        <f t="shared" si="21"/>
        <v>3</v>
      </c>
      <c r="AD146" s="44">
        <f t="shared" si="22"/>
        <v>71</v>
      </c>
      <c r="AE146" s="51">
        <f t="shared" si="23"/>
        <v>3071</v>
      </c>
    </row>
    <row r="147" spans="1:31">
      <c r="A147" s="60" t="str">
        <f t="shared" si="17"/>
        <v>K4238STblack</v>
      </c>
      <c r="B147" s="60" t="str">
        <f t="shared" si="18"/>
        <v>03-072-09</v>
      </c>
      <c r="C147" s="72" t="s">
        <v>1276</v>
      </c>
      <c r="D147" s="72" t="s">
        <v>1277</v>
      </c>
      <c r="E147" s="72" t="s">
        <v>909</v>
      </c>
      <c r="F147" s="73">
        <v>0</v>
      </c>
      <c r="G147" s="73" t="s">
        <v>1278</v>
      </c>
      <c r="H147" s="72" t="s">
        <v>53</v>
      </c>
      <c r="I147" s="72" t="s">
        <v>1221</v>
      </c>
      <c r="J147" s="72" t="s">
        <v>340</v>
      </c>
      <c r="K147" s="72" t="s">
        <v>382</v>
      </c>
      <c r="L147" s="72" t="s">
        <v>972</v>
      </c>
      <c r="M147" s="72" t="s">
        <v>389</v>
      </c>
      <c r="O147" s="72" t="s">
        <v>386</v>
      </c>
      <c r="P147" s="72" t="s">
        <v>973</v>
      </c>
      <c r="Q147" s="72" t="s">
        <v>1005</v>
      </c>
      <c r="R147" s="72" t="s">
        <v>53</v>
      </c>
      <c r="V147" s="60" t="str">
        <f t="shared" si="19"/>
        <v>K4238STчерный</v>
      </c>
      <c r="W147" s="60" t="str">
        <f t="shared" si="16"/>
        <v>K4238ST</v>
      </c>
      <c r="X147" s="60" t="str">
        <f t="shared" si="20"/>
        <v>Urban Legend Balaclava</v>
      </c>
      <c r="AC147" s="51">
        <f t="shared" si="21"/>
        <v>3</v>
      </c>
      <c r="AD147" s="44">
        <f t="shared" si="22"/>
        <v>72</v>
      </c>
      <c r="AE147" s="51">
        <f t="shared" si="23"/>
        <v>3072</v>
      </c>
    </row>
    <row r="148" spans="1:31">
      <c r="A148" s="60" t="str">
        <f t="shared" si="17"/>
        <v>K3208HTblack</v>
      </c>
      <c r="B148" s="60" t="str">
        <f t="shared" si="18"/>
        <v>03-073-09</v>
      </c>
      <c r="C148" s="72" t="s">
        <v>1279</v>
      </c>
      <c r="D148" s="72" t="s">
        <v>1280</v>
      </c>
      <c r="E148" s="72" t="s">
        <v>976</v>
      </c>
      <c r="F148" s="73">
        <v>59</v>
      </c>
      <c r="G148" s="73" t="s">
        <v>1281</v>
      </c>
      <c r="H148" s="72" t="s">
        <v>53</v>
      </c>
      <c r="I148" s="72" t="s">
        <v>1003</v>
      </c>
      <c r="J148" s="72" t="s">
        <v>320</v>
      </c>
      <c r="K148" s="72" t="s">
        <v>382</v>
      </c>
      <c r="L148" s="72" t="s">
        <v>1004</v>
      </c>
      <c r="M148" s="72" t="s">
        <v>384</v>
      </c>
      <c r="O148" s="72" t="s">
        <v>539</v>
      </c>
      <c r="P148" s="72" t="s">
        <v>808</v>
      </c>
      <c r="Q148" s="72" t="s">
        <v>1005</v>
      </c>
      <c r="R148" s="72" t="s">
        <v>53</v>
      </c>
      <c r="V148" s="60" t="str">
        <f t="shared" si="19"/>
        <v>K3208HTчерный</v>
      </c>
      <c r="W148" s="60" t="str">
        <f t="shared" si="16"/>
        <v>K3208HT</v>
      </c>
      <c r="X148" s="60" t="str">
        <f t="shared" si="20"/>
        <v>Tropic 507 Ventair</v>
      </c>
      <c r="AC148" s="51">
        <f t="shared" si="21"/>
        <v>3</v>
      </c>
      <c r="AD148" s="44">
        <f t="shared" si="22"/>
        <v>73</v>
      </c>
      <c r="AE148" s="51">
        <f t="shared" si="23"/>
        <v>3073</v>
      </c>
    </row>
    <row r="149" spans="1:31">
      <c r="A149" s="60" t="str">
        <f t="shared" si="17"/>
        <v>K3208HTblack</v>
      </c>
      <c r="B149" s="60" t="str">
        <f t="shared" si="18"/>
        <v>03-073-09</v>
      </c>
      <c r="C149" s="72" t="s">
        <v>1282</v>
      </c>
      <c r="D149" s="72" t="s">
        <v>1280</v>
      </c>
      <c r="E149" s="72" t="s">
        <v>969</v>
      </c>
      <c r="F149" s="73">
        <v>57</v>
      </c>
      <c r="G149" s="73" t="s">
        <v>1281</v>
      </c>
      <c r="H149" s="72" t="s">
        <v>53</v>
      </c>
      <c r="I149" s="72" t="s">
        <v>1003</v>
      </c>
      <c r="J149" s="72" t="s">
        <v>320</v>
      </c>
      <c r="K149" s="72" t="s">
        <v>382</v>
      </c>
      <c r="L149" s="72" t="s">
        <v>1004</v>
      </c>
      <c r="M149" s="72" t="s">
        <v>384</v>
      </c>
      <c r="O149" s="72" t="s">
        <v>539</v>
      </c>
      <c r="P149" s="72" t="s">
        <v>808</v>
      </c>
      <c r="Q149" s="72" t="s">
        <v>1005</v>
      </c>
      <c r="R149" s="72" t="s">
        <v>53</v>
      </c>
      <c r="V149" s="60" t="str">
        <f t="shared" si="19"/>
        <v>K3208HTчерный</v>
      </c>
      <c r="W149" s="60" t="str">
        <f t="shared" si="16"/>
        <v>K3208HT</v>
      </c>
      <c r="X149" s="60" t="str">
        <f t="shared" si="20"/>
        <v>Tropic 507 Ventair</v>
      </c>
      <c r="AC149" s="51">
        <f t="shared" si="21"/>
        <v>3</v>
      </c>
      <c r="AD149" s="44">
        <f t="shared" si="22"/>
        <v>73</v>
      </c>
      <c r="AE149" s="51">
        <f t="shared" si="23"/>
        <v>3073</v>
      </c>
    </row>
    <row r="150" spans="1:31">
      <c r="A150" s="60" t="str">
        <f t="shared" si="17"/>
        <v>K3208HTblack</v>
      </c>
      <c r="B150" s="60" t="str">
        <f t="shared" si="18"/>
        <v>03-073-09</v>
      </c>
      <c r="C150" s="72" t="s">
        <v>1283</v>
      </c>
      <c r="D150" s="72" t="s">
        <v>1280</v>
      </c>
      <c r="E150" s="72" t="s">
        <v>1030</v>
      </c>
      <c r="F150" s="73">
        <v>61</v>
      </c>
      <c r="G150" s="73" t="s">
        <v>1281</v>
      </c>
      <c r="H150" s="72" t="s">
        <v>53</v>
      </c>
      <c r="I150" s="72" t="s">
        <v>1003</v>
      </c>
      <c r="J150" s="72" t="s">
        <v>320</v>
      </c>
      <c r="K150" s="72" t="s">
        <v>382</v>
      </c>
      <c r="L150" s="72" t="s">
        <v>1004</v>
      </c>
      <c r="M150" s="72" t="s">
        <v>384</v>
      </c>
      <c r="O150" s="72" t="s">
        <v>539</v>
      </c>
      <c r="P150" s="72" t="s">
        <v>808</v>
      </c>
      <c r="Q150" s="72" t="s">
        <v>1005</v>
      </c>
      <c r="R150" s="72" t="s">
        <v>53</v>
      </c>
      <c r="V150" s="60" t="str">
        <f t="shared" si="19"/>
        <v>K3208HTчерный</v>
      </c>
      <c r="W150" s="60" t="str">
        <f t="shared" si="16"/>
        <v>K3208HT</v>
      </c>
      <c r="X150" s="60" t="str">
        <f t="shared" si="20"/>
        <v>Tropic 507 Ventair</v>
      </c>
      <c r="AC150" s="51">
        <f t="shared" si="21"/>
        <v>3</v>
      </c>
      <c r="AD150" s="44">
        <f t="shared" si="22"/>
        <v>73</v>
      </c>
      <c r="AE150" s="51">
        <f t="shared" si="23"/>
        <v>3073</v>
      </c>
    </row>
    <row r="151" spans="1:31">
      <c r="A151" s="60" t="str">
        <f t="shared" si="17"/>
        <v>K3208HTnavy</v>
      </c>
      <c r="B151" s="60" t="str">
        <f t="shared" si="18"/>
        <v>03-073-16</v>
      </c>
      <c r="C151" s="72" t="s">
        <v>1284</v>
      </c>
      <c r="D151" s="72" t="s">
        <v>1285</v>
      </c>
      <c r="E151" s="72" t="s">
        <v>976</v>
      </c>
      <c r="F151" s="73">
        <v>59</v>
      </c>
      <c r="G151" s="73" t="s">
        <v>1281</v>
      </c>
      <c r="H151" s="72" t="s">
        <v>55</v>
      </c>
      <c r="I151" s="72" t="s">
        <v>1003</v>
      </c>
      <c r="J151" s="72" t="s">
        <v>320</v>
      </c>
      <c r="K151" s="72" t="s">
        <v>382</v>
      </c>
      <c r="L151" s="72" t="s">
        <v>988</v>
      </c>
      <c r="M151" s="72" t="s">
        <v>384</v>
      </c>
      <c r="O151" s="72" t="s">
        <v>539</v>
      </c>
      <c r="P151" s="72" t="s">
        <v>973</v>
      </c>
      <c r="Q151" s="72" t="s">
        <v>1017</v>
      </c>
      <c r="R151" s="72" t="s">
        <v>71</v>
      </c>
      <c r="V151" s="60" t="str">
        <f t="shared" si="19"/>
        <v>K3208HTтемно-синий</v>
      </c>
      <c r="W151" s="60" t="str">
        <f t="shared" si="16"/>
        <v>K3208HT</v>
      </c>
      <c r="X151" s="60" t="str">
        <f t="shared" si="20"/>
        <v>Tropic 507 Ventair</v>
      </c>
      <c r="AC151" s="51">
        <f t="shared" si="21"/>
        <v>3</v>
      </c>
      <c r="AD151" s="44">
        <f t="shared" si="22"/>
        <v>73</v>
      </c>
      <c r="AE151" s="51">
        <f t="shared" si="23"/>
        <v>3073</v>
      </c>
    </row>
    <row r="152" spans="1:31">
      <c r="A152" s="60" t="str">
        <f t="shared" si="17"/>
        <v>K3208HTnavy</v>
      </c>
      <c r="B152" s="60" t="str">
        <f t="shared" si="18"/>
        <v>03-073-16</v>
      </c>
      <c r="C152" s="72" t="s">
        <v>1286</v>
      </c>
      <c r="D152" s="72" t="s">
        <v>1285</v>
      </c>
      <c r="E152" s="72" t="s">
        <v>969</v>
      </c>
      <c r="F152" s="73">
        <v>57</v>
      </c>
      <c r="G152" s="73" t="s">
        <v>1281</v>
      </c>
      <c r="H152" s="72" t="s">
        <v>55</v>
      </c>
      <c r="I152" s="72" t="s">
        <v>1003</v>
      </c>
      <c r="J152" s="72" t="s">
        <v>320</v>
      </c>
      <c r="K152" s="72" t="s">
        <v>382</v>
      </c>
      <c r="L152" s="72" t="s">
        <v>988</v>
      </c>
      <c r="M152" s="72" t="s">
        <v>384</v>
      </c>
      <c r="O152" s="72" t="s">
        <v>539</v>
      </c>
      <c r="P152" s="72" t="s">
        <v>973</v>
      </c>
      <c r="Q152" s="72" t="s">
        <v>1017</v>
      </c>
      <c r="R152" s="72" t="s">
        <v>71</v>
      </c>
      <c r="V152" s="60" t="str">
        <f t="shared" si="19"/>
        <v>K3208HTтемно-синий</v>
      </c>
      <c r="W152" s="60" t="str">
        <f t="shared" si="16"/>
        <v>K3208HT</v>
      </c>
      <c r="X152" s="60" t="str">
        <f t="shared" si="20"/>
        <v>Tropic 507 Ventair</v>
      </c>
      <c r="AC152" s="51">
        <f t="shared" si="21"/>
        <v>3</v>
      </c>
      <c r="AD152" s="44">
        <f t="shared" si="22"/>
        <v>73</v>
      </c>
      <c r="AE152" s="51">
        <f t="shared" si="23"/>
        <v>3073</v>
      </c>
    </row>
    <row r="153" spans="1:31">
      <c r="A153" s="60" t="str">
        <f t="shared" si="17"/>
        <v>K3208HTnavy</v>
      </c>
      <c r="B153" s="60" t="str">
        <f t="shared" si="18"/>
        <v>03-073-16</v>
      </c>
      <c r="C153" s="72" t="s">
        <v>1287</v>
      </c>
      <c r="D153" s="72" t="s">
        <v>1285</v>
      </c>
      <c r="E153" s="72" t="s">
        <v>1030</v>
      </c>
      <c r="F153" s="73">
        <v>61</v>
      </c>
      <c r="G153" s="73" t="s">
        <v>1281</v>
      </c>
      <c r="H153" s="72" t="s">
        <v>55</v>
      </c>
      <c r="I153" s="72" t="s">
        <v>1003</v>
      </c>
      <c r="J153" s="72" t="s">
        <v>320</v>
      </c>
      <c r="K153" s="72" t="s">
        <v>382</v>
      </c>
      <c r="L153" s="72" t="s">
        <v>988</v>
      </c>
      <c r="M153" s="72" t="s">
        <v>384</v>
      </c>
      <c r="O153" s="72" t="s">
        <v>539</v>
      </c>
      <c r="P153" s="72" t="s">
        <v>973</v>
      </c>
      <c r="Q153" s="72" t="s">
        <v>1017</v>
      </c>
      <c r="R153" s="72" t="s">
        <v>71</v>
      </c>
      <c r="V153" s="60" t="str">
        <f t="shared" si="19"/>
        <v>K3208HTтемно-синий</v>
      </c>
      <c r="W153" s="60" t="str">
        <f t="shared" si="16"/>
        <v>K3208HT</v>
      </c>
      <c r="X153" s="60" t="str">
        <f t="shared" si="20"/>
        <v>Tropic 507 Ventair</v>
      </c>
      <c r="AC153" s="51">
        <f t="shared" si="21"/>
        <v>3</v>
      </c>
      <c r="AD153" s="44">
        <f t="shared" si="22"/>
        <v>73</v>
      </c>
      <c r="AE153" s="51">
        <f t="shared" si="23"/>
        <v>3073</v>
      </c>
    </row>
    <row r="154" spans="1:31">
      <c r="A154" s="60" t="str">
        <f t="shared" si="17"/>
        <v>K5165HTclay</v>
      </c>
      <c r="B154" s="60" t="str">
        <f t="shared" si="18"/>
        <v>03-038-13</v>
      </c>
      <c r="C154" s="72" t="s">
        <v>1288</v>
      </c>
      <c r="D154" s="72" t="s">
        <v>1289</v>
      </c>
      <c r="E154" s="72" t="s">
        <v>909</v>
      </c>
      <c r="F154" s="73">
        <v>0</v>
      </c>
      <c r="G154" s="73" t="s">
        <v>1021</v>
      </c>
      <c r="H154" s="72" t="s">
        <v>160</v>
      </c>
      <c r="I154" s="72" t="s">
        <v>910</v>
      </c>
      <c r="J154" s="72" t="s">
        <v>327</v>
      </c>
      <c r="K154" s="72" t="s">
        <v>382</v>
      </c>
      <c r="L154" s="72" t="s">
        <v>988</v>
      </c>
      <c r="M154" s="72" t="s">
        <v>384</v>
      </c>
      <c r="N154" s="72" t="s">
        <v>43</v>
      </c>
      <c r="O154" s="72" t="s">
        <v>533</v>
      </c>
      <c r="P154" s="72" t="s">
        <v>973</v>
      </c>
      <c r="Q154" s="72" t="s">
        <v>1290</v>
      </c>
      <c r="R154" s="72" t="s">
        <v>78</v>
      </c>
      <c r="V154" s="60" t="str">
        <f t="shared" si="19"/>
        <v>K5165HTкирпичный</v>
      </c>
      <c r="W154" s="60" t="str">
        <f t="shared" si="16"/>
        <v>K5165HT</v>
      </c>
      <c r="X154" s="60" t="str">
        <f t="shared" si="20"/>
        <v>Washed Baseball</v>
      </c>
      <c r="AC154" s="51">
        <f t="shared" si="21"/>
        <v>3</v>
      </c>
      <c r="AD154" s="44">
        <f t="shared" si="22"/>
        <v>38</v>
      </c>
      <c r="AE154" s="51">
        <f t="shared" si="23"/>
        <v>3038</v>
      </c>
    </row>
    <row r="155" spans="1:31">
      <c r="A155" s="60" t="str">
        <f t="shared" si="17"/>
        <v>K3219HTbrown</v>
      </c>
      <c r="B155" s="60" t="str">
        <f t="shared" si="18"/>
        <v>03-074-14</v>
      </c>
      <c r="C155" s="72" t="s">
        <v>1291</v>
      </c>
      <c r="D155" s="72" t="s">
        <v>1292</v>
      </c>
      <c r="E155" s="72" t="s">
        <v>909</v>
      </c>
      <c r="F155" s="73">
        <v>0</v>
      </c>
      <c r="G155" s="73" t="s">
        <v>1293</v>
      </c>
      <c r="H155" s="72" t="s">
        <v>86</v>
      </c>
      <c r="I155" s="72" t="s">
        <v>1097</v>
      </c>
      <c r="J155" s="72" t="s">
        <v>327</v>
      </c>
      <c r="K155" s="72" t="s">
        <v>382</v>
      </c>
      <c r="L155" s="72" t="s">
        <v>988</v>
      </c>
      <c r="M155" s="72" t="s">
        <v>384</v>
      </c>
      <c r="N155" s="72" t="s">
        <v>43</v>
      </c>
      <c r="O155" s="72" t="s">
        <v>539</v>
      </c>
      <c r="P155" s="72" t="s">
        <v>973</v>
      </c>
      <c r="Q155" s="72" t="s">
        <v>998</v>
      </c>
      <c r="R155" s="72" t="s">
        <v>86</v>
      </c>
      <c r="V155" s="60" t="str">
        <f t="shared" si="19"/>
        <v>K3219HTкоричневый</v>
      </c>
      <c r="W155" s="60" t="str">
        <f t="shared" si="16"/>
        <v>K3219HT</v>
      </c>
      <c r="X155" s="60" t="str">
        <f t="shared" si="20"/>
        <v>Indigo Adj Spacecap</v>
      </c>
      <c r="AC155" s="51">
        <f t="shared" si="21"/>
        <v>3</v>
      </c>
      <c r="AD155" s="44">
        <f t="shared" si="22"/>
        <v>74</v>
      </c>
      <c r="AE155" s="51">
        <f t="shared" si="23"/>
        <v>3074</v>
      </c>
    </row>
    <row r="156" spans="1:31">
      <c r="A156" s="60" t="str">
        <f t="shared" si="17"/>
        <v>0258BCdark berry</v>
      </c>
      <c r="B156" s="60" t="str">
        <f t="shared" si="18"/>
        <v>03-002-94</v>
      </c>
      <c r="C156" s="72" t="s">
        <v>1294</v>
      </c>
      <c r="D156" s="72" t="s">
        <v>1295</v>
      </c>
      <c r="E156" s="72" t="s">
        <v>969</v>
      </c>
      <c r="F156" s="73">
        <v>57</v>
      </c>
      <c r="G156" s="73" t="s">
        <v>1118</v>
      </c>
      <c r="H156" s="72" t="s">
        <v>276</v>
      </c>
      <c r="I156" s="72" t="s">
        <v>1105</v>
      </c>
      <c r="J156" s="72" t="s">
        <v>320</v>
      </c>
      <c r="K156" s="72" t="s">
        <v>382</v>
      </c>
      <c r="L156" s="72" t="s">
        <v>988</v>
      </c>
      <c r="M156" s="72" t="s">
        <v>388</v>
      </c>
      <c r="N156" s="72" t="s">
        <v>44</v>
      </c>
      <c r="O156" s="72" t="s">
        <v>539</v>
      </c>
      <c r="P156" s="72" t="s">
        <v>973</v>
      </c>
      <c r="Q156" s="72" t="s">
        <v>1296</v>
      </c>
      <c r="R156" s="72" t="s">
        <v>68</v>
      </c>
      <c r="V156" s="60" t="str">
        <f t="shared" si="19"/>
        <v>0258BCтемно-розовый</v>
      </c>
      <c r="W156" s="60" t="str">
        <f t="shared" si="16"/>
        <v>0258BC</v>
      </c>
      <c r="X156" s="60" t="str">
        <f t="shared" si="20"/>
        <v>Wool 504</v>
      </c>
      <c r="AC156" s="51">
        <f t="shared" si="21"/>
        <v>3</v>
      </c>
      <c r="AD156" s="44">
        <f t="shared" si="22"/>
        <v>2</v>
      </c>
      <c r="AE156" s="51">
        <f t="shared" si="23"/>
        <v>3002</v>
      </c>
    </row>
    <row r="157" spans="1:31">
      <c r="A157" s="60" t="str">
        <f t="shared" si="17"/>
        <v>0258BCdark berry</v>
      </c>
      <c r="B157" s="60" t="str">
        <f t="shared" si="18"/>
        <v>03-002-94</v>
      </c>
      <c r="C157" s="72" t="s">
        <v>1297</v>
      </c>
      <c r="D157" s="72" t="s">
        <v>1295</v>
      </c>
      <c r="E157" s="72" t="s">
        <v>976</v>
      </c>
      <c r="F157" s="73">
        <v>59</v>
      </c>
      <c r="G157" s="73" t="s">
        <v>1118</v>
      </c>
      <c r="H157" s="72" t="s">
        <v>276</v>
      </c>
      <c r="I157" s="72" t="s">
        <v>1105</v>
      </c>
      <c r="J157" s="72" t="s">
        <v>320</v>
      </c>
      <c r="K157" s="72" t="s">
        <v>382</v>
      </c>
      <c r="L157" s="72" t="s">
        <v>988</v>
      </c>
      <c r="M157" s="72" t="s">
        <v>388</v>
      </c>
      <c r="N157" s="72" t="s">
        <v>44</v>
      </c>
      <c r="O157" s="72" t="s">
        <v>539</v>
      </c>
      <c r="P157" s="72" t="s">
        <v>973</v>
      </c>
      <c r="Q157" s="72" t="s">
        <v>1296</v>
      </c>
      <c r="R157" s="72" t="s">
        <v>68</v>
      </c>
      <c r="V157" s="60" t="str">
        <f t="shared" si="19"/>
        <v>0258BCтемно-розовый</v>
      </c>
      <c r="W157" s="60" t="str">
        <f t="shared" si="16"/>
        <v>0258BC</v>
      </c>
      <c r="X157" s="60" t="str">
        <f t="shared" si="20"/>
        <v>Wool 504</v>
      </c>
      <c r="AC157" s="51">
        <f t="shared" si="21"/>
        <v>3</v>
      </c>
      <c r="AD157" s="44">
        <f t="shared" si="22"/>
        <v>2</v>
      </c>
      <c r="AE157" s="51">
        <f t="shared" si="23"/>
        <v>3002</v>
      </c>
    </row>
    <row r="158" spans="1:31">
      <c r="A158" s="60" t="str">
        <f t="shared" si="17"/>
        <v>0258BCdark berry</v>
      </c>
      <c r="B158" s="60" t="str">
        <f t="shared" si="18"/>
        <v>03-002-94</v>
      </c>
      <c r="C158" s="72" t="s">
        <v>1298</v>
      </c>
      <c r="D158" s="72" t="s">
        <v>1295</v>
      </c>
      <c r="E158" s="72" t="s">
        <v>1032</v>
      </c>
      <c r="F158" s="73">
        <v>55</v>
      </c>
      <c r="G158" s="73" t="s">
        <v>1118</v>
      </c>
      <c r="H158" s="72" t="s">
        <v>276</v>
      </c>
      <c r="I158" s="72" t="s">
        <v>1105</v>
      </c>
      <c r="J158" s="72" t="s">
        <v>320</v>
      </c>
      <c r="K158" s="72" t="s">
        <v>382</v>
      </c>
      <c r="L158" s="72" t="s">
        <v>988</v>
      </c>
      <c r="M158" s="72" t="s">
        <v>388</v>
      </c>
      <c r="N158" s="72" t="s">
        <v>44</v>
      </c>
      <c r="O158" s="72" t="s">
        <v>539</v>
      </c>
      <c r="P158" s="72" t="s">
        <v>973</v>
      </c>
      <c r="Q158" s="72" t="s">
        <v>1296</v>
      </c>
      <c r="R158" s="72" t="s">
        <v>68</v>
      </c>
      <c r="V158" s="60" t="str">
        <f t="shared" si="19"/>
        <v>0258BCтемно-розовый</v>
      </c>
      <c r="W158" s="60" t="str">
        <f t="shared" si="16"/>
        <v>0258BC</v>
      </c>
      <c r="X158" s="60" t="str">
        <f t="shared" si="20"/>
        <v>Wool 504</v>
      </c>
      <c r="AC158" s="51">
        <f t="shared" si="21"/>
        <v>3</v>
      </c>
      <c r="AD158" s="44">
        <f t="shared" si="22"/>
        <v>2</v>
      </c>
      <c r="AE158" s="51">
        <f t="shared" si="23"/>
        <v>3002</v>
      </c>
    </row>
    <row r="159" spans="1:31">
      <c r="A159" s="60" t="str">
        <f t="shared" si="17"/>
        <v>0258BCdark berry</v>
      </c>
      <c r="B159" s="60" t="str">
        <f t="shared" si="18"/>
        <v>03-002-94</v>
      </c>
      <c r="C159" s="72" t="s">
        <v>1299</v>
      </c>
      <c r="D159" s="72" t="s">
        <v>1295</v>
      </c>
      <c r="E159" s="72" t="s">
        <v>1030</v>
      </c>
      <c r="F159" s="73">
        <v>61</v>
      </c>
      <c r="G159" s="73" t="s">
        <v>1118</v>
      </c>
      <c r="H159" s="72" t="s">
        <v>276</v>
      </c>
      <c r="I159" s="72" t="s">
        <v>1105</v>
      </c>
      <c r="J159" s="72" t="s">
        <v>320</v>
      </c>
      <c r="K159" s="72" t="s">
        <v>382</v>
      </c>
      <c r="L159" s="72" t="s">
        <v>988</v>
      </c>
      <c r="M159" s="72" t="s">
        <v>388</v>
      </c>
      <c r="N159" s="72" t="s">
        <v>44</v>
      </c>
      <c r="O159" s="72" t="s">
        <v>539</v>
      </c>
      <c r="P159" s="72" t="s">
        <v>973</v>
      </c>
      <c r="Q159" s="72" t="s">
        <v>1296</v>
      </c>
      <c r="R159" s="72" t="s">
        <v>68</v>
      </c>
      <c r="V159" s="60" t="str">
        <f t="shared" si="19"/>
        <v>0258BCтемно-розовый</v>
      </c>
      <c r="W159" s="60" t="str">
        <f t="shared" si="16"/>
        <v>0258BC</v>
      </c>
      <c r="X159" s="60" t="str">
        <f t="shared" si="20"/>
        <v>Wool 504</v>
      </c>
      <c r="AC159" s="51">
        <f t="shared" si="21"/>
        <v>3</v>
      </c>
      <c r="AD159" s="44">
        <f t="shared" si="22"/>
        <v>2</v>
      </c>
      <c r="AE159" s="51">
        <f t="shared" si="23"/>
        <v>3002</v>
      </c>
    </row>
    <row r="160" spans="1:31">
      <c r="A160" s="60" t="str">
        <f t="shared" si="17"/>
        <v>0258BCloden</v>
      </c>
      <c r="B160" s="60" t="str">
        <f t="shared" si="18"/>
        <v>03-002-07</v>
      </c>
      <c r="C160" s="72" t="s">
        <v>1300</v>
      </c>
      <c r="D160" s="72" t="s">
        <v>1301</v>
      </c>
      <c r="E160" s="72" t="s">
        <v>1302</v>
      </c>
      <c r="F160" s="73">
        <v>63</v>
      </c>
      <c r="G160" s="73" t="s">
        <v>1118</v>
      </c>
      <c r="H160" s="72" t="s">
        <v>269</v>
      </c>
      <c r="I160" s="72" t="s">
        <v>1105</v>
      </c>
      <c r="J160" s="72" t="s">
        <v>320</v>
      </c>
      <c r="K160" s="72" t="s">
        <v>382</v>
      </c>
      <c r="L160" s="72" t="s">
        <v>988</v>
      </c>
      <c r="M160" s="72" t="s">
        <v>388</v>
      </c>
      <c r="N160" s="72" t="s">
        <v>44</v>
      </c>
      <c r="O160" s="72" t="s">
        <v>539</v>
      </c>
      <c r="P160" s="72" t="s">
        <v>973</v>
      </c>
      <c r="Q160" s="72" t="s">
        <v>1303</v>
      </c>
      <c r="R160" s="72" t="s">
        <v>60</v>
      </c>
      <c r="V160" s="60" t="str">
        <f t="shared" si="19"/>
        <v>0258BCтемно-зеленый</v>
      </c>
      <c r="W160" s="60" t="str">
        <f t="shared" si="16"/>
        <v>0258BC</v>
      </c>
      <c r="X160" s="60" t="str">
        <f t="shared" si="20"/>
        <v>Wool 504</v>
      </c>
      <c r="AC160" s="51">
        <f t="shared" si="21"/>
        <v>3</v>
      </c>
      <c r="AD160" s="44">
        <f t="shared" si="22"/>
        <v>2</v>
      </c>
      <c r="AE160" s="51">
        <f t="shared" si="23"/>
        <v>3002</v>
      </c>
    </row>
    <row r="161" spans="1:31">
      <c r="A161" s="60" t="str">
        <f t="shared" si="17"/>
        <v>0258BCloden</v>
      </c>
      <c r="B161" s="60" t="str">
        <f t="shared" si="18"/>
        <v>03-002-07</v>
      </c>
      <c r="C161" s="72" t="s">
        <v>1304</v>
      </c>
      <c r="D161" s="72" t="s">
        <v>1301</v>
      </c>
      <c r="E161" s="72" t="s">
        <v>1032</v>
      </c>
      <c r="F161" s="73">
        <v>55</v>
      </c>
      <c r="G161" s="73" t="s">
        <v>1118</v>
      </c>
      <c r="H161" s="72" t="s">
        <v>269</v>
      </c>
      <c r="I161" s="72" t="s">
        <v>1105</v>
      </c>
      <c r="J161" s="72" t="s">
        <v>320</v>
      </c>
      <c r="K161" s="72" t="s">
        <v>382</v>
      </c>
      <c r="L161" s="72" t="s">
        <v>988</v>
      </c>
      <c r="M161" s="72" t="s">
        <v>388</v>
      </c>
      <c r="N161" s="72" t="s">
        <v>44</v>
      </c>
      <c r="O161" s="72" t="s">
        <v>539</v>
      </c>
      <c r="P161" s="72" t="s">
        <v>973</v>
      </c>
      <c r="Q161" s="72" t="s">
        <v>1303</v>
      </c>
      <c r="R161" s="72" t="s">
        <v>60</v>
      </c>
      <c r="V161" s="60" t="str">
        <f t="shared" si="19"/>
        <v>0258BCтемно-зеленый</v>
      </c>
      <c r="W161" s="60" t="str">
        <f t="shared" si="16"/>
        <v>0258BC</v>
      </c>
      <c r="X161" s="60" t="str">
        <f t="shared" si="20"/>
        <v>Wool 504</v>
      </c>
      <c r="AC161" s="51">
        <f t="shared" si="21"/>
        <v>3</v>
      </c>
      <c r="AD161" s="44">
        <f t="shared" si="22"/>
        <v>2</v>
      </c>
      <c r="AE161" s="51">
        <f t="shared" si="23"/>
        <v>3002</v>
      </c>
    </row>
    <row r="162" spans="1:31">
      <c r="A162" s="60" t="str">
        <f t="shared" si="17"/>
        <v>0258BCloden</v>
      </c>
      <c r="B162" s="60" t="str">
        <f t="shared" si="18"/>
        <v>03-002-07</v>
      </c>
      <c r="C162" s="72" t="s">
        <v>1305</v>
      </c>
      <c r="D162" s="72" t="s">
        <v>1301</v>
      </c>
      <c r="E162" s="72" t="s">
        <v>976</v>
      </c>
      <c r="F162" s="73">
        <v>59</v>
      </c>
      <c r="G162" s="73" t="s">
        <v>1118</v>
      </c>
      <c r="H162" s="72" t="s">
        <v>269</v>
      </c>
      <c r="I162" s="72" t="s">
        <v>1105</v>
      </c>
      <c r="J162" s="72" t="s">
        <v>320</v>
      </c>
      <c r="K162" s="72" t="s">
        <v>382</v>
      </c>
      <c r="L162" s="72" t="s">
        <v>988</v>
      </c>
      <c r="M162" s="72" t="s">
        <v>388</v>
      </c>
      <c r="N162" s="72" t="s">
        <v>44</v>
      </c>
      <c r="O162" s="72" t="s">
        <v>539</v>
      </c>
      <c r="P162" s="72" t="s">
        <v>973</v>
      </c>
      <c r="Q162" s="72" t="s">
        <v>1303</v>
      </c>
      <c r="R162" s="72" t="s">
        <v>60</v>
      </c>
      <c r="V162" s="60" t="str">
        <f t="shared" si="19"/>
        <v>0258BCтемно-зеленый</v>
      </c>
      <c r="W162" s="60" t="str">
        <f t="shared" si="16"/>
        <v>0258BC</v>
      </c>
      <c r="X162" s="60" t="str">
        <f t="shared" si="20"/>
        <v>Wool 504</v>
      </c>
      <c r="AC162" s="51">
        <f t="shared" si="21"/>
        <v>3</v>
      </c>
      <c r="AD162" s="44">
        <f t="shared" si="22"/>
        <v>2</v>
      </c>
      <c r="AE162" s="51">
        <f t="shared" si="23"/>
        <v>3002</v>
      </c>
    </row>
    <row r="163" spans="1:31">
      <c r="A163" s="60" t="str">
        <f t="shared" si="17"/>
        <v>0258BCloden</v>
      </c>
      <c r="B163" s="60" t="str">
        <f t="shared" si="18"/>
        <v>03-002-07</v>
      </c>
      <c r="C163" s="72" t="s">
        <v>1306</v>
      </c>
      <c r="D163" s="72" t="s">
        <v>1301</v>
      </c>
      <c r="E163" s="72" t="s">
        <v>969</v>
      </c>
      <c r="F163" s="73">
        <v>57</v>
      </c>
      <c r="G163" s="73" t="s">
        <v>1118</v>
      </c>
      <c r="H163" s="72" t="s">
        <v>269</v>
      </c>
      <c r="I163" s="72" t="s">
        <v>1105</v>
      </c>
      <c r="J163" s="72" t="s">
        <v>320</v>
      </c>
      <c r="K163" s="72" t="s">
        <v>382</v>
      </c>
      <c r="L163" s="72" t="s">
        <v>988</v>
      </c>
      <c r="M163" s="72" t="s">
        <v>388</v>
      </c>
      <c r="N163" s="72" t="s">
        <v>44</v>
      </c>
      <c r="O163" s="72" t="s">
        <v>539</v>
      </c>
      <c r="P163" s="72" t="s">
        <v>973</v>
      </c>
      <c r="Q163" s="72" t="s">
        <v>1303</v>
      </c>
      <c r="R163" s="72" t="s">
        <v>60</v>
      </c>
      <c r="V163" s="60" t="str">
        <f t="shared" si="19"/>
        <v>0258BCтемно-зеленый</v>
      </c>
      <c r="W163" s="60" t="str">
        <f t="shared" si="16"/>
        <v>0258BC</v>
      </c>
      <c r="X163" s="60" t="str">
        <f t="shared" si="20"/>
        <v>Wool 504</v>
      </c>
      <c r="AC163" s="51">
        <f t="shared" si="21"/>
        <v>3</v>
      </c>
      <c r="AD163" s="44">
        <f t="shared" si="22"/>
        <v>2</v>
      </c>
      <c r="AE163" s="51">
        <f t="shared" si="23"/>
        <v>3002</v>
      </c>
    </row>
    <row r="164" spans="1:31">
      <c r="A164" s="60" t="str">
        <f t="shared" si="17"/>
        <v>0258BCloden</v>
      </c>
      <c r="B164" s="60" t="str">
        <f t="shared" si="18"/>
        <v>03-002-07</v>
      </c>
      <c r="C164" s="72" t="s">
        <v>1307</v>
      </c>
      <c r="D164" s="72" t="s">
        <v>1301</v>
      </c>
      <c r="E164" s="72" t="s">
        <v>1030</v>
      </c>
      <c r="F164" s="73">
        <v>61</v>
      </c>
      <c r="G164" s="73" t="s">
        <v>1118</v>
      </c>
      <c r="H164" s="72" t="s">
        <v>269</v>
      </c>
      <c r="I164" s="72" t="s">
        <v>1105</v>
      </c>
      <c r="J164" s="72" t="s">
        <v>320</v>
      </c>
      <c r="K164" s="72" t="s">
        <v>382</v>
      </c>
      <c r="L164" s="72" t="s">
        <v>988</v>
      </c>
      <c r="M164" s="72" t="s">
        <v>388</v>
      </c>
      <c r="N164" s="72" t="s">
        <v>44</v>
      </c>
      <c r="O164" s="72" t="s">
        <v>539</v>
      </c>
      <c r="P164" s="72" t="s">
        <v>973</v>
      </c>
      <c r="Q164" s="72" t="s">
        <v>1303</v>
      </c>
      <c r="R164" s="72" t="s">
        <v>60</v>
      </c>
      <c r="V164" s="60" t="str">
        <f t="shared" si="19"/>
        <v>0258BCтемно-зеленый</v>
      </c>
      <c r="W164" s="60" t="str">
        <f t="shared" si="16"/>
        <v>0258BC</v>
      </c>
      <c r="X164" s="60" t="str">
        <f t="shared" si="20"/>
        <v>Wool 504</v>
      </c>
      <c r="AC164" s="51">
        <f t="shared" si="21"/>
        <v>3</v>
      </c>
      <c r="AD164" s="44">
        <f t="shared" si="22"/>
        <v>2</v>
      </c>
      <c r="AE164" s="51">
        <f t="shared" si="23"/>
        <v>3002</v>
      </c>
    </row>
    <row r="165" spans="1:31">
      <c r="A165" s="60" t="str">
        <f t="shared" si="17"/>
        <v>0258BCvino</v>
      </c>
      <c r="B165" s="60" t="str">
        <f t="shared" si="18"/>
        <v>03-002-12</v>
      </c>
      <c r="C165" s="72" t="s">
        <v>1308</v>
      </c>
      <c r="D165" s="72" t="s">
        <v>1309</v>
      </c>
      <c r="E165" s="72" t="s">
        <v>1302</v>
      </c>
      <c r="F165" s="73">
        <v>63</v>
      </c>
      <c r="G165" s="73" t="s">
        <v>1118</v>
      </c>
      <c r="H165" s="72" t="s">
        <v>121</v>
      </c>
      <c r="I165" s="72" t="s">
        <v>1105</v>
      </c>
      <c r="J165" s="72" t="s">
        <v>320</v>
      </c>
      <c r="K165" s="72" t="s">
        <v>382</v>
      </c>
      <c r="L165" s="72" t="s">
        <v>988</v>
      </c>
      <c r="M165" s="72" t="s">
        <v>388</v>
      </c>
      <c r="N165" s="72" t="s">
        <v>44</v>
      </c>
      <c r="O165" s="72" t="s">
        <v>539</v>
      </c>
      <c r="P165" s="72" t="s">
        <v>973</v>
      </c>
      <c r="Q165" s="72" t="s">
        <v>1310</v>
      </c>
      <c r="R165" s="72" t="s">
        <v>121</v>
      </c>
      <c r="V165" s="60" t="str">
        <f t="shared" si="19"/>
        <v>0258BCбордовый</v>
      </c>
      <c r="W165" s="60" t="str">
        <f t="shared" si="16"/>
        <v>0258BC</v>
      </c>
      <c r="X165" s="60" t="str">
        <f t="shared" si="20"/>
        <v>Wool 504</v>
      </c>
      <c r="AC165" s="51">
        <f t="shared" si="21"/>
        <v>3</v>
      </c>
      <c r="AD165" s="44">
        <f t="shared" si="22"/>
        <v>2</v>
      </c>
      <c r="AE165" s="51">
        <f t="shared" si="23"/>
        <v>3002</v>
      </c>
    </row>
    <row r="166" spans="1:31">
      <c r="A166" s="60" t="str">
        <f t="shared" si="17"/>
        <v>0258BCvino</v>
      </c>
      <c r="B166" s="60" t="str">
        <f t="shared" si="18"/>
        <v>03-002-12</v>
      </c>
      <c r="C166" s="72" t="s">
        <v>1311</v>
      </c>
      <c r="D166" s="72" t="s">
        <v>1309</v>
      </c>
      <c r="E166" s="72" t="s">
        <v>1032</v>
      </c>
      <c r="F166" s="73">
        <v>55</v>
      </c>
      <c r="G166" s="73" t="s">
        <v>1118</v>
      </c>
      <c r="H166" s="72" t="s">
        <v>121</v>
      </c>
      <c r="I166" s="72" t="s">
        <v>1105</v>
      </c>
      <c r="J166" s="72" t="s">
        <v>320</v>
      </c>
      <c r="K166" s="72" t="s">
        <v>382</v>
      </c>
      <c r="L166" s="72" t="s">
        <v>988</v>
      </c>
      <c r="M166" s="72" t="s">
        <v>388</v>
      </c>
      <c r="N166" s="72" t="s">
        <v>44</v>
      </c>
      <c r="O166" s="72" t="s">
        <v>539</v>
      </c>
      <c r="P166" s="72" t="s">
        <v>973</v>
      </c>
      <c r="Q166" s="72" t="s">
        <v>1310</v>
      </c>
      <c r="R166" s="72" t="s">
        <v>121</v>
      </c>
      <c r="V166" s="60" t="str">
        <f t="shared" si="19"/>
        <v>0258BCбордовый</v>
      </c>
      <c r="W166" s="60" t="str">
        <f t="shared" si="16"/>
        <v>0258BC</v>
      </c>
      <c r="X166" s="60" t="str">
        <f t="shared" si="20"/>
        <v>Wool 504</v>
      </c>
      <c r="AC166" s="51">
        <f t="shared" si="21"/>
        <v>3</v>
      </c>
      <c r="AD166" s="44">
        <f t="shared" si="22"/>
        <v>2</v>
      </c>
      <c r="AE166" s="51">
        <f t="shared" si="23"/>
        <v>3002</v>
      </c>
    </row>
    <row r="167" spans="1:31">
      <c r="A167" s="60" t="str">
        <f t="shared" si="17"/>
        <v>0258BCvino</v>
      </c>
      <c r="B167" s="60" t="str">
        <f t="shared" si="18"/>
        <v>03-002-12</v>
      </c>
      <c r="C167" s="72" t="s">
        <v>1312</v>
      </c>
      <c r="D167" s="72" t="s">
        <v>1309</v>
      </c>
      <c r="E167" s="72" t="s">
        <v>976</v>
      </c>
      <c r="F167" s="73">
        <v>59</v>
      </c>
      <c r="G167" s="73" t="s">
        <v>1118</v>
      </c>
      <c r="H167" s="72" t="s">
        <v>121</v>
      </c>
      <c r="I167" s="72" t="s">
        <v>1105</v>
      </c>
      <c r="J167" s="72" t="s">
        <v>320</v>
      </c>
      <c r="K167" s="72" t="s">
        <v>382</v>
      </c>
      <c r="L167" s="72" t="s">
        <v>988</v>
      </c>
      <c r="M167" s="72" t="s">
        <v>388</v>
      </c>
      <c r="N167" s="72" t="s">
        <v>44</v>
      </c>
      <c r="O167" s="72" t="s">
        <v>539</v>
      </c>
      <c r="P167" s="72" t="s">
        <v>973</v>
      </c>
      <c r="Q167" s="72" t="s">
        <v>1310</v>
      </c>
      <c r="R167" s="72" t="s">
        <v>121</v>
      </c>
      <c r="V167" s="60" t="str">
        <f t="shared" si="19"/>
        <v>0258BCбордовый</v>
      </c>
      <c r="W167" s="60" t="str">
        <f t="shared" si="16"/>
        <v>0258BC</v>
      </c>
      <c r="X167" s="60" t="str">
        <f t="shared" si="20"/>
        <v>Wool 504</v>
      </c>
      <c r="AC167" s="51">
        <f t="shared" si="21"/>
        <v>3</v>
      </c>
      <c r="AD167" s="44">
        <f t="shared" si="22"/>
        <v>2</v>
      </c>
      <c r="AE167" s="51">
        <f t="shared" si="23"/>
        <v>3002</v>
      </c>
    </row>
    <row r="168" spans="1:31">
      <c r="A168" s="60" t="str">
        <f t="shared" si="17"/>
        <v>0258BCvino</v>
      </c>
      <c r="B168" s="60" t="str">
        <f t="shared" si="18"/>
        <v>03-002-12</v>
      </c>
      <c r="C168" s="72" t="s">
        <v>1313</v>
      </c>
      <c r="D168" s="72" t="s">
        <v>1309</v>
      </c>
      <c r="E168" s="72" t="s">
        <v>969</v>
      </c>
      <c r="F168" s="73">
        <v>57</v>
      </c>
      <c r="G168" s="73" t="s">
        <v>1118</v>
      </c>
      <c r="H168" s="72" t="s">
        <v>121</v>
      </c>
      <c r="I168" s="72" t="s">
        <v>1105</v>
      </c>
      <c r="J168" s="72" t="s">
        <v>320</v>
      </c>
      <c r="K168" s="72" t="s">
        <v>382</v>
      </c>
      <c r="L168" s="72" t="s">
        <v>988</v>
      </c>
      <c r="M168" s="72" t="s">
        <v>388</v>
      </c>
      <c r="N168" s="72" t="s">
        <v>44</v>
      </c>
      <c r="O168" s="72" t="s">
        <v>539</v>
      </c>
      <c r="P168" s="72" t="s">
        <v>973</v>
      </c>
      <c r="Q168" s="72" t="s">
        <v>1310</v>
      </c>
      <c r="R168" s="72" t="s">
        <v>121</v>
      </c>
      <c r="V168" s="60" t="str">
        <f t="shared" si="19"/>
        <v>0258BCбордовый</v>
      </c>
      <c r="W168" s="60" t="str">
        <f t="shared" si="16"/>
        <v>0258BC</v>
      </c>
      <c r="X168" s="60" t="str">
        <f t="shared" si="20"/>
        <v>Wool 504</v>
      </c>
      <c r="AC168" s="51">
        <f t="shared" si="21"/>
        <v>3</v>
      </c>
      <c r="AD168" s="44">
        <f t="shared" si="22"/>
        <v>2</v>
      </c>
      <c r="AE168" s="51">
        <f t="shared" si="23"/>
        <v>3002</v>
      </c>
    </row>
    <row r="169" spans="1:31">
      <c r="A169" s="60" t="str">
        <f t="shared" si="17"/>
        <v>0258BCvino</v>
      </c>
      <c r="B169" s="60" t="str">
        <f t="shared" si="18"/>
        <v>03-002-12</v>
      </c>
      <c r="C169" s="72" t="s">
        <v>1314</v>
      </c>
      <c r="D169" s="72" t="s">
        <v>1309</v>
      </c>
      <c r="E169" s="72" t="s">
        <v>1030</v>
      </c>
      <c r="F169" s="73">
        <v>61</v>
      </c>
      <c r="G169" s="73" t="s">
        <v>1118</v>
      </c>
      <c r="H169" s="72" t="s">
        <v>121</v>
      </c>
      <c r="I169" s="72" t="s">
        <v>1105</v>
      </c>
      <c r="J169" s="72" t="s">
        <v>320</v>
      </c>
      <c r="K169" s="72" t="s">
        <v>382</v>
      </c>
      <c r="L169" s="72" t="s">
        <v>988</v>
      </c>
      <c r="M169" s="72" t="s">
        <v>388</v>
      </c>
      <c r="N169" s="72" t="s">
        <v>44</v>
      </c>
      <c r="O169" s="72" t="s">
        <v>539</v>
      </c>
      <c r="P169" s="72" t="s">
        <v>973</v>
      </c>
      <c r="Q169" s="72" t="s">
        <v>1310</v>
      </c>
      <c r="R169" s="72" t="s">
        <v>121</v>
      </c>
      <c r="V169" s="60" t="str">
        <f t="shared" si="19"/>
        <v>0258BCбордовый</v>
      </c>
      <c r="W169" s="60" t="str">
        <f t="shared" si="16"/>
        <v>0258BC</v>
      </c>
      <c r="X169" s="60" t="str">
        <f t="shared" si="20"/>
        <v>Wool 504</v>
      </c>
      <c r="AC169" s="51">
        <f t="shared" si="21"/>
        <v>3</v>
      </c>
      <c r="AD169" s="44">
        <f t="shared" si="22"/>
        <v>2</v>
      </c>
      <c r="AE169" s="51">
        <f t="shared" si="23"/>
        <v>3002</v>
      </c>
    </row>
    <row r="170" spans="1:31">
      <c r="A170" s="60" t="str">
        <f t="shared" si="17"/>
        <v>2978BCsafety</v>
      </c>
      <c r="B170" s="60" t="str">
        <f t="shared" si="18"/>
        <v>03-005-06</v>
      </c>
      <c r="C170" s="72" t="s">
        <v>1315</v>
      </c>
      <c r="D170" s="72" t="s">
        <v>1316</v>
      </c>
      <c r="E170" s="72" t="s">
        <v>909</v>
      </c>
      <c r="F170" s="73">
        <v>0</v>
      </c>
      <c r="G170" s="73" t="s">
        <v>1317</v>
      </c>
      <c r="H170" s="72" t="s">
        <v>199</v>
      </c>
      <c r="I170" s="72" t="s">
        <v>1221</v>
      </c>
      <c r="J170" s="72" t="s">
        <v>340</v>
      </c>
      <c r="K170" s="72" t="s">
        <v>382</v>
      </c>
      <c r="L170" s="72" t="s">
        <v>988</v>
      </c>
      <c r="M170" s="72" t="s">
        <v>389</v>
      </c>
      <c r="O170" s="72" t="s">
        <v>539</v>
      </c>
      <c r="P170" s="72" t="s">
        <v>973</v>
      </c>
      <c r="Q170" s="72" t="s">
        <v>1318</v>
      </c>
      <c r="R170" s="72" t="s">
        <v>199</v>
      </c>
      <c r="V170" s="60" t="str">
        <f t="shared" si="19"/>
        <v>2978BCоранжевый</v>
      </c>
      <c r="W170" s="60" t="str">
        <f t="shared" si="16"/>
        <v>2978BC</v>
      </c>
      <c r="X170" s="60" t="str">
        <f t="shared" si="20"/>
        <v>Acrylic Cuff Pull-On</v>
      </c>
      <c r="AC170" s="51">
        <f t="shared" si="21"/>
        <v>3</v>
      </c>
      <c r="AD170" s="44">
        <f t="shared" si="22"/>
        <v>5</v>
      </c>
      <c r="AE170" s="51">
        <f t="shared" si="23"/>
        <v>3005</v>
      </c>
    </row>
    <row r="171" spans="1:31">
      <c r="A171" s="60" t="str">
        <f t="shared" si="17"/>
        <v>K3179STdark berry</v>
      </c>
      <c r="B171" s="60" t="str">
        <f t="shared" si="18"/>
        <v>03-070-12</v>
      </c>
      <c r="C171" s="72" t="s">
        <v>1319</v>
      </c>
      <c r="D171" s="72" t="s">
        <v>1320</v>
      </c>
      <c r="E171" s="72" t="s">
        <v>909</v>
      </c>
      <c r="F171" s="73">
        <v>0</v>
      </c>
      <c r="G171" s="73" t="s">
        <v>1269</v>
      </c>
      <c r="H171" s="72" t="s">
        <v>286</v>
      </c>
      <c r="I171" s="72" t="s">
        <v>1270</v>
      </c>
      <c r="J171" s="72" t="s">
        <v>340</v>
      </c>
      <c r="K171" s="72" t="s">
        <v>387</v>
      </c>
      <c r="L171" s="72" t="s">
        <v>972</v>
      </c>
      <c r="M171" s="72" t="s">
        <v>389</v>
      </c>
      <c r="N171" s="72" t="s">
        <v>44</v>
      </c>
      <c r="O171" s="72" t="s">
        <v>539</v>
      </c>
      <c r="P171" s="72" t="s">
        <v>973</v>
      </c>
      <c r="Q171" s="72" t="s">
        <v>1296</v>
      </c>
      <c r="R171" s="72" t="s">
        <v>286</v>
      </c>
      <c r="V171" s="60" t="str">
        <f t="shared" si="19"/>
        <v>K3179STфиолетовый</v>
      </c>
      <c r="W171" s="60" t="str">
        <f t="shared" si="16"/>
        <v>K3179ST</v>
      </c>
      <c r="X171" s="60" t="str">
        <f t="shared" si="20"/>
        <v>Furgora Cuff Pull-on</v>
      </c>
      <c r="AC171" s="51">
        <f t="shared" si="21"/>
        <v>3</v>
      </c>
      <c r="AD171" s="44">
        <f t="shared" si="22"/>
        <v>70</v>
      </c>
      <c r="AE171" s="51">
        <f t="shared" si="23"/>
        <v>3070</v>
      </c>
    </row>
    <row r="172" spans="1:31">
      <c r="A172" s="60" t="str">
        <f t="shared" si="17"/>
        <v>K5143HTplaid grey</v>
      </c>
      <c r="B172" s="60" t="str">
        <f t="shared" si="18"/>
        <v>03-050-01</v>
      </c>
      <c r="C172" s="72" t="s">
        <v>1321</v>
      </c>
      <c r="D172" s="72" t="s">
        <v>1322</v>
      </c>
      <c r="E172" s="72" t="s">
        <v>1053</v>
      </c>
      <c r="F172" s="73">
        <v>56</v>
      </c>
      <c r="G172" s="73" t="s">
        <v>1177</v>
      </c>
      <c r="H172" s="72" t="s">
        <v>231</v>
      </c>
      <c r="I172" s="72" t="s">
        <v>1055</v>
      </c>
      <c r="J172" s="72" t="s">
        <v>327</v>
      </c>
      <c r="K172" s="72" t="s">
        <v>382</v>
      </c>
      <c r="L172" s="72" t="s">
        <v>988</v>
      </c>
      <c r="M172" s="72" t="s">
        <v>388</v>
      </c>
      <c r="N172" s="72" t="s">
        <v>44</v>
      </c>
      <c r="O172" s="72" t="s">
        <v>533</v>
      </c>
      <c r="P172" s="72" t="s">
        <v>973</v>
      </c>
      <c r="Q172" s="72" t="s">
        <v>1323</v>
      </c>
      <c r="R172" s="72" t="s">
        <v>83</v>
      </c>
      <c r="V172" s="60" t="str">
        <f t="shared" si="19"/>
        <v>K5143HTсветло-серый</v>
      </c>
      <c r="W172" s="60" t="str">
        <f t="shared" si="16"/>
        <v>K5143HT</v>
      </c>
      <c r="X172" s="60" t="str">
        <f t="shared" si="20"/>
        <v>Pattern Flexfit Baseball</v>
      </c>
      <c r="AC172" s="51">
        <f t="shared" si="21"/>
        <v>3</v>
      </c>
      <c r="AD172" s="44">
        <f t="shared" si="22"/>
        <v>50</v>
      </c>
      <c r="AE172" s="51">
        <f t="shared" si="23"/>
        <v>3050</v>
      </c>
    </row>
    <row r="173" spans="1:31">
      <c r="A173" s="60" t="str">
        <f t="shared" si="17"/>
        <v>K5143HTplaid grey</v>
      </c>
      <c r="B173" s="60" t="str">
        <f t="shared" si="18"/>
        <v>03-050-01</v>
      </c>
      <c r="C173" s="72" t="s">
        <v>1324</v>
      </c>
      <c r="D173" s="72" t="s">
        <v>1322</v>
      </c>
      <c r="E173" s="72" t="s">
        <v>1058</v>
      </c>
      <c r="F173" s="73">
        <v>60</v>
      </c>
      <c r="G173" s="73" t="s">
        <v>1177</v>
      </c>
      <c r="H173" s="72" t="s">
        <v>231</v>
      </c>
      <c r="I173" s="72" t="s">
        <v>1055</v>
      </c>
      <c r="J173" s="72" t="s">
        <v>327</v>
      </c>
      <c r="K173" s="72" t="s">
        <v>382</v>
      </c>
      <c r="L173" s="72" t="s">
        <v>988</v>
      </c>
      <c r="M173" s="72" t="s">
        <v>388</v>
      </c>
      <c r="N173" s="72" t="s">
        <v>44</v>
      </c>
      <c r="O173" s="72" t="s">
        <v>533</v>
      </c>
      <c r="P173" s="72" t="s">
        <v>973</v>
      </c>
      <c r="Q173" s="72" t="s">
        <v>1323</v>
      </c>
      <c r="R173" s="72" t="s">
        <v>83</v>
      </c>
      <c r="V173" s="60" t="str">
        <f t="shared" si="19"/>
        <v>K5143HTсветло-серый</v>
      </c>
      <c r="W173" s="60" t="str">
        <f t="shared" si="16"/>
        <v>K5143HT</v>
      </c>
      <c r="X173" s="60" t="str">
        <f t="shared" si="20"/>
        <v>Pattern Flexfit Baseball</v>
      </c>
      <c r="AC173" s="51">
        <f t="shared" si="21"/>
        <v>3</v>
      </c>
      <c r="AD173" s="44">
        <f t="shared" si="22"/>
        <v>50</v>
      </c>
      <c r="AE173" s="51">
        <f t="shared" si="23"/>
        <v>3050</v>
      </c>
    </row>
    <row r="174" spans="1:31">
      <c r="A174" s="60" t="str">
        <f t="shared" si="17"/>
        <v>K5206HTwood</v>
      </c>
      <c r="B174" s="60" t="str">
        <f t="shared" si="18"/>
        <v>03-054-13</v>
      </c>
      <c r="C174" s="72" t="s">
        <v>1325</v>
      </c>
      <c r="D174" s="72" t="s">
        <v>1326</v>
      </c>
      <c r="E174" s="72" t="s">
        <v>909</v>
      </c>
      <c r="F174" s="73">
        <v>0</v>
      </c>
      <c r="G174" s="73" t="s">
        <v>1232</v>
      </c>
      <c r="H174" s="72" t="s">
        <v>217</v>
      </c>
      <c r="I174" s="72" t="s">
        <v>1233</v>
      </c>
      <c r="J174" s="72" t="s">
        <v>327</v>
      </c>
      <c r="K174" s="72" t="s">
        <v>382</v>
      </c>
      <c r="L174" s="72" t="s">
        <v>988</v>
      </c>
      <c r="M174" s="72" t="s">
        <v>388</v>
      </c>
      <c r="N174" s="72" t="s">
        <v>43</v>
      </c>
      <c r="O174" s="72" t="s">
        <v>386</v>
      </c>
      <c r="P174" s="72" t="s">
        <v>973</v>
      </c>
      <c r="Q174" s="72" t="s">
        <v>1136</v>
      </c>
      <c r="R174" s="72" t="s">
        <v>199</v>
      </c>
      <c r="V174" s="60" t="str">
        <f t="shared" si="19"/>
        <v>K5206HTрыжий</v>
      </c>
      <c r="W174" s="60" t="str">
        <f t="shared" si="16"/>
        <v>K5206HT</v>
      </c>
      <c r="X174" s="60" t="str">
        <f t="shared" si="20"/>
        <v>Cord Baseball</v>
      </c>
      <c r="AC174" s="51">
        <f t="shared" si="21"/>
        <v>3</v>
      </c>
      <c r="AD174" s="44">
        <f t="shared" si="22"/>
        <v>54</v>
      </c>
      <c r="AE174" s="51">
        <f t="shared" si="23"/>
        <v>3054</v>
      </c>
    </row>
    <row r="175" spans="1:31">
      <c r="A175" s="60" t="str">
        <f t="shared" si="17"/>
        <v>0238KGblack</v>
      </c>
      <c r="B175" s="60" t="str">
        <f t="shared" si="18"/>
        <v>03-075-09</v>
      </c>
      <c r="C175" s="72" t="s">
        <v>1327</v>
      </c>
      <c r="D175" s="72" t="s">
        <v>1328</v>
      </c>
      <c r="E175" s="72" t="s">
        <v>969</v>
      </c>
      <c r="F175" s="73">
        <v>57</v>
      </c>
      <c r="G175" s="73" t="s">
        <v>1329</v>
      </c>
      <c r="H175" s="72" t="s">
        <v>53</v>
      </c>
      <c r="I175" s="72" t="s">
        <v>1105</v>
      </c>
      <c r="J175" s="72" t="s">
        <v>336</v>
      </c>
      <c r="K175" s="72" t="s">
        <v>382</v>
      </c>
      <c r="L175" s="72" t="s">
        <v>988</v>
      </c>
      <c r="M175" s="72" t="s">
        <v>388</v>
      </c>
      <c r="N175" s="72" t="s">
        <v>44</v>
      </c>
      <c r="O175" s="72" t="s">
        <v>386</v>
      </c>
      <c r="P175" s="72" t="s">
        <v>973</v>
      </c>
      <c r="Q175" s="72" t="s">
        <v>1005</v>
      </c>
      <c r="R175" s="72" t="s">
        <v>53</v>
      </c>
      <c r="V175" s="60" t="str">
        <f t="shared" si="19"/>
        <v>0238KGчерный</v>
      </c>
      <c r="W175" s="60" t="str">
        <f t="shared" si="16"/>
        <v>0238KG</v>
      </c>
      <c r="X175" s="60" t="str">
        <f t="shared" si="20"/>
        <v>Wool 504 Earlap</v>
      </c>
      <c r="AC175" s="51">
        <f t="shared" si="21"/>
        <v>3</v>
      </c>
      <c r="AD175" s="44">
        <f t="shared" si="22"/>
        <v>75</v>
      </c>
      <c r="AE175" s="51">
        <f t="shared" si="23"/>
        <v>3075</v>
      </c>
    </row>
    <row r="176" spans="1:31">
      <c r="A176" s="60" t="str">
        <f t="shared" si="17"/>
        <v>0238KGblack</v>
      </c>
      <c r="B176" s="60" t="str">
        <f t="shared" si="18"/>
        <v>03-075-09</v>
      </c>
      <c r="C176" s="72" t="s">
        <v>1330</v>
      </c>
      <c r="D176" s="72" t="s">
        <v>1328</v>
      </c>
      <c r="E176" s="72" t="s">
        <v>976</v>
      </c>
      <c r="F176" s="73">
        <v>59</v>
      </c>
      <c r="G176" s="73" t="s">
        <v>1329</v>
      </c>
      <c r="H176" s="72" t="s">
        <v>53</v>
      </c>
      <c r="I176" s="72" t="s">
        <v>1105</v>
      </c>
      <c r="J176" s="72" t="s">
        <v>336</v>
      </c>
      <c r="K176" s="72" t="s">
        <v>382</v>
      </c>
      <c r="L176" s="72" t="s">
        <v>988</v>
      </c>
      <c r="M176" s="72" t="s">
        <v>388</v>
      </c>
      <c r="N176" s="72" t="s">
        <v>44</v>
      </c>
      <c r="O176" s="72" t="s">
        <v>386</v>
      </c>
      <c r="P176" s="72" t="s">
        <v>973</v>
      </c>
      <c r="Q176" s="72" t="s">
        <v>1005</v>
      </c>
      <c r="R176" s="72" t="s">
        <v>53</v>
      </c>
      <c r="V176" s="60" t="str">
        <f t="shared" si="19"/>
        <v>0238KGчерный</v>
      </c>
      <c r="W176" s="60" t="str">
        <f t="shared" si="16"/>
        <v>0238KG</v>
      </c>
      <c r="X176" s="60" t="str">
        <f t="shared" si="20"/>
        <v>Wool 504 Earlap</v>
      </c>
      <c r="AC176" s="51">
        <f t="shared" si="21"/>
        <v>3</v>
      </c>
      <c r="AD176" s="44">
        <f t="shared" si="22"/>
        <v>75</v>
      </c>
      <c r="AE176" s="51">
        <f t="shared" si="23"/>
        <v>3075</v>
      </c>
    </row>
    <row r="177" spans="1:31">
      <c r="A177" s="60" t="str">
        <f t="shared" si="17"/>
        <v>0238KGblack</v>
      </c>
      <c r="B177" s="60" t="str">
        <f t="shared" si="18"/>
        <v>03-075-09</v>
      </c>
      <c r="C177" s="72" t="s">
        <v>1331</v>
      </c>
      <c r="D177" s="72" t="s">
        <v>1328</v>
      </c>
      <c r="E177" s="72" t="s">
        <v>1032</v>
      </c>
      <c r="F177" s="73">
        <v>55</v>
      </c>
      <c r="G177" s="73" t="s">
        <v>1329</v>
      </c>
      <c r="H177" s="72" t="s">
        <v>53</v>
      </c>
      <c r="I177" s="72" t="s">
        <v>1105</v>
      </c>
      <c r="J177" s="72" t="s">
        <v>336</v>
      </c>
      <c r="K177" s="72" t="s">
        <v>382</v>
      </c>
      <c r="L177" s="72" t="s">
        <v>988</v>
      </c>
      <c r="M177" s="72" t="s">
        <v>388</v>
      </c>
      <c r="N177" s="72" t="s">
        <v>44</v>
      </c>
      <c r="O177" s="72" t="s">
        <v>386</v>
      </c>
      <c r="P177" s="72" t="s">
        <v>973</v>
      </c>
      <c r="Q177" s="72" t="s">
        <v>1005</v>
      </c>
      <c r="R177" s="72" t="s">
        <v>53</v>
      </c>
      <c r="V177" s="60" t="str">
        <f t="shared" si="19"/>
        <v>0238KGчерный</v>
      </c>
      <c r="W177" s="60" t="str">
        <f t="shared" si="16"/>
        <v>0238KG</v>
      </c>
      <c r="X177" s="60" t="str">
        <f t="shared" si="20"/>
        <v>Wool 504 Earlap</v>
      </c>
      <c r="AC177" s="51">
        <f t="shared" si="21"/>
        <v>3</v>
      </c>
      <c r="AD177" s="44">
        <f t="shared" si="22"/>
        <v>75</v>
      </c>
      <c r="AE177" s="51">
        <f t="shared" si="23"/>
        <v>3075</v>
      </c>
    </row>
    <row r="178" spans="1:31">
      <c r="A178" s="60" t="str">
        <f t="shared" si="17"/>
        <v>0238KGblack</v>
      </c>
      <c r="B178" s="60" t="str">
        <f t="shared" si="18"/>
        <v>03-075-09</v>
      </c>
      <c r="C178" s="72" t="s">
        <v>1332</v>
      </c>
      <c r="D178" s="72" t="s">
        <v>1328</v>
      </c>
      <c r="E178" s="72" t="s">
        <v>1030</v>
      </c>
      <c r="F178" s="73">
        <v>61</v>
      </c>
      <c r="G178" s="73" t="s">
        <v>1329</v>
      </c>
      <c r="H178" s="72" t="s">
        <v>53</v>
      </c>
      <c r="I178" s="72" t="s">
        <v>1105</v>
      </c>
      <c r="J178" s="72" t="s">
        <v>336</v>
      </c>
      <c r="K178" s="72" t="s">
        <v>382</v>
      </c>
      <c r="L178" s="72" t="s">
        <v>988</v>
      </c>
      <c r="M178" s="72" t="s">
        <v>388</v>
      </c>
      <c r="N178" s="72" t="s">
        <v>44</v>
      </c>
      <c r="O178" s="72" t="s">
        <v>386</v>
      </c>
      <c r="P178" s="72" t="s">
        <v>973</v>
      </c>
      <c r="Q178" s="72" t="s">
        <v>1005</v>
      </c>
      <c r="R178" s="72" t="s">
        <v>53</v>
      </c>
      <c r="V178" s="60" t="str">
        <f t="shared" si="19"/>
        <v>0238KGчерный</v>
      </c>
      <c r="W178" s="60" t="str">
        <f t="shared" si="16"/>
        <v>0238KG</v>
      </c>
      <c r="X178" s="60" t="str">
        <f t="shared" si="20"/>
        <v>Wool 504 Earlap</v>
      </c>
      <c r="AC178" s="51">
        <f t="shared" si="21"/>
        <v>3</v>
      </c>
      <c r="AD178" s="44">
        <f t="shared" si="22"/>
        <v>75</v>
      </c>
      <c r="AE178" s="51">
        <f t="shared" si="23"/>
        <v>3075</v>
      </c>
    </row>
    <row r="179" spans="1:31">
      <c r="A179" s="60" t="str">
        <f t="shared" si="17"/>
        <v>0238KGblack</v>
      </c>
      <c r="B179" s="60" t="str">
        <f t="shared" si="18"/>
        <v>03-075-09</v>
      </c>
      <c r="C179" s="72" t="s">
        <v>1333</v>
      </c>
      <c r="D179" s="72" t="s">
        <v>1328</v>
      </c>
      <c r="E179" s="72" t="s">
        <v>1302</v>
      </c>
      <c r="F179" s="73">
        <v>63</v>
      </c>
      <c r="G179" s="73" t="s">
        <v>1329</v>
      </c>
      <c r="H179" s="72" t="s">
        <v>53</v>
      </c>
      <c r="I179" s="72" t="s">
        <v>1105</v>
      </c>
      <c r="J179" s="72" t="s">
        <v>336</v>
      </c>
      <c r="K179" s="72" t="s">
        <v>382</v>
      </c>
      <c r="L179" s="72" t="s">
        <v>988</v>
      </c>
      <c r="M179" s="72" t="s">
        <v>388</v>
      </c>
      <c r="N179" s="72" t="s">
        <v>44</v>
      </c>
      <c r="O179" s="72" t="s">
        <v>386</v>
      </c>
      <c r="P179" s="72" t="s">
        <v>973</v>
      </c>
      <c r="Q179" s="72" t="s">
        <v>1005</v>
      </c>
      <c r="R179" s="72" t="s">
        <v>53</v>
      </c>
      <c r="V179" s="60" t="str">
        <f t="shared" si="19"/>
        <v>0238KGчерный</v>
      </c>
      <c r="W179" s="60" t="str">
        <f t="shared" si="16"/>
        <v>0238KG</v>
      </c>
      <c r="X179" s="60" t="str">
        <f t="shared" si="20"/>
        <v>Wool 504 Earlap</v>
      </c>
      <c r="AC179" s="51">
        <f t="shared" si="21"/>
        <v>3</v>
      </c>
      <c r="AD179" s="44">
        <f t="shared" si="22"/>
        <v>75</v>
      </c>
      <c r="AE179" s="51">
        <f t="shared" si="23"/>
        <v>3075</v>
      </c>
    </row>
    <row r="180" spans="1:31">
      <c r="A180" s="60" t="str">
        <f t="shared" si="17"/>
        <v>0238KGdk.flannel</v>
      </c>
      <c r="B180" s="60" t="str">
        <f t="shared" si="18"/>
        <v>03-075-05</v>
      </c>
      <c r="C180" s="72" t="s">
        <v>1334</v>
      </c>
      <c r="D180" s="72" t="s">
        <v>1335</v>
      </c>
      <c r="E180" s="72" t="s">
        <v>969</v>
      </c>
      <c r="F180" s="73">
        <v>57</v>
      </c>
      <c r="G180" s="73" t="s">
        <v>1329</v>
      </c>
      <c r="H180" s="72" t="s">
        <v>83</v>
      </c>
      <c r="I180" s="72" t="s">
        <v>1105</v>
      </c>
      <c r="J180" s="72" t="s">
        <v>336</v>
      </c>
      <c r="K180" s="72" t="s">
        <v>382</v>
      </c>
      <c r="L180" s="72" t="s">
        <v>988</v>
      </c>
      <c r="M180" s="72" t="s">
        <v>388</v>
      </c>
      <c r="N180" s="72" t="s">
        <v>44</v>
      </c>
      <c r="O180" s="72" t="s">
        <v>386</v>
      </c>
      <c r="P180" s="72" t="s">
        <v>973</v>
      </c>
      <c r="Q180" s="72" t="s">
        <v>1148</v>
      </c>
      <c r="R180" s="72" t="s">
        <v>83</v>
      </c>
      <c r="V180" s="60" t="str">
        <f t="shared" si="19"/>
        <v>0238KGсерый</v>
      </c>
      <c r="W180" s="60" t="str">
        <f t="shared" si="16"/>
        <v>0238KG</v>
      </c>
      <c r="X180" s="60" t="str">
        <f t="shared" si="20"/>
        <v>Wool 504 Earlap</v>
      </c>
      <c r="AC180" s="51">
        <f t="shared" si="21"/>
        <v>3</v>
      </c>
      <c r="AD180" s="44">
        <f t="shared" si="22"/>
        <v>75</v>
      </c>
      <c r="AE180" s="51">
        <f t="shared" si="23"/>
        <v>3075</v>
      </c>
    </row>
    <row r="181" spans="1:31">
      <c r="A181" s="60" t="str">
        <f t="shared" si="17"/>
        <v>0238KGdk.flannel</v>
      </c>
      <c r="B181" s="60" t="str">
        <f t="shared" si="18"/>
        <v>03-075-05</v>
      </c>
      <c r="C181" s="72" t="s">
        <v>1336</v>
      </c>
      <c r="D181" s="72" t="s">
        <v>1335</v>
      </c>
      <c r="E181" s="72" t="s">
        <v>976</v>
      </c>
      <c r="F181" s="73">
        <v>59</v>
      </c>
      <c r="G181" s="73" t="s">
        <v>1329</v>
      </c>
      <c r="H181" s="72" t="s">
        <v>83</v>
      </c>
      <c r="I181" s="72" t="s">
        <v>1105</v>
      </c>
      <c r="J181" s="72" t="s">
        <v>336</v>
      </c>
      <c r="K181" s="72" t="s">
        <v>382</v>
      </c>
      <c r="L181" s="72" t="s">
        <v>988</v>
      </c>
      <c r="M181" s="72" t="s">
        <v>388</v>
      </c>
      <c r="N181" s="72" t="s">
        <v>44</v>
      </c>
      <c r="O181" s="72" t="s">
        <v>386</v>
      </c>
      <c r="P181" s="72" t="s">
        <v>973</v>
      </c>
      <c r="Q181" s="72" t="s">
        <v>1148</v>
      </c>
      <c r="R181" s="72" t="s">
        <v>83</v>
      </c>
      <c r="V181" s="60" t="str">
        <f t="shared" si="19"/>
        <v>0238KGсерый</v>
      </c>
      <c r="W181" s="60" t="str">
        <f t="shared" si="16"/>
        <v>0238KG</v>
      </c>
      <c r="X181" s="60" t="str">
        <f t="shared" si="20"/>
        <v>Wool 504 Earlap</v>
      </c>
      <c r="AC181" s="51">
        <f t="shared" si="21"/>
        <v>3</v>
      </c>
      <c r="AD181" s="44">
        <f t="shared" si="22"/>
        <v>75</v>
      </c>
      <c r="AE181" s="51">
        <f t="shared" si="23"/>
        <v>3075</v>
      </c>
    </row>
    <row r="182" spans="1:31">
      <c r="A182" s="60" t="str">
        <f t="shared" si="17"/>
        <v>0238KGdk.flannel</v>
      </c>
      <c r="B182" s="60" t="str">
        <f t="shared" si="18"/>
        <v>03-075-05</v>
      </c>
      <c r="C182" s="72" t="s">
        <v>1337</v>
      </c>
      <c r="D182" s="72" t="s">
        <v>1335</v>
      </c>
      <c r="E182" s="72" t="s">
        <v>1032</v>
      </c>
      <c r="F182" s="73">
        <v>55</v>
      </c>
      <c r="G182" s="73" t="s">
        <v>1329</v>
      </c>
      <c r="H182" s="72" t="s">
        <v>83</v>
      </c>
      <c r="I182" s="72" t="s">
        <v>1105</v>
      </c>
      <c r="J182" s="72" t="s">
        <v>336</v>
      </c>
      <c r="K182" s="72" t="s">
        <v>382</v>
      </c>
      <c r="L182" s="72" t="s">
        <v>988</v>
      </c>
      <c r="M182" s="72" t="s">
        <v>388</v>
      </c>
      <c r="N182" s="72" t="s">
        <v>44</v>
      </c>
      <c r="O182" s="72" t="s">
        <v>386</v>
      </c>
      <c r="P182" s="72" t="s">
        <v>973</v>
      </c>
      <c r="Q182" s="72" t="s">
        <v>1148</v>
      </c>
      <c r="R182" s="72" t="s">
        <v>83</v>
      </c>
      <c r="V182" s="60" t="str">
        <f t="shared" si="19"/>
        <v>0238KGсерый</v>
      </c>
      <c r="W182" s="60" t="str">
        <f t="shared" si="16"/>
        <v>0238KG</v>
      </c>
      <c r="X182" s="60" t="str">
        <f t="shared" si="20"/>
        <v>Wool 504 Earlap</v>
      </c>
      <c r="AC182" s="51">
        <f t="shared" si="21"/>
        <v>3</v>
      </c>
      <c r="AD182" s="44">
        <f t="shared" si="22"/>
        <v>75</v>
      </c>
      <c r="AE182" s="51">
        <f t="shared" si="23"/>
        <v>3075</v>
      </c>
    </row>
    <row r="183" spans="1:31">
      <c r="A183" s="60" t="str">
        <f t="shared" si="17"/>
        <v>0238KGdk.flannel</v>
      </c>
      <c r="B183" s="60" t="str">
        <f t="shared" si="18"/>
        <v>03-075-05</v>
      </c>
      <c r="C183" s="72" t="s">
        <v>1338</v>
      </c>
      <c r="D183" s="72" t="s">
        <v>1335</v>
      </c>
      <c r="E183" s="72" t="s">
        <v>1030</v>
      </c>
      <c r="F183" s="73">
        <v>61</v>
      </c>
      <c r="G183" s="73" t="s">
        <v>1329</v>
      </c>
      <c r="H183" s="72" t="s">
        <v>83</v>
      </c>
      <c r="I183" s="72" t="s">
        <v>1105</v>
      </c>
      <c r="J183" s="72" t="s">
        <v>336</v>
      </c>
      <c r="K183" s="72" t="s">
        <v>382</v>
      </c>
      <c r="L183" s="72" t="s">
        <v>988</v>
      </c>
      <c r="M183" s="72" t="s">
        <v>388</v>
      </c>
      <c r="N183" s="72" t="s">
        <v>44</v>
      </c>
      <c r="O183" s="72" t="s">
        <v>386</v>
      </c>
      <c r="P183" s="72" t="s">
        <v>973</v>
      </c>
      <c r="Q183" s="72" t="s">
        <v>1148</v>
      </c>
      <c r="R183" s="72" t="s">
        <v>83</v>
      </c>
      <c r="V183" s="60" t="str">
        <f t="shared" si="19"/>
        <v>0238KGсерый</v>
      </c>
      <c r="W183" s="60" t="str">
        <f t="shared" si="16"/>
        <v>0238KG</v>
      </c>
      <c r="X183" s="60" t="str">
        <f t="shared" si="20"/>
        <v>Wool 504 Earlap</v>
      </c>
      <c r="AC183" s="51">
        <f t="shared" si="21"/>
        <v>3</v>
      </c>
      <c r="AD183" s="44">
        <f t="shared" si="22"/>
        <v>75</v>
      </c>
      <c r="AE183" s="51">
        <f t="shared" si="23"/>
        <v>3075</v>
      </c>
    </row>
    <row r="184" spans="1:31">
      <c r="A184" s="60" t="str">
        <f t="shared" si="17"/>
        <v>0238KGnavy</v>
      </c>
      <c r="B184" s="60" t="str">
        <f t="shared" si="18"/>
        <v>03-075-16</v>
      </c>
      <c r="C184" s="72" t="s">
        <v>1339</v>
      </c>
      <c r="D184" s="72" t="s">
        <v>1340</v>
      </c>
      <c r="E184" s="72" t="s">
        <v>969</v>
      </c>
      <c r="F184" s="73">
        <v>57</v>
      </c>
      <c r="G184" s="73" t="s">
        <v>1329</v>
      </c>
      <c r="H184" s="72" t="s">
        <v>71</v>
      </c>
      <c r="I184" s="72" t="s">
        <v>1105</v>
      </c>
      <c r="J184" s="72" t="s">
        <v>336</v>
      </c>
      <c r="K184" s="72" t="s">
        <v>382</v>
      </c>
      <c r="L184" s="72" t="s">
        <v>988</v>
      </c>
      <c r="M184" s="72" t="s">
        <v>388</v>
      </c>
      <c r="N184" s="72" t="s">
        <v>44</v>
      </c>
      <c r="O184" s="72" t="s">
        <v>539</v>
      </c>
      <c r="P184" s="72" t="s">
        <v>973</v>
      </c>
      <c r="Q184" s="72" t="s">
        <v>1017</v>
      </c>
      <c r="R184" s="72" t="s">
        <v>71</v>
      </c>
      <c r="V184" s="60" t="str">
        <f t="shared" si="19"/>
        <v>0238KGсиний</v>
      </c>
      <c r="W184" s="60" t="str">
        <f t="shared" si="16"/>
        <v>0238KG</v>
      </c>
      <c r="X184" s="60" t="str">
        <f t="shared" si="20"/>
        <v>Wool 504 Earlap</v>
      </c>
      <c r="AC184" s="51">
        <f t="shared" si="21"/>
        <v>3</v>
      </c>
      <c r="AD184" s="44">
        <f t="shared" si="22"/>
        <v>75</v>
      </c>
      <c r="AE184" s="51">
        <f t="shared" si="23"/>
        <v>3075</v>
      </c>
    </row>
    <row r="185" spans="1:31">
      <c r="A185" s="60" t="str">
        <f t="shared" si="17"/>
        <v>0238KGnavy</v>
      </c>
      <c r="B185" s="60" t="str">
        <f t="shared" si="18"/>
        <v>03-075-16</v>
      </c>
      <c r="C185" s="72" t="s">
        <v>1341</v>
      </c>
      <c r="D185" s="72" t="s">
        <v>1340</v>
      </c>
      <c r="E185" s="72" t="s">
        <v>976</v>
      </c>
      <c r="F185" s="73">
        <v>59</v>
      </c>
      <c r="G185" s="73" t="s">
        <v>1329</v>
      </c>
      <c r="H185" s="72" t="s">
        <v>71</v>
      </c>
      <c r="I185" s="72" t="s">
        <v>1105</v>
      </c>
      <c r="J185" s="72" t="s">
        <v>336</v>
      </c>
      <c r="K185" s="72" t="s">
        <v>382</v>
      </c>
      <c r="L185" s="72" t="s">
        <v>988</v>
      </c>
      <c r="M185" s="72" t="s">
        <v>388</v>
      </c>
      <c r="N185" s="72" t="s">
        <v>44</v>
      </c>
      <c r="O185" s="72" t="s">
        <v>539</v>
      </c>
      <c r="P185" s="72" t="s">
        <v>973</v>
      </c>
      <c r="Q185" s="72" t="s">
        <v>1017</v>
      </c>
      <c r="R185" s="72" t="s">
        <v>71</v>
      </c>
      <c r="V185" s="60" t="str">
        <f t="shared" si="19"/>
        <v>0238KGсиний</v>
      </c>
      <c r="W185" s="60" t="str">
        <f t="shared" si="16"/>
        <v>0238KG</v>
      </c>
      <c r="X185" s="60" t="str">
        <f t="shared" si="20"/>
        <v>Wool 504 Earlap</v>
      </c>
      <c r="AC185" s="51">
        <f t="shared" si="21"/>
        <v>3</v>
      </c>
      <c r="AD185" s="44">
        <f t="shared" si="22"/>
        <v>75</v>
      </c>
      <c r="AE185" s="51">
        <f t="shared" si="23"/>
        <v>3075</v>
      </c>
    </row>
    <row r="186" spans="1:31">
      <c r="A186" s="60" t="str">
        <f t="shared" si="17"/>
        <v>0238KGnavy</v>
      </c>
      <c r="B186" s="60" t="str">
        <f t="shared" si="18"/>
        <v>03-075-16</v>
      </c>
      <c r="C186" s="72" t="s">
        <v>1342</v>
      </c>
      <c r="D186" s="72" t="s">
        <v>1340</v>
      </c>
      <c r="E186" s="72" t="s">
        <v>1032</v>
      </c>
      <c r="F186" s="73">
        <v>55</v>
      </c>
      <c r="G186" s="73" t="s">
        <v>1329</v>
      </c>
      <c r="H186" s="72" t="s">
        <v>71</v>
      </c>
      <c r="I186" s="72" t="s">
        <v>1105</v>
      </c>
      <c r="J186" s="72" t="s">
        <v>336</v>
      </c>
      <c r="K186" s="72" t="s">
        <v>382</v>
      </c>
      <c r="L186" s="72" t="s">
        <v>988</v>
      </c>
      <c r="M186" s="72" t="s">
        <v>388</v>
      </c>
      <c r="N186" s="72" t="s">
        <v>44</v>
      </c>
      <c r="O186" s="72" t="s">
        <v>539</v>
      </c>
      <c r="P186" s="72" t="s">
        <v>973</v>
      </c>
      <c r="Q186" s="72" t="s">
        <v>1017</v>
      </c>
      <c r="R186" s="72" t="s">
        <v>71</v>
      </c>
      <c r="V186" s="60" t="str">
        <f t="shared" si="19"/>
        <v>0238KGсиний</v>
      </c>
      <c r="W186" s="60" t="str">
        <f t="shared" si="16"/>
        <v>0238KG</v>
      </c>
      <c r="X186" s="60" t="str">
        <f t="shared" si="20"/>
        <v>Wool 504 Earlap</v>
      </c>
      <c r="AC186" s="51">
        <f t="shared" si="21"/>
        <v>3</v>
      </c>
      <c r="AD186" s="44">
        <f t="shared" si="22"/>
        <v>75</v>
      </c>
      <c r="AE186" s="51">
        <f t="shared" si="23"/>
        <v>3075</v>
      </c>
    </row>
    <row r="187" spans="1:31">
      <c r="A187" s="60" t="str">
        <f t="shared" si="17"/>
        <v>0238KGnavy</v>
      </c>
      <c r="B187" s="60" t="str">
        <f t="shared" si="18"/>
        <v>03-075-16</v>
      </c>
      <c r="C187" s="72" t="s">
        <v>1343</v>
      </c>
      <c r="D187" s="72" t="s">
        <v>1340</v>
      </c>
      <c r="E187" s="72" t="s">
        <v>1030</v>
      </c>
      <c r="F187" s="73">
        <v>61</v>
      </c>
      <c r="G187" s="73" t="s">
        <v>1329</v>
      </c>
      <c r="H187" s="72" t="s">
        <v>71</v>
      </c>
      <c r="I187" s="72" t="s">
        <v>1105</v>
      </c>
      <c r="J187" s="72" t="s">
        <v>336</v>
      </c>
      <c r="K187" s="72" t="s">
        <v>382</v>
      </c>
      <c r="L187" s="72" t="s">
        <v>988</v>
      </c>
      <c r="M187" s="72" t="s">
        <v>388</v>
      </c>
      <c r="N187" s="72" t="s">
        <v>44</v>
      </c>
      <c r="O187" s="72" t="s">
        <v>539</v>
      </c>
      <c r="P187" s="72" t="s">
        <v>973</v>
      </c>
      <c r="Q187" s="72" t="s">
        <v>1017</v>
      </c>
      <c r="R187" s="72" t="s">
        <v>71</v>
      </c>
      <c r="V187" s="60" t="str">
        <f t="shared" si="19"/>
        <v>0238KGсиний</v>
      </c>
      <c r="W187" s="60" t="str">
        <f t="shared" si="16"/>
        <v>0238KG</v>
      </c>
      <c r="X187" s="60" t="str">
        <f t="shared" si="20"/>
        <v>Wool 504 Earlap</v>
      </c>
      <c r="AC187" s="51">
        <f t="shared" si="21"/>
        <v>3</v>
      </c>
      <c r="AD187" s="44">
        <f t="shared" si="22"/>
        <v>75</v>
      </c>
      <c r="AE187" s="51">
        <f t="shared" si="23"/>
        <v>3075</v>
      </c>
    </row>
    <row r="188" spans="1:31">
      <c r="A188" s="60" t="str">
        <f t="shared" si="17"/>
        <v>6845BCblack</v>
      </c>
      <c r="B188" s="60" t="str">
        <f t="shared" si="18"/>
        <v>03-076-09</v>
      </c>
      <c r="C188" s="72" t="s">
        <v>1344</v>
      </c>
      <c r="D188" s="72" t="s">
        <v>1345</v>
      </c>
      <c r="E188" s="72" t="s">
        <v>969</v>
      </c>
      <c r="F188" s="73">
        <v>57</v>
      </c>
      <c r="G188" s="73" t="s">
        <v>1346</v>
      </c>
      <c r="H188" s="72" t="s">
        <v>53</v>
      </c>
      <c r="I188" s="72" t="s">
        <v>1194</v>
      </c>
      <c r="J188" s="72" t="s">
        <v>324</v>
      </c>
      <c r="K188" s="72" t="s">
        <v>382</v>
      </c>
      <c r="L188" s="72" t="s">
        <v>988</v>
      </c>
      <c r="M188" s="72" t="s">
        <v>388</v>
      </c>
      <c r="N188" s="72" t="s">
        <v>44</v>
      </c>
      <c r="O188" s="72" t="s">
        <v>386</v>
      </c>
      <c r="P188" s="72" t="s">
        <v>973</v>
      </c>
      <c r="Q188" s="72" t="s">
        <v>1005</v>
      </c>
      <c r="R188" s="72" t="s">
        <v>53</v>
      </c>
      <c r="V188" s="60" t="str">
        <f t="shared" si="19"/>
        <v>6845BCчерный</v>
      </c>
      <c r="W188" s="60" t="str">
        <f t="shared" si="16"/>
        <v>6845BC</v>
      </c>
      <c r="X188" s="60" t="str">
        <f t="shared" si="20"/>
        <v>Wool 507</v>
      </c>
      <c r="AC188" s="51">
        <f t="shared" si="21"/>
        <v>3</v>
      </c>
      <c r="AD188" s="44">
        <f t="shared" si="22"/>
        <v>76</v>
      </c>
      <c r="AE188" s="51">
        <f t="shared" si="23"/>
        <v>3076</v>
      </c>
    </row>
    <row r="189" spans="1:31">
      <c r="A189" s="60" t="str">
        <f t="shared" si="17"/>
        <v>6845BCblack</v>
      </c>
      <c r="B189" s="60" t="str">
        <f t="shared" si="18"/>
        <v>03-076-09</v>
      </c>
      <c r="C189" s="72" t="s">
        <v>1347</v>
      </c>
      <c r="D189" s="72" t="s">
        <v>1345</v>
      </c>
      <c r="E189" s="72" t="s">
        <v>976</v>
      </c>
      <c r="F189" s="73">
        <v>59</v>
      </c>
      <c r="G189" s="73" t="s">
        <v>1346</v>
      </c>
      <c r="H189" s="72" t="s">
        <v>53</v>
      </c>
      <c r="I189" s="72" t="s">
        <v>1194</v>
      </c>
      <c r="J189" s="72" t="s">
        <v>324</v>
      </c>
      <c r="K189" s="72" t="s">
        <v>382</v>
      </c>
      <c r="L189" s="72" t="s">
        <v>988</v>
      </c>
      <c r="M189" s="72" t="s">
        <v>388</v>
      </c>
      <c r="N189" s="72" t="s">
        <v>44</v>
      </c>
      <c r="O189" s="72" t="s">
        <v>386</v>
      </c>
      <c r="P189" s="72" t="s">
        <v>973</v>
      </c>
      <c r="Q189" s="72" t="s">
        <v>1005</v>
      </c>
      <c r="R189" s="72" t="s">
        <v>53</v>
      </c>
      <c r="V189" s="60" t="str">
        <f t="shared" si="19"/>
        <v>6845BCчерный</v>
      </c>
      <c r="W189" s="60" t="str">
        <f t="shared" si="16"/>
        <v>6845BC</v>
      </c>
      <c r="X189" s="60" t="str">
        <f t="shared" si="20"/>
        <v>Wool 507</v>
      </c>
      <c r="AC189" s="51">
        <f t="shared" si="21"/>
        <v>3</v>
      </c>
      <c r="AD189" s="44">
        <f t="shared" si="22"/>
        <v>76</v>
      </c>
      <c r="AE189" s="51">
        <f t="shared" si="23"/>
        <v>3076</v>
      </c>
    </row>
    <row r="190" spans="1:31">
      <c r="A190" s="60" t="str">
        <f t="shared" si="17"/>
        <v>6845BCblack</v>
      </c>
      <c r="B190" s="60" t="str">
        <f t="shared" si="18"/>
        <v>03-076-09</v>
      </c>
      <c r="C190" s="72" t="s">
        <v>1348</v>
      </c>
      <c r="D190" s="72" t="s">
        <v>1345</v>
      </c>
      <c r="E190" s="72" t="s">
        <v>1032</v>
      </c>
      <c r="F190" s="73">
        <v>55</v>
      </c>
      <c r="G190" s="73" t="s">
        <v>1346</v>
      </c>
      <c r="H190" s="72" t="s">
        <v>53</v>
      </c>
      <c r="I190" s="72" t="s">
        <v>1194</v>
      </c>
      <c r="J190" s="72" t="s">
        <v>324</v>
      </c>
      <c r="K190" s="72" t="s">
        <v>382</v>
      </c>
      <c r="L190" s="72" t="s">
        <v>988</v>
      </c>
      <c r="M190" s="72" t="s">
        <v>388</v>
      </c>
      <c r="N190" s="72" t="s">
        <v>44</v>
      </c>
      <c r="O190" s="72" t="s">
        <v>386</v>
      </c>
      <c r="P190" s="72" t="s">
        <v>973</v>
      </c>
      <c r="Q190" s="72" t="s">
        <v>1005</v>
      </c>
      <c r="R190" s="72" t="s">
        <v>53</v>
      </c>
      <c r="V190" s="60" t="str">
        <f t="shared" si="19"/>
        <v>6845BCчерный</v>
      </c>
      <c r="W190" s="60" t="str">
        <f t="shared" si="16"/>
        <v>6845BC</v>
      </c>
      <c r="X190" s="60" t="str">
        <f t="shared" si="20"/>
        <v>Wool 507</v>
      </c>
      <c r="AC190" s="51">
        <f t="shared" si="21"/>
        <v>3</v>
      </c>
      <c r="AD190" s="44">
        <f t="shared" si="22"/>
        <v>76</v>
      </c>
      <c r="AE190" s="51">
        <f t="shared" si="23"/>
        <v>3076</v>
      </c>
    </row>
    <row r="191" spans="1:31">
      <c r="A191" s="60" t="str">
        <f t="shared" si="17"/>
        <v>6845BCblack</v>
      </c>
      <c r="B191" s="60" t="str">
        <f t="shared" si="18"/>
        <v>03-076-09</v>
      </c>
      <c r="C191" s="72" t="s">
        <v>1349</v>
      </c>
      <c r="D191" s="72" t="s">
        <v>1345</v>
      </c>
      <c r="E191" s="72" t="s">
        <v>1030</v>
      </c>
      <c r="F191" s="73">
        <v>61</v>
      </c>
      <c r="G191" s="73" t="s">
        <v>1346</v>
      </c>
      <c r="H191" s="72" t="s">
        <v>53</v>
      </c>
      <c r="I191" s="72" t="s">
        <v>1194</v>
      </c>
      <c r="J191" s="72" t="s">
        <v>324</v>
      </c>
      <c r="K191" s="72" t="s">
        <v>382</v>
      </c>
      <c r="L191" s="72" t="s">
        <v>988</v>
      </c>
      <c r="M191" s="72" t="s">
        <v>388</v>
      </c>
      <c r="N191" s="72" t="s">
        <v>44</v>
      </c>
      <c r="O191" s="72" t="s">
        <v>386</v>
      </c>
      <c r="P191" s="72" t="s">
        <v>973</v>
      </c>
      <c r="Q191" s="72" t="s">
        <v>1005</v>
      </c>
      <c r="R191" s="72" t="s">
        <v>53</v>
      </c>
      <c r="V191" s="60" t="str">
        <f t="shared" si="19"/>
        <v>6845BCчерный</v>
      </c>
      <c r="W191" s="60" t="str">
        <f t="shared" si="16"/>
        <v>6845BC</v>
      </c>
      <c r="X191" s="60" t="str">
        <f t="shared" si="20"/>
        <v>Wool 507</v>
      </c>
      <c r="AC191" s="51">
        <f t="shared" si="21"/>
        <v>3</v>
      </c>
      <c r="AD191" s="44">
        <f t="shared" si="22"/>
        <v>76</v>
      </c>
      <c r="AE191" s="51">
        <f t="shared" si="23"/>
        <v>3076</v>
      </c>
    </row>
    <row r="192" spans="1:31">
      <c r="A192" s="60" t="str">
        <f t="shared" si="17"/>
        <v>K0702COdeep sea</v>
      </c>
      <c r="B192" s="60" t="str">
        <f t="shared" si="18"/>
        <v>03-077-16</v>
      </c>
      <c r="C192" s="72" t="s">
        <v>1350</v>
      </c>
      <c r="D192" s="72" t="s">
        <v>1351</v>
      </c>
      <c r="E192" s="72" t="s">
        <v>909</v>
      </c>
      <c r="F192" s="73">
        <v>0</v>
      </c>
      <c r="G192" s="73" t="s">
        <v>1352</v>
      </c>
      <c r="H192" s="72" t="s">
        <v>71</v>
      </c>
      <c r="I192" s="72" t="s">
        <v>1221</v>
      </c>
      <c r="J192" s="72" t="s">
        <v>340</v>
      </c>
      <c r="K192" s="72" t="s">
        <v>382</v>
      </c>
      <c r="L192" s="72" t="s">
        <v>988</v>
      </c>
      <c r="M192" s="72" t="s">
        <v>389</v>
      </c>
      <c r="N192" s="72" t="s">
        <v>44</v>
      </c>
      <c r="O192" s="72" t="s">
        <v>539</v>
      </c>
      <c r="P192" s="72" t="s">
        <v>973</v>
      </c>
      <c r="Q192" s="72" t="s">
        <v>1353</v>
      </c>
      <c r="R192" s="72" t="s">
        <v>71</v>
      </c>
      <c r="V192" s="60" t="str">
        <f t="shared" si="19"/>
        <v>K0702COсиний</v>
      </c>
      <c r="W192" s="60" t="str">
        <f t="shared" si="16"/>
        <v>K0702CO</v>
      </c>
      <c r="X192" s="60" t="str">
        <f t="shared" si="20"/>
        <v>Squad Fully Fashioned Cuff Pull-On</v>
      </c>
      <c r="AC192" s="51">
        <f t="shared" si="21"/>
        <v>3</v>
      </c>
      <c r="AD192" s="44">
        <f t="shared" si="22"/>
        <v>77</v>
      </c>
      <c r="AE192" s="51">
        <f t="shared" si="23"/>
        <v>3077</v>
      </c>
    </row>
    <row r="193" spans="1:31">
      <c r="A193" s="60" t="str">
        <f t="shared" si="17"/>
        <v>K0702COflannel</v>
      </c>
      <c r="B193" s="60" t="str">
        <f t="shared" si="18"/>
        <v>03-077-08</v>
      </c>
      <c r="C193" s="72" t="s">
        <v>1354</v>
      </c>
      <c r="D193" s="72" t="s">
        <v>1355</v>
      </c>
      <c r="E193" s="72" t="s">
        <v>909</v>
      </c>
      <c r="F193" s="73">
        <v>0</v>
      </c>
      <c r="G193" s="73" t="s">
        <v>1352</v>
      </c>
      <c r="H193" s="72" t="s">
        <v>83</v>
      </c>
      <c r="I193" s="72" t="s">
        <v>1221</v>
      </c>
      <c r="J193" s="72" t="s">
        <v>340</v>
      </c>
      <c r="K193" s="72" t="s">
        <v>382</v>
      </c>
      <c r="L193" s="72" t="s">
        <v>988</v>
      </c>
      <c r="M193" s="72" t="s">
        <v>389</v>
      </c>
      <c r="N193" s="72" t="s">
        <v>44</v>
      </c>
      <c r="O193" s="72" t="s">
        <v>539</v>
      </c>
      <c r="P193" s="72" t="s">
        <v>973</v>
      </c>
      <c r="Q193" s="72" t="s">
        <v>1119</v>
      </c>
      <c r="R193" s="72" t="s">
        <v>83</v>
      </c>
      <c r="V193" s="60" t="str">
        <f t="shared" si="19"/>
        <v>K0702COсерый</v>
      </c>
      <c r="W193" s="60" t="str">
        <f t="shared" si="16"/>
        <v>K0702CO</v>
      </c>
      <c r="X193" s="60" t="str">
        <f t="shared" si="20"/>
        <v>Squad Fully Fashioned Cuff Pull-On</v>
      </c>
      <c r="AC193" s="51">
        <f t="shared" si="21"/>
        <v>3</v>
      </c>
      <c r="AD193" s="44">
        <f t="shared" si="22"/>
        <v>77</v>
      </c>
      <c r="AE193" s="51">
        <f t="shared" si="23"/>
        <v>3077</v>
      </c>
    </row>
    <row r="194" spans="1:31">
      <c r="A194" s="60" t="str">
        <f t="shared" si="17"/>
        <v>K0702COblack</v>
      </c>
      <c r="B194" s="60" t="str">
        <f t="shared" si="18"/>
        <v>03-077-09</v>
      </c>
      <c r="C194" s="72" t="s">
        <v>1356</v>
      </c>
      <c r="D194" s="72" t="s">
        <v>1357</v>
      </c>
      <c r="E194" s="72" t="s">
        <v>909</v>
      </c>
      <c r="F194" s="73">
        <v>0</v>
      </c>
      <c r="G194" s="73" t="s">
        <v>1352</v>
      </c>
      <c r="H194" s="72" t="s">
        <v>53</v>
      </c>
      <c r="I194" s="72" t="s">
        <v>1221</v>
      </c>
      <c r="J194" s="72" t="s">
        <v>340</v>
      </c>
      <c r="K194" s="72" t="s">
        <v>382</v>
      </c>
      <c r="L194" s="72" t="s">
        <v>988</v>
      </c>
      <c r="M194" s="72" t="s">
        <v>389</v>
      </c>
      <c r="N194" s="72" t="s">
        <v>44</v>
      </c>
      <c r="O194" s="72" t="s">
        <v>539</v>
      </c>
      <c r="P194" s="72" t="s">
        <v>973</v>
      </c>
      <c r="Q194" s="72" t="s">
        <v>1005</v>
      </c>
      <c r="R194" s="72" t="s">
        <v>53</v>
      </c>
      <c r="V194" s="60" t="str">
        <f t="shared" si="19"/>
        <v>K0702COчерный</v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K0702CO</v>
      </c>
      <c r="X194" s="60" t="str">
        <f t="shared" si="20"/>
        <v>Squad Fully Fashioned Cuff Pull-On</v>
      </c>
      <c r="AC194" s="51">
        <f t="shared" si="21"/>
        <v>3</v>
      </c>
      <c r="AD194" s="44">
        <f t="shared" si="22"/>
        <v>77</v>
      </c>
      <c r="AE194" s="51">
        <f t="shared" si="23"/>
        <v>3077</v>
      </c>
    </row>
    <row r="195" spans="1:31">
      <c r="A195" s="60" t="str">
        <f t="shared" ref="A195:A258" si="25">IF(G195&amp;Q195&lt;&gt;"",W195&amp;Q195,"")</f>
        <v>K4313STdark blue</v>
      </c>
      <c r="B195" s="60" t="str">
        <f t="shared" ref="B195:B258" si="26">IF(C195&lt;&gt;"",LEFT(C195,9),"")</f>
        <v>03-078-16</v>
      </c>
      <c r="C195" s="72" t="s">
        <v>1358</v>
      </c>
      <c r="D195" s="72" t="s">
        <v>1359</v>
      </c>
      <c r="E195" s="72" t="s">
        <v>909</v>
      </c>
      <c r="F195" s="73">
        <v>0</v>
      </c>
      <c r="G195" s="73" t="s">
        <v>1360</v>
      </c>
      <c r="H195" s="72" t="s">
        <v>55</v>
      </c>
      <c r="I195" s="72" t="s">
        <v>1233</v>
      </c>
      <c r="J195" s="72" t="s">
        <v>327</v>
      </c>
      <c r="K195" s="72" t="s">
        <v>382</v>
      </c>
      <c r="L195" s="72" t="s">
        <v>988</v>
      </c>
      <c r="M195" s="72" t="s">
        <v>388</v>
      </c>
      <c r="N195" s="72" t="s">
        <v>1244</v>
      </c>
      <c r="O195" s="72" t="s">
        <v>386</v>
      </c>
      <c r="P195" s="72" t="s">
        <v>973</v>
      </c>
      <c r="Q195" s="72" t="s">
        <v>1106</v>
      </c>
      <c r="R195" s="72" t="s">
        <v>71</v>
      </c>
      <c r="V195" s="60" t="str">
        <f t="shared" ref="V195:V258" si="27">W195&amp;H195</f>
        <v>K4313STтемно-синий</v>
      </c>
      <c r="W195" s="60" t="str">
        <f t="shared" si="24"/>
        <v>K4313ST</v>
      </c>
      <c r="X195" s="60" t="str">
        <f t="shared" ref="X195:X258" si="28">IF(A195&lt;&gt;"",IFERROR(IF(FIND(" ",G195)&gt;=1,MID(G195,FIND(" ",G195)+1,LEN(G195)),""),""),"")</f>
        <v>Vintage Script Logo Baseball</v>
      </c>
      <c r="AC195" s="51">
        <f t="shared" ref="AC195:AC258" si="29">IFERROR(VALUE(MID($C195,1,2)),0)</f>
        <v>3</v>
      </c>
      <c r="AD195" s="44">
        <f t="shared" ref="AD195:AD258" si="30">IFERROR(VALUE(MID($C195,4,3)),0)</f>
        <v>78</v>
      </c>
      <c r="AE195" s="51">
        <f t="shared" ref="AE195:AE258" si="31">VALUE(RIGHT("00"&amp;AC195,2)&amp;RIGHT("000"&amp;AD195,3))</f>
        <v>3078</v>
      </c>
    </row>
    <row r="196" spans="1:31">
      <c r="A196" s="60" t="str">
        <f t="shared" si="25"/>
        <v>2978BCblack/black</v>
      </c>
      <c r="B196" s="60" t="str">
        <f t="shared" si="26"/>
        <v>03-005-99</v>
      </c>
      <c r="C196" s="72" t="s">
        <v>1361</v>
      </c>
      <c r="D196" s="72" t="s">
        <v>1362</v>
      </c>
      <c r="E196" s="72" t="s">
        <v>909</v>
      </c>
      <c r="F196" s="73">
        <v>0</v>
      </c>
      <c r="G196" s="73" t="s">
        <v>1317</v>
      </c>
      <c r="H196" s="72" t="s">
        <v>590</v>
      </c>
      <c r="I196" s="72" t="s">
        <v>1221</v>
      </c>
      <c r="J196" s="72" t="s">
        <v>340</v>
      </c>
      <c r="K196" s="72" t="s">
        <v>382</v>
      </c>
      <c r="L196" s="72" t="s">
        <v>988</v>
      </c>
      <c r="M196" s="72" t="s">
        <v>389</v>
      </c>
      <c r="O196" s="72" t="s">
        <v>539</v>
      </c>
      <c r="P196" s="72" t="s">
        <v>973</v>
      </c>
      <c r="Q196" s="72" t="s">
        <v>1363</v>
      </c>
      <c r="R196" s="72" t="s">
        <v>53</v>
      </c>
      <c r="V196" s="60" t="str">
        <f t="shared" si="27"/>
        <v>2978BCчерный / черный</v>
      </c>
      <c r="W196" s="60" t="str">
        <f t="shared" si="24"/>
        <v>2978BC</v>
      </c>
      <c r="X196" s="60" t="str">
        <f t="shared" si="28"/>
        <v>Acrylic Cuff Pull-On</v>
      </c>
      <c r="AC196" s="51">
        <f t="shared" si="29"/>
        <v>3</v>
      </c>
      <c r="AD196" s="44">
        <f t="shared" si="30"/>
        <v>5</v>
      </c>
      <c r="AE196" s="51">
        <f t="shared" si="31"/>
        <v>3005</v>
      </c>
    </row>
    <row r="197" spans="1:31">
      <c r="A197" s="60" t="str">
        <f t="shared" si="25"/>
        <v>K4313STblack</v>
      </c>
      <c r="B197" s="60" t="str">
        <f t="shared" si="26"/>
        <v>03-078-09</v>
      </c>
      <c r="C197" s="72" t="s">
        <v>1364</v>
      </c>
      <c r="D197" s="72" t="s">
        <v>1365</v>
      </c>
      <c r="E197" s="72" t="s">
        <v>909</v>
      </c>
      <c r="F197" s="73">
        <v>0</v>
      </c>
      <c r="G197" s="73" t="s">
        <v>1360</v>
      </c>
      <c r="H197" s="72" t="s">
        <v>53</v>
      </c>
      <c r="I197" s="72" t="s">
        <v>1233</v>
      </c>
      <c r="J197" s="72" t="s">
        <v>327</v>
      </c>
      <c r="K197" s="72" t="s">
        <v>382</v>
      </c>
      <c r="L197" s="72" t="s">
        <v>988</v>
      </c>
      <c r="M197" s="72" t="s">
        <v>388</v>
      </c>
      <c r="N197" s="72" t="s">
        <v>1244</v>
      </c>
      <c r="O197" s="72" t="s">
        <v>386</v>
      </c>
      <c r="P197" s="72" t="s">
        <v>973</v>
      </c>
      <c r="Q197" s="72" t="s">
        <v>1005</v>
      </c>
      <c r="R197" s="72" t="s">
        <v>53</v>
      </c>
      <c r="V197" s="60" t="str">
        <f t="shared" si="27"/>
        <v>K4313STчерный</v>
      </c>
      <c r="W197" s="60" t="str">
        <f t="shared" si="24"/>
        <v>K4313ST</v>
      </c>
      <c r="X197" s="60" t="str">
        <f t="shared" si="28"/>
        <v>Vintage Script Logo Baseball</v>
      </c>
      <c r="AC197" s="51">
        <f t="shared" si="29"/>
        <v>3</v>
      </c>
      <c r="AD197" s="44">
        <f t="shared" si="30"/>
        <v>78</v>
      </c>
      <c r="AE197" s="51">
        <f t="shared" si="31"/>
        <v>3078</v>
      </c>
    </row>
    <row r="198" spans="1:31">
      <c r="A198" s="60" t="str">
        <f t="shared" si="25"/>
        <v>K5142HTflannel</v>
      </c>
      <c r="B198" s="60" t="str">
        <f t="shared" si="26"/>
        <v>03-049-08</v>
      </c>
      <c r="C198" s="72" t="s">
        <v>1366</v>
      </c>
      <c r="D198" s="72" t="s">
        <v>1367</v>
      </c>
      <c r="E198" s="72" t="s">
        <v>1053</v>
      </c>
      <c r="F198" s="73">
        <v>56</v>
      </c>
      <c r="G198" s="73" t="s">
        <v>1169</v>
      </c>
      <c r="H198" s="72" t="s">
        <v>83</v>
      </c>
      <c r="I198" s="72" t="s">
        <v>1170</v>
      </c>
      <c r="J198" s="72" t="s">
        <v>327</v>
      </c>
      <c r="K198" s="72" t="s">
        <v>382</v>
      </c>
      <c r="L198" s="72" t="s">
        <v>988</v>
      </c>
      <c r="M198" s="72" t="s">
        <v>388</v>
      </c>
      <c r="N198" s="72" t="s">
        <v>44</v>
      </c>
      <c r="O198" s="72" t="s">
        <v>533</v>
      </c>
      <c r="P198" s="72" t="s">
        <v>973</v>
      </c>
      <c r="Q198" s="72" t="s">
        <v>1119</v>
      </c>
      <c r="R198" s="72" t="s">
        <v>83</v>
      </c>
      <c r="V198" s="60" t="str">
        <f t="shared" si="27"/>
        <v>K5142HTсерый</v>
      </c>
      <c r="W198" s="60" t="str">
        <f t="shared" si="24"/>
        <v>K5142HT</v>
      </c>
      <c r="X198" s="60" t="str">
        <f t="shared" si="28"/>
        <v>Textured Wool Baseball</v>
      </c>
      <c r="AC198" s="51">
        <f t="shared" si="29"/>
        <v>3</v>
      </c>
      <c r="AD198" s="44">
        <f t="shared" si="30"/>
        <v>49</v>
      </c>
      <c r="AE198" s="51">
        <f t="shared" si="31"/>
        <v>3049</v>
      </c>
    </row>
    <row r="199" spans="1:31">
      <c r="A199" s="60" t="str">
        <f t="shared" si="25"/>
        <v>K5142HTflannel</v>
      </c>
      <c r="B199" s="60" t="str">
        <f t="shared" si="26"/>
        <v>03-049-08</v>
      </c>
      <c r="C199" s="72" t="s">
        <v>1368</v>
      </c>
      <c r="D199" s="72" t="s">
        <v>1367</v>
      </c>
      <c r="E199" s="72" t="s">
        <v>1058</v>
      </c>
      <c r="F199" s="73">
        <v>60</v>
      </c>
      <c r="G199" s="73" t="s">
        <v>1169</v>
      </c>
      <c r="H199" s="72" t="s">
        <v>83</v>
      </c>
      <c r="I199" s="72" t="s">
        <v>1170</v>
      </c>
      <c r="J199" s="72" t="s">
        <v>327</v>
      </c>
      <c r="K199" s="72" t="s">
        <v>382</v>
      </c>
      <c r="L199" s="72" t="s">
        <v>988</v>
      </c>
      <c r="M199" s="72" t="s">
        <v>388</v>
      </c>
      <c r="N199" s="72" t="s">
        <v>44</v>
      </c>
      <c r="O199" s="72" t="s">
        <v>533</v>
      </c>
      <c r="P199" s="72" t="s">
        <v>973</v>
      </c>
      <c r="Q199" s="72" t="s">
        <v>1119</v>
      </c>
      <c r="R199" s="72" t="s">
        <v>83</v>
      </c>
      <c r="V199" s="60" t="str">
        <f t="shared" si="27"/>
        <v>K5142HTсерый</v>
      </c>
      <c r="W199" s="60" t="str">
        <f t="shared" si="24"/>
        <v>K5142HT</v>
      </c>
      <c r="X199" s="60" t="str">
        <f t="shared" si="28"/>
        <v>Textured Wool Baseball</v>
      </c>
      <c r="AC199" s="51">
        <f t="shared" si="29"/>
        <v>3</v>
      </c>
      <c r="AD199" s="44">
        <f t="shared" si="30"/>
        <v>49</v>
      </c>
      <c r="AE199" s="51">
        <f t="shared" si="31"/>
        <v>3049</v>
      </c>
    </row>
    <row r="200" spans="1:31">
      <c r="A200" s="60" t="str">
        <f t="shared" si="25"/>
        <v>K5143HTblack plaid</v>
      </c>
      <c r="B200" s="60" t="str">
        <f t="shared" si="26"/>
        <v>03-050-09</v>
      </c>
      <c r="C200" s="72" t="s">
        <v>1369</v>
      </c>
      <c r="D200" s="72" t="s">
        <v>1370</v>
      </c>
      <c r="E200" s="72" t="s">
        <v>1053</v>
      </c>
      <c r="F200" s="73">
        <v>56</v>
      </c>
      <c r="G200" s="73" t="s">
        <v>1177</v>
      </c>
      <c r="H200" s="72" t="s">
        <v>53</v>
      </c>
      <c r="I200" s="72" t="s">
        <v>1055</v>
      </c>
      <c r="J200" s="72" t="s">
        <v>327</v>
      </c>
      <c r="K200" s="72" t="s">
        <v>382</v>
      </c>
      <c r="L200" s="72" t="s">
        <v>988</v>
      </c>
      <c r="M200" s="72" t="s">
        <v>388</v>
      </c>
      <c r="N200" s="72" t="s">
        <v>44</v>
      </c>
      <c r="O200" s="72" t="s">
        <v>533</v>
      </c>
      <c r="P200" s="72" t="s">
        <v>973</v>
      </c>
      <c r="Q200" s="72" t="s">
        <v>1371</v>
      </c>
      <c r="R200" s="72" t="s">
        <v>53</v>
      </c>
      <c r="V200" s="60" t="str">
        <f t="shared" si="27"/>
        <v>K5143HTчерный</v>
      </c>
      <c r="W200" s="60" t="str">
        <f t="shared" si="24"/>
        <v>K5143HT</v>
      </c>
      <c r="X200" s="60" t="str">
        <f t="shared" si="28"/>
        <v>Pattern Flexfit Baseball</v>
      </c>
      <c r="AC200" s="51">
        <f t="shared" si="29"/>
        <v>3</v>
      </c>
      <c r="AD200" s="44">
        <f t="shared" si="30"/>
        <v>50</v>
      </c>
      <c r="AE200" s="51">
        <f t="shared" si="31"/>
        <v>3050</v>
      </c>
    </row>
    <row r="201" spans="1:31">
      <c r="A201" s="60" t="str">
        <f t="shared" si="25"/>
        <v>K5143HTblack plaid</v>
      </c>
      <c r="B201" s="60" t="str">
        <f t="shared" si="26"/>
        <v>03-050-09</v>
      </c>
      <c r="C201" s="72" t="s">
        <v>1372</v>
      </c>
      <c r="D201" s="72" t="s">
        <v>1370</v>
      </c>
      <c r="E201" s="72" t="s">
        <v>1058</v>
      </c>
      <c r="F201" s="73">
        <v>60</v>
      </c>
      <c r="G201" s="73" t="s">
        <v>1177</v>
      </c>
      <c r="H201" s="72" t="s">
        <v>53</v>
      </c>
      <c r="I201" s="72" t="s">
        <v>1055</v>
      </c>
      <c r="J201" s="72" t="s">
        <v>327</v>
      </c>
      <c r="K201" s="72" t="s">
        <v>382</v>
      </c>
      <c r="L201" s="72" t="s">
        <v>988</v>
      </c>
      <c r="M201" s="72" t="s">
        <v>388</v>
      </c>
      <c r="N201" s="72" t="s">
        <v>44</v>
      </c>
      <c r="O201" s="72" t="s">
        <v>533</v>
      </c>
      <c r="P201" s="72" t="s">
        <v>973</v>
      </c>
      <c r="Q201" s="72" t="s">
        <v>1371</v>
      </c>
      <c r="R201" s="72" t="s">
        <v>53</v>
      </c>
      <c r="V201" s="60" t="str">
        <f t="shared" si="27"/>
        <v>K5143HTчерный</v>
      </c>
      <c r="W201" s="60" t="str">
        <f t="shared" si="24"/>
        <v>K5143HT</v>
      </c>
      <c r="X201" s="60" t="str">
        <f t="shared" si="28"/>
        <v>Pattern Flexfit Baseball</v>
      </c>
      <c r="AC201" s="51">
        <f t="shared" si="29"/>
        <v>3</v>
      </c>
      <c r="AD201" s="44">
        <f t="shared" si="30"/>
        <v>50</v>
      </c>
      <c r="AE201" s="51">
        <f t="shared" si="31"/>
        <v>3050</v>
      </c>
    </row>
    <row r="202" spans="1:31">
      <c r="A202" s="60" t="str">
        <f t="shared" si="25"/>
        <v>K3164HTnavy marl</v>
      </c>
      <c r="B202" s="60" t="str">
        <f t="shared" si="26"/>
        <v>03-046-06</v>
      </c>
      <c r="C202" s="72" t="s">
        <v>1373</v>
      </c>
      <c r="D202" s="72" t="s">
        <v>1374</v>
      </c>
      <c r="E202" s="72" t="s">
        <v>1032</v>
      </c>
      <c r="F202" s="73">
        <v>55</v>
      </c>
      <c r="G202" s="73" t="s">
        <v>1152</v>
      </c>
      <c r="H202" s="72" t="s">
        <v>71</v>
      </c>
      <c r="I202" s="72" t="s">
        <v>1132</v>
      </c>
      <c r="J202" s="72" t="s">
        <v>318</v>
      </c>
      <c r="K202" s="72" t="s">
        <v>382</v>
      </c>
      <c r="L202" s="72" t="s">
        <v>988</v>
      </c>
      <c r="M202" s="72" t="s">
        <v>388</v>
      </c>
      <c r="N202" s="72" t="s">
        <v>44</v>
      </c>
      <c r="O202" s="72" t="s">
        <v>539</v>
      </c>
      <c r="P202" s="72" t="s">
        <v>973</v>
      </c>
      <c r="Q202" s="72" t="s">
        <v>1375</v>
      </c>
      <c r="R202" s="72" t="s">
        <v>71</v>
      </c>
      <c r="V202" s="60" t="str">
        <f t="shared" si="27"/>
        <v>K3164HTсиний</v>
      </c>
      <c r="W202" s="60" t="str">
        <f t="shared" si="24"/>
        <v>K3164HT</v>
      </c>
      <c r="X202" s="60" t="str">
        <f t="shared" si="28"/>
        <v>Wool Hawker</v>
      </c>
      <c r="AC202" s="51">
        <f t="shared" si="29"/>
        <v>3</v>
      </c>
      <c r="AD202" s="44">
        <f t="shared" si="30"/>
        <v>46</v>
      </c>
      <c r="AE202" s="51">
        <f t="shared" si="31"/>
        <v>3046</v>
      </c>
    </row>
    <row r="203" spans="1:31">
      <c r="A203" s="60" t="str">
        <f t="shared" si="25"/>
        <v>K3164HTnavy marl</v>
      </c>
      <c r="B203" s="60" t="str">
        <f t="shared" si="26"/>
        <v>03-046-06</v>
      </c>
      <c r="C203" s="72" t="s">
        <v>1376</v>
      </c>
      <c r="D203" s="72" t="s">
        <v>1374</v>
      </c>
      <c r="E203" s="72" t="s">
        <v>969</v>
      </c>
      <c r="F203" s="73">
        <v>57</v>
      </c>
      <c r="G203" s="73" t="s">
        <v>1152</v>
      </c>
      <c r="H203" s="72" t="s">
        <v>71</v>
      </c>
      <c r="I203" s="72" t="s">
        <v>1132</v>
      </c>
      <c r="J203" s="72" t="s">
        <v>318</v>
      </c>
      <c r="K203" s="72" t="s">
        <v>382</v>
      </c>
      <c r="L203" s="72" t="s">
        <v>988</v>
      </c>
      <c r="M203" s="72" t="s">
        <v>388</v>
      </c>
      <c r="N203" s="72" t="s">
        <v>44</v>
      </c>
      <c r="O203" s="72" t="s">
        <v>539</v>
      </c>
      <c r="P203" s="72" t="s">
        <v>973</v>
      </c>
      <c r="Q203" s="72" t="s">
        <v>1375</v>
      </c>
      <c r="R203" s="72" t="s">
        <v>71</v>
      </c>
      <c r="V203" s="60" t="str">
        <f t="shared" si="27"/>
        <v>K3164HTсиний</v>
      </c>
      <c r="W203" s="60" t="str">
        <f t="shared" si="24"/>
        <v>K3164HT</v>
      </c>
      <c r="X203" s="60" t="str">
        <f t="shared" si="28"/>
        <v>Wool Hawker</v>
      </c>
      <c r="AC203" s="51">
        <f t="shared" si="29"/>
        <v>3</v>
      </c>
      <c r="AD203" s="44">
        <f t="shared" si="30"/>
        <v>46</v>
      </c>
      <c r="AE203" s="51">
        <f t="shared" si="31"/>
        <v>3046</v>
      </c>
    </row>
    <row r="204" spans="1:31">
      <c r="A204" s="60" t="str">
        <f t="shared" si="25"/>
        <v>K3164HTnavy marl</v>
      </c>
      <c r="B204" s="60" t="str">
        <f t="shared" si="26"/>
        <v>03-046-06</v>
      </c>
      <c r="C204" s="72" t="s">
        <v>1377</v>
      </c>
      <c r="D204" s="72" t="s">
        <v>1374</v>
      </c>
      <c r="E204" s="72" t="s">
        <v>976</v>
      </c>
      <c r="F204" s="73">
        <v>59</v>
      </c>
      <c r="G204" s="73" t="s">
        <v>1152</v>
      </c>
      <c r="H204" s="72" t="s">
        <v>71</v>
      </c>
      <c r="I204" s="72" t="s">
        <v>1132</v>
      </c>
      <c r="J204" s="72" t="s">
        <v>318</v>
      </c>
      <c r="K204" s="72" t="s">
        <v>382</v>
      </c>
      <c r="L204" s="72" t="s">
        <v>988</v>
      </c>
      <c r="M204" s="72" t="s">
        <v>388</v>
      </c>
      <c r="N204" s="72" t="s">
        <v>44</v>
      </c>
      <c r="O204" s="72" t="s">
        <v>539</v>
      </c>
      <c r="P204" s="72" t="s">
        <v>973</v>
      </c>
      <c r="Q204" s="72" t="s">
        <v>1375</v>
      </c>
      <c r="R204" s="72" t="s">
        <v>71</v>
      </c>
      <c r="V204" s="60" t="str">
        <f t="shared" si="27"/>
        <v>K3164HTсиний</v>
      </c>
      <c r="W204" s="60" t="str">
        <f t="shared" si="24"/>
        <v>K3164HT</v>
      </c>
      <c r="X204" s="60" t="str">
        <f t="shared" si="28"/>
        <v>Wool Hawker</v>
      </c>
      <c r="AC204" s="51">
        <f t="shared" si="29"/>
        <v>3</v>
      </c>
      <c r="AD204" s="44">
        <f t="shared" si="30"/>
        <v>46</v>
      </c>
      <c r="AE204" s="51">
        <f t="shared" si="31"/>
        <v>3046</v>
      </c>
    </row>
    <row r="205" spans="1:31">
      <c r="A205" s="60" t="str">
        <f t="shared" si="25"/>
        <v>K3164HTnavy marl</v>
      </c>
      <c r="B205" s="60" t="str">
        <f t="shared" si="26"/>
        <v>03-046-06</v>
      </c>
      <c r="C205" s="72" t="s">
        <v>1378</v>
      </c>
      <c r="D205" s="72" t="s">
        <v>1374</v>
      </c>
      <c r="E205" s="72" t="s">
        <v>1030</v>
      </c>
      <c r="F205" s="73">
        <v>61</v>
      </c>
      <c r="G205" s="73" t="s">
        <v>1152</v>
      </c>
      <c r="H205" s="72" t="s">
        <v>71</v>
      </c>
      <c r="I205" s="72" t="s">
        <v>1132</v>
      </c>
      <c r="J205" s="72" t="s">
        <v>318</v>
      </c>
      <c r="K205" s="72" t="s">
        <v>382</v>
      </c>
      <c r="L205" s="72" t="s">
        <v>988</v>
      </c>
      <c r="M205" s="72" t="s">
        <v>388</v>
      </c>
      <c r="N205" s="72" t="s">
        <v>44</v>
      </c>
      <c r="O205" s="72" t="s">
        <v>539</v>
      </c>
      <c r="P205" s="72" t="s">
        <v>973</v>
      </c>
      <c r="Q205" s="72" t="s">
        <v>1375</v>
      </c>
      <c r="R205" s="72" t="s">
        <v>71</v>
      </c>
      <c r="V205" s="60" t="str">
        <f t="shared" si="27"/>
        <v>K3164HTсиний</v>
      </c>
      <c r="W205" s="60" t="str">
        <f t="shared" si="24"/>
        <v>K3164HT</v>
      </c>
      <c r="X205" s="60" t="str">
        <f t="shared" si="28"/>
        <v>Wool Hawker</v>
      </c>
      <c r="AC205" s="51">
        <f t="shared" si="29"/>
        <v>3</v>
      </c>
      <c r="AD205" s="44">
        <f t="shared" si="30"/>
        <v>46</v>
      </c>
      <c r="AE205" s="51">
        <f t="shared" si="31"/>
        <v>3046</v>
      </c>
    </row>
    <row r="206" spans="1:31">
      <c r="A206" s="60" t="str">
        <f t="shared" si="25"/>
        <v>K3363STblack</v>
      </c>
      <c r="B206" s="60" t="str">
        <f t="shared" si="26"/>
        <v>03-079-09</v>
      </c>
      <c r="C206" s="72" t="s">
        <v>1379</v>
      </c>
      <c r="D206" s="72" t="s">
        <v>1380</v>
      </c>
      <c r="E206" s="72" t="s">
        <v>909</v>
      </c>
      <c r="F206" s="73">
        <v>0</v>
      </c>
      <c r="G206" s="73" t="s">
        <v>1381</v>
      </c>
      <c r="H206" s="72" t="s">
        <v>53</v>
      </c>
      <c r="I206" s="72" t="s">
        <v>1221</v>
      </c>
      <c r="J206" s="72" t="s">
        <v>340</v>
      </c>
      <c r="K206" s="72" t="s">
        <v>382</v>
      </c>
      <c r="L206" s="72" t="s">
        <v>988</v>
      </c>
      <c r="M206" s="72" t="s">
        <v>389</v>
      </c>
      <c r="N206" s="72" t="s">
        <v>44</v>
      </c>
      <c r="O206" s="72" t="s">
        <v>539</v>
      </c>
      <c r="P206" s="72" t="s">
        <v>973</v>
      </c>
      <c r="Q206" s="72" t="s">
        <v>1005</v>
      </c>
      <c r="R206" s="72" t="s">
        <v>53</v>
      </c>
      <c r="V206" s="60" t="str">
        <f t="shared" si="27"/>
        <v>K3363STчерный</v>
      </c>
      <c r="W206" s="60" t="str">
        <f t="shared" si="24"/>
        <v>K3363ST</v>
      </c>
      <c r="X206" s="60" t="str">
        <f t="shared" si="28"/>
        <v>Vintage Script Logo Beanie</v>
      </c>
      <c r="AC206" s="51">
        <f t="shared" si="29"/>
        <v>3</v>
      </c>
      <c r="AD206" s="44">
        <f t="shared" si="30"/>
        <v>79</v>
      </c>
      <c r="AE206" s="51">
        <f t="shared" si="31"/>
        <v>3079</v>
      </c>
    </row>
    <row r="207" spans="1:31">
      <c r="A207" s="60" t="str">
        <f t="shared" si="25"/>
        <v>K3375STdark flannel</v>
      </c>
      <c r="B207" s="60" t="str">
        <f t="shared" si="26"/>
        <v>03-080-05</v>
      </c>
      <c r="C207" s="72" t="s">
        <v>1382</v>
      </c>
      <c r="D207" s="72" t="s">
        <v>1383</v>
      </c>
      <c r="E207" s="72" t="s">
        <v>909</v>
      </c>
      <c r="F207" s="73">
        <v>0</v>
      </c>
      <c r="G207" s="73" t="s">
        <v>1384</v>
      </c>
      <c r="H207" s="72" t="s">
        <v>83</v>
      </c>
      <c r="I207" s="72" t="s">
        <v>1221</v>
      </c>
      <c r="J207" s="72" t="s">
        <v>340</v>
      </c>
      <c r="K207" s="72" t="s">
        <v>382</v>
      </c>
      <c r="L207" s="72" t="s">
        <v>988</v>
      </c>
      <c r="M207" s="72" t="s">
        <v>389</v>
      </c>
      <c r="N207" s="72" t="s">
        <v>44</v>
      </c>
      <c r="O207" s="72" t="s">
        <v>539</v>
      </c>
      <c r="P207" s="72" t="s">
        <v>973</v>
      </c>
      <c r="Q207" s="72" t="s">
        <v>1385</v>
      </c>
      <c r="R207" s="72" t="s">
        <v>83</v>
      </c>
      <c r="V207" s="60" t="str">
        <f t="shared" si="27"/>
        <v>K3375STсерый</v>
      </c>
      <c r="W207" s="60" t="str">
        <f t="shared" si="24"/>
        <v>K3375ST</v>
      </c>
      <c r="X207" s="60" t="str">
        <f t="shared" si="28"/>
        <v>Hidden Beanie</v>
      </c>
      <c r="AC207" s="51">
        <f t="shared" si="29"/>
        <v>3</v>
      </c>
      <c r="AD207" s="44">
        <f t="shared" si="30"/>
        <v>80</v>
      </c>
      <c r="AE207" s="51">
        <f t="shared" si="31"/>
        <v>3080</v>
      </c>
    </row>
    <row r="208" spans="1:31">
      <c r="A208" s="60" t="str">
        <f t="shared" si="25"/>
        <v>K4269HTblack plaid</v>
      </c>
      <c r="B208" s="60" t="str">
        <f t="shared" si="26"/>
        <v>03-081-05</v>
      </c>
      <c r="C208" s="72" t="s">
        <v>1386</v>
      </c>
      <c r="D208" s="72" t="s">
        <v>1387</v>
      </c>
      <c r="E208" s="72" t="s">
        <v>1053</v>
      </c>
      <c r="F208" s="73">
        <v>56</v>
      </c>
      <c r="G208" s="73" t="s">
        <v>1388</v>
      </c>
      <c r="H208" s="72" t="s">
        <v>83</v>
      </c>
      <c r="I208" s="72" t="s">
        <v>912</v>
      </c>
      <c r="J208" s="72" t="s">
        <v>318</v>
      </c>
      <c r="K208" s="72" t="s">
        <v>382</v>
      </c>
      <c r="L208" s="72" t="s">
        <v>988</v>
      </c>
      <c r="M208" s="72" t="s">
        <v>389</v>
      </c>
      <c r="N208" s="72" t="s">
        <v>44</v>
      </c>
      <c r="O208" s="72" t="s">
        <v>533</v>
      </c>
      <c r="P208" s="72" t="s">
        <v>973</v>
      </c>
      <c r="Q208" s="72" t="s">
        <v>1371</v>
      </c>
      <c r="R208" s="72" t="s">
        <v>83</v>
      </c>
      <c r="V208" s="60" t="str">
        <f t="shared" si="27"/>
        <v>K4269HTсерый</v>
      </c>
      <c r="W208" s="60" t="str">
        <f t="shared" si="24"/>
        <v>K4269HT</v>
      </c>
      <c r="X208" s="60" t="str">
        <f t="shared" si="28"/>
        <v>Pattern Flexfit Cap</v>
      </c>
      <c r="AC208" s="51">
        <f t="shared" si="29"/>
        <v>3</v>
      </c>
      <c r="AD208" s="44">
        <f t="shared" si="30"/>
        <v>81</v>
      </c>
      <c r="AE208" s="51">
        <f t="shared" si="31"/>
        <v>3081</v>
      </c>
    </row>
    <row r="209" spans="1:31">
      <c r="A209" s="60" t="str">
        <f t="shared" si="25"/>
        <v>K4269HTblack plaid</v>
      </c>
      <c r="B209" s="60" t="str">
        <f t="shared" si="26"/>
        <v>03-081-05</v>
      </c>
      <c r="C209" s="72" t="s">
        <v>1389</v>
      </c>
      <c r="D209" s="72" t="s">
        <v>1387</v>
      </c>
      <c r="E209" s="72" t="s">
        <v>1058</v>
      </c>
      <c r="F209" s="73">
        <v>60</v>
      </c>
      <c r="G209" s="73" t="s">
        <v>1388</v>
      </c>
      <c r="H209" s="72" t="s">
        <v>83</v>
      </c>
      <c r="I209" s="72" t="s">
        <v>912</v>
      </c>
      <c r="J209" s="72" t="s">
        <v>318</v>
      </c>
      <c r="K209" s="72" t="s">
        <v>382</v>
      </c>
      <c r="L209" s="72" t="s">
        <v>988</v>
      </c>
      <c r="M209" s="72" t="s">
        <v>389</v>
      </c>
      <c r="N209" s="72" t="s">
        <v>44</v>
      </c>
      <c r="O209" s="72" t="s">
        <v>533</v>
      </c>
      <c r="P209" s="72" t="s">
        <v>973</v>
      </c>
      <c r="Q209" s="72" t="s">
        <v>1371</v>
      </c>
      <c r="R209" s="72" t="s">
        <v>83</v>
      </c>
      <c r="V209" s="60" t="str">
        <f t="shared" si="27"/>
        <v>K4269HTсерый</v>
      </c>
      <c r="W209" s="60" t="str">
        <f t="shared" si="24"/>
        <v>K4269HT</v>
      </c>
      <c r="X209" s="60" t="str">
        <f t="shared" si="28"/>
        <v>Pattern Flexfit Cap</v>
      </c>
      <c r="AC209" s="51">
        <f t="shared" si="29"/>
        <v>3</v>
      </c>
      <c r="AD209" s="44">
        <f t="shared" si="30"/>
        <v>81</v>
      </c>
      <c r="AE209" s="51">
        <f t="shared" si="31"/>
        <v>3081</v>
      </c>
    </row>
    <row r="210" spans="1:31">
      <c r="A210" s="60" t="str">
        <f t="shared" si="25"/>
        <v>8650BCblack</v>
      </c>
      <c r="B210" s="60" t="str">
        <f t="shared" si="26"/>
        <v>03-082-09</v>
      </c>
      <c r="C210" s="72" t="s">
        <v>1390</v>
      </c>
      <c r="D210" s="72" t="s">
        <v>1391</v>
      </c>
      <c r="E210" s="72" t="s">
        <v>1058</v>
      </c>
      <c r="F210" s="73">
        <v>60</v>
      </c>
      <c r="G210" s="73" t="s">
        <v>1392</v>
      </c>
      <c r="H210" s="72" t="s">
        <v>53</v>
      </c>
      <c r="I210" s="72" t="s">
        <v>1393</v>
      </c>
      <c r="J210" s="72" t="s">
        <v>327</v>
      </c>
      <c r="K210" s="72" t="s">
        <v>382</v>
      </c>
      <c r="L210" s="72" t="s">
        <v>981</v>
      </c>
      <c r="M210" s="72" t="s">
        <v>384</v>
      </c>
      <c r="O210" s="72" t="s">
        <v>533</v>
      </c>
      <c r="P210" s="72" t="s">
        <v>808</v>
      </c>
      <c r="Q210" s="72" t="s">
        <v>1005</v>
      </c>
      <c r="R210" s="72" t="s">
        <v>53</v>
      </c>
      <c r="V210" s="60" t="str">
        <f t="shared" si="27"/>
        <v>8650BCчерный</v>
      </c>
      <c r="W210" s="60" t="str">
        <f t="shared" si="24"/>
        <v>8650BC</v>
      </c>
      <c r="X210" s="60" t="str">
        <f t="shared" si="28"/>
        <v>Wool Flexfit Baseball</v>
      </c>
      <c r="AC210" s="51">
        <f t="shared" si="29"/>
        <v>3</v>
      </c>
      <c r="AD210" s="44">
        <f t="shared" si="30"/>
        <v>82</v>
      </c>
      <c r="AE210" s="51">
        <f t="shared" si="31"/>
        <v>3082</v>
      </c>
    </row>
    <row r="211" spans="1:31">
      <c r="A211" s="60" t="str">
        <f t="shared" si="25"/>
        <v>8650BCblack</v>
      </c>
      <c r="B211" s="60" t="str">
        <f t="shared" si="26"/>
        <v>03-082-09</v>
      </c>
      <c r="C211" s="72" t="s">
        <v>1394</v>
      </c>
      <c r="D211" s="72" t="s">
        <v>1391</v>
      </c>
      <c r="E211" s="72" t="s">
        <v>1053</v>
      </c>
      <c r="F211" s="73">
        <v>56</v>
      </c>
      <c r="G211" s="73" t="s">
        <v>1392</v>
      </c>
      <c r="H211" s="72" t="s">
        <v>53</v>
      </c>
      <c r="I211" s="72" t="s">
        <v>1393</v>
      </c>
      <c r="J211" s="72" t="s">
        <v>327</v>
      </c>
      <c r="K211" s="72" t="s">
        <v>382</v>
      </c>
      <c r="L211" s="72" t="s">
        <v>981</v>
      </c>
      <c r="M211" s="72" t="s">
        <v>384</v>
      </c>
      <c r="O211" s="72" t="s">
        <v>533</v>
      </c>
      <c r="P211" s="72" t="s">
        <v>808</v>
      </c>
      <c r="Q211" s="72" t="s">
        <v>1005</v>
      </c>
      <c r="R211" s="72" t="s">
        <v>53</v>
      </c>
      <c r="V211" s="60" t="str">
        <f t="shared" si="27"/>
        <v>8650BCчерный</v>
      </c>
      <c r="W211" s="60" t="str">
        <f t="shared" si="24"/>
        <v>8650BC</v>
      </c>
      <c r="X211" s="60" t="str">
        <f t="shared" si="28"/>
        <v>Wool Flexfit Baseball</v>
      </c>
      <c r="AC211" s="51">
        <f t="shared" si="29"/>
        <v>3</v>
      </c>
      <c r="AD211" s="44">
        <f t="shared" si="30"/>
        <v>82</v>
      </c>
      <c r="AE211" s="51">
        <f t="shared" si="31"/>
        <v>3082</v>
      </c>
    </row>
    <row r="212" spans="1:31">
      <c r="A212" s="60" t="str">
        <f t="shared" si="25"/>
        <v>K0533COblack</v>
      </c>
      <c r="B212" s="60" t="str">
        <f t="shared" si="26"/>
        <v>03-083-09</v>
      </c>
      <c r="C212" s="72" t="s">
        <v>1395</v>
      </c>
      <c r="D212" s="72" t="s">
        <v>1396</v>
      </c>
      <c r="E212" s="72" t="s">
        <v>1058</v>
      </c>
      <c r="F212" s="73">
        <v>60</v>
      </c>
      <c r="G212" s="73" t="s">
        <v>1397</v>
      </c>
      <c r="H212" s="72" t="s">
        <v>53</v>
      </c>
      <c r="I212" s="72" t="s">
        <v>1398</v>
      </c>
      <c r="J212" s="72" t="s">
        <v>350</v>
      </c>
      <c r="K212" s="72" t="s">
        <v>382</v>
      </c>
      <c r="L212" s="72" t="s">
        <v>981</v>
      </c>
      <c r="M212" s="72" t="s">
        <v>384</v>
      </c>
      <c r="N212" s="72" t="s">
        <v>43</v>
      </c>
      <c r="O212" s="72" t="s">
        <v>533</v>
      </c>
      <c r="P212" s="72" t="s">
        <v>808</v>
      </c>
      <c r="Q212" s="72" t="s">
        <v>1005</v>
      </c>
      <c r="R212" s="72" t="s">
        <v>53</v>
      </c>
      <c r="V212" s="60" t="str">
        <f t="shared" si="27"/>
        <v>K0533COчерный</v>
      </c>
      <c r="W212" s="60" t="str">
        <f t="shared" si="24"/>
        <v>K0533CO</v>
      </c>
      <c r="X212" s="60" t="str">
        <f t="shared" si="28"/>
        <v>Ripstop Flexfit Army</v>
      </c>
      <c r="AC212" s="51">
        <f t="shared" si="29"/>
        <v>3</v>
      </c>
      <c r="AD212" s="44">
        <f t="shared" si="30"/>
        <v>83</v>
      </c>
      <c r="AE212" s="51">
        <f t="shared" si="31"/>
        <v>3083</v>
      </c>
    </row>
    <row r="213" spans="1:31">
      <c r="A213" s="60" t="str">
        <f t="shared" si="25"/>
        <v>K0533COblack</v>
      </c>
      <c r="B213" s="60" t="str">
        <f t="shared" si="26"/>
        <v>03-083-09</v>
      </c>
      <c r="C213" s="72" t="s">
        <v>1399</v>
      </c>
      <c r="D213" s="72" t="s">
        <v>1396</v>
      </c>
      <c r="E213" s="72" t="s">
        <v>1053</v>
      </c>
      <c r="F213" s="73">
        <v>56</v>
      </c>
      <c r="G213" s="73" t="s">
        <v>1397</v>
      </c>
      <c r="H213" s="72" t="s">
        <v>53</v>
      </c>
      <c r="I213" s="72" t="s">
        <v>1398</v>
      </c>
      <c r="J213" s="72" t="s">
        <v>350</v>
      </c>
      <c r="K213" s="72" t="s">
        <v>382</v>
      </c>
      <c r="L213" s="72" t="s">
        <v>981</v>
      </c>
      <c r="M213" s="72" t="s">
        <v>384</v>
      </c>
      <c r="N213" s="72" t="s">
        <v>43</v>
      </c>
      <c r="O213" s="72" t="s">
        <v>533</v>
      </c>
      <c r="P213" s="72" t="s">
        <v>808</v>
      </c>
      <c r="Q213" s="72" t="s">
        <v>1005</v>
      </c>
      <c r="R213" s="72" t="s">
        <v>53</v>
      </c>
      <c r="V213" s="60" t="str">
        <f t="shared" si="27"/>
        <v>K0533COчерный</v>
      </c>
      <c r="W213" s="60" t="str">
        <f t="shared" si="24"/>
        <v>K0533CO</v>
      </c>
      <c r="X213" s="60" t="str">
        <f t="shared" si="28"/>
        <v>Ripstop Flexfit Army</v>
      </c>
      <c r="AC213" s="51">
        <f t="shared" si="29"/>
        <v>3</v>
      </c>
      <c r="AD213" s="44">
        <f t="shared" si="30"/>
        <v>83</v>
      </c>
      <c r="AE213" s="51">
        <f t="shared" si="31"/>
        <v>3083</v>
      </c>
    </row>
    <row r="214" spans="1:31">
      <c r="A214" s="60" t="str">
        <f t="shared" si="25"/>
        <v>K2094STblack</v>
      </c>
      <c r="B214" s="60" t="str">
        <f t="shared" si="26"/>
        <v>03-084-09</v>
      </c>
      <c r="C214" s="72" t="s">
        <v>1400</v>
      </c>
      <c r="D214" s="72" t="s">
        <v>1401</v>
      </c>
      <c r="E214" s="72" t="s">
        <v>976</v>
      </c>
      <c r="F214" s="73">
        <v>59</v>
      </c>
      <c r="G214" s="73" t="s">
        <v>1402</v>
      </c>
      <c r="H214" s="72" t="s">
        <v>53</v>
      </c>
      <c r="I214" s="72" t="s">
        <v>997</v>
      </c>
      <c r="J214" s="72" t="s">
        <v>325</v>
      </c>
      <c r="K214" s="72" t="s">
        <v>382</v>
      </c>
      <c r="L214" s="72" t="s">
        <v>1004</v>
      </c>
      <c r="M214" s="72" t="s">
        <v>384</v>
      </c>
      <c r="O214" s="72" t="s">
        <v>386</v>
      </c>
      <c r="P214" s="72" t="s">
        <v>808</v>
      </c>
      <c r="Q214" s="72" t="s">
        <v>1005</v>
      </c>
      <c r="R214" s="72" t="s">
        <v>53</v>
      </c>
      <c r="V214" s="60" t="str">
        <f t="shared" si="27"/>
        <v>K2094STчерный</v>
      </c>
      <c r="W214" s="60" t="str">
        <f t="shared" si="24"/>
        <v>K2094ST</v>
      </c>
      <c r="X214" s="60" t="str">
        <f t="shared" si="28"/>
        <v xml:space="preserve"> Tropic Casual</v>
      </c>
      <c r="AC214" s="51">
        <f t="shared" si="29"/>
        <v>3</v>
      </c>
      <c r="AD214" s="44">
        <f t="shared" si="30"/>
        <v>84</v>
      </c>
      <c r="AE214" s="51">
        <f t="shared" si="31"/>
        <v>3084</v>
      </c>
    </row>
    <row r="215" spans="1:31">
      <c r="A215" s="60" t="str">
        <f t="shared" si="25"/>
        <v>K2094STblack</v>
      </c>
      <c r="B215" s="60" t="str">
        <f t="shared" si="26"/>
        <v>03-084-09</v>
      </c>
      <c r="C215" s="72" t="s">
        <v>1403</v>
      </c>
      <c r="D215" s="72" t="s">
        <v>1401</v>
      </c>
      <c r="E215" s="72" t="s">
        <v>969</v>
      </c>
      <c r="F215" s="73">
        <v>57</v>
      </c>
      <c r="G215" s="73" t="s">
        <v>1402</v>
      </c>
      <c r="H215" s="72" t="s">
        <v>53</v>
      </c>
      <c r="I215" s="72" t="s">
        <v>997</v>
      </c>
      <c r="J215" s="72" t="s">
        <v>325</v>
      </c>
      <c r="K215" s="72" t="s">
        <v>382</v>
      </c>
      <c r="L215" s="72" t="s">
        <v>1004</v>
      </c>
      <c r="M215" s="72" t="s">
        <v>384</v>
      </c>
      <c r="O215" s="72" t="s">
        <v>386</v>
      </c>
      <c r="P215" s="72" t="s">
        <v>808</v>
      </c>
      <c r="Q215" s="72" t="s">
        <v>1005</v>
      </c>
      <c r="R215" s="72" t="s">
        <v>53</v>
      </c>
      <c r="V215" s="60" t="str">
        <f t="shared" si="27"/>
        <v>K2094STчерный</v>
      </c>
      <c r="W215" s="60" t="str">
        <f t="shared" si="24"/>
        <v>K2094ST</v>
      </c>
      <c r="X215" s="60" t="str">
        <f t="shared" si="28"/>
        <v xml:space="preserve"> Tropic Casual</v>
      </c>
      <c r="AC215" s="51">
        <f t="shared" si="29"/>
        <v>3</v>
      </c>
      <c r="AD215" s="44">
        <f t="shared" si="30"/>
        <v>84</v>
      </c>
      <c r="AE215" s="51">
        <f t="shared" si="31"/>
        <v>3084</v>
      </c>
    </row>
    <row r="216" spans="1:31">
      <c r="A216" s="60" t="str">
        <f t="shared" si="25"/>
        <v>K2094STblack</v>
      </c>
      <c r="B216" s="60" t="str">
        <f t="shared" si="26"/>
        <v>03-084-09</v>
      </c>
      <c r="C216" s="72" t="s">
        <v>1404</v>
      </c>
      <c r="D216" s="72" t="s">
        <v>1401</v>
      </c>
      <c r="E216" s="72" t="s">
        <v>1030</v>
      </c>
      <c r="F216" s="73">
        <v>61</v>
      </c>
      <c r="G216" s="73" t="s">
        <v>1402</v>
      </c>
      <c r="H216" s="72" t="s">
        <v>53</v>
      </c>
      <c r="I216" s="72" t="s">
        <v>997</v>
      </c>
      <c r="J216" s="72" t="s">
        <v>325</v>
      </c>
      <c r="K216" s="72" t="s">
        <v>382</v>
      </c>
      <c r="L216" s="72" t="s">
        <v>1004</v>
      </c>
      <c r="M216" s="72" t="s">
        <v>384</v>
      </c>
      <c r="O216" s="72" t="s">
        <v>386</v>
      </c>
      <c r="P216" s="72" t="s">
        <v>808</v>
      </c>
      <c r="Q216" s="72" t="s">
        <v>1005</v>
      </c>
      <c r="R216" s="72" t="s">
        <v>53</v>
      </c>
      <c r="V216" s="60" t="str">
        <f t="shared" si="27"/>
        <v>K2094STчерный</v>
      </c>
      <c r="W216" s="60" t="str">
        <f t="shared" si="24"/>
        <v>K2094ST</v>
      </c>
      <c r="X216" s="60" t="str">
        <f t="shared" si="28"/>
        <v xml:space="preserve"> Tropic Casual</v>
      </c>
      <c r="AC216" s="51">
        <f t="shared" si="29"/>
        <v>3</v>
      </c>
      <c r="AD216" s="44">
        <f t="shared" si="30"/>
        <v>84</v>
      </c>
      <c r="AE216" s="51">
        <f t="shared" si="31"/>
        <v>3084</v>
      </c>
    </row>
    <row r="217" spans="1:31">
      <c r="A217" s="60" t="str">
        <f t="shared" si="25"/>
        <v>K2094STwhite</v>
      </c>
      <c r="B217" s="60" t="str">
        <f t="shared" si="26"/>
        <v>03-084-17</v>
      </c>
      <c r="C217" s="72" t="s">
        <v>1405</v>
      </c>
      <c r="D217" s="72" t="s">
        <v>1406</v>
      </c>
      <c r="E217" s="72" t="s">
        <v>976</v>
      </c>
      <c r="F217" s="73">
        <v>59</v>
      </c>
      <c r="G217" s="73" t="s">
        <v>1402</v>
      </c>
      <c r="H217" s="72" t="s">
        <v>57</v>
      </c>
      <c r="I217" s="72" t="s">
        <v>997</v>
      </c>
      <c r="J217" s="72" t="s">
        <v>325</v>
      </c>
      <c r="K217" s="72" t="s">
        <v>382</v>
      </c>
      <c r="L217" s="72" t="s">
        <v>1004</v>
      </c>
      <c r="M217" s="72" t="s">
        <v>384</v>
      </c>
      <c r="O217" s="72" t="s">
        <v>386</v>
      </c>
      <c r="P217" s="72" t="s">
        <v>808</v>
      </c>
      <c r="Q217" s="72" t="s">
        <v>989</v>
      </c>
      <c r="R217" s="72" t="s">
        <v>57</v>
      </c>
      <c r="V217" s="60" t="str">
        <f t="shared" si="27"/>
        <v>K2094STбелый</v>
      </c>
      <c r="W217" s="60" t="str">
        <f t="shared" si="24"/>
        <v>K2094ST</v>
      </c>
      <c r="X217" s="60" t="str">
        <f t="shared" si="28"/>
        <v xml:space="preserve"> Tropic Casual</v>
      </c>
      <c r="AC217" s="51">
        <f t="shared" si="29"/>
        <v>3</v>
      </c>
      <c r="AD217" s="44">
        <f t="shared" si="30"/>
        <v>84</v>
      </c>
      <c r="AE217" s="51">
        <f t="shared" si="31"/>
        <v>3084</v>
      </c>
    </row>
    <row r="218" spans="1:31">
      <c r="A218" s="60" t="str">
        <f t="shared" si="25"/>
        <v>K2094STwhite</v>
      </c>
      <c r="B218" s="60" t="str">
        <f>IF(C218&lt;&gt;"",LEFT(C218,9),"")</f>
        <v>03-084-17</v>
      </c>
      <c r="C218" s="72" t="s">
        <v>1407</v>
      </c>
      <c r="D218" s="72" t="s">
        <v>1406</v>
      </c>
      <c r="E218" s="72" t="s">
        <v>969</v>
      </c>
      <c r="F218" s="73">
        <v>57</v>
      </c>
      <c r="G218" s="73" t="s">
        <v>1402</v>
      </c>
      <c r="H218" s="72" t="s">
        <v>57</v>
      </c>
      <c r="I218" s="72" t="s">
        <v>997</v>
      </c>
      <c r="J218" s="72" t="s">
        <v>325</v>
      </c>
      <c r="K218" s="72" t="s">
        <v>382</v>
      </c>
      <c r="L218" s="72" t="s">
        <v>1004</v>
      </c>
      <c r="M218" s="72" t="s">
        <v>384</v>
      </c>
      <c r="O218" s="72" t="s">
        <v>386</v>
      </c>
      <c r="P218" s="72" t="s">
        <v>808</v>
      </c>
      <c r="Q218" s="72" t="s">
        <v>989</v>
      </c>
      <c r="R218" s="72" t="s">
        <v>57</v>
      </c>
      <c r="V218" s="60" t="str">
        <f t="shared" si="27"/>
        <v>K2094STбелый</v>
      </c>
      <c r="W218" s="60" t="str">
        <f t="shared" si="24"/>
        <v>K2094ST</v>
      </c>
      <c r="X218" s="60" t="str">
        <f t="shared" si="28"/>
        <v xml:space="preserve"> Tropic Casual</v>
      </c>
      <c r="AC218" s="51">
        <f t="shared" si="29"/>
        <v>3</v>
      </c>
      <c r="AD218" s="44">
        <f t="shared" si="30"/>
        <v>84</v>
      </c>
      <c r="AE218" s="51">
        <f t="shared" si="31"/>
        <v>3084</v>
      </c>
    </row>
    <row r="219" spans="1:31">
      <c r="A219" s="60" t="str">
        <f t="shared" si="25"/>
        <v>K3398black</v>
      </c>
      <c r="B219" s="60" t="str">
        <f t="shared" si="26"/>
        <v>03-085-48</v>
      </c>
      <c r="C219" s="72" t="s">
        <v>1408</v>
      </c>
      <c r="D219" s="72" t="s">
        <v>1409</v>
      </c>
      <c r="E219" s="72" t="s">
        <v>909</v>
      </c>
      <c r="F219" s="73">
        <v>0</v>
      </c>
      <c r="G219" s="73" t="s">
        <v>1410</v>
      </c>
      <c r="H219" s="72" t="s">
        <v>293</v>
      </c>
      <c r="I219" s="72" t="s">
        <v>1411</v>
      </c>
      <c r="J219" s="72" t="s">
        <v>327</v>
      </c>
      <c r="K219" s="72" t="s">
        <v>382</v>
      </c>
      <c r="L219" s="72" t="s">
        <v>1004</v>
      </c>
      <c r="M219" s="72" t="s">
        <v>384</v>
      </c>
      <c r="O219" s="72" t="s">
        <v>539</v>
      </c>
      <c r="P219" s="72" t="s">
        <v>808</v>
      </c>
      <c r="Q219" s="72" t="s">
        <v>1005</v>
      </c>
      <c r="R219" s="72" t="s">
        <v>53</v>
      </c>
      <c r="V219" s="60" t="str">
        <f t="shared" si="27"/>
        <v>K3398черный / белый</v>
      </c>
      <c r="W219" s="60" t="str">
        <f t="shared" si="24"/>
        <v>K3398</v>
      </c>
      <c r="X219" s="60" t="str">
        <f t="shared" si="28"/>
        <v>Chekered Tropic Adj Spacecap</v>
      </c>
      <c r="AC219" s="51">
        <f t="shared" si="29"/>
        <v>3</v>
      </c>
      <c r="AD219" s="44">
        <f t="shared" si="30"/>
        <v>85</v>
      </c>
      <c r="AE219" s="51">
        <f t="shared" si="31"/>
        <v>3085</v>
      </c>
    </row>
    <row r="220" spans="1:31">
      <c r="A220" s="60" t="str">
        <f t="shared" si="25"/>
        <v>K3404black</v>
      </c>
      <c r="B220" s="60" t="str">
        <f t="shared" si="26"/>
        <v>03-086-78</v>
      </c>
      <c r="C220" s="72" t="s">
        <v>1412</v>
      </c>
      <c r="D220" s="72" t="s">
        <v>1413</v>
      </c>
      <c r="E220" s="72" t="s">
        <v>976</v>
      </c>
      <c r="F220" s="73">
        <v>59</v>
      </c>
      <c r="G220" s="73" t="s">
        <v>1414</v>
      </c>
      <c r="H220" s="72" t="s">
        <v>309</v>
      </c>
      <c r="I220" s="72" t="s">
        <v>1415</v>
      </c>
      <c r="J220" s="72" t="s">
        <v>320</v>
      </c>
      <c r="K220" s="72" t="s">
        <v>382</v>
      </c>
      <c r="L220" s="72" t="s">
        <v>1004</v>
      </c>
      <c r="M220" s="72" t="s">
        <v>384</v>
      </c>
      <c r="O220" s="72" t="s">
        <v>539</v>
      </c>
      <c r="P220" s="72" t="s">
        <v>808</v>
      </c>
      <c r="Q220" s="72" t="s">
        <v>1005</v>
      </c>
      <c r="R220" s="72" t="s">
        <v>53</v>
      </c>
      <c r="V220" s="60" t="str">
        <f t="shared" si="27"/>
        <v>K3404черный / синий</v>
      </c>
      <c r="W220" s="60" t="str">
        <f t="shared" si="24"/>
        <v>K3404</v>
      </c>
      <c r="X220" s="60" t="str">
        <f t="shared" si="28"/>
        <v>Sym Stripe 504</v>
      </c>
      <c r="AC220" s="51">
        <f t="shared" si="29"/>
        <v>3</v>
      </c>
      <c r="AD220" s="44">
        <f t="shared" si="30"/>
        <v>86</v>
      </c>
      <c r="AE220" s="51">
        <f t="shared" si="31"/>
        <v>3086</v>
      </c>
    </row>
    <row r="221" spans="1:31">
      <c r="A221" s="60" t="str">
        <f t="shared" si="25"/>
        <v>K3404black</v>
      </c>
      <c r="B221" s="60" t="str">
        <f t="shared" si="26"/>
        <v>03-086-78</v>
      </c>
      <c r="C221" s="72" t="s">
        <v>1416</v>
      </c>
      <c r="D221" s="72" t="s">
        <v>1413</v>
      </c>
      <c r="E221" s="72" t="s">
        <v>969</v>
      </c>
      <c r="F221" s="73">
        <v>57</v>
      </c>
      <c r="G221" s="73" t="s">
        <v>1414</v>
      </c>
      <c r="H221" s="72" t="s">
        <v>309</v>
      </c>
      <c r="I221" s="72" t="s">
        <v>1415</v>
      </c>
      <c r="J221" s="72" t="s">
        <v>320</v>
      </c>
      <c r="K221" s="72" t="s">
        <v>382</v>
      </c>
      <c r="L221" s="72" t="s">
        <v>1004</v>
      </c>
      <c r="M221" s="72" t="s">
        <v>384</v>
      </c>
      <c r="O221" s="72" t="s">
        <v>539</v>
      </c>
      <c r="P221" s="72" t="s">
        <v>808</v>
      </c>
      <c r="Q221" s="72" t="s">
        <v>1005</v>
      </c>
      <c r="R221" s="72" t="s">
        <v>53</v>
      </c>
      <c r="V221" s="60" t="str">
        <f t="shared" si="27"/>
        <v>K3404черный / синий</v>
      </c>
      <c r="W221" s="60" t="str">
        <f t="shared" si="24"/>
        <v>K3404</v>
      </c>
      <c r="X221" s="60" t="str">
        <f t="shared" si="28"/>
        <v>Sym Stripe 504</v>
      </c>
      <c r="AC221" s="51">
        <f t="shared" si="29"/>
        <v>3</v>
      </c>
      <c r="AD221" s="44">
        <f t="shared" si="30"/>
        <v>86</v>
      </c>
      <c r="AE221" s="51">
        <f t="shared" si="31"/>
        <v>3086</v>
      </c>
    </row>
    <row r="222" spans="1:31">
      <c r="A222" s="60" t="str">
        <f t="shared" si="25"/>
        <v>2978BCred velvet</v>
      </c>
      <c r="B222" s="60" t="str">
        <f t="shared" si="26"/>
        <v>03-005-12</v>
      </c>
      <c r="C222" s="72" t="s">
        <v>1417</v>
      </c>
      <c r="D222" s="72" t="s">
        <v>1418</v>
      </c>
      <c r="E222" s="72" t="s">
        <v>909</v>
      </c>
      <c r="F222" s="73">
        <v>0</v>
      </c>
      <c r="G222" s="73" t="s">
        <v>1317</v>
      </c>
      <c r="H222" s="72" t="s">
        <v>121</v>
      </c>
      <c r="I222" s="72" t="s">
        <v>1221</v>
      </c>
      <c r="J222" s="72" t="s">
        <v>514</v>
      </c>
      <c r="K222" s="72" t="s">
        <v>387</v>
      </c>
      <c r="L222" s="72" t="s">
        <v>988</v>
      </c>
      <c r="M222" s="72" t="s">
        <v>389</v>
      </c>
      <c r="N222" s="72" t="s">
        <v>46</v>
      </c>
      <c r="O222" s="72" t="s">
        <v>539</v>
      </c>
      <c r="P222" s="72" t="s">
        <v>808</v>
      </c>
      <c r="Q222" s="72" t="s">
        <v>1419</v>
      </c>
      <c r="R222" s="72" t="s">
        <v>121</v>
      </c>
      <c r="V222" s="60" t="str">
        <f t="shared" si="27"/>
        <v>2978BCбордовый</v>
      </c>
      <c r="W222" s="60" t="str">
        <f t="shared" si="24"/>
        <v>2978BC</v>
      </c>
      <c r="X222" s="60" t="str">
        <f t="shared" si="28"/>
        <v>Acrylic Cuff Pull-On</v>
      </c>
      <c r="AC222" s="51">
        <f t="shared" si="29"/>
        <v>3</v>
      </c>
      <c r="AD222" s="44">
        <f t="shared" si="30"/>
        <v>5</v>
      </c>
      <c r="AE222" s="51">
        <f t="shared" si="31"/>
        <v>3005</v>
      </c>
    </row>
    <row r="223" spans="1:31">
      <c r="A223" s="60" t="str">
        <f t="shared" si="25"/>
        <v>2978BCold gold</v>
      </c>
      <c r="B223" s="60" t="str">
        <f t="shared" si="26"/>
        <v>03-005-20</v>
      </c>
      <c r="C223" s="72" t="s">
        <v>1420</v>
      </c>
      <c r="D223" s="72" t="s">
        <v>1421</v>
      </c>
      <c r="E223" s="72" t="s">
        <v>909</v>
      </c>
      <c r="F223" s="73">
        <v>0</v>
      </c>
      <c r="G223" s="73" t="s">
        <v>1317</v>
      </c>
      <c r="H223" s="72" t="s">
        <v>65</v>
      </c>
      <c r="I223" s="72" t="s">
        <v>1221</v>
      </c>
      <c r="J223" s="72" t="s">
        <v>340</v>
      </c>
      <c r="K223" s="72" t="s">
        <v>382</v>
      </c>
      <c r="L223" s="72" t="s">
        <v>988</v>
      </c>
      <c r="M223" s="72" t="s">
        <v>389</v>
      </c>
      <c r="O223" s="72" t="s">
        <v>539</v>
      </c>
      <c r="P223" s="72" t="s">
        <v>973</v>
      </c>
      <c r="Q223" s="72" t="s">
        <v>1422</v>
      </c>
      <c r="R223" s="72" t="s">
        <v>65</v>
      </c>
      <c r="V223" s="60" t="str">
        <f t="shared" si="27"/>
        <v>2978BCжелтый</v>
      </c>
      <c r="W223" s="60" t="str">
        <f t="shared" si="24"/>
        <v>2978BC</v>
      </c>
      <c r="X223" s="60" t="str">
        <f t="shared" si="28"/>
        <v>Acrylic Cuff Pull-On</v>
      </c>
      <c r="AC223" s="51">
        <f t="shared" si="29"/>
        <v>3</v>
      </c>
      <c r="AD223" s="44">
        <f t="shared" si="30"/>
        <v>5</v>
      </c>
      <c r="AE223" s="51">
        <f t="shared" si="31"/>
        <v>3005</v>
      </c>
    </row>
    <row r="224" spans="1:31">
      <c r="A224" s="60" t="str">
        <f t="shared" si="25"/>
        <v>K3019STdark lichen</v>
      </c>
      <c r="B224" s="60" t="str">
        <f t="shared" si="26"/>
        <v>03-013-07</v>
      </c>
      <c r="C224" s="72" t="s">
        <v>1423</v>
      </c>
      <c r="D224" s="72" t="s">
        <v>1424</v>
      </c>
      <c r="E224" s="72" t="s">
        <v>909</v>
      </c>
      <c r="F224" s="73">
        <v>0</v>
      </c>
      <c r="G224" s="73" t="s">
        <v>1425</v>
      </c>
      <c r="H224" s="72" t="s">
        <v>269</v>
      </c>
      <c r="I224" s="72" t="s">
        <v>1426</v>
      </c>
      <c r="J224" s="72" t="s">
        <v>340</v>
      </c>
      <c r="K224" s="72" t="s">
        <v>387</v>
      </c>
      <c r="L224" s="72" t="s">
        <v>972</v>
      </c>
      <c r="M224" s="72" t="s">
        <v>389</v>
      </c>
      <c r="N224" s="72" t="s">
        <v>44</v>
      </c>
      <c r="O224" s="72" t="s">
        <v>539</v>
      </c>
      <c r="P224" s="72" t="s">
        <v>973</v>
      </c>
      <c r="Q224" s="72" t="s">
        <v>1427</v>
      </c>
      <c r="R224" s="72" t="s">
        <v>60</v>
      </c>
      <c r="V224" s="60" t="str">
        <f t="shared" si="27"/>
        <v>K3019STтемно-зеленый</v>
      </c>
      <c r="W224" s="60" t="str">
        <f t="shared" si="24"/>
        <v>K3019ST</v>
      </c>
      <c r="X224" s="60" t="str">
        <f t="shared" si="28"/>
        <v>Furgora Skull Cap</v>
      </c>
      <c r="AC224" s="51">
        <f t="shared" si="29"/>
        <v>3</v>
      </c>
      <c r="AD224" s="44">
        <f t="shared" si="30"/>
        <v>13</v>
      </c>
      <c r="AE224" s="51">
        <f t="shared" si="31"/>
        <v>3013</v>
      </c>
    </row>
    <row r="225" spans="1:31">
      <c r="A225" s="60" t="str">
        <f t="shared" si="25"/>
        <v>K0875FAred velvet</v>
      </c>
      <c r="B225" s="60" t="str">
        <f t="shared" si="26"/>
        <v>03-008-12</v>
      </c>
      <c r="C225" s="72" t="s">
        <v>1428</v>
      </c>
      <c r="D225" s="72" t="s">
        <v>1429</v>
      </c>
      <c r="E225" s="72" t="s">
        <v>1030</v>
      </c>
      <c r="F225" s="73">
        <v>61</v>
      </c>
      <c r="G225" s="73" t="s">
        <v>1131</v>
      </c>
      <c r="H225" s="72" t="s">
        <v>121</v>
      </c>
      <c r="I225" s="72" t="s">
        <v>1132</v>
      </c>
      <c r="J225" s="72" t="s">
        <v>320</v>
      </c>
      <c r="K225" s="72" t="s">
        <v>382</v>
      </c>
      <c r="L225" s="72" t="s">
        <v>988</v>
      </c>
      <c r="M225" s="72" t="s">
        <v>388</v>
      </c>
      <c r="N225" s="72" t="s">
        <v>44</v>
      </c>
      <c r="O225" s="72" t="s">
        <v>539</v>
      </c>
      <c r="P225" s="72" t="s">
        <v>973</v>
      </c>
      <c r="Q225" s="72" t="s">
        <v>1419</v>
      </c>
      <c r="R225" s="72" t="s">
        <v>121</v>
      </c>
      <c r="V225" s="60" t="str">
        <f t="shared" si="27"/>
        <v>K0875FAбордовый</v>
      </c>
      <c r="W225" s="60" t="str">
        <f t="shared" si="24"/>
        <v>K0875FA</v>
      </c>
      <c r="X225" s="60" t="str">
        <f t="shared" si="28"/>
        <v>Seamless Wool 507</v>
      </c>
      <c r="AC225" s="51">
        <f t="shared" si="29"/>
        <v>3</v>
      </c>
      <c r="AD225" s="44">
        <f t="shared" si="30"/>
        <v>8</v>
      </c>
      <c r="AE225" s="51">
        <f t="shared" si="31"/>
        <v>3008</v>
      </c>
    </row>
    <row r="226" spans="1:31">
      <c r="A226" s="60" t="str">
        <f t="shared" si="25"/>
        <v>K0875FAred velvet</v>
      </c>
      <c r="B226" s="60" t="str">
        <f t="shared" si="26"/>
        <v>03-008-12</v>
      </c>
      <c r="C226" s="72" t="s">
        <v>1430</v>
      </c>
      <c r="D226" s="72" t="s">
        <v>1429</v>
      </c>
      <c r="E226" s="72" t="s">
        <v>969</v>
      </c>
      <c r="F226" s="73">
        <v>57</v>
      </c>
      <c r="G226" s="73" t="s">
        <v>1131</v>
      </c>
      <c r="H226" s="72" t="s">
        <v>121</v>
      </c>
      <c r="I226" s="72" t="s">
        <v>1132</v>
      </c>
      <c r="J226" s="72" t="s">
        <v>320</v>
      </c>
      <c r="K226" s="72" t="s">
        <v>382</v>
      </c>
      <c r="L226" s="72" t="s">
        <v>988</v>
      </c>
      <c r="M226" s="72" t="s">
        <v>388</v>
      </c>
      <c r="N226" s="72" t="s">
        <v>44</v>
      </c>
      <c r="O226" s="72" t="s">
        <v>539</v>
      </c>
      <c r="P226" s="72" t="s">
        <v>973</v>
      </c>
      <c r="Q226" s="72" t="s">
        <v>1419</v>
      </c>
      <c r="R226" s="72" t="s">
        <v>121</v>
      </c>
      <c r="V226" s="60" t="str">
        <f t="shared" si="27"/>
        <v>K0875FAбордовый</v>
      </c>
      <c r="W226" s="60" t="str">
        <f t="shared" si="24"/>
        <v>K0875FA</v>
      </c>
      <c r="X226" s="60" t="str">
        <f t="shared" si="28"/>
        <v>Seamless Wool 507</v>
      </c>
      <c r="AC226" s="51">
        <f t="shared" si="29"/>
        <v>3</v>
      </c>
      <c r="AD226" s="44">
        <f t="shared" si="30"/>
        <v>8</v>
      </c>
      <c r="AE226" s="51">
        <f t="shared" si="31"/>
        <v>3008</v>
      </c>
    </row>
    <row r="227" spans="1:31">
      <c r="A227" s="60" t="str">
        <f t="shared" si="25"/>
        <v>K0875FAred velvet</v>
      </c>
      <c r="B227" s="60" t="str">
        <f t="shared" si="26"/>
        <v>03-008-12</v>
      </c>
      <c r="C227" s="72" t="s">
        <v>1431</v>
      </c>
      <c r="D227" s="72" t="s">
        <v>1429</v>
      </c>
      <c r="E227" s="72" t="s">
        <v>976</v>
      </c>
      <c r="F227" s="73">
        <v>59</v>
      </c>
      <c r="G227" s="73" t="s">
        <v>1131</v>
      </c>
      <c r="H227" s="72" t="s">
        <v>121</v>
      </c>
      <c r="I227" s="72" t="s">
        <v>1132</v>
      </c>
      <c r="J227" s="72" t="s">
        <v>320</v>
      </c>
      <c r="K227" s="72" t="s">
        <v>382</v>
      </c>
      <c r="L227" s="72" t="s">
        <v>988</v>
      </c>
      <c r="M227" s="72" t="s">
        <v>388</v>
      </c>
      <c r="N227" s="72" t="s">
        <v>44</v>
      </c>
      <c r="O227" s="72" t="s">
        <v>539</v>
      </c>
      <c r="P227" s="72" t="s">
        <v>973</v>
      </c>
      <c r="Q227" s="72" t="s">
        <v>1419</v>
      </c>
      <c r="R227" s="72" t="s">
        <v>121</v>
      </c>
      <c r="V227" s="60" t="str">
        <f t="shared" si="27"/>
        <v>K0875FAбордовый</v>
      </c>
      <c r="W227" s="60" t="str">
        <f t="shared" si="24"/>
        <v>K0875FA</v>
      </c>
      <c r="X227" s="60" t="str">
        <f t="shared" si="28"/>
        <v>Seamless Wool 507</v>
      </c>
      <c r="AC227" s="51">
        <f t="shared" si="29"/>
        <v>3</v>
      </c>
      <c r="AD227" s="44">
        <f t="shared" si="30"/>
        <v>8</v>
      </c>
      <c r="AE227" s="51">
        <f t="shared" si="31"/>
        <v>3008</v>
      </c>
    </row>
    <row r="228" spans="1:31">
      <c r="A228" s="60" t="str">
        <f t="shared" si="25"/>
        <v>K0875FAred velvet</v>
      </c>
      <c r="B228" s="60" t="str">
        <f t="shared" si="26"/>
        <v>03-008-12</v>
      </c>
      <c r="C228" s="72" t="s">
        <v>1432</v>
      </c>
      <c r="D228" s="72" t="s">
        <v>1429</v>
      </c>
      <c r="E228" s="72" t="s">
        <v>1032</v>
      </c>
      <c r="F228" s="73">
        <v>55</v>
      </c>
      <c r="G228" s="73" t="s">
        <v>1131</v>
      </c>
      <c r="H228" s="72" t="s">
        <v>121</v>
      </c>
      <c r="I228" s="72" t="s">
        <v>1132</v>
      </c>
      <c r="J228" s="72" t="s">
        <v>320</v>
      </c>
      <c r="K228" s="72" t="s">
        <v>382</v>
      </c>
      <c r="L228" s="72" t="s">
        <v>988</v>
      </c>
      <c r="M228" s="72" t="s">
        <v>388</v>
      </c>
      <c r="N228" s="72" t="s">
        <v>44</v>
      </c>
      <c r="O228" s="72" t="s">
        <v>539</v>
      </c>
      <c r="P228" s="72" t="s">
        <v>973</v>
      </c>
      <c r="Q228" s="72" t="s">
        <v>1419</v>
      </c>
      <c r="R228" s="72" t="s">
        <v>121</v>
      </c>
      <c r="V228" s="60" t="str">
        <f t="shared" si="27"/>
        <v>K0875FAбордовый</v>
      </c>
      <c r="W228" s="60" t="str">
        <f t="shared" si="24"/>
        <v>K0875FA</v>
      </c>
      <c r="X228" s="60" t="str">
        <f t="shared" si="28"/>
        <v>Seamless Wool 507</v>
      </c>
      <c r="AC228" s="51">
        <f t="shared" si="29"/>
        <v>3</v>
      </c>
      <c r="AD228" s="44">
        <f t="shared" si="30"/>
        <v>8</v>
      </c>
      <c r="AE228" s="51">
        <f t="shared" si="31"/>
        <v>3008</v>
      </c>
    </row>
    <row r="229" spans="1:31">
      <c r="A229" s="60" t="str">
        <f t="shared" si="25"/>
        <v>K3019STdusty rose</v>
      </c>
      <c r="B229" s="60" t="str">
        <f t="shared" si="26"/>
        <v>03-013-34</v>
      </c>
      <c r="C229" s="72" t="s">
        <v>1433</v>
      </c>
      <c r="D229" s="72" t="s">
        <v>1434</v>
      </c>
      <c r="E229" s="72" t="s">
        <v>909</v>
      </c>
      <c r="F229" s="73">
        <v>0</v>
      </c>
      <c r="G229" s="73" t="s">
        <v>1425</v>
      </c>
      <c r="H229" s="72" t="s">
        <v>68</v>
      </c>
      <c r="I229" s="72" t="s">
        <v>1426</v>
      </c>
      <c r="J229" s="72" t="s">
        <v>340</v>
      </c>
      <c r="K229" s="72" t="s">
        <v>387</v>
      </c>
      <c r="L229" s="72" t="s">
        <v>972</v>
      </c>
      <c r="M229" s="72" t="s">
        <v>389</v>
      </c>
      <c r="N229" s="72" t="s">
        <v>44</v>
      </c>
      <c r="O229" s="72" t="s">
        <v>539</v>
      </c>
      <c r="P229" s="72" t="s">
        <v>973</v>
      </c>
      <c r="Q229" s="72" t="s">
        <v>1435</v>
      </c>
      <c r="R229" s="72" t="s">
        <v>68</v>
      </c>
      <c r="V229" s="60" t="str">
        <f t="shared" si="27"/>
        <v>K3019STрозовый</v>
      </c>
      <c r="W229" s="60" t="str">
        <f t="shared" si="24"/>
        <v>K3019ST</v>
      </c>
      <c r="X229" s="60" t="str">
        <f t="shared" si="28"/>
        <v>Furgora Skull Cap</v>
      </c>
      <c r="AC229" s="51">
        <f t="shared" si="29"/>
        <v>3</v>
      </c>
      <c r="AD229" s="44">
        <f t="shared" si="30"/>
        <v>13</v>
      </c>
      <c r="AE229" s="51">
        <f t="shared" si="31"/>
        <v>3013</v>
      </c>
    </row>
    <row r="230" spans="1:31">
      <c r="A230" s="60" t="str">
        <f t="shared" si="25"/>
        <v>8650BCdark heather grey</v>
      </c>
      <c r="B230" s="60" t="str">
        <f t="shared" si="26"/>
        <v>03-082-05</v>
      </c>
      <c r="C230" s="72" t="s">
        <v>1436</v>
      </c>
      <c r="D230" s="72" t="s">
        <v>1437</v>
      </c>
      <c r="E230" s="72" t="s">
        <v>1058</v>
      </c>
      <c r="F230" s="73">
        <v>60</v>
      </c>
      <c r="G230" s="73" t="s">
        <v>1392</v>
      </c>
      <c r="H230" s="72" t="s">
        <v>277</v>
      </c>
      <c r="I230" s="72" t="s">
        <v>1438</v>
      </c>
      <c r="J230" s="72" t="s">
        <v>327</v>
      </c>
      <c r="K230" s="72" t="s">
        <v>382</v>
      </c>
      <c r="L230" s="72" t="s">
        <v>981</v>
      </c>
      <c r="M230" s="72" t="s">
        <v>384</v>
      </c>
      <c r="N230" s="72" t="s">
        <v>44</v>
      </c>
      <c r="O230" s="72" t="s">
        <v>533</v>
      </c>
      <c r="P230" s="72" t="s">
        <v>808</v>
      </c>
      <c r="Q230" s="72" t="s">
        <v>1439</v>
      </c>
      <c r="R230" s="72" t="s">
        <v>83</v>
      </c>
      <c r="V230" s="60" t="str">
        <f t="shared" si="27"/>
        <v>8650BCтемно-серый</v>
      </c>
      <c r="W230" s="60" t="str">
        <f t="shared" si="24"/>
        <v>8650BC</v>
      </c>
      <c r="X230" s="60" t="str">
        <f t="shared" si="28"/>
        <v>Wool Flexfit Baseball</v>
      </c>
      <c r="AC230" s="51">
        <f t="shared" si="29"/>
        <v>3</v>
      </c>
      <c r="AD230" s="44">
        <f t="shared" si="30"/>
        <v>82</v>
      </c>
      <c r="AE230" s="51">
        <f t="shared" si="31"/>
        <v>3082</v>
      </c>
    </row>
    <row r="231" spans="1:31">
      <c r="A231" s="60" t="str">
        <f t="shared" si="25"/>
        <v>8650BCdark heather grey</v>
      </c>
      <c r="B231" s="60" t="str">
        <f t="shared" si="26"/>
        <v>03-082-05</v>
      </c>
      <c r="C231" s="72" t="s">
        <v>1440</v>
      </c>
      <c r="D231" s="72" t="s">
        <v>1437</v>
      </c>
      <c r="E231" s="72" t="s">
        <v>1053</v>
      </c>
      <c r="F231" s="73">
        <v>56</v>
      </c>
      <c r="G231" s="73" t="s">
        <v>1392</v>
      </c>
      <c r="H231" s="72" t="s">
        <v>277</v>
      </c>
      <c r="I231" s="72" t="s">
        <v>1438</v>
      </c>
      <c r="J231" s="72" t="s">
        <v>327</v>
      </c>
      <c r="K231" s="72" t="s">
        <v>382</v>
      </c>
      <c r="L231" s="72" t="s">
        <v>981</v>
      </c>
      <c r="M231" s="72" t="s">
        <v>384</v>
      </c>
      <c r="N231" s="72" t="s">
        <v>44</v>
      </c>
      <c r="O231" s="72" t="s">
        <v>533</v>
      </c>
      <c r="P231" s="72" t="s">
        <v>808</v>
      </c>
      <c r="Q231" s="72" t="s">
        <v>1439</v>
      </c>
      <c r="R231" s="72" t="s">
        <v>83</v>
      </c>
      <c r="V231" s="60" t="str">
        <f t="shared" si="27"/>
        <v>8650BCтемно-серый</v>
      </c>
      <c r="W231" s="60" t="str">
        <f t="shared" si="24"/>
        <v>8650BC</v>
      </c>
      <c r="X231" s="60" t="str">
        <f t="shared" si="28"/>
        <v>Wool Flexfit Baseball</v>
      </c>
      <c r="AC231" s="51">
        <f t="shared" si="29"/>
        <v>3</v>
      </c>
      <c r="AD231" s="44">
        <f t="shared" si="30"/>
        <v>82</v>
      </c>
      <c r="AE231" s="51">
        <f t="shared" si="31"/>
        <v>3082</v>
      </c>
    </row>
    <row r="232" spans="1:31">
      <c r="A232" s="60" t="str">
        <f t="shared" si="25"/>
        <v>K3451black</v>
      </c>
      <c r="B232" s="60" t="str">
        <f t="shared" si="26"/>
        <v>03-087-09</v>
      </c>
      <c r="C232" s="72" t="s">
        <v>1441</v>
      </c>
      <c r="D232" s="72" t="s">
        <v>1442</v>
      </c>
      <c r="E232" s="72" t="s">
        <v>1030</v>
      </c>
      <c r="F232" s="73">
        <v>61</v>
      </c>
      <c r="G232" s="73" t="s">
        <v>1443</v>
      </c>
      <c r="H232" s="72" t="s">
        <v>53</v>
      </c>
      <c r="I232" s="72" t="s">
        <v>1444</v>
      </c>
      <c r="J232" s="72" t="s">
        <v>325</v>
      </c>
      <c r="K232" s="72" t="s">
        <v>382</v>
      </c>
      <c r="L232" s="72" t="s">
        <v>1004</v>
      </c>
      <c r="M232" s="72" t="s">
        <v>388</v>
      </c>
      <c r="N232" s="72" t="s">
        <v>44</v>
      </c>
      <c r="O232" s="72" t="s">
        <v>386</v>
      </c>
      <c r="P232" s="72" t="s">
        <v>973</v>
      </c>
      <c r="Q232" s="72" t="s">
        <v>1005</v>
      </c>
      <c r="R232" s="72" t="s">
        <v>53</v>
      </c>
      <c r="V232" s="60" t="str">
        <f t="shared" si="27"/>
        <v>K3451черный</v>
      </c>
      <c r="W232" s="60" t="str">
        <f t="shared" si="24"/>
        <v>K3451</v>
      </c>
      <c r="X232" s="60" t="str">
        <f t="shared" si="28"/>
        <v>Wool Casual</v>
      </c>
      <c r="AC232" s="51">
        <f t="shared" si="29"/>
        <v>3</v>
      </c>
      <c r="AD232" s="44">
        <f t="shared" si="30"/>
        <v>87</v>
      </c>
      <c r="AE232" s="51">
        <f t="shared" si="31"/>
        <v>3087</v>
      </c>
    </row>
    <row r="233" spans="1:31">
      <c r="A233" s="60" t="str">
        <f t="shared" si="25"/>
        <v>K3451black</v>
      </c>
      <c r="B233" s="60" t="str">
        <f t="shared" si="26"/>
        <v>03-087-09</v>
      </c>
      <c r="C233" s="72" t="s">
        <v>1445</v>
      </c>
      <c r="D233" s="72" t="s">
        <v>1442</v>
      </c>
      <c r="E233" s="72" t="s">
        <v>969</v>
      </c>
      <c r="F233" s="73">
        <v>57</v>
      </c>
      <c r="G233" s="73" t="s">
        <v>1443</v>
      </c>
      <c r="H233" s="72" t="s">
        <v>53</v>
      </c>
      <c r="I233" s="72" t="s">
        <v>1444</v>
      </c>
      <c r="J233" s="72" t="s">
        <v>325</v>
      </c>
      <c r="K233" s="72" t="s">
        <v>382</v>
      </c>
      <c r="L233" s="72" t="s">
        <v>1004</v>
      </c>
      <c r="M233" s="72" t="s">
        <v>388</v>
      </c>
      <c r="N233" s="72" t="s">
        <v>44</v>
      </c>
      <c r="O233" s="72" t="s">
        <v>386</v>
      </c>
      <c r="P233" s="72" t="s">
        <v>973</v>
      </c>
      <c r="Q233" s="72" t="s">
        <v>1005</v>
      </c>
      <c r="R233" s="72" t="s">
        <v>53</v>
      </c>
      <c r="V233" s="60" t="str">
        <f t="shared" si="27"/>
        <v>K3451черный</v>
      </c>
      <c r="W233" s="60" t="str">
        <f t="shared" si="24"/>
        <v>K3451</v>
      </c>
      <c r="X233" s="60" t="str">
        <f t="shared" si="28"/>
        <v>Wool Casual</v>
      </c>
      <c r="AC233" s="51">
        <f t="shared" si="29"/>
        <v>3</v>
      </c>
      <c r="AD233" s="44">
        <f t="shared" si="30"/>
        <v>87</v>
      </c>
      <c r="AE233" s="51">
        <f t="shared" si="31"/>
        <v>3087</v>
      </c>
    </row>
    <row r="234" spans="1:31">
      <c r="A234" s="60" t="str">
        <f t="shared" si="25"/>
        <v>K3451black</v>
      </c>
      <c r="B234" s="60" t="str">
        <f t="shared" si="26"/>
        <v>03-087-09</v>
      </c>
      <c r="C234" s="72" t="s">
        <v>1446</v>
      </c>
      <c r="D234" s="72" t="s">
        <v>1442</v>
      </c>
      <c r="E234" s="72" t="s">
        <v>976</v>
      </c>
      <c r="F234" s="73">
        <v>59</v>
      </c>
      <c r="G234" s="73" t="s">
        <v>1443</v>
      </c>
      <c r="H234" s="72" t="s">
        <v>53</v>
      </c>
      <c r="I234" s="72" t="s">
        <v>1444</v>
      </c>
      <c r="J234" s="72" t="s">
        <v>325</v>
      </c>
      <c r="K234" s="72" t="s">
        <v>382</v>
      </c>
      <c r="L234" s="72" t="s">
        <v>1004</v>
      </c>
      <c r="M234" s="72" t="s">
        <v>388</v>
      </c>
      <c r="N234" s="72" t="s">
        <v>44</v>
      </c>
      <c r="O234" s="72" t="s">
        <v>386</v>
      </c>
      <c r="P234" s="72" t="s">
        <v>973</v>
      </c>
      <c r="Q234" s="72" t="s">
        <v>1005</v>
      </c>
      <c r="R234" s="72" t="s">
        <v>53</v>
      </c>
      <c r="V234" s="60" t="str">
        <f t="shared" si="27"/>
        <v>K3451черный</v>
      </c>
      <c r="W234" s="60" t="str">
        <f t="shared" si="24"/>
        <v>K3451</v>
      </c>
      <c r="X234" s="60" t="str">
        <f t="shared" si="28"/>
        <v>Wool Casual</v>
      </c>
      <c r="AC234" s="51">
        <f t="shared" si="29"/>
        <v>3</v>
      </c>
      <c r="AD234" s="44">
        <f t="shared" si="30"/>
        <v>87</v>
      </c>
      <c r="AE234" s="51">
        <f t="shared" si="31"/>
        <v>3087</v>
      </c>
    </row>
    <row r="235" spans="1:31">
      <c r="A235" s="60" t="str">
        <f t="shared" si="25"/>
        <v>K3451black</v>
      </c>
      <c r="B235" s="60" t="str">
        <f t="shared" si="26"/>
        <v>03-087-09</v>
      </c>
      <c r="C235" s="72" t="s">
        <v>1447</v>
      </c>
      <c r="D235" s="72" t="s">
        <v>1442</v>
      </c>
      <c r="E235" s="72" t="s">
        <v>1032</v>
      </c>
      <c r="F235" s="73">
        <v>55</v>
      </c>
      <c r="G235" s="73" t="s">
        <v>1443</v>
      </c>
      <c r="H235" s="72" t="s">
        <v>53</v>
      </c>
      <c r="I235" s="72" t="s">
        <v>1444</v>
      </c>
      <c r="J235" s="72" t="s">
        <v>325</v>
      </c>
      <c r="K235" s="72" t="s">
        <v>382</v>
      </c>
      <c r="L235" s="72" t="s">
        <v>1004</v>
      </c>
      <c r="M235" s="72" t="s">
        <v>388</v>
      </c>
      <c r="N235" s="72" t="s">
        <v>44</v>
      </c>
      <c r="O235" s="72" t="s">
        <v>386</v>
      </c>
      <c r="P235" s="72" t="s">
        <v>973</v>
      </c>
      <c r="Q235" s="72" t="s">
        <v>1005</v>
      </c>
      <c r="R235" s="72" t="s">
        <v>53</v>
      </c>
      <c r="V235" s="60" t="str">
        <f t="shared" si="27"/>
        <v>K3451черный</v>
      </c>
      <c r="W235" s="60" t="str">
        <f t="shared" si="24"/>
        <v>K3451</v>
      </c>
      <c r="X235" s="60" t="str">
        <f t="shared" si="28"/>
        <v>Wool Casual</v>
      </c>
      <c r="AC235" s="51">
        <f t="shared" si="29"/>
        <v>3</v>
      </c>
      <c r="AD235" s="44">
        <f t="shared" si="30"/>
        <v>87</v>
      </c>
      <c r="AE235" s="51">
        <f t="shared" si="31"/>
        <v>3087</v>
      </c>
    </row>
    <row r="236" spans="1:31">
      <c r="A236" s="60" t="str">
        <f t="shared" si="25"/>
        <v>K3460black</v>
      </c>
      <c r="B236" s="60" t="str">
        <f t="shared" si="26"/>
        <v>03-088-09</v>
      </c>
      <c r="C236" s="72" t="s">
        <v>1448</v>
      </c>
      <c r="D236" s="72" t="s">
        <v>1449</v>
      </c>
      <c r="E236" s="72" t="s">
        <v>1030</v>
      </c>
      <c r="F236" s="73">
        <v>61</v>
      </c>
      <c r="G236" s="73" t="s">
        <v>1450</v>
      </c>
      <c r="H236" s="72" t="s">
        <v>53</v>
      </c>
      <c r="I236" s="72" t="s">
        <v>1451</v>
      </c>
      <c r="J236" s="72" t="s">
        <v>320</v>
      </c>
      <c r="K236" s="72" t="s">
        <v>382</v>
      </c>
      <c r="L236" s="72" t="s">
        <v>972</v>
      </c>
      <c r="M236" s="72" t="s">
        <v>388</v>
      </c>
      <c r="N236" s="72" t="s">
        <v>44</v>
      </c>
      <c r="O236" s="72" t="s">
        <v>386</v>
      </c>
      <c r="P236" s="72" t="s">
        <v>973</v>
      </c>
      <c r="Q236" s="72" t="s">
        <v>1005</v>
      </c>
      <c r="R236" s="72" t="s">
        <v>53</v>
      </c>
      <c r="V236" s="60" t="str">
        <f t="shared" si="27"/>
        <v>K3460черный</v>
      </c>
      <c r="W236" s="60" t="str">
        <f t="shared" si="24"/>
        <v>K3460</v>
      </c>
      <c r="X236" s="60" t="str">
        <f t="shared" si="28"/>
        <v>Wool Mixed 504</v>
      </c>
      <c r="AC236" s="51">
        <f t="shared" si="29"/>
        <v>3</v>
      </c>
      <c r="AD236" s="44">
        <f t="shared" si="30"/>
        <v>88</v>
      </c>
      <c r="AE236" s="51">
        <f t="shared" si="31"/>
        <v>3088</v>
      </c>
    </row>
    <row r="237" spans="1:31">
      <c r="A237" s="60" t="str">
        <f t="shared" si="25"/>
        <v>K3460black</v>
      </c>
      <c r="B237" s="60" t="str">
        <f t="shared" si="26"/>
        <v>03-088-09</v>
      </c>
      <c r="C237" s="72" t="s">
        <v>1452</v>
      </c>
      <c r="D237" s="72" t="s">
        <v>1449</v>
      </c>
      <c r="E237" s="72" t="s">
        <v>969</v>
      </c>
      <c r="F237" s="73">
        <v>57</v>
      </c>
      <c r="G237" s="73" t="s">
        <v>1450</v>
      </c>
      <c r="H237" s="72" t="s">
        <v>53</v>
      </c>
      <c r="I237" s="72" t="s">
        <v>1451</v>
      </c>
      <c r="J237" s="72" t="s">
        <v>320</v>
      </c>
      <c r="K237" s="72" t="s">
        <v>382</v>
      </c>
      <c r="L237" s="72" t="s">
        <v>972</v>
      </c>
      <c r="M237" s="72" t="s">
        <v>388</v>
      </c>
      <c r="N237" s="72" t="s">
        <v>44</v>
      </c>
      <c r="O237" s="72" t="s">
        <v>386</v>
      </c>
      <c r="P237" s="72" t="s">
        <v>973</v>
      </c>
      <c r="Q237" s="72" t="s">
        <v>1005</v>
      </c>
      <c r="R237" s="72" t="s">
        <v>53</v>
      </c>
      <c r="V237" s="60" t="str">
        <f t="shared" si="27"/>
        <v>K3460черный</v>
      </c>
      <c r="W237" s="60" t="str">
        <f t="shared" si="24"/>
        <v>K3460</v>
      </c>
      <c r="X237" s="60" t="str">
        <f t="shared" si="28"/>
        <v>Wool Mixed 504</v>
      </c>
      <c r="AC237" s="51">
        <f t="shared" si="29"/>
        <v>3</v>
      </c>
      <c r="AD237" s="44">
        <f t="shared" si="30"/>
        <v>88</v>
      </c>
      <c r="AE237" s="51">
        <f t="shared" si="31"/>
        <v>3088</v>
      </c>
    </row>
    <row r="238" spans="1:31">
      <c r="A238" s="60" t="str">
        <f t="shared" si="25"/>
        <v>K3460black</v>
      </c>
      <c r="B238" s="60" t="str">
        <f t="shared" si="26"/>
        <v>03-088-09</v>
      </c>
      <c r="C238" s="72" t="s">
        <v>1453</v>
      </c>
      <c r="D238" s="72" t="s">
        <v>1449</v>
      </c>
      <c r="E238" s="72" t="s">
        <v>976</v>
      </c>
      <c r="F238" s="73">
        <v>59</v>
      </c>
      <c r="G238" s="73" t="s">
        <v>1450</v>
      </c>
      <c r="H238" s="72" t="s">
        <v>53</v>
      </c>
      <c r="I238" s="72" t="s">
        <v>1451</v>
      </c>
      <c r="J238" s="72" t="s">
        <v>320</v>
      </c>
      <c r="K238" s="72" t="s">
        <v>382</v>
      </c>
      <c r="L238" s="72" t="s">
        <v>972</v>
      </c>
      <c r="M238" s="72" t="s">
        <v>388</v>
      </c>
      <c r="N238" s="72" t="s">
        <v>44</v>
      </c>
      <c r="O238" s="72" t="s">
        <v>386</v>
      </c>
      <c r="P238" s="72" t="s">
        <v>973</v>
      </c>
      <c r="Q238" s="72" t="s">
        <v>1005</v>
      </c>
      <c r="R238" s="72" t="s">
        <v>53</v>
      </c>
      <c r="V238" s="60" t="str">
        <f t="shared" si="27"/>
        <v>K3460черный</v>
      </c>
      <c r="W238" s="60" t="str">
        <f t="shared" si="24"/>
        <v>K3460</v>
      </c>
      <c r="X238" s="60" t="str">
        <f t="shared" si="28"/>
        <v>Wool Mixed 504</v>
      </c>
      <c r="AC238" s="51">
        <f t="shared" si="29"/>
        <v>3</v>
      </c>
      <c r="AD238" s="44">
        <f t="shared" si="30"/>
        <v>88</v>
      </c>
      <c r="AE238" s="51">
        <f t="shared" si="31"/>
        <v>3088</v>
      </c>
    </row>
    <row r="239" spans="1:31">
      <c r="A239" s="60" t="str">
        <f t="shared" si="25"/>
        <v>K3460black</v>
      </c>
      <c r="B239" s="60" t="str">
        <f t="shared" si="26"/>
        <v>03-088-09</v>
      </c>
      <c r="C239" s="72" t="s">
        <v>1454</v>
      </c>
      <c r="D239" s="72" t="s">
        <v>1449</v>
      </c>
      <c r="E239" s="72" t="s">
        <v>1032</v>
      </c>
      <c r="F239" s="73">
        <v>55</v>
      </c>
      <c r="G239" s="73" t="s">
        <v>1450</v>
      </c>
      <c r="H239" s="72" t="s">
        <v>53</v>
      </c>
      <c r="I239" s="72" t="s">
        <v>1451</v>
      </c>
      <c r="J239" s="72" t="s">
        <v>320</v>
      </c>
      <c r="K239" s="72" t="s">
        <v>382</v>
      </c>
      <c r="L239" s="72" t="s">
        <v>972</v>
      </c>
      <c r="M239" s="72" t="s">
        <v>388</v>
      </c>
      <c r="N239" s="72" t="s">
        <v>44</v>
      </c>
      <c r="O239" s="72" t="s">
        <v>386</v>
      </c>
      <c r="P239" s="72" t="s">
        <v>973</v>
      </c>
      <c r="Q239" s="72" t="s">
        <v>1005</v>
      </c>
      <c r="R239" s="72" t="s">
        <v>53</v>
      </c>
      <c r="V239" s="60" t="str">
        <f t="shared" si="27"/>
        <v>K3460черный</v>
      </c>
      <c r="W239" s="60" t="str">
        <f t="shared" si="24"/>
        <v>K3460</v>
      </c>
      <c r="X239" s="60" t="str">
        <f t="shared" si="28"/>
        <v>Wool Mixed 504</v>
      </c>
      <c r="AC239" s="51">
        <f t="shared" si="29"/>
        <v>3</v>
      </c>
      <c r="AD239" s="44">
        <f t="shared" si="30"/>
        <v>88</v>
      </c>
      <c r="AE239" s="51">
        <f t="shared" si="31"/>
        <v>3088</v>
      </c>
    </row>
    <row r="240" spans="1:31">
      <c r="A240" s="60" t="str">
        <f t="shared" si="25"/>
        <v>K3463black</v>
      </c>
      <c r="B240" s="60" t="str">
        <f t="shared" si="26"/>
        <v>03-089-09</v>
      </c>
      <c r="C240" s="72" t="s">
        <v>1455</v>
      </c>
      <c r="D240" s="72" t="s">
        <v>1456</v>
      </c>
      <c r="E240" s="72" t="s">
        <v>1030</v>
      </c>
      <c r="F240" s="73">
        <v>61</v>
      </c>
      <c r="G240" s="73" t="s">
        <v>1457</v>
      </c>
      <c r="H240" s="72" t="s">
        <v>53</v>
      </c>
      <c r="I240" s="72" t="s">
        <v>1458</v>
      </c>
      <c r="J240" s="72" t="s">
        <v>320</v>
      </c>
      <c r="K240" s="72" t="s">
        <v>382</v>
      </c>
      <c r="L240" s="72" t="s">
        <v>972</v>
      </c>
      <c r="M240" s="72" t="s">
        <v>388</v>
      </c>
      <c r="N240" s="72" t="s">
        <v>44</v>
      </c>
      <c r="O240" s="72" t="s">
        <v>386</v>
      </c>
      <c r="P240" s="72" t="s">
        <v>973</v>
      </c>
      <c r="Q240" s="72" t="s">
        <v>1005</v>
      </c>
      <c r="R240" s="72" t="s">
        <v>53</v>
      </c>
      <c r="V240" s="60" t="str">
        <f t="shared" si="27"/>
        <v>K3463черный</v>
      </c>
      <c r="W240" s="60" t="str">
        <f t="shared" si="24"/>
        <v>K3463</v>
      </c>
      <c r="X240" s="60" t="str">
        <f t="shared" si="28"/>
        <v>Safety Stripe 504</v>
      </c>
      <c r="AC240" s="51">
        <f t="shared" si="29"/>
        <v>3</v>
      </c>
      <c r="AD240" s="44">
        <f t="shared" si="30"/>
        <v>89</v>
      </c>
      <c r="AE240" s="51">
        <f t="shared" si="31"/>
        <v>3089</v>
      </c>
    </row>
    <row r="241" spans="1:31">
      <c r="A241" s="60" t="str">
        <f t="shared" si="25"/>
        <v>K3463black</v>
      </c>
      <c r="B241" s="60" t="str">
        <f t="shared" si="26"/>
        <v>03-089-09</v>
      </c>
      <c r="C241" s="72" t="s">
        <v>1459</v>
      </c>
      <c r="D241" s="72" t="s">
        <v>1456</v>
      </c>
      <c r="E241" s="72" t="s">
        <v>969</v>
      </c>
      <c r="F241" s="73">
        <v>57</v>
      </c>
      <c r="G241" s="73" t="s">
        <v>1457</v>
      </c>
      <c r="H241" s="72" t="s">
        <v>53</v>
      </c>
      <c r="I241" s="72" t="s">
        <v>1458</v>
      </c>
      <c r="J241" s="72" t="s">
        <v>320</v>
      </c>
      <c r="K241" s="72" t="s">
        <v>382</v>
      </c>
      <c r="L241" s="72" t="s">
        <v>972</v>
      </c>
      <c r="M241" s="72" t="s">
        <v>388</v>
      </c>
      <c r="N241" s="72" t="s">
        <v>44</v>
      </c>
      <c r="O241" s="72" t="s">
        <v>386</v>
      </c>
      <c r="P241" s="72" t="s">
        <v>973</v>
      </c>
      <c r="Q241" s="72" t="s">
        <v>1005</v>
      </c>
      <c r="R241" s="72" t="s">
        <v>53</v>
      </c>
      <c r="V241" s="60" t="str">
        <f t="shared" si="27"/>
        <v>K3463черный</v>
      </c>
      <c r="W241" s="60" t="str">
        <f t="shared" si="24"/>
        <v>K3463</v>
      </c>
      <c r="X241" s="60" t="str">
        <f t="shared" si="28"/>
        <v>Safety Stripe 504</v>
      </c>
      <c r="AC241" s="51">
        <f t="shared" si="29"/>
        <v>3</v>
      </c>
      <c r="AD241" s="44">
        <f t="shared" si="30"/>
        <v>89</v>
      </c>
      <c r="AE241" s="51">
        <f t="shared" si="31"/>
        <v>3089</v>
      </c>
    </row>
    <row r="242" spans="1:31">
      <c r="A242" s="60" t="str">
        <f t="shared" si="25"/>
        <v>K3463black</v>
      </c>
      <c r="B242" s="60" t="str">
        <f t="shared" si="26"/>
        <v>03-089-09</v>
      </c>
      <c r="C242" s="72" t="s">
        <v>1460</v>
      </c>
      <c r="D242" s="72" t="s">
        <v>1456</v>
      </c>
      <c r="E242" s="72" t="s">
        <v>976</v>
      </c>
      <c r="F242" s="73">
        <v>59</v>
      </c>
      <c r="G242" s="73" t="s">
        <v>1457</v>
      </c>
      <c r="H242" s="72" t="s">
        <v>53</v>
      </c>
      <c r="I242" s="72" t="s">
        <v>1458</v>
      </c>
      <c r="J242" s="72" t="s">
        <v>320</v>
      </c>
      <c r="K242" s="72" t="s">
        <v>382</v>
      </c>
      <c r="L242" s="72" t="s">
        <v>972</v>
      </c>
      <c r="M242" s="72" t="s">
        <v>388</v>
      </c>
      <c r="N242" s="72" t="s">
        <v>44</v>
      </c>
      <c r="O242" s="72" t="s">
        <v>386</v>
      </c>
      <c r="P242" s="72" t="s">
        <v>973</v>
      </c>
      <c r="Q242" s="72" t="s">
        <v>1005</v>
      </c>
      <c r="R242" s="72" t="s">
        <v>53</v>
      </c>
      <c r="V242" s="60" t="str">
        <f t="shared" si="27"/>
        <v>K3463черный</v>
      </c>
      <c r="W242" s="60" t="str">
        <f t="shared" si="24"/>
        <v>K3463</v>
      </c>
      <c r="X242" s="60" t="str">
        <f t="shared" si="28"/>
        <v>Safety Stripe 504</v>
      </c>
      <c r="AC242" s="51">
        <f t="shared" si="29"/>
        <v>3</v>
      </c>
      <c r="AD242" s="44">
        <f t="shared" si="30"/>
        <v>89</v>
      </c>
      <c r="AE242" s="51">
        <f t="shared" si="31"/>
        <v>3089</v>
      </c>
    </row>
    <row r="243" spans="1:31">
      <c r="A243" s="60" t="str">
        <f t="shared" si="25"/>
        <v>K3463black</v>
      </c>
      <c r="B243" s="60" t="str">
        <f t="shared" si="26"/>
        <v>03-089-09</v>
      </c>
      <c r="C243" s="72" t="s">
        <v>1461</v>
      </c>
      <c r="D243" s="72" t="s">
        <v>1456</v>
      </c>
      <c r="E243" s="72" t="s">
        <v>1032</v>
      </c>
      <c r="F243" s="73">
        <v>55</v>
      </c>
      <c r="G243" s="73" t="s">
        <v>1457</v>
      </c>
      <c r="H243" s="72" t="s">
        <v>53</v>
      </c>
      <c r="I243" s="72" t="s">
        <v>1458</v>
      </c>
      <c r="J243" s="72" t="s">
        <v>320</v>
      </c>
      <c r="K243" s="72" t="s">
        <v>382</v>
      </c>
      <c r="L243" s="72" t="s">
        <v>972</v>
      </c>
      <c r="M243" s="72" t="s">
        <v>388</v>
      </c>
      <c r="N243" s="72" t="s">
        <v>44</v>
      </c>
      <c r="O243" s="72" t="s">
        <v>386</v>
      </c>
      <c r="P243" s="72" t="s">
        <v>973</v>
      </c>
      <c r="Q243" s="72" t="s">
        <v>1005</v>
      </c>
      <c r="R243" s="72" t="s">
        <v>53</v>
      </c>
      <c r="V243" s="60" t="str">
        <f t="shared" si="27"/>
        <v>K3463черный</v>
      </c>
      <c r="W243" s="60" t="str">
        <f t="shared" si="24"/>
        <v>K3463</v>
      </c>
      <c r="X243" s="60" t="str">
        <f t="shared" si="28"/>
        <v>Safety Stripe 504</v>
      </c>
      <c r="AC243" s="51">
        <f t="shared" si="29"/>
        <v>3</v>
      </c>
      <c r="AD243" s="44">
        <f t="shared" si="30"/>
        <v>89</v>
      </c>
      <c r="AE243" s="51">
        <f t="shared" si="31"/>
        <v>3089</v>
      </c>
    </row>
    <row r="244" spans="1:31">
      <c r="A244" s="60" t="str">
        <f t="shared" si="25"/>
        <v>K3463dark flannel</v>
      </c>
      <c r="B244" s="60" t="str">
        <f t="shared" si="26"/>
        <v>03-089-05</v>
      </c>
      <c r="C244" s="72" t="s">
        <v>1462</v>
      </c>
      <c r="D244" s="72" t="s">
        <v>1463</v>
      </c>
      <c r="E244" s="72" t="s">
        <v>1030</v>
      </c>
      <c r="F244" s="73">
        <v>61</v>
      </c>
      <c r="G244" s="73" t="s">
        <v>1457</v>
      </c>
      <c r="H244" s="72" t="s">
        <v>277</v>
      </c>
      <c r="I244" s="72" t="s">
        <v>1458</v>
      </c>
      <c r="J244" s="72" t="s">
        <v>320</v>
      </c>
      <c r="K244" s="72" t="s">
        <v>382</v>
      </c>
      <c r="L244" s="72" t="s">
        <v>972</v>
      </c>
      <c r="M244" s="72" t="s">
        <v>388</v>
      </c>
      <c r="N244" s="72" t="s">
        <v>44</v>
      </c>
      <c r="O244" s="72" t="s">
        <v>386</v>
      </c>
      <c r="P244" s="72" t="s">
        <v>973</v>
      </c>
      <c r="Q244" s="72" t="s">
        <v>1385</v>
      </c>
      <c r="R244" s="72" t="s">
        <v>83</v>
      </c>
      <c r="V244" s="60" t="str">
        <f t="shared" si="27"/>
        <v>K3463темно-серый</v>
      </c>
      <c r="W244" s="60" t="str">
        <f t="shared" si="24"/>
        <v>K3463</v>
      </c>
      <c r="X244" s="60" t="str">
        <f t="shared" si="28"/>
        <v>Safety Stripe 504</v>
      </c>
      <c r="AC244" s="51">
        <f t="shared" si="29"/>
        <v>3</v>
      </c>
      <c r="AD244" s="44">
        <f t="shared" si="30"/>
        <v>89</v>
      </c>
      <c r="AE244" s="51">
        <f t="shared" si="31"/>
        <v>3089</v>
      </c>
    </row>
    <row r="245" spans="1:31">
      <c r="A245" s="60" t="str">
        <f t="shared" si="25"/>
        <v>K3463dark flannel</v>
      </c>
      <c r="B245" s="60" t="str">
        <f t="shared" si="26"/>
        <v>03-089-05</v>
      </c>
      <c r="C245" s="72" t="s">
        <v>1464</v>
      </c>
      <c r="D245" s="72" t="s">
        <v>1463</v>
      </c>
      <c r="E245" s="72" t="s">
        <v>969</v>
      </c>
      <c r="F245" s="73">
        <v>57</v>
      </c>
      <c r="G245" s="73" t="s">
        <v>1457</v>
      </c>
      <c r="H245" s="72" t="s">
        <v>277</v>
      </c>
      <c r="I245" s="72" t="s">
        <v>1458</v>
      </c>
      <c r="J245" s="72" t="s">
        <v>320</v>
      </c>
      <c r="K245" s="72" t="s">
        <v>382</v>
      </c>
      <c r="L245" s="72" t="s">
        <v>972</v>
      </c>
      <c r="M245" s="72" t="s">
        <v>388</v>
      </c>
      <c r="N245" s="72" t="s">
        <v>44</v>
      </c>
      <c r="O245" s="72" t="s">
        <v>386</v>
      </c>
      <c r="P245" s="72" t="s">
        <v>973</v>
      </c>
      <c r="Q245" s="72" t="s">
        <v>1385</v>
      </c>
      <c r="R245" s="72" t="s">
        <v>83</v>
      </c>
      <c r="V245" s="60" t="str">
        <f t="shared" si="27"/>
        <v>K3463темно-серый</v>
      </c>
      <c r="W245" s="60" t="str">
        <f t="shared" si="24"/>
        <v>K3463</v>
      </c>
      <c r="X245" s="60" t="str">
        <f t="shared" si="28"/>
        <v>Safety Stripe 504</v>
      </c>
      <c r="AC245" s="51">
        <f t="shared" si="29"/>
        <v>3</v>
      </c>
      <c r="AD245" s="44">
        <f t="shared" si="30"/>
        <v>89</v>
      </c>
      <c r="AE245" s="51">
        <f t="shared" si="31"/>
        <v>3089</v>
      </c>
    </row>
    <row r="246" spans="1:31">
      <c r="A246" s="60" t="str">
        <f t="shared" si="25"/>
        <v>K3463dark flannel</v>
      </c>
      <c r="B246" s="60" t="str">
        <f t="shared" si="26"/>
        <v>03-089-05</v>
      </c>
      <c r="C246" s="72" t="s">
        <v>1465</v>
      </c>
      <c r="D246" s="72" t="s">
        <v>1463</v>
      </c>
      <c r="E246" s="72" t="s">
        <v>976</v>
      </c>
      <c r="F246" s="73">
        <v>59</v>
      </c>
      <c r="G246" s="73" t="s">
        <v>1457</v>
      </c>
      <c r="H246" s="72" t="s">
        <v>277</v>
      </c>
      <c r="I246" s="72" t="s">
        <v>1458</v>
      </c>
      <c r="J246" s="72" t="s">
        <v>320</v>
      </c>
      <c r="K246" s="72" t="s">
        <v>382</v>
      </c>
      <c r="L246" s="72" t="s">
        <v>972</v>
      </c>
      <c r="M246" s="72" t="s">
        <v>388</v>
      </c>
      <c r="N246" s="72" t="s">
        <v>44</v>
      </c>
      <c r="O246" s="72" t="s">
        <v>386</v>
      </c>
      <c r="P246" s="72" t="s">
        <v>973</v>
      </c>
      <c r="Q246" s="72" t="s">
        <v>1385</v>
      </c>
      <c r="R246" s="72" t="s">
        <v>83</v>
      </c>
      <c r="V246" s="60" t="str">
        <f t="shared" si="27"/>
        <v>K3463темно-серый</v>
      </c>
      <c r="W246" s="60" t="str">
        <f t="shared" si="24"/>
        <v>K3463</v>
      </c>
      <c r="X246" s="60" t="str">
        <f t="shared" si="28"/>
        <v>Safety Stripe 504</v>
      </c>
      <c r="AC246" s="51">
        <f t="shared" si="29"/>
        <v>3</v>
      </c>
      <c r="AD246" s="44">
        <f t="shared" si="30"/>
        <v>89</v>
      </c>
      <c r="AE246" s="51">
        <f t="shared" si="31"/>
        <v>3089</v>
      </c>
    </row>
    <row r="247" spans="1:31">
      <c r="A247" s="60" t="str">
        <f t="shared" si="25"/>
        <v>K3463dark flannel</v>
      </c>
      <c r="B247" s="60" t="str">
        <f t="shared" si="26"/>
        <v>03-089-05</v>
      </c>
      <c r="C247" s="72" t="s">
        <v>1466</v>
      </c>
      <c r="D247" s="72" t="s">
        <v>1463</v>
      </c>
      <c r="E247" s="72" t="s">
        <v>1032</v>
      </c>
      <c r="F247" s="73">
        <v>55</v>
      </c>
      <c r="G247" s="73" t="s">
        <v>1457</v>
      </c>
      <c r="H247" s="72" t="s">
        <v>277</v>
      </c>
      <c r="I247" s="72" t="s">
        <v>1458</v>
      </c>
      <c r="J247" s="72" t="s">
        <v>320</v>
      </c>
      <c r="K247" s="72" t="s">
        <v>382</v>
      </c>
      <c r="L247" s="72" t="s">
        <v>972</v>
      </c>
      <c r="M247" s="72" t="s">
        <v>388</v>
      </c>
      <c r="N247" s="72" t="s">
        <v>44</v>
      </c>
      <c r="O247" s="72" t="s">
        <v>386</v>
      </c>
      <c r="P247" s="72" t="s">
        <v>973</v>
      </c>
      <c r="Q247" s="72" t="s">
        <v>1385</v>
      </c>
      <c r="R247" s="72" t="s">
        <v>83</v>
      </c>
      <c r="V247" s="60" t="str">
        <f t="shared" si="27"/>
        <v>K3463темно-серый</v>
      </c>
      <c r="W247" s="60" t="str">
        <f t="shared" si="24"/>
        <v>K3463</v>
      </c>
      <c r="X247" s="60" t="str">
        <f t="shared" si="28"/>
        <v>Safety Stripe 504</v>
      </c>
      <c r="AC247" s="51">
        <f t="shared" si="29"/>
        <v>3</v>
      </c>
      <c r="AD247" s="44">
        <f t="shared" si="30"/>
        <v>89</v>
      </c>
      <c r="AE247" s="51">
        <f t="shared" si="31"/>
        <v>3089</v>
      </c>
    </row>
    <row r="248" spans="1:31">
      <c r="A248" s="60" t="str">
        <f t="shared" si="25"/>
        <v>8650BCdark blue</v>
      </c>
      <c r="B248" s="60" t="str">
        <f t="shared" si="26"/>
        <v>03-082-16</v>
      </c>
      <c r="C248" s="72" t="s">
        <v>1467</v>
      </c>
      <c r="D248" s="72" t="s">
        <v>1468</v>
      </c>
      <c r="E248" s="72" t="s">
        <v>1058</v>
      </c>
      <c r="F248" s="73">
        <v>60</v>
      </c>
      <c r="G248" s="73" t="s">
        <v>1392</v>
      </c>
      <c r="H248" s="72" t="s">
        <v>55</v>
      </c>
      <c r="I248" s="72" t="s">
        <v>1393</v>
      </c>
      <c r="J248" s="72" t="s">
        <v>327</v>
      </c>
      <c r="K248" s="72" t="s">
        <v>382</v>
      </c>
      <c r="L248" s="72" t="s">
        <v>981</v>
      </c>
      <c r="M248" s="72" t="s">
        <v>384</v>
      </c>
      <c r="N248" s="72" t="s">
        <v>44</v>
      </c>
      <c r="O248" s="72" t="s">
        <v>533</v>
      </c>
      <c r="P248" s="72" t="s">
        <v>808</v>
      </c>
      <c r="Q248" s="72" t="s">
        <v>1106</v>
      </c>
      <c r="R248" s="72" t="s">
        <v>71</v>
      </c>
      <c r="V248" s="60" t="str">
        <f t="shared" si="27"/>
        <v>8650BCтемно-синий</v>
      </c>
      <c r="W248" s="60" t="str">
        <f t="shared" si="24"/>
        <v>8650BC</v>
      </c>
      <c r="X248" s="60" t="str">
        <f t="shared" si="28"/>
        <v>Wool Flexfit Baseball</v>
      </c>
      <c r="AC248" s="51">
        <f t="shared" si="29"/>
        <v>3</v>
      </c>
      <c r="AD248" s="44">
        <f t="shared" si="30"/>
        <v>82</v>
      </c>
      <c r="AE248" s="51">
        <f t="shared" si="31"/>
        <v>3082</v>
      </c>
    </row>
    <row r="249" spans="1:31">
      <c r="A249" s="60" t="str">
        <f t="shared" si="25"/>
        <v>8650BCdark blue</v>
      </c>
      <c r="B249" s="60" t="str">
        <f t="shared" si="26"/>
        <v>03-082-16</v>
      </c>
      <c r="C249" s="72" t="s">
        <v>1469</v>
      </c>
      <c r="D249" s="72" t="s">
        <v>1468</v>
      </c>
      <c r="E249" s="72" t="s">
        <v>1053</v>
      </c>
      <c r="F249" s="73">
        <v>56</v>
      </c>
      <c r="G249" s="73" t="s">
        <v>1392</v>
      </c>
      <c r="H249" s="72" t="s">
        <v>55</v>
      </c>
      <c r="I249" s="72" t="s">
        <v>1393</v>
      </c>
      <c r="J249" s="72" t="s">
        <v>327</v>
      </c>
      <c r="K249" s="72" t="s">
        <v>382</v>
      </c>
      <c r="L249" s="72" t="s">
        <v>981</v>
      </c>
      <c r="M249" s="72" t="s">
        <v>384</v>
      </c>
      <c r="N249" s="72" t="s">
        <v>44</v>
      </c>
      <c r="O249" s="72" t="s">
        <v>533</v>
      </c>
      <c r="P249" s="72" t="s">
        <v>808</v>
      </c>
      <c r="Q249" s="72" t="s">
        <v>1106</v>
      </c>
      <c r="R249" s="72" t="s">
        <v>71</v>
      </c>
      <c r="V249" s="60" t="str">
        <f t="shared" si="27"/>
        <v>8650BCтемно-синий</v>
      </c>
      <c r="W249" s="60" t="str">
        <f t="shared" si="24"/>
        <v>8650BC</v>
      </c>
      <c r="X249" s="60" t="str">
        <f t="shared" si="28"/>
        <v>Wool Flexfit Baseball</v>
      </c>
      <c r="AC249" s="51">
        <f t="shared" si="29"/>
        <v>3</v>
      </c>
      <c r="AD249" s="44">
        <f t="shared" si="30"/>
        <v>82</v>
      </c>
      <c r="AE249" s="51">
        <f t="shared" si="31"/>
        <v>3082</v>
      </c>
    </row>
    <row r="250" spans="1:31">
      <c r="A250" s="60" t="str">
        <f t="shared" si="25"/>
        <v>K5165HTsmog</v>
      </c>
      <c r="B250" s="60" t="str">
        <f t="shared" si="26"/>
        <v>03-038-03</v>
      </c>
      <c r="C250" s="72" t="s">
        <v>1470</v>
      </c>
      <c r="D250" s="72" t="s">
        <v>1471</v>
      </c>
      <c r="E250" s="72" t="s">
        <v>909</v>
      </c>
      <c r="F250" s="73">
        <v>0</v>
      </c>
      <c r="G250" s="73" t="s">
        <v>1021</v>
      </c>
      <c r="H250" s="72" t="s">
        <v>195</v>
      </c>
      <c r="I250" s="72" t="s">
        <v>910</v>
      </c>
      <c r="J250" s="72" t="s">
        <v>327</v>
      </c>
      <c r="K250" s="72" t="s">
        <v>382</v>
      </c>
      <c r="L250" s="72" t="s">
        <v>988</v>
      </c>
      <c r="M250" s="72" t="s">
        <v>384</v>
      </c>
      <c r="N250" s="72" t="s">
        <v>43</v>
      </c>
      <c r="O250" s="72" t="s">
        <v>533</v>
      </c>
      <c r="P250" s="72" t="s">
        <v>973</v>
      </c>
      <c r="Q250" s="72" t="s">
        <v>1472</v>
      </c>
      <c r="R250" s="72" t="s">
        <v>195</v>
      </c>
      <c r="V250" s="60" t="str">
        <f t="shared" si="27"/>
        <v>K5165HTоливковый</v>
      </c>
      <c r="W250" s="60" t="str">
        <f t="shared" si="24"/>
        <v>K5165HT</v>
      </c>
      <c r="X250" s="60" t="str">
        <f t="shared" si="28"/>
        <v>Washed Baseball</v>
      </c>
      <c r="AC250" s="51">
        <f t="shared" si="29"/>
        <v>3</v>
      </c>
      <c r="AD250" s="44">
        <f t="shared" si="30"/>
        <v>38</v>
      </c>
      <c r="AE250" s="51">
        <f t="shared" si="31"/>
        <v>3038</v>
      </c>
    </row>
    <row r="251" spans="1:31">
      <c r="A251" s="60" t="str">
        <f t="shared" si="25"/>
        <v>0287BCcharcoal</v>
      </c>
      <c r="B251" s="60" t="str">
        <f t="shared" si="26"/>
        <v>03-056-05</v>
      </c>
      <c r="C251" s="72" t="s">
        <v>1473</v>
      </c>
      <c r="D251" s="72" t="s">
        <v>1474</v>
      </c>
      <c r="E251" s="72" t="s">
        <v>976</v>
      </c>
      <c r="F251" s="73">
        <v>59</v>
      </c>
      <c r="G251" s="73" t="s">
        <v>1027</v>
      </c>
      <c r="H251" s="72" t="s">
        <v>277</v>
      </c>
      <c r="I251" s="72" t="s">
        <v>997</v>
      </c>
      <c r="J251" s="72" t="s">
        <v>320</v>
      </c>
      <c r="K251" s="72" t="s">
        <v>382</v>
      </c>
      <c r="L251" s="72" t="s">
        <v>1004</v>
      </c>
      <c r="M251" s="72" t="s">
        <v>384</v>
      </c>
      <c r="O251" s="72" t="s">
        <v>386</v>
      </c>
      <c r="P251" s="72" t="s">
        <v>808</v>
      </c>
      <c r="Q251" s="72" t="s">
        <v>1475</v>
      </c>
      <c r="R251" s="72" t="s">
        <v>83</v>
      </c>
      <c r="V251" s="60" t="str">
        <f t="shared" si="27"/>
        <v>0287BCтемно-серый</v>
      </c>
      <c r="W251" s="60" t="str">
        <f t="shared" si="24"/>
        <v>0287BC</v>
      </c>
      <c r="X251" s="60" t="str">
        <f t="shared" si="28"/>
        <v>Tropic 504</v>
      </c>
      <c r="AC251" s="51">
        <f t="shared" si="29"/>
        <v>3</v>
      </c>
      <c r="AD251" s="44">
        <f t="shared" si="30"/>
        <v>56</v>
      </c>
      <c r="AE251" s="51">
        <f t="shared" si="31"/>
        <v>3056</v>
      </c>
    </row>
    <row r="252" spans="1:31">
      <c r="A252" s="60" t="str">
        <f t="shared" si="25"/>
        <v>0287BCcharcoal</v>
      </c>
      <c r="B252" s="60" t="str">
        <f t="shared" si="26"/>
        <v>03-056-05</v>
      </c>
      <c r="C252" s="72" t="s">
        <v>1476</v>
      </c>
      <c r="D252" s="72" t="s">
        <v>1474</v>
      </c>
      <c r="E252" s="72" t="s">
        <v>969</v>
      </c>
      <c r="F252" s="73">
        <v>57</v>
      </c>
      <c r="G252" s="73" t="s">
        <v>1027</v>
      </c>
      <c r="H252" s="72" t="s">
        <v>277</v>
      </c>
      <c r="I252" s="72" t="s">
        <v>997</v>
      </c>
      <c r="J252" s="72" t="s">
        <v>320</v>
      </c>
      <c r="K252" s="72" t="s">
        <v>382</v>
      </c>
      <c r="L252" s="72" t="s">
        <v>1004</v>
      </c>
      <c r="M252" s="72" t="s">
        <v>384</v>
      </c>
      <c r="O252" s="72" t="s">
        <v>386</v>
      </c>
      <c r="P252" s="72" t="s">
        <v>808</v>
      </c>
      <c r="Q252" s="72" t="s">
        <v>1475</v>
      </c>
      <c r="R252" s="72" t="s">
        <v>83</v>
      </c>
      <c r="V252" s="60" t="str">
        <f t="shared" si="27"/>
        <v>0287BCтемно-серый</v>
      </c>
      <c r="W252" s="60" t="str">
        <f t="shared" si="24"/>
        <v>0287BC</v>
      </c>
      <c r="X252" s="60" t="str">
        <f t="shared" si="28"/>
        <v>Tropic 504</v>
      </c>
      <c r="AC252" s="51">
        <f t="shared" si="29"/>
        <v>3</v>
      </c>
      <c r="AD252" s="44">
        <f t="shared" si="30"/>
        <v>56</v>
      </c>
      <c r="AE252" s="51">
        <f t="shared" si="31"/>
        <v>3056</v>
      </c>
    </row>
    <row r="253" spans="1:31">
      <c r="A253" s="60" t="str">
        <f t="shared" si="25"/>
        <v>0287BCcharcoal</v>
      </c>
      <c r="B253" s="60" t="str">
        <f t="shared" si="26"/>
        <v>03-056-05</v>
      </c>
      <c r="C253" s="72" t="s">
        <v>1477</v>
      </c>
      <c r="D253" s="72" t="s">
        <v>1474</v>
      </c>
      <c r="E253" s="72" t="s">
        <v>1030</v>
      </c>
      <c r="F253" s="73">
        <v>61</v>
      </c>
      <c r="G253" s="73" t="s">
        <v>1027</v>
      </c>
      <c r="H253" s="72" t="s">
        <v>277</v>
      </c>
      <c r="I253" s="72" t="s">
        <v>997</v>
      </c>
      <c r="J253" s="72" t="s">
        <v>320</v>
      </c>
      <c r="K253" s="72" t="s">
        <v>382</v>
      </c>
      <c r="L253" s="72" t="s">
        <v>1004</v>
      </c>
      <c r="M253" s="72" t="s">
        <v>384</v>
      </c>
      <c r="O253" s="72" t="s">
        <v>386</v>
      </c>
      <c r="P253" s="72" t="s">
        <v>808</v>
      </c>
      <c r="Q253" s="72" t="s">
        <v>1475</v>
      </c>
      <c r="R253" s="72" t="s">
        <v>83</v>
      </c>
      <c r="V253" s="60" t="str">
        <f t="shared" si="27"/>
        <v>0287BCтемно-серый</v>
      </c>
      <c r="W253" s="60" t="str">
        <f t="shared" si="24"/>
        <v>0287BC</v>
      </c>
      <c r="X253" s="60" t="str">
        <f t="shared" si="28"/>
        <v>Tropic 504</v>
      </c>
      <c r="AC253" s="51">
        <f t="shared" si="29"/>
        <v>3</v>
      </c>
      <c r="AD253" s="44">
        <f t="shared" si="30"/>
        <v>56</v>
      </c>
      <c r="AE253" s="51">
        <f t="shared" si="31"/>
        <v>3056</v>
      </c>
    </row>
    <row r="254" spans="1:31">
      <c r="A254" s="60" t="str">
        <f t="shared" si="25"/>
        <v>0287BCcharcoal</v>
      </c>
      <c r="B254" s="60" t="str">
        <f t="shared" si="26"/>
        <v>03-056-05</v>
      </c>
      <c r="C254" s="72" t="s">
        <v>1478</v>
      </c>
      <c r="D254" s="72" t="s">
        <v>1474</v>
      </c>
      <c r="E254" s="72" t="s">
        <v>1032</v>
      </c>
      <c r="F254" s="73">
        <v>55</v>
      </c>
      <c r="G254" s="73" t="s">
        <v>1027</v>
      </c>
      <c r="H254" s="72" t="s">
        <v>277</v>
      </c>
      <c r="I254" s="72" t="s">
        <v>997</v>
      </c>
      <c r="J254" s="72" t="s">
        <v>320</v>
      </c>
      <c r="K254" s="72" t="s">
        <v>382</v>
      </c>
      <c r="L254" s="72" t="s">
        <v>1004</v>
      </c>
      <c r="M254" s="72" t="s">
        <v>384</v>
      </c>
      <c r="O254" s="72" t="s">
        <v>386</v>
      </c>
      <c r="P254" s="72" t="s">
        <v>808</v>
      </c>
      <c r="Q254" s="72" t="s">
        <v>1475</v>
      </c>
      <c r="R254" s="72" t="s">
        <v>83</v>
      </c>
      <c r="V254" s="60" t="str">
        <f t="shared" si="27"/>
        <v>0287BCтемно-серый</v>
      </c>
      <c r="W254" s="60" t="str">
        <f t="shared" si="24"/>
        <v>0287BC</v>
      </c>
      <c r="X254" s="60" t="str">
        <f t="shared" si="28"/>
        <v>Tropic 504</v>
      </c>
      <c r="AC254" s="51">
        <f t="shared" si="29"/>
        <v>3</v>
      </c>
      <c r="AD254" s="44">
        <f t="shared" si="30"/>
        <v>56</v>
      </c>
      <c r="AE254" s="51">
        <f t="shared" si="31"/>
        <v>3056</v>
      </c>
    </row>
    <row r="255" spans="1:31">
      <c r="A255" s="60" t="str">
        <f t="shared" si="25"/>
        <v>0290BCgrey</v>
      </c>
      <c r="B255" s="60" t="str">
        <f t="shared" si="26"/>
        <v>03-023-08</v>
      </c>
      <c r="C255" s="72" t="s">
        <v>1479</v>
      </c>
      <c r="D255" s="72" t="s">
        <v>1480</v>
      </c>
      <c r="E255" s="72" t="s">
        <v>976</v>
      </c>
      <c r="F255" s="73">
        <v>59</v>
      </c>
      <c r="G255" s="73" t="s">
        <v>1009</v>
      </c>
      <c r="H255" s="72" t="s">
        <v>83</v>
      </c>
      <c r="I255" s="72" t="s">
        <v>997</v>
      </c>
      <c r="J255" s="72" t="s">
        <v>320</v>
      </c>
      <c r="K255" s="72" t="s">
        <v>382</v>
      </c>
      <c r="L255" s="72" t="s">
        <v>988</v>
      </c>
      <c r="M255" s="72" t="s">
        <v>384</v>
      </c>
      <c r="O255" s="72" t="s">
        <v>539</v>
      </c>
      <c r="P255" s="72" t="s">
        <v>973</v>
      </c>
      <c r="Q255" s="72" t="s">
        <v>1481</v>
      </c>
      <c r="R255" s="72" t="s">
        <v>83</v>
      </c>
      <c r="V255" s="60" t="str">
        <f t="shared" si="27"/>
        <v>0290BCсерый</v>
      </c>
      <c r="W255" s="60" t="str">
        <f t="shared" si="24"/>
        <v>0290BC</v>
      </c>
      <c r="X255" s="60" t="str">
        <f t="shared" si="28"/>
        <v>Tropic 504 Ventair</v>
      </c>
      <c r="AC255" s="51">
        <f t="shared" si="29"/>
        <v>3</v>
      </c>
      <c r="AD255" s="44">
        <f t="shared" si="30"/>
        <v>23</v>
      </c>
      <c r="AE255" s="51">
        <f t="shared" si="31"/>
        <v>3023</v>
      </c>
    </row>
    <row r="256" spans="1:31">
      <c r="A256" s="60" t="str">
        <f t="shared" si="25"/>
        <v>0290BCgrey</v>
      </c>
      <c r="B256" s="60" t="str">
        <f t="shared" si="26"/>
        <v>03-023-08</v>
      </c>
      <c r="C256" s="72" t="s">
        <v>1482</v>
      </c>
      <c r="D256" s="72" t="s">
        <v>1480</v>
      </c>
      <c r="E256" s="72" t="s">
        <v>969</v>
      </c>
      <c r="F256" s="73">
        <v>57</v>
      </c>
      <c r="G256" s="73" t="s">
        <v>1009</v>
      </c>
      <c r="H256" s="72" t="s">
        <v>83</v>
      </c>
      <c r="I256" s="72" t="s">
        <v>997</v>
      </c>
      <c r="J256" s="72" t="s">
        <v>320</v>
      </c>
      <c r="K256" s="72" t="s">
        <v>382</v>
      </c>
      <c r="L256" s="72" t="s">
        <v>988</v>
      </c>
      <c r="M256" s="72" t="s">
        <v>384</v>
      </c>
      <c r="O256" s="72" t="s">
        <v>539</v>
      </c>
      <c r="P256" s="72" t="s">
        <v>973</v>
      </c>
      <c r="Q256" s="72" t="s">
        <v>1481</v>
      </c>
      <c r="R256" s="72" t="s">
        <v>83</v>
      </c>
      <c r="V256" s="60" t="str">
        <f t="shared" si="27"/>
        <v>0290BCсерый</v>
      </c>
      <c r="W256" s="60" t="str">
        <f t="shared" si="24"/>
        <v>0290BC</v>
      </c>
      <c r="X256" s="60" t="str">
        <f t="shared" si="28"/>
        <v>Tropic 504 Ventair</v>
      </c>
      <c r="AC256" s="51">
        <f t="shared" si="29"/>
        <v>3</v>
      </c>
      <c r="AD256" s="44">
        <f t="shared" si="30"/>
        <v>23</v>
      </c>
      <c r="AE256" s="51">
        <f t="shared" si="31"/>
        <v>3023</v>
      </c>
    </row>
    <row r="257" spans="1:31">
      <c r="A257" s="60" t="str">
        <f t="shared" si="25"/>
        <v>0290BCgrey</v>
      </c>
      <c r="B257" s="60" t="str">
        <f t="shared" si="26"/>
        <v>03-023-08</v>
      </c>
      <c r="C257" s="72" t="s">
        <v>1483</v>
      </c>
      <c r="D257" s="72" t="s">
        <v>1480</v>
      </c>
      <c r="E257" s="72" t="s">
        <v>1030</v>
      </c>
      <c r="F257" s="73">
        <v>61</v>
      </c>
      <c r="G257" s="73" t="s">
        <v>1009</v>
      </c>
      <c r="H257" s="72" t="s">
        <v>83</v>
      </c>
      <c r="I257" s="72" t="s">
        <v>997</v>
      </c>
      <c r="J257" s="72" t="s">
        <v>320</v>
      </c>
      <c r="K257" s="72" t="s">
        <v>382</v>
      </c>
      <c r="L257" s="72" t="s">
        <v>988</v>
      </c>
      <c r="M257" s="72" t="s">
        <v>384</v>
      </c>
      <c r="O257" s="72" t="s">
        <v>539</v>
      </c>
      <c r="P257" s="72" t="s">
        <v>973</v>
      </c>
      <c r="Q257" s="72" t="s">
        <v>1481</v>
      </c>
      <c r="R257" s="72" t="s">
        <v>83</v>
      </c>
      <c r="V257" s="60" t="str">
        <f t="shared" si="27"/>
        <v>0290BCсерый</v>
      </c>
      <c r="W257" s="60" t="str">
        <f t="shared" si="24"/>
        <v>0290BC</v>
      </c>
      <c r="X257" s="60" t="str">
        <f t="shared" si="28"/>
        <v>Tropic 504 Ventair</v>
      </c>
      <c r="AC257" s="51">
        <f t="shared" si="29"/>
        <v>3</v>
      </c>
      <c r="AD257" s="44">
        <f t="shared" si="30"/>
        <v>23</v>
      </c>
      <c r="AE257" s="51">
        <f t="shared" si="31"/>
        <v>3023</v>
      </c>
    </row>
    <row r="258" spans="1:31">
      <c r="A258" s="60" t="str">
        <f t="shared" si="25"/>
        <v>K0533COnavy</v>
      </c>
      <c r="B258" s="60" t="str">
        <f t="shared" si="26"/>
        <v>03-083-16</v>
      </c>
      <c r="C258" s="72" t="s">
        <v>1484</v>
      </c>
      <c r="D258" s="72" t="s">
        <v>1485</v>
      </c>
      <c r="E258" s="72" t="s">
        <v>1058</v>
      </c>
      <c r="F258" s="73">
        <v>60</v>
      </c>
      <c r="G258" s="73" t="s">
        <v>1397</v>
      </c>
      <c r="H258" s="72" t="s">
        <v>55</v>
      </c>
      <c r="I258" s="72" t="s">
        <v>1398</v>
      </c>
      <c r="J258" s="72" t="s">
        <v>350</v>
      </c>
      <c r="K258" s="72" t="s">
        <v>382</v>
      </c>
      <c r="L258" s="72" t="s">
        <v>981</v>
      </c>
      <c r="M258" s="72" t="s">
        <v>384</v>
      </c>
      <c r="N258" s="72" t="s">
        <v>43</v>
      </c>
      <c r="O258" s="72" t="s">
        <v>533</v>
      </c>
      <c r="P258" s="72" t="s">
        <v>808</v>
      </c>
      <c r="Q258" s="72" t="s">
        <v>1017</v>
      </c>
      <c r="R258" s="72" t="s">
        <v>71</v>
      </c>
      <c r="V258" s="60" t="str">
        <f t="shared" si="27"/>
        <v>K0533COтемно-синий</v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K0533CO</v>
      </c>
      <c r="X258" s="60" t="str">
        <f t="shared" si="28"/>
        <v>Ripstop Flexfit Army</v>
      </c>
      <c r="AC258" s="51">
        <f t="shared" si="29"/>
        <v>3</v>
      </c>
      <c r="AD258" s="44">
        <f t="shared" si="30"/>
        <v>83</v>
      </c>
      <c r="AE258" s="51">
        <f t="shared" si="31"/>
        <v>3083</v>
      </c>
    </row>
    <row r="259" spans="1:31">
      <c r="A259" s="60" t="str">
        <f t="shared" ref="A259:A322" si="33">IF(G259&amp;Q259&lt;&gt;"",W259&amp;Q259,"")</f>
        <v>K0533COnavy</v>
      </c>
      <c r="B259" s="60" t="str">
        <f t="shared" ref="B259:B322" si="34">IF(C259&lt;&gt;"",LEFT(C259,9),"")</f>
        <v>03-083-16</v>
      </c>
      <c r="C259" s="72" t="s">
        <v>1486</v>
      </c>
      <c r="D259" s="72" t="s">
        <v>1485</v>
      </c>
      <c r="E259" s="72" t="s">
        <v>1053</v>
      </c>
      <c r="F259" s="73">
        <v>56</v>
      </c>
      <c r="G259" s="73" t="s">
        <v>1397</v>
      </c>
      <c r="H259" s="72" t="s">
        <v>55</v>
      </c>
      <c r="I259" s="72" t="s">
        <v>1398</v>
      </c>
      <c r="J259" s="72" t="s">
        <v>350</v>
      </c>
      <c r="K259" s="72" t="s">
        <v>382</v>
      </c>
      <c r="L259" s="72" t="s">
        <v>981</v>
      </c>
      <c r="M259" s="72" t="s">
        <v>384</v>
      </c>
      <c r="N259" s="72" t="s">
        <v>43</v>
      </c>
      <c r="O259" s="72" t="s">
        <v>533</v>
      </c>
      <c r="P259" s="72" t="s">
        <v>808</v>
      </c>
      <c r="Q259" s="72" t="s">
        <v>1017</v>
      </c>
      <c r="R259" s="72" t="s">
        <v>71</v>
      </c>
      <c r="V259" s="60" t="str">
        <f t="shared" ref="V259:V322" si="35">W259&amp;H259</f>
        <v>K0533COтемно-синий</v>
      </c>
      <c r="W259" s="60" t="str">
        <f t="shared" si="32"/>
        <v>K0533CO</v>
      </c>
      <c r="X259" s="60" t="str">
        <f t="shared" ref="X259:X322" si="36">IF(A259&lt;&gt;"",IFERROR(IF(FIND(" ",G259)&gt;=1,MID(G259,FIND(" ",G259)+1,LEN(G259)),""),""),"")</f>
        <v>Ripstop Flexfit Army</v>
      </c>
      <c r="AC259" s="51">
        <f t="shared" ref="AC259:AC322" si="37">IFERROR(VALUE(MID($C259,1,2)),0)</f>
        <v>3</v>
      </c>
      <c r="AD259" s="44">
        <f t="shared" ref="AD259:AD322" si="38">IFERROR(VALUE(MID($C259,4,3)),0)</f>
        <v>83</v>
      </c>
      <c r="AE259" s="51">
        <f t="shared" ref="AE259:AE322" si="39">VALUE(RIGHT("00"&amp;AC259,2)&amp;RIGHT("000"&amp;AD259,3))</f>
        <v>3083</v>
      </c>
    </row>
    <row r="260" spans="1:31">
      <c r="A260" s="60" t="str">
        <f t="shared" si="33"/>
        <v>K0533COgreen</v>
      </c>
      <c r="B260" s="60" t="str">
        <f t="shared" si="34"/>
        <v>03-083-03</v>
      </c>
      <c r="C260" s="72" t="s">
        <v>1487</v>
      </c>
      <c r="D260" s="72" t="s">
        <v>1488</v>
      </c>
      <c r="E260" s="72" t="s">
        <v>1058</v>
      </c>
      <c r="F260" s="73">
        <v>60</v>
      </c>
      <c r="G260" s="73" t="s">
        <v>1397</v>
      </c>
      <c r="H260" s="72" t="s">
        <v>195</v>
      </c>
      <c r="I260" s="72" t="s">
        <v>1398</v>
      </c>
      <c r="J260" s="72" t="s">
        <v>350</v>
      </c>
      <c r="K260" s="72" t="s">
        <v>382</v>
      </c>
      <c r="L260" s="72" t="s">
        <v>981</v>
      </c>
      <c r="M260" s="72" t="s">
        <v>384</v>
      </c>
      <c r="N260" s="72" t="s">
        <v>43</v>
      </c>
      <c r="O260" s="72" t="s">
        <v>533</v>
      </c>
      <c r="P260" s="72" t="s">
        <v>808</v>
      </c>
      <c r="Q260" s="72" t="s">
        <v>1489</v>
      </c>
      <c r="R260" s="72" t="s">
        <v>195</v>
      </c>
      <c r="V260" s="60" t="str">
        <f t="shared" si="35"/>
        <v>K0533COоливковый</v>
      </c>
      <c r="W260" s="60" t="str">
        <f t="shared" si="32"/>
        <v>K0533CO</v>
      </c>
      <c r="X260" s="60" t="str">
        <f t="shared" si="36"/>
        <v>Ripstop Flexfit Army</v>
      </c>
      <c r="AC260" s="51">
        <f t="shared" si="37"/>
        <v>3</v>
      </c>
      <c r="AD260" s="44">
        <f t="shared" si="38"/>
        <v>83</v>
      </c>
      <c r="AE260" s="51">
        <f t="shared" si="39"/>
        <v>3083</v>
      </c>
    </row>
    <row r="261" spans="1:31">
      <c r="A261" s="60" t="str">
        <f t="shared" si="33"/>
        <v>K0533COgreen</v>
      </c>
      <c r="B261" s="60" t="str">
        <f t="shared" si="34"/>
        <v>03-083-03</v>
      </c>
      <c r="C261" s="72" t="s">
        <v>1490</v>
      </c>
      <c r="D261" s="72" t="s">
        <v>1488</v>
      </c>
      <c r="E261" s="72" t="s">
        <v>1053</v>
      </c>
      <c r="F261" s="73">
        <v>56</v>
      </c>
      <c r="G261" s="73" t="s">
        <v>1397</v>
      </c>
      <c r="H261" s="72" t="s">
        <v>195</v>
      </c>
      <c r="I261" s="72" t="s">
        <v>1398</v>
      </c>
      <c r="J261" s="72" t="s">
        <v>350</v>
      </c>
      <c r="K261" s="72" t="s">
        <v>382</v>
      </c>
      <c r="L261" s="72" t="s">
        <v>981</v>
      </c>
      <c r="M261" s="72" t="s">
        <v>384</v>
      </c>
      <c r="N261" s="72" t="s">
        <v>43</v>
      </c>
      <c r="O261" s="72" t="s">
        <v>533</v>
      </c>
      <c r="P261" s="72" t="s">
        <v>808</v>
      </c>
      <c r="Q261" s="72" t="s">
        <v>1489</v>
      </c>
      <c r="R261" s="72" t="s">
        <v>195</v>
      </c>
      <c r="V261" s="60" t="str">
        <f t="shared" si="35"/>
        <v>K0533COоливковый</v>
      </c>
      <c r="W261" s="60" t="str">
        <f t="shared" si="32"/>
        <v>K0533CO</v>
      </c>
      <c r="X261" s="60" t="str">
        <f t="shared" si="36"/>
        <v>Ripstop Flexfit Army</v>
      </c>
      <c r="AC261" s="51">
        <f t="shared" si="37"/>
        <v>3</v>
      </c>
      <c r="AD261" s="44">
        <f t="shared" si="38"/>
        <v>83</v>
      </c>
      <c r="AE261" s="51">
        <f t="shared" si="39"/>
        <v>3083</v>
      </c>
    </row>
    <row r="262" spans="1:31">
      <c r="A262" s="60" t="str">
        <f t="shared" si="33"/>
        <v>K3208HTcliff</v>
      </c>
      <c r="B262" s="60" t="str">
        <f t="shared" si="34"/>
        <v>03-073-08</v>
      </c>
      <c r="C262" s="72" t="s">
        <v>1491</v>
      </c>
      <c r="D262" s="72" t="s">
        <v>1492</v>
      </c>
      <c r="E262" s="72" t="s">
        <v>976</v>
      </c>
      <c r="F262" s="73">
        <v>59</v>
      </c>
      <c r="G262" s="73" t="s">
        <v>1281</v>
      </c>
      <c r="H262" s="72" t="s">
        <v>83</v>
      </c>
      <c r="I262" s="72" t="s">
        <v>1003</v>
      </c>
      <c r="J262" s="72" t="s">
        <v>320</v>
      </c>
      <c r="K262" s="72" t="s">
        <v>382</v>
      </c>
      <c r="L262" s="72" t="s">
        <v>988</v>
      </c>
      <c r="M262" s="72" t="s">
        <v>384</v>
      </c>
      <c r="O262" s="72" t="s">
        <v>539</v>
      </c>
      <c r="P262" s="72" t="s">
        <v>973</v>
      </c>
      <c r="Q262" s="72" t="s">
        <v>1493</v>
      </c>
      <c r="R262" s="72" t="s">
        <v>83</v>
      </c>
      <c r="V262" s="60" t="str">
        <f t="shared" si="35"/>
        <v>K3208HTсерый</v>
      </c>
      <c r="W262" s="60" t="str">
        <f t="shared" si="32"/>
        <v>K3208HT</v>
      </c>
      <c r="X262" s="60" t="str">
        <f t="shared" si="36"/>
        <v>Tropic 507 Ventair</v>
      </c>
      <c r="AC262" s="51">
        <f t="shared" si="37"/>
        <v>3</v>
      </c>
      <c r="AD262" s="44">
        <f t="shared" si="38"/>
        <v>73</v>
      </c>
      <c r="AE262" s="51">
        <f t="shared" si="39"/>
        <v>3073</v>
      </c>
    </row>
    <row r="263" spans="1:31">
      <c r="A263" s="60" t="str">
        <f t="shared" si="33"/>
        <v>K3208HTcliff</v>
      </c>
      <c r="B263" s="60" t="str">
        <f t="shared" si="34"/>
        <v>03-073-08</v>
      </c>
      <c r="C263" s="72" t="s">
        <v>1494</v>
      </c>
      <c r="D263" s="72" t="s">
        <v>1492</v>
      </c>
      <c r="E263" s="72" t="s">
        <v>969</v>
      </c>
      <c r="F263" s="73">
        <v>57</v>
      </c>
      <c r="G263" s="73" t="s">
        <v>1281</v>
      </c>
      <c r="H263" s="72" t="s">
        <v>83</v>
      </c>
      <c r="I263" s="72" t="s">
        <v>1003</v>
      </c>
      <c r="J263" s="72" t="s">
        <v>320</v>
      </c>
      <c r="K263" s="72" t="s">
        <v>382</v>
      </c>
      <c r="L263" s="72" t="s">
        <v>988</v>
      </c>
      <c r="M263" s="72" t="s">
        <v>384</v>
      </c>
      <c r="O263" s="72" t="s">
        <v>539</v>
      </c>
      <c r="P263" s="72" t="s">
        <v>973</v>
      </c>
      <c r="Q263" s="72" t="s">
        <v>1493</v>
      </c>
      <c r="R263" s="72" t="s">
        <v>83</v>
      </c>
      <c r="V263" s="60" t="str">
        <f t="shared" si="35"/>
        <v>K3208HTсерый</v>
      </c>
      <c r="W263" s="60" t="str">
        <f t="shared" si="32"/>
        <v>K3208HT</v>
      </c>
      <c r="X263" s="60" t="str">
        <f t="shared" si="36"/>
        <v>Tropic 507 Ventair</v>
      </c>
      <c r="AC263" s="51">
        <f t="shared" si="37"/>
        <v>3</v>
      </c>
      <c r="AD263" s="44">
        <f t="shared" si="38"/>
        <v>73</v>
      </c>
      <c r="AE263" s="51">
        <f t="shared" si="39"/>
        <v>3073</v>
      </c>
    </row>
    <row r="264" spans="1:31">
      <c r="A264" s="60" t="str">
        <f t="shared" si="33"/>
        <v>K3208HTcliff</v>
      </c>
      <c r="B264" s="60" t="str">
        <f t="shared" si="34"/>
        <v>03-073-08</v>
      </c>
      <c r="C264" s="72" t="s">
        <v>1495</v>
      </c>
      <c r="D264" s="72" t="s">
        <v>1492</v>
      </c>
      <c r="E264" s="72" t="s">
        <v>1030</v>
      </c>
      <c r="F264" s="73">
        <v>61</v>
      </c>
      <c r="G264" s="73" t="s">
        <v>1281</v>
      </c>
      <c r="H264" s="72" t="s">
        <v>83</v>
      </c>
      <c r="I264" s="72" t="s">
        <v>1003</v>
      </c>
      <c r="J264" s="72" t="s">
        <v>320</v>
      </c>
      <c r="K264" s="72" t="s">
        <v>382</v>
      </c>
      <c r="L264" s="72" t="s">
        <v>988</v>
      </c>
      <c r="M264" s="72" t="s">
        <v>384</v>
      </c>
      <c r="O264" s="72" t="s">
        <v>539</v>
      </c>
      <c r="P264" s="72" t="s">
        <v>973</v>
      </c>
      <c r="Q264" s="72" t="s">
        <v>1493</v>
      </c>
      <c r="R264" s="72" t="s">
        <v>83</v>
      </c>
      <c r="V264" s="60" t="str">
        <f t="shared" si="35"/>
        <v>K3208HTсерый</v>
      </c>
      <c r="W264" s="60" t="str">
        <f t="shared" si="32"/>
        <v>K3208HT</v>
      </c>
      <c r="X264" s="60" t="str">
        <f t="shared" si="36"/>
        <v>Tropic 507 Ventair</v>
      </c>
      <c r="AC264" s="51">
        <f t="shared" si="37"/>
        <v>3</v>
      </c>
      <c r="AD264" s="44">
        <f t="shared" si="38"/>
        <v>73</v>
      </c>
      <c r="AE264" s="51">
        <f t="shared" si="39"/>
        <v>3073</v>
      </c>
    </row>
    <row r="265" spans="1:31">
      <c r="A265" s="60" t="str">
        <f t="shared" si="33"/>
        <v>0397BCblue tint</v>
      </c>
      <c r="B265" s="60" t="str">
        <f t="shared" si="34"/>
        <v>03-024-19</v>
      </c>
      <c r="C265" s="72" t="s">
        <v>1496</v>
      </c>
      <c r="D265" s="72" t="s">
        <v>1497</v>
      </c>
      <c r="E265" s="72" t="s">
        <v>976</v>
      </c>
      <c r="F265" s="73">
        <v>59</v>
      </c>
      <c r="G265" s="73" t="s">
        <v>970</v>
      </c>
      <c r="H265" s="72" t="s">
        <v>91</v>
      </c>
      <c r="I265" s="72" t="s">
        <v>971</v>
      </c>
      <c r="J265" s="72" t="s">
        <v>325</v>
      </c>
      <c r="K265" s="72" t="s">
        <v>382</v>
      </c>
      <c r="L265" s="72" t="s">
        <v>972</v>
      </c>
      <c r="M265" s="72" t="s">
        <v>384</v>
      </c>
      <c r="O265" s="72" t="s">
        <v>539</v>
      </c>
      <c r="P265" s="72" t="s">
        <v>973</v>
      </c>
      <c r="Q265" s="72" t="s">
        <v>1498</v>
      </c>
      <c r="R265" s="72" t="s">
        <v>91</v>
      </c>
      <c r="V265" s="60" t="str">
        <f t="shared" si="35"/>
        <v>0397BCголубой</v>
      </c>
      <c r="W265" s="60" t="str">
        <f t="shared" si="32"/>
        <v>0397BC</v>
      </c>
      <c r="X265" s="60" t="str">
        <f t="shared" si="36"/>
        <v>Bermuda Casual</v>
      </c>
      <c r="AC265" s="51">
        <f t="shared" si="37"/>
        <v>3</v>
      </c>
      <c r="AD265" s="44">
        <f t="shared" si="38"/>
        <v>24</v>
      </c>
      <c r="AE265" s="51">
        <f t="shared" si="39"/>
        <v>3024</v>
      </c>
    </row>
    <row r="266" spans="1:31">
      <c r="A266" s="60" t="str">
        <f t="shared" si="33"/>
        <v>0397BCblue tint</v>
      </c>
      <c r="B266" s="60" t="str">
        <f t="shared" si="34"/>
        <v>03-024-19</v>
      </c>
      <c r="C266" s="72" t="s">
        <v>1499</v>
      </c>
      <c r="D266" s="72" t="s">
        <v>1497</v>
      </c>
      <c r="E266" s="72" t="s">
        <v>969</v>
      </c>
      <c r="F266" s="73">
        <v>57</v>
      </c>
      <c r="G266" s="73" t="s">
        <v>970</v>
      </c>
      <c r="H266" s="72" t="s">
        <v>91</v>
      </c>
      <c r="I266" s="72" t="s">
        <v>971</v>
      </c>
      <c r="J266" s="72" t="s">
        <v>325</v>
      </c>
      <c r="K266" s="72" t="s">
        <v>382</v>
      </c>
      <c r="L266" s="72" t="s">
        <v>972</v>
      </c>
      <c r="M266" s="72" t="s">
        <v>384</v>
      </c>
      <c r="O266" s="72" t="s">
        <v>539</v>
      </c>
      <c r="P266" s="72" t="s">
        <v>973</v>
      </c>
      <c r="Q266" s="72" t="s">
        <v>1498</v>
      </c>
      <c r="R266" s="72" t="s">
        <v>91</v>
      </c>
      <c r="V266" s="60" t="str">
        <f t="shared" si="35"/>
        <v>0397BCголубой</v>
      </c>
      <c r="W266" s="60" t="str">
        <f t="shared" si="32"/>
        <v>0397BC</v>
      </c>
      <c r="X266" s="60" t="str">
        <f t="shared" si="36"/>
        <v>Bermuda Casual</v>
      </c>
      <c r="AC266" s="51">
        <f t="shared" si="37"/>
        <v>3</v>
      </c>
      <c r="AD266" s="44">
        <f t="shared" si="38"/>
        <v>24</v>
      </c>
      <c r="AE266" s="51">
        <f t="shared" si="39"/>
        <v>3024</v>
      </c>
    </row>
    <row r="267" spans="1:31">
      <c r="A267" s="60" t="str">
        <f t="shared" si="33"/>
        <v>0397BCscarlet</v>
      </c>
      <c r="B267" s="60" t="str">
        <f t="shared" si="34"/>
        <v>03-024-18</v>
      </c>
      <c r="C267" s="72" t="s">
        <v>1500</v>
      </c>
      <c r="D267" s="72" t="s">
        <v>1501</v>
      </c>
      <c r="E267" s="72" t="s">
        <v>976</v>
      </c>
      <c r="F267" s="73">
        <v>59</v>
      </c>
      <c r="G267" s="73" t="s">
        <v>970</v>
      </c>
      <c r="H267" s="72" t="s">
        <v>78</v>
      </c>
      <c r="I267" s="72" t="s">
        <v>971</v>
      </c>
      <c r="J267" s="72" t="s">
        <v>325</v>
      </c>
      <c r="K267" s="72" t="s">
        <v>382</v>
      </c>
      <c r="L267" s="72" t="s">
        <v>972</v>
      </c>
      <c r="M267" s="72" t="s">
        <v>384</v>
      </c>
      <c r="O267" s="72" t="s">
        <v>539</v>
      </c>
      <c r="P267" s="72" t="s">
        <v>973</v>
      </c>
      <c r="Q267" s="72" t="s">
        <v>1502</v>
      </c>
      <c r="R267" s="72" t="s">
        <v>78</v>
      </c>
      <c r="V267" s="60" t="str">
        <f t="shared" si="35"/>
        <v>0397BCкрасный</v>
      </c>
      <c r="W267" s="60" t="str">
        <f t="shared" si="32"/>
        <v>0397BC</v>
      </c>
      <c r="X267" s="60" t="str">
        <f t="shared" si="36"/>
        <v>Bermuda Casual</v>
      </c>
      <c r="AC267" s="51">
        <f t="shared" si="37"/>
        <v>3</v>
      </c>
      <c r="AD267" s="44">
        <f t="shared" si="38"/>
        <v>24</v>
      </c>
      <c r="AE267" s="51">
        <f t="shared" si="39"/>
        <v>3024</v>
      </c>
    </row>
    <row r="268" spans="1:31">
      <c r="A268" s="60" t="str">
        <f t="shared" si="33"/>
        <v>0397BCscarlet</v>
      </c>
      <c r="B268" s="60" t="str">
        <f t="shared" si="34"/>
        <v>03-024-18</v>
      </c>
      <c r="C268" s="72" t="s">
        <v>1503</v>
      </c>
      <c r="D268" s="72" t="s">
        <v>1501</v>
      </c>
      <c r="E268" s="72" t="s">
        <v>969</v>
      </c>
      <c r="F268" s="73">
        <v>57</v>
      </c>
      <c r="G268" s="73" t="s">
        <v>970</v>
      </c>
      <c r="H268" s="72" t="s">
        <v>78</v>
      </c>
      <c r="I268" s="72" t="s">
        <v>971</v>
      </c>
      <c r="J268" s="72" t="s">
        <v>325</v>
      </c>
      <c r="K268" s="72" t="s">
        <v>382</v>
      </c>
      <c r="L268" s="72" t="s">
        <v>972</v>
      </c>
      <c r="M268" s="72" t="s">
        <v>384</v>
      </c>
      <c r="O268" s="72" t="s">
        <v>539</v>
      </c>
      <c r="P268" s="72" t="s">
        <v>973</v>
      </c>
      <c r="Q268" s="72" t="s">
        <v>1502</v>
      </c>
      <c r="R268" s="72" t="s">
        <v>78</v>
      </c>
      <c r="V268" s="60" t="str">
        <f t="shared" si="35"/>
        <v>0397BCкрасный</v>
      </c>
      <c r="W268" s="60" t="str">
        <f t="shared" si="32"/>
        <v>0397BC</v>
      </c>
      <c r="X268" s="60" t="str">
        <f t="shared" si="36"/>
        <v>Bermuda Casual</v>
      </c>
      <c r="AC268" s="51">
        <f t="shared" si="37"/>
        <v>3</v>
      </c>
      <c r="AD268" s="44">
        <f t="shared" si="38"/>
        <v>24</v>
      </c>
      <c r="AE268" s="51">
        <f t="shared" si="39"/>
        <v>3024</v>
      </c>
    </row>
    <row r="269" spans="1:31">
      <c r="A269" s="60" t="str">
        <f t="shared" si="33"/>
        <v>5128BCblack/black</v>
      </c>
      <c r="B269" s="60" t="str">
        <f t="shared" si="34"/>
        <v>03-026-09</v>
      </c>
      <c r="C269" s="72" t="s">
        <v>1504</v>
      </c>
      <c r="D269" s="72" t="s">
        <v>1505</v>
      </c>
      <c r="E269" s="72" t="s">
        <v>1058</v>
      </c>
      <c r="F269" s="73">
        <v>60</v>
      </c>
      <c r="G269" s="73" t="s">
        <v>1506</v>
      </c>
      <c r="H269" s="72" t="s">
        <v>53</v>
      </c>
      <c r="I269" s="72" t="s">
        <v>1393</v>
      </c>
      <c r="J269" s="72" t="s">
        <v>327</v>
      </c>
      <c r="K269" s="72" t="s">
        <v>382</v>
      </c>
      <c r="L269" s="72" t="s">
        <v>981</v>
      </c>
      <c r="M269" s="72" t="s">
        <v>384</v>
      </c>
      <c r="O269" s="72" t="s">
        <v>533</v>
      </c>
      <c r="P269" s="72" t="s">
        <v>973</v>
      </c>
      <c r="Q269" s="72" t="s">
        <v>1363</v>
      </c>
      <c r="R269" s="72" t="s">
        <v>53</v>
      </c>
      <c r="V269" s="60" t="str">
        <f t="shared" si="35"/>
        <v>5128BCчерный</v>
      </c>
      <c r="W269" s="60" t="str">
        <f t="shared" si="32"/>
        <v>5128BC</v>
      </c>
      <c r="X269" s="60" t="str">
        <f t="shared" si="36"/>
        <v>3D Flexfit Baseball</v>
      </c>
      <c r="AC269" s="51">
        <f t="shared" si="37"/>
        <v>3</v>
      </c>
      <c r="AD269" s="44">
        <f t="shared" si="38"/>
        <v>26</v>
      </c>
      <c r="AE269" s="51">
        <f t="shared" si="39"/>
        <v>3026</v>
      </c>
    </row>
    <row r="270" spans="1:31">
      <c r="A270" s="60" t="str">
        <f t="shared" si="33"/>
        <v>5128BCblack/black</v>
      </c>
      <c r="B270" s="60" t="str">
        <f t="shared" si="34"/>
        <v>03-026-09</v>
      </c>
      <c r="C270" s="72" t="s">
        <v>1507</v>
      </c>
      <c r="D270" s="72" t="s">
        <v>1505</v>
      </c>
      <c r="E270" s="72" t="s">
        <v>1053</v>
      </c>
      <c r="F270" s="73">
        <v>56</v>
      </c>
      <c r="G270" s="73" t="s">
        <v>1506</v>
      </c>
      <c r="H270" s="72" t="s">
        <v>53</v>
      </c>
      <c r="I270" s="72" t="s">
        <v>1393</v>
      </c>
      <c r="J270" s="72" t="s">
        <v>327</v>
      </c>
      <c r="K270" s="72" t="s">
        <v>382</v>
      </c>
      <c r="L270" s="72" t="s">
        <v>981</v>
      </c>
      <c r="M270" s="72" t="s">
        <v>384</v>
      </c>
      <c r="O270" s="72" t="s">
        <v>533</v>
      </c>
      <c r="P270" s="72" t="s">
        <v>973</v>
      </c>
      <c r="Q270" s="72" t="s">
        <v>1363</v>
      </c>
      <c r="R270" s="72" t="s">
        <v>53</v>
      </c>
      <c r="V270" s="60" t="str">
        <f t="shared" si="35"/>
        <v>5128BCчерный</v>
      </c>
      <c r="W270" s="60" t="str">
        <f t="shared" si="32"/>
        <v>5128BC</v>
      </c>
      <c r="X270" s="60" t="str">
        <f t="shared" si="36"/>
        <v>3D Flexfit Baseball</v>
      </c>
      <c r="AC270" s="51">
        <f t="shared" si="37"/>
        <v>3</v>
      </c>
      <c r="AD270" s="44">
        <f t="shared" si="38"/>
        <v>26</v>
      </c>
      <c r="AE270" s="51">
        <f t="shared" si="39"/>
        <v>3026</v>
      </c>
    </row>
    <row r="271" spans="1:31">
      <c r="A271" s="60" t="str">
        <f t="shared" si="33"/>
        <v>9720BCblack</v>
      </c>
      <c r="B271" s="60" t="str">
        <f t="shared" si="34"/>
        <v>03-090-09</v>
      </c>
      <c r="C271" s="72" t="s">
        <v>1508</v>
      </c>
      <c r="D271" s="72" t="s">
        <v>1509</v>
      </c>
      <c r="E271" s="72" t="s">
        <v>1058</v>
      </c>
      <c r="F271" s="73">
        <v>60</v>
      </c>
      <c r="G271" s="73" t="s">
        <v>1510</v>
      </c>
      <c r="H271" s="72" t="s">
        <v>53</v>
      </c>
      <c r="I271" s="72" t="s">
        <v>1511</v>
      </c>
      <c r="J271" s="72" t="s">
        <v>350</v>
      </c>
      <c r="K271" s="72" t="s">
        <v>382</v>
      </c>
      <c r="L271" s="72" t="s">
        <v>981</v>
      </c>
      <c r="M271" s="72" t="s">
        <v>384</v>
      </c>
      <c r="N271" s="72" t="s">
        <v>43</v>
      </c>
      <c r="O271" s="72" t="s">
        <v>533</v>
      </c>
      <c r="P271" s="72" t="s">
        <v>808</v>
      </c>
      <c r="Q271" s="72" t="s">
        <v>1005</v>
      </c>
      <c r="R271" s="72" t="s">
        <v>53</v>
      </c>
      <c r="V271" s="60" t="str">
        <f t="shared" si="35"/>
        <v>9720BCчерный</v>
      </c>
      <c r="W271" s="60" t="str">
        <f t="shared" si="32"/>
        <v>9720BC</v>
      </c>
      <c r="X271" s="60" t="str">
        <f t="shared" si="36"/>
        <v>Cotton Twill Army Cap</v>
      </c>
      <c r="AC271" s="51">
        <f t="shared" si="37"/>
        <v>3</v>
      </c>
      <c r="AD271" s="44">
        <f t="shared" si="38"/>
        <v>90</v>
      </c>
      <c r="AE271" s="51">
        <f t="shared" si="39"/>
        <v>3090</v>
      </c>
    </row>
    <row r="272" spans="1:31">
      <c r="A272" s="60" t="str">
        <f t="shared" si="33"/>
        <v>9720BCblack</v>
      </c>
      <c r="B272" s="60" t="str">
        <f t="shared" si="34"/>
        <v>03-090-09</v>
      </c>
      <c r="C272" s="72" t="s">
        <v>1512</v>
      </c>
      <c r="D272" s="72" t="s">
        <v>1509</v>
      </c>
      <c r="E272" s="72" t="s">
        <v>1053</v>
      </c>
      <c r="F272" s="73">
        <v>56</v>
      </c>
      <c r="G272" s="73" t="s">
        <v>1510</v>
      </c>
      <c r="H272" s="72" t="s">
        <v>53</v>
      </c>
      <c r="I272" s="72" t="s">
        <v>1511</v>
      </c>
      <c r="J272" s="72" t="s">
        <v>350</v>
      </c>
      <c r="K272" s="72" t="s">
        <v>382</v>
      </c>
      <c r="L272" s="72" t="s">
        <v>981</v>
      </c>
      <c r="M272" s="72" t="s">
        <v>384</v>
      </c>
      <c r="N272" s="72" t="s">
        <v>43</v>
      </c>
      <c r="O272" s="72" t="s">
        <v>533</v>
      </c>
      <c r="P272" s="72" t="s">
        <v>808</v>
      </c>
      <c r="Q272" s="72" t="s">
        <v>1005</v>
      </c>
      <c r="R272" s="72" t="s">
        <v>53</v>
      </c>
      <c r="V272" s="60" t="str">
        <f t="shared" si="35"/>
        <v>9720BCчерный</v>
      </c>
      <c r="W272" s="60" t="str">
        <f t="shared" si="32"/>
        <v>9720BC</v>
      </c>
      <c r="X272" s="60" t="str">
        <f t="shared" si="36"/>
        <v>Cotton Twill Army Cap</v>
      </c>
      <c r="AC272" s="51">
        <f t="shared" si="37"/>
        <v>3</v>
      </c>
      <c r="AD272" s="44">
        <f t="shared" si="38"/>
        <v>90</v>
      </c>
      <c r="AE272" s="51">
        <f t="shared" si="39"/>
        <v>3090</v>
      </c>
    </row>
    <row r="273" spans="1:31">
      <c r="A273" s="60" t="str">
        <f t="shared" si="33"/>
        <v>K4093SPindigo</v>
      </c>
      <c r="B273" s="60" t="str">
        <f t="shared" si="34"/>
        <v>03-091-16</v>
      </c>
      <c r="C273" s="72" t="s">
        <v>1513</v>
      </c>
      <c r="D273" s="72" t="s">
        <v>1514</v>
      </c>
      <c r="E273" s="72" t="s">
        <v>1058</v>
      </c>
      <c r="F273" s="73">
        <v>60</v>
      </c>
      <c r="G273" s="73" t="s">
        <v>1515</v>
      </c>
      <c r="H273" s="72" t="s">
        <v>55</v>
      </c>
      <c r="I273" s="72" t="s">
        <v>1516</v>
      </c>
      <c r="J273" s="72" t="s">
        <v>327</v>
      </c>
      <c r="K273" s="72" t="s">
        <v>382</v>
      </c>
      <c r="L273" s="72" t="s">
        <v>981</v>
      </c>
      <c r="M273" s="72" t="s">
        <v>384</v>
      </c>
      <c r="N273" s="72" t="s">
        <v>43</v>
      </c>
      <c r="O273" s="72" t="s">
        <v>386</v>
      </c>
      <c r="P273" s="72" t="s">
        <v>808</v>
      </c>
      <c r="Q273" s="72" t="s">
        <v>1092</v>
      </c>
      <c r="R273" s="72" t="s">
        <v>71</v>
      </c>
      <c r="V273" s="60" t="str">
        <f t="shared" si="35"/>
        <v>K4093SPтемно-синий</v>
      </c>
      <c r="W273" s="60" t="str">
        <f t="shared" si="32"/>
        <v>K4093SP</v>
      </c>
      <c r="X273" s="60" t="str">
        <f t="shared" si="36"/>
        <v>Denim Baseball</v>
      </c>
      <c r="AC273" s="51">
        <f t="shared" si="37"/>
        <v>3</v>
      </c>
      <c r="AD273" s="44">
        <f t="shared" si="38"/>
        <v>91</v>
      </c>
      <c r="AE273" s="51">
        <f t="shared" si="39"/>
        <v>3091</v>
      </c>
    </row>
    <row r="274" spans="1:31">
      <c r="A274" s="60" t="str">
        <f t="shared" si="33"/>
        <v>K4093SPindigo</v>
      </c>
      <c r="B274" s="60" t="str">
        <f t="shared" si="34"/>
        <v>03-091-16</v>
      </c>
      <c r="C274" s="72" t="s">
        <v>1517</v>
      </c>
      <c r="D274" s="72" t="s">
        <v>1514</v>
      </c>
      <c r="E274" s="72" t="s">
        <v>1053</v>
      </c>
      <c r="F274" s="73">
        <v>56</v>
      </c>
      <c r="G274" s="73" t="s">
        <v>1515</v>
      </c>
      <c r="H274" s="72" t="s">
        <v>55</v>
      </c>
      <c r="I274" s="72" t="s">
        <v>1516</v>
      </c>
      <c r="J274" s="72" t="s">
        <v>327</v>
      </c>
      <c r="K274" s="72" t="s">
        <v>382</v>
      </c>
      <c r="L274" s="72" t="s">
        <v>981</v>
      </c>
      <c r="M274" s="72" t="s">
        <v>384</v>
      </c>
      <c r="N274" s="72" t="s">
        <v>43</v>
      </c>
      <c r="O274" s="72" t="s">
        <v>386</v>
      </c>
      <c r="P274" s="72" t="s">
        <v>808</v>
      </c>
      <c r="Q274" s="72" t="s">
        <v>1092</v>
      </c>
      <c r="R274" s="72" t="s">
        <v>71</v>
      </c>
      <c r="V274" s="60" t="str">
        <f t="shared" si="35"/>
        <v>K4093SPтемно-синий</v>
      </c>
      <c r="W274" s="60" t="str">
        <f t="shared" si="32"/>
        <v>K4093SP</v>
      </c>
      <c r="X274" s="60" t="str">
        <f t="shared" si="36"/>
        <v>Denim Baseball</v>
      </c>
      <c r="AC274" s="51">
        <f t="shared" si="37"/>
        <v>3</v>
      </c>
      <c r="AD274" s="44">
        <f t="shared" si="38"/>
        <v>91</v>
      </c>
      <c r="AE274" s="51">
        <f t="shared" si="39"/>
        <v>3091</v>
      </c>
    </row>
    <row r="275" spans="1:31">
      <c r="A275" s="60" t="str">
        <f t="shared" si="33"/>
        <v>0287BCnavy</v>
      </c>
      <c r="B275" s="60" t="str">
        <f t="shared" si="34"/>
        <v>03-056-16</v>
      </c>
      <c r="C275" s="72" t="s">
        <v>1518</v>
      </c>
      <c r="D275" s="72" t="s">
        <v>1519</v>
      </c>
      <c r="E275" s="72" t="s">
        <v>976</v>
      </c>
      <c r="F275" s="73">
        <v>59</v>
      </c>
      <c r="G275" s="73" t="s">
        <v>1027</v>
      </c>
      <c r="H275" s="72" t="s">
        <v>55</v>
      </c>
      <c r="I275" s="72" t="s">
        <v>1010</v>
      </c>
      <c r="J275" s="72" t="s">
        <v>320</v>
      </c>
      <c r="K275" s="72" t="s">
        <v>382</v>
      </c>
      <c r="L275" s="72" t="s">
        <v>1004</v>
      </c>
      <c r="M275" s="72" t="s">
        <v>384</v>
      </c>
      <c r="O275" s="72" t="s">
        <v>539</v>
      </c>
      <c r="P275" s="72" t="s">
        <v>808</v>
      </c>
      <c r="Q275" s="72" t="s">
        <v>1017</v>
      </c>
      <c r="R275" s="72" t="s">
        <v>71</v>
      </c>
      <c r="V275" s="60" t="str">
        <f t="shared" si="35"/>
        <v>0287BCтемно-синий</v>
      </c>
      <c r="W275" s="60" t="str">
        <f t="shared" si="32"/>
        <v>0287BC</v>
      </c>
      <c r="X275" s="60" t="str">
        <f t="shared" si="36"/>
        <v>Tropic 504</v>
      </c>
      <c r="AC275" s="51">
        <f t="shared" si="37"/>
        <v>3</v>
      </c>
      <c r="AD275" s="44">
        <f t="shared" si="38"/>
        <v>56</v>
      </c>
      <c r="AE275" s="51">
        <f t="shared" si="39"/>
        <v>3056</v>
      </c>
    </row>
    <row r="276" spans="1:31">
      <c r="A276" s="60" t="str">
        <f t="shared" si="33"/>
        <v>0287BCnavy</v>
      </c>
      <c r="B276" s="60" t="str">
        <f t="shared" si="34"/>
        <v>03-056-16</v>
      </c>
      <c r="C276" s="72" t="s">
        <v>1520</v>
      </c>
      <c r="D276" s="72" t="s">
        <v>1519</v>
      </c>
      <c r="E276" s="72" t="s">
        <v>969</v>
      </c>
      <c r="F276" s="73">
        <v>57</v>
      </c>
      <c r="G276" s="73" t="s">
        <v>1027</v>
      </c>
      <c r="H276" s="72" t="s">
        <v>55</v>
      </c>
      <c r="I276" s="72" t="s">
        <v>1010</v>
      </c>
      <c r="J276" s="72" t="s">
        <v>320</v>
      </c>
      <c r="K276" s="72" t="s">
        <v>382</v>
      </c>
      <c r="L276" s="72" t="s">
        <v>1004</v>
      </c>
      <c r="M276" s="72" t="s">
        <v>384</v>
      </c>
      <c r="O276" s="72" t="s">
        <v>539</v>
      </c>
      <c r="P276" s="72" t="s">
        <v>808</v>
      </c>
      <c r="Q276" s="72" t="s">
        <v>1017</v>
      </c>
      <c r="R276" s="72" t="s">
        <v>71</v>
      </c>
      <c r="V276" s="60" t="str">
        <f t="shared" si="35"/>
        <v>0287BCтемно-синий</v>
      </c>
      <c r="W276" s="60" t="str">
        <f t="shared" si="32"/>
        <v>0287BC</v>
      </c>
      <c r="X276" s="60" t="str">
        <f t="shared" si="36"/>
        <v>Tropic 504</v>
      </c>
      <c r="AC276" s="51">
        <f t="shared" si="37"/>
        <v>3</v>
      </c>
      <c r="AD276" s="44">
        <f t="shared" si="38"/>
        <v>56</v>
      </c>
      <c r="AE276" s="51">
        <f t="shared" si="39"/>
        <v>3056</v>
      </c>
    </row>
    <row r="277" spans="1:31">
      <c r="A277" s="60" t="str">
        <f t="shared" si="33"/>
        <v>0287BCnavy</v>
      </c>
      <c r="B277" s="60" t="str">
        <f t="shared" si="34"/>
        <v>03-056-16</v>
      </c>
      <c r="C277" s="72" t="s">
        <v>1521</v>
      </c>
      <c r="D277" s="72" t="s">
        <v>1519</v>
      </c>
      <c r="E277" s="72" t="s">
        <v>1030</v>
      </c>
      <c r="F277" s="73">
        <v>61</v>
      </c>
      <c r="G277" s="73" t="s">
        <v>1027</v>
      </c>
      <c r="H277" s="72" t="s">
        <v>55</v>
      </c>
      <c r="I277" s="72" t="s">
        <v>1010</v>
      </c>
      <c r="J277" s="72" t="s">
        <v>320</v>
      </c>
      <c r="K277" s="72" t="s">
        <v>382</v>
      </c>
      <c r="L277" s="72" t="s">
        <v>1004</v>
      </c>
      <c r="M277" s="72" t="s">
        <v>384</v>
      </c>
      <c r="O277" s="72" t="s">
        <v>539</v>
      </c>
      <c r="P277" s="72" t="s">
        <v>808</v>
      </c>
      <c r="Q277" s="72" t="s">
        <v>1017</v>
      </c>
      <c r="R277" s="72" t="s">
        <v>71</v>
      </c>
      <c r="V277" s="60" t="str">
        <f t="shared" si="35"/>
        <v>0287BCтемно-синий</v>
      </c>
      <c r="W277" s="60" t="str">
        <f t="shared" si="32"/>
        <v>0287BC</v>
      </c>
      <c r="X277" s="60" t="str">
        <f t="shared" si="36"/>
        <v>Tropic 504</v>
      </c>
      <c r="AC277" s="51">
        <f t="shared" si="37"/>
        <v>3</v>
      </c>
      <c r="AD277" s="44">
        <f t="shared" si="38"/>
        <v>56</v>
      </c>
      <c r="AE277" s="51">
        <f t="shared" si="39"/>
        <v>3056</v>
      </c>
    </row>
    <row r="278" spans="1:31">
      <c r="A278" s="60" t="str">
        <f t="shared" si="33"/>
        <v>0287BCnavy</v>
      </c>
      <c r="B278" s="60" t="str">
        <f t="shared" si="34"/>
        <v>03-056-16</v>
      </c>
      <c r="C278" s="72" t="s">
        <v>1522</v>
      </c>
      <c r="D278" s="72" t="s">
        <v>1519</v>
      </c>
      <c r="E278" s="72" t="s">
        <v>1032</v>
      </c>
      <c r="F278" s="73">
        <v>55</v>
      </c>
      <c r="G278" s="73" t="s">
        <v>1027</v>
      </c>
      <c r="H278" s="72" t="s">
        <v>55</v>
      </c>
      <c r="I278" s="72" t="s">
        <v>1010</v>
      </c>
      <c r="J278" s="72" t="s">
        <v>320</v>
      </c>
      <c r="K278" s="72" t="s">
        <v>382</v>
      </c>
      <c r="L278" s="72" t="s">
        <v>1004</v>
      </c>
      <c r="M278" s="72" t="s">
        <v>384</v>
      </c>
      <c r="O278" s="72" t="s">
        <v>539</v>
      </c>
      <c r="P278" s="72" t="s">
        <v>808</v>
      </c>
      <c r="Q278" s="72" t="s">
        <v>1017</v>
      </c>
      <c r="R278" s="72" t="s">
        <v>71</v>
      </c>
      <c r="V278" s="60" t="str">
        <f t="shared" si="35"/>
        <v>0287BCтемно-синий</v>
      </c>
      <c r="W278" s="60" t="str">
        <f t="shared" si="32"/>
        <v>0287BC</v>
      </c>
      <c r="X278" s="60" t="str">
        <f t="shared" si="36"/>
        <v>Tropic 504</v>
      </c>
      <c r="AC278" s="51">
        <f t="shared" si="37"/>
        <v>3</v>
      </c>
      <c r="AD278" s="44">
        <f t="shared" si="38"/>
        <v>56</v>
      </c>
      <c r="AE278" s="51">
        <f t="shared" si="39"/>
        <v>3056</v>
      </c>
    </row>
    <row r="279" spans="1:31">
      <c r="A279" s="60" t="str">
        <f t="shared" si="33"/>
        <v>0290BCcharcoal</v>
      </c>
      <c r="B279" s="60" t="str">
        <f t="shared" si="34"/>
        <v>03-023-05</v>
      </c>
      <c r="C279" s="72" t="s">
        <v>1523</v>
      </c>
      <c r="D279" s="72" t="s">
        <v>1524</v>
      </c>
      <c r="E279" s="72" t="s">
        <v>976</v>
      </c>
      <c r="F279" s="73">
        <v>59</v>
      </c>
      <c r="G279" s="73" t="s">
        <v>1009</v>
      </c>
      <c r="H279" s="72" t="s">
        <v>277</v>
      </c>
      <c r="I279" s="72" t="s">
        <v>997</v>
      </c>
      <c r="J279" s="72" t="s">
        <v>320</v>
      </c>
      <c r="K279" s="72" t="s">
        <v>382</v>
      </c>
      <c r="L279" s="72" t="s">
        <v>988</v>
      </c>
      <c r="M279" s="72" t="s">
        <v>384</v>
      </c>
      <c r="O279" s="72" t="s">
        <v>539</v>
      </c>
      <c r="P279" s="72" t="s">
        <v>973</v>
      </c>
      <c r="Q279" s="72" t="s">
        <v>1475</v>
      </c>
      <c r="R279" s="72" t="s">
        <v>83</v>
      </c>
      <c r="V279" s="60" t="str">
        <f t="shared" si="35"/>
        <v>0290BCтемно-серый</v>
      </c>
      <c r="W279" s="60" t="str">
        <f t="shared" si="32"/>
        <v>0290BC</v>
      </c>
      <c r="X279" s="60" t="str">
        <f t="shared" si="36"/>
        <v>Tropic 504 Ventair</v>
      </c>
      <c r="AC279" s="51">
        <f t="shared" si="37"/>
        <v>3</v>
      </c>
      <c r="AD279" s="44">
        <f t="shared" si="38"/>
        <v>23</v>
      </c>
      <c r="AE279" s="51">
        <f t="shared" si="39"/>
        <v>3023</v>
      </c>
    </row>
    <row r="280" spans="1:31">
      <c r="A280" s="60" t="str">
        <f t="shared" si="33"/>
        <v>0290BCcharcoal</v>
      </c>
      <c r="B280" s="60" t="str">
        <f t="shared" si="34"/>
        <v>03-023-05</v>
      </c>
      <c r="C280" s="72" t="s">
        <v>1525</v>
      </c>
      <c r="D280" s="72" t="s">
        <v>1524</v>
      </c>
      <c r="E280" s="72" t="s">
        <v>969</v>
      </c>
      <c r="F280" s="73">
        <v>57</v>
      </c>
      <c r="G280" s="73" t="s">
        <v>1009</v>
      </c>
      <c r="H280" s="72" t="s">
        <v>277</v>
      </c>
      <c r="I280" s="72" t="s">
        <v>997</v>
      </c>
      <c r="J280" s="72" t="s">
        <v>320</v>
      </c>
      <c r="K280" s="72" t="s">
        <v>382</v>
      </c>
      <c r="L280" s="72" t="s">
        <v>988</v>
      </c>
      <c r="M280" s="72" t="s">
        <v>384</v>
      </c>
      <c r="O280" s="72" t="s">
        <v>539</v>
      </c>
      <c r="P280" s="72" t="s">
        <v>973</v>
      </c>
      <c r="Q280" s="72" t="s">
        <v>1475</v>
      </c>
      <c r="R280" s="72" t="s">
        <v>83</v>
      </c>
      <c r="V280" s="60" t="str">
        <f t="shared" si="35"/>
        <v>0290BCтемно-серый</v>
      </c>
      <c r="W280" s="60" t="str">
        <f t="shared" si="32"/>
        <v>0290BC</v>
      </c>
      <c r="X280" s="60" t="str">
        <f t="shared" si="36"/>
        <v>Tropic 504 Ventair</v>
      </c>
      <c r="AC280" s="51">
        <f t="shared" si="37"/>
        <v>3</v>
      </c>
      <c r="AD280" s="44">
        <f t="shared" si="38"/>
        <v>23</v>
      </c>
      <c r="AE280" s="51">
        <f t="shared" si="39"/>
        <v>3023</v>
      </c>
    </row>
    <row r="281" spans="1:31">
      <c r="A281" s="60" t="str">
        <f t="shared" si="33"/>
        <v>0290BCcharcoal</v>
      </c>
      <c r="B281" s="60" t="str">
        <f t="shared" si="34"/>
        <v>03-023-05</v>
      </c>
      <c r="C281" s="72" t="s">
        <v>1526</v>
      </c>
      <c r="D281" s="72" t="s">
        <v>1524</v>
      </c>
      <c r="E281" s="72" t="s">
        <v>1030</v>
      </c>
      <c r="F281" s="73">
        <v>61</v>
      </c>
      <c r="G281" s="73" t="s">
        <v>1009</v>
      </c>
      <c r="H281" s="72" t="s">
        <v>277</v>
      </c>
      <c r="I281" s="72" t="s">
        <v>997</v>
      </c>
      <c r="J281" s="72" t="s">
        <v>320</v>
      </c>
      <c r="K281" s="72" t="s">
        <v>382</v>
      </c>
      <c r="L281" s="72" t="s">
        <v>988</v>
      </c>
      <c r="M281" s="72" t="s">
        <v>384</v>
      </c>
      <c r="O281" s="72" t="s">
        <v>539</v>
      </c>
      <c r="P281" s="72" t="s">
        <v>973</v>
      </c>
      <c r="Q281" s="72" t="s">
        <v>1475</v>
      </c>
      <c r="R281" s="72" t="s">
        <v>83</v>
      </c>
      <c r="V281" s="60" t="str">
        <f t="shared" si="35"/>
        <v>0290BCтемно-серый</v>
      </c>
      <c r="W281" s="60" t="str">
        <f t="shared" si="32"/>
        <v>0290BC</v>
      </c>
      <c r="X281" s="60" t="str">
        <f t="shared" si="36"/>
        <v>Tropic 504 Ventair</v>
      </c>
      <c r="AC281" s="51">
        <f t="shared" si="37"/>
        <v>3</v>
      </c>
      <c r="AD281" s="44">
        <f t="shared" si="38"/>
        <v>23</v>
      </c>
      <c r="AE281" s="51">
        <f t="shared" si="39"/>
        <v>3023</v>
      </c>
    </row>
    <row r="282" spans="1:31">
      <c r="A282" s="60" t="str">
        <f t="shared" si="33"/>
        <v>K2036COgrey</v>
      </c>
      <c r="B282" s="60" t="str">
        <f t="shared" si="34"/>
        <v>03-059-08</v>
      </c>
      <c r="C282" s="72" t="s">
        <v>1527</v>
      </c>
      <c r="D282" s="72" t="s">
        <v>1528</v>
      </c>
      <c r="E282" s="72" t="s">
        <v>909</v>
      </c>
      <c r="F282" s="73">
        <v>0</v>
      </c>
      <c r="G282" s="73" t="s">
        <v>1046</v>
      </c>
      <c r="H282" s="72" t="s">
        <v>83</v>
      </c>
      <c r="I282" s="72" t="s">
        <v>910</v>
      </c>
      <c r="J282" s="72" t="s">
        <v>327</v>
      </c>
      <c r="K282" s="72" t="s">
        <v>382</v>
      </c>
      <c r="L282" s="72" t="s">
        <v>988</v>
      </c>
      <c r="M282" s="72" t="s">
        <v>384</v>
      </c>
      <c r="N282" s="72" t="s">
        <v>43</v>
      </c>
      <c r="O282" s="72" t="s">
        <v>386</v>
      </c>
      <c r="P282" s="72" t="s">
        <v>973</v>
      </c>
      <c r="Q282" s="72" t="s">
        <v>1481</v>
      </c>
      <c r="R282" s="72" t="s">
        <v>83</v>
      </c>
      <c r="V282" s="60" t="str">
        <f t="shared" si="35"/>
        <v>K2036COсерый</v>
      </c>
      <c r="W282" s="60" t="str">
        <f t="shared" si="32"/>
        <v>K2036CO</v>
      </c>
      <c r="X282" s="60" t="str">
        <f t="shared" si="36"/>
        <v>Adjustable Baseball</v>
      </c>
      <c r="AC282" s="51">
        <f t="shared" si="37"/>
        <v>3</v>
      </c>
      <c r="AD282" s="44">
        <f t="shared" si="38"/>
        <v>59</v>
      </c>
      <c r="AE282" s="51">
        <f t="shared" si="39"/>
        <v>3059</v>
      </c>
    </row>
    <row r="283" spans="1:31">
      <c r="A283" s="60" t="str">
        <f t="shared" si="33"/>
        <v>0258BCblue tint</v>
      </c>
      <c r="B283" s="60" t="str">
        <f t="shared" si="34"/>
        <v>03-002-22</v>
      </c>
      <c r="C283" s="72" t="s">
        <v>1529</v>
      </c>
      <c r="D283" s="72" t="s">
        <v>1530</v>
      </c>
      <c r="E283" s="72" t="s">
        <v>969</v>
      </c>
      <c r="F283" s="73">
        <v>57</v>
      </c>
      <c r="G283" s="73" t="s">
        <v>1118</v>
      </c>
      <c r="H283" s="72" t="s">
        <v>233</v>
      </c>
      <c r="I283" s="72" t="s">
        <v>1105</v>
      </c>
      <c r="J283" s="72" t="s">
        <v>320</v>
      </c>
      <c r="K283" s="72" t="s">
        <v>382</v>
      </c>
      <c r="L283" s="72" t="s">
        <v>988</v>
      </c>
      <c r="M283" s="72" t="s">
        <v>388</v>
      </c>
      <c r="N283" s="72" t="s">
        <v>44</v>
      </c>
      <c r="O283" s="72" t="s">
        <v>539</v>
      </c>
      <c r="P283" s="72" t="s">
        <v>808</v>
      </c>
      <c r="Q283" s="72" t="s">
        <v>1498</v>
      </c>
      <c r="R283" s="72" t="s">
        <v>71</v>
      </c>
      <c r="V283" s="60" t="str">
        <f t="shared" si="35"/>
        <v>0258BCсветло-синий</v>
      </c>
      <c r="W283" s="60" t="str">
        <f t="shared" si="32"/>
        <v>0258BC</v>
      </c>
      <c r="X283" s="60" t="str">
        <f t="shared" si="36"/>
        <v>Wool 504</v>
      </c>
      <c r="AC283" s="51">
        <f t="shared" si="37"/>
        <v>3</v>
      </c>
      <c r="AD283" s="44">
        <f t="shared" si="38"/>
        <v>2</v>
      </c>
      <c r="AE283" s="51">
        <f t="shared" si="39"/>
        <v>3002</v>
      </c>
    </row>
    <row r="284" spans="1:31">
      <c r="A284" s="60" t="str">
        <f t="shared" si="33"/>
        <v>0258BCblue tint</v>
      </c>
      <c r="B284" s="60" t="str">
        <f t="shared" si="34"/>
        <v>03-002-22</v>
      </c>
      <c r="C284" s="72" t="s">
        <v>1531</v>
      </c>
      <c r="D284" s="72" t="s">
        <v>1530</v>
      </c>
      <c r="E284" s="72" t="s">
        <v>976</v>
      </c>
      <c r="F284" s="73">
        <v>59</v>
      </c>
      <c r="G284" s="73" t="s">
        <v>1118</v>
      </c>
      <c r="H284" s="72" t="s">
        <v>233</v>
      </c>
      <c r="I284" s="72" t="s">
        <v>1105</v>
      </c>
      <c r="J284" s="72" t="s">
        <v>320</v>
      </c>
      <c r="K284" s="72" t="s">
        <v>382</v>
      </c>
      <c r="L284" s="72" t="s">
        <v>988</v>
      </c>
      <c r="M284" s="72" t="s">
        <v>388</v>
      </c>
      <c r="N284" s="72" t="s">
        <v>44</v>
      </c>
      <c r="O284" s="72" t="s">
        <v>539</v>
      </c>
      <c r="P284" s="72" t="s">
        <v>808</v>
      </c>
      <c r="Q284" s="72" t="s">
        <v>1498</v>
      </c>
      <c r="R284" s="72" t="s">
        <v>71</v>
      </c>
      <c r="V284" s="60" t="str">
        <f t="shared" si="35"/>
        <v>0258BCсветло-синий</v>
      </c>
      <c r="W284" s="60" t="str">
        <f t="shared" si="32"/>
        <v>0258BC</v>
      </c>
      <c r="X284" s="60" t="str">
        <f t="shared" si="36"/>
        <v>Wool 504</v>
      </c>
      <c r="AC284" s="51">
        <f t="shared" si="37"/>
        <v>3</v>
      </c>
      <c r="AD284" s="44">
        <f t="shared" si="38"/>
        <v>2</v>
      </c>
      <c r="AE284" s="51">
        <f t="shared" si="39"/>
        <v>3002</v>
      </c>
    </row>
    <row r="285" spans="1:31">
      <c r="A285" s="60" t="str">
        <f t="shared" si="33"/>
        <v>0258BCfanfare</v>
      </c>
      <c r="B285" s="60" t="str">
        <f t="shared" si="34"/>
        <v>03-002-23</v>
      </c>
      <c r="C285" s="72" t="s">
        <v>1532</v>
      </c>
      <c r="D285" s="72" t="s">
        <v>1533</v>
      </c>
      <c r="E285" s="72" t="s">
        <v>976</v>
      </c>
      <c r="F285" s="73">
        <v>59</v>
      </c>
      <c r="G285" s="73" t="s">
        <v>1118</v>
      </c>
      <c r="H285" s="72" t="s">
        <v>120</v>
      </c>
      <c r="I285" s="72" t="s">
        <v>1105</v>
      </c>
      <c r="J285" s="72" t="s">
        <v>320</v>
      </c>
      <c r="K285" s="72" t="s">
        <v>382</v>
      </c>
      <c r="L285" s="72" t="s">
        <v>988</v>
      </c>
      <c r="M285" s="72" t="s">
        <v>388</v>
      </c>
      <c r="N285" s="72" t="s">
        <v>44</v>
      </c>
      <c r="O285" s="72" t="s">
        <v>539</v>
      </c>
      <c r="P285" s="72" t="s">
        <v>808</v>
      </c>
      <c r="Q285" s="72" t="s">
        <v>1534</v>
      </c>
      <c r="R285" s="72" t="s">
        <v>91</v>
      </c>
      <c r="V285" s="60" t="str">
        <f t="shared" si="35"/>
        <v>0258BCбирюзовый</v>
      </c>
      <c r="W285" s="60" t="str">
        <f t="shared" si="32"/>
        <v>0258BC</v>
      </c>
      <c r="X285" s="60" t="str">
        <f t="shared" si="36"/>
        <v>Wool 504</v>
      </c>
      <c r="AC285" s="51">
        <f t="shared" si="37"/>
        <v>3</v>
      </c>
      <c r="AD285" s="44">
        <f t="shared" si="38"/>
        <v>2</v>
      </c>
      <c r="AE285" s="51">
        <f t="shared" si="39"/>
        <v>3002</v>
      </c>
    </row>
    <row r="286" spans="1:31">
      <c r="A286" s="60" t="str">
        <f t="shared" si="33"/>
        <v>K3520cream/black</v>
      </c>
      <c r="B286" s="60" t="str">
        <f t="shared" si="34"/>
        <v>03-092-00</v>
      </c>
      <c r="C286" s="72" t="s">
        <v>1535</v>
      </c>
      <c r="D286" s="72" t="s">
        <v>1536</v>
      </c>
      <c r="E286" s="72" t="s">
        <v>969</v>
      </c>
      <c r="F286" s="73">
        <v>57</v>
      </c>
      <c r="G286" s="73" t="s">
        <v>1537</v>
      </c>
      <c r="H286" s="72" t="s">
        <v>51</v>
      </c>
      <c r="I286" s="72" t="s">
        <v>1538</v>
      </c>
      <c r="J286" s="72" t="s">
        <v>320</v>
      </c>
      <c r="K286" s="72" t="s">
        <v>382</v>
      </c>
      <c r="L286" s="72" t="s">
        <v>1539</v>
      </c>
      <c r="M286" s="72" t="s">
        <v>388</v>
      </c>
      <c r="N286" s="72" t="s">
        <v>46</v>
      </c>
      <c r="O286" s="72" t="s">
        <v>539</v>
      </c>
      <c r="P286" s="72" t="s">
        <v>808</v>
      </c>
      <c r="Q286" s="72" t="s">
        <v>1540</v>
      </c>
      <c r="R286" s="72" t="s">
        <v>63</v>
      </c>
      <c r="V286" s="60" t="str">
        <f t="shared" si="35"/>
        <v>K3520кремовый / черный</v>
      </c>
      <c r="W286" s="60" t="str">
        <f t="shared" si="32"/>
        <v>K3520</v>
      </c>
      <c r="X286" s="60" t="str">
        <f t="shared" si="36"/>
        <v>Abstract houndstooth 504</v>
      </c>
      <c r="AC286" s="51">
        <f t="shared" si="37"/>
        <v>3</v>
      </c>
      <c r="AD286" s="44">
        <f t="shared" si="38"/>
        <v>92</v>
      </c>
      <c r="AE286" s="51">
        <f t="shared" si="39"/>
        <v>3092</v>
      </c>
    </row>
    <row r="287" spans="1:31">
      <c r="A287" s="60" t="str">
        <f t="shared" si="33"/>
        <v>K3520cream/black</v>
      </c>
      <c r="B287" s="60" t="str">
        <f t="shared" si="34"/>
        <v>03-092-00</v>
      </c>
      <c r="C287" s="72" t="s">
        <v>1541</v>
      </c>
      <c r="D287" s="72" t="s">
        <v>1536</v>
      </c>
      <c r="E287" s="72" t="s">
        <v>976</v>
      </c>
      <c r="F287" s="73">
        <v>59</v>
      </c>
      <c r="G287" s="73" t="s">
        <v>1537</v>
      </c>
      <c r="H287" s="72" t="s">
        <v>51</v>
      </c>
      <c r="I287" s="72" t="s">
        <v>1538</v>
      </c>
      <c r="J287" s="72" t="s">
        <v>320</v>
      </c>
      <c r="K287" s="72" t="s">
        <v>382</v>
      </c>
      <c r="L287" s="72" t="s">
        <v>1539</v>
      </c>
      <c r="M287" s="72" t="s">
        <v>388</v>
      </c>
      <c r="N287" s="72" t="s">
        <v>46</v>
      </c>
      <c r="O287" s="72" t="s">
        <v>539</v>
      </c>
      <c r="P287" s="72" t="s">
        <v>808</v>
      </c>
      <c r="Q287" s="72" t="s">
        <v>1540</v>
      </c>
      <c r="R287" s="72" t="s">
        <v>63</v>
      </c>
      <c r="V287" s="60" t="str">
        <f t="shared" si="35"/>
        <v>K3520кремовый / черный</v>
      </c>
      <c r="W287" s="60" t="str">
        <f t="shared" si="32"/>
        <v>K3520</v>
      </c>
      <c r="X287" s="60" t="str">
        <f t="shared" si="36"/>
        <v>Abstract houndstooth 504</v>
      </c>
      <c r="AC287" s="51">
        <f t="shared" si="37"/>
        <v>3</v>
      </c>
      <c r="AD287" s="44">
        <f t="shared" si="38"/>
        <v>92</v>
      </c>
      <c r="AE287" s="51">
        <f t="shared" si="39"/>
        <v>3092</v>
      </c>
    </row>
    <row r="288" spans="1:31">
      <c r="A288" s="60" t="str">
        <f t="shared" si="33"/>
        <v>K3518navy</v>
      </c>
      <c r="B288" s="60" t="str">
        <f t="shared" si="34"/>
        <v>03-093-06</v>
      </c>
      <c r="C288" s="72" t="s">
        <v>1542</v>
      </c>
      <c r="D288" s="72" t="s">
        <v>1543</v>
      </c>
      <c r="E288" s="72" t="s">
        <v>976</v>
      </c>
      <c r="F288" s="73">
        <v>59</v>
      </c>
      <c r="G288" s="73" t="s">
        <v>1544</v>
      </c>
      <c r="H288" s="72" t="s">
        <v>71</v>
      </c>
      <c r="I288" s="72" t="s">
        <v>1545</v>
      </c>
      <c r="J288" s="72" t="s">
        <v>320</v>
      </c>
      <c r="K288" s="72" t="s">
        <v>382</v>
      </c>
      <c r="L288" s="72" t="s">
        <v>1539</v>
      </c>
      <c r="M288" s="72" t="s">
        <v>388</v>
      </c>
      <c r="N288" s="72" t="s">
        <v>46</v>
      </c>
      <c r="O288" s="72" t="s">
        <v>539</v>
      </c>
      <c r="P288" s="72" t="s">
        <v>808</v>
      </c>
      <c r="Q288" s="72" t="s">
        <v>1017</v>
      </c>
      <c r="R288" s="72" t="s">
        <v>71</v>
      </c>
      <c r="V288" s="60" t="str">
        <f t="shared" si="35"/>
        <v>K3518синий</v>
      </c>
      <c r="W288" s="60" t="str">
        <f t="shared" si="32"/>
        <v>K3518</v>
      </c>
      <c r="X288" s="60" t="str">
        <f t="shared" si="36"/>
        <v>Vortex 504</v>
      </c>
      <c r="AC288" s="51">
        <f t="shared" si="37"/>
        <v>3</v>
      </c>
      <c r="AD288" s="44">
        <f t="shared" si="38"/>
        <v>93</v>
      </c>
      <c r="AE288" s="51">
        <f t="shared" si="39"/>
        <v>3093</v>
      </c>
    </row>
    <row r="289" spans="1:31">
      <c r="A289" s="60" t="str">
        <f t="shared" si="33"/>
        <v>K3521cream</v>
      </c>
      <c r="B289" s="60" t="str">
        <f t="shared" si="34"/>
        <v>03-094-36</v>
      </c>
      <c r="C289" s="72" t="s">
        <v>1546</v>
      </c>
      <c r="D289" s="72" t="s">
        <v>1547</v>
      </c>
      <c r="E289" s="72" t="s">
        <v>969</v>
      </c>
      <c r="F289" s="73">
        <v>57</v>
      </c>
      <c r="G289" s="73" t="s">
        <v>1548</v>
      </c>
      <c r="H289" s="72" t="s">
        <v>187</v>
      </c>
      <c r="I289" s="72" t="s">
        <v>1549</v>
      </c>
      <c r="J289" s="72" t="s">
        <v>320</v>
      </c>
      <c r="K289" s="72" t="s">
        <v>387</v>
      </c>
      <c r="L289" s="72" t="s">
        <v>1539</v>
      </c>
      <c r="M289" s="72" t="s">
        <v>388</v>
      </c>
      <c r="N289" s="72" t="s">
        <v>46</v>
      </c>
      <c r="O289" s="72" t="s">
        <v>539</v>
      </c>
      <c r="P289" s="72" t="s">
        <v>808</v>
      </c>
      <c r="Q289" s="72" t="s">
        <v>1550</v>
      </c>
      <c r="R289" s="72" t="s">
        <v>63</v>
      </c>
      <c r="V289" s="60" t="str">
        <f t="shared" si="35"/>
        <v>K3521кремовый</v>
      </c>
      <c r="W289" s="60" t="str">
        <f t="shared" si="32"/>
        <v>K3521</v>
      </c>
      <c r="X289" s="60" t="str">
        <f t="shared" si="36"/>
        <v>Birds eye stripe 507</v>
      </c>
      <c r="AC289" s="51">
        <f t="shared" si="37"/>
        <v>3</v>
      </c>
      <c r="AD289" s="44">
        <f t="shared" si="38"/>
        <v>94</v>
      </c>
      <c r="AE289" s="51">
        <f t="shared" si="39"/>
        <v>3094</v>
      </c>
    </row>
    <row r="290" spans="1:31">
      <c r="A290" s="60" t="str">
        <f t="shared" si="33"/>
        <v>K3521cream</v>
      </c>
      <c r="B290" s="60" t="str">
        <f t="shared" si="34"/>
        <v>03-094-36</v>
      </c>
      <c r="C290" s="72" t="s">
        <v>1551</v>
      </c>
      <c r="D290" s="72" t="s">
        <v>1547</v>
      </c>
      <c r="E290" s="72" t="s">
        <v>976</v>
      </c>
      <c r="F290" s="73">
        <v>59</v>
      </c>
      <c r="G290" s="73" t="s">
        <v>1548</v>
      </c>
      <c r="H290" s="72" t="s">
        <v>187</v>
      </c>
      <c r="I290" s="72" t="s">
        <v>1549</v>
      </c>
      <c r="J290" s="72" t="s">
        <v>320</v>
      </c>
      <c r="K290" s="72" t="s">
        <v>387</v>
      </c>
      <c r="L290" s="72" t="s">
        <v>1539</v>
      </c>
      <c r="M290" s="72" t="s">
        <v>388</v>
      </c>
      <c r="N290" s="72" t="s">
        <v>46</v>
      </c>
      <c r="O290" s="72" t="s">
        <v>539</v>
      </c>
      <c r="P290" s="72" t="s">
        <v>808</v>
      </c>
      <c r="Q290" s="72" t="s">
        <v>1550</v>
      </c>
      <c r="R290" s="72" t="s">
        <v>63</v>
      </c>
      <c r="V290" s="60" t="str">
        <f t="shared" si="35"/>
        <v>K3521кремовый</v>
      </c>
      <c r="W290" s="60" t="str">
        <f t="shared" si="32"/>
        <v>K3521</v>
      </c>
      <c r="X290" s="60" t="str">
        <f t="shared" si="36"/>
        <v>Birds eye stripe 507</v>
      </c>
      <c r="AC290" s="51">
        <f t="shared" si="37"/>
        <v>3</v>
      </c>
      <c r="AD290" s="44">
        <f t="shared" si="38"/>
        <v>94</v>
      </c>
      <c r="AE290" s="51">
        <f t="shared" si="39"/>
        <v>3094</v>
      </c>
    </row>
    <row r="291" spans="1:31">
      <c r="A291" s="60" t="str">
        <f t="shared" si="33"/>
        <v>K3522navy</v>
      </c>
      <c r="B291" s="60" t="str">
        <f t="shared" si="34"/>
        <v>03-095-06</v>
      </c>
      <c r="C291" s="72" t="s">
        <v>1552</v>
      </c>
      <c r="D291" s="72" t="s">
        <v>1553</v>
      </c>
      <c r="E291" s="72" t="s">
        <v>969</v>
      </c>
      <c r="F291" s="73">
        <v>57</v>
      </c>
      <c r="G291" s="73" t="s">
        <v>1554</v>
      </c>
      <c r="H291" s="72" t="s">
        <v>71</v>
      </c>
      <c r="I291" s="72" t="s">
        <v>1555</v>
      </c>
      <c r="J291" s="72" t="s">
        <v>320</v>
      </c>
      <c r="K291" s="72" t="s">
        <v>382</v>
      </c>
      <c r="L291" s="72" t="s">
        <v>1539</v>
      </c>
      <c r="M291" s="72" t="s">
        <v>388</v>
      </c>
      <c r="N291" s="72" t="s">
        <v>46</v>
      </c>
      <c r="O291" s="72" t="s">
        <v>539</v>
      </c>
      <c r="P291" s="72" t="s">
        <v>808</v>
      </c>
      <c r="Q291" s="72" t="s">
        <v>1017</v>
      </c>
      <c r="R291" s="72" t="s">
        <v>71</v>
      </c>
      <c r="V291" s="60" t="str">
        <f t="shared" si="35"/>
        <v>K3522синий</v>
      </c>
      <c r="W291" s="60" t="str">
        <f t="shared" si="32"/>
        <v>K3522</v>
      </c>
      <c r="X291" s="60" t="str">
        <f t="shared" si="36"/>
        <v>Tiled 507</v>
      </c>
      <c r="AC291" s="51">
        <f t="shared" si="37"/>
        <v>3</v>
      </c>
      <c r="AD291" s="44">
        <f t="shared" si="38"/>
        <v>95</v>
      </c>
      <c r="AE291" s="51">
        <f t="shared" si="39"/>
        <v>3095</v>
      </c>
    </row>
    <row r="292" spans="1:31">
      <c r="A292" s="60" t="str">
        <f t="shared" si="33"/>
        <v>K3522navy</v>
      </c>
      <c r="B292" s="60" t="str">
        <f t="shared" si="34"/>
        <v>03-095-06</v>
      </c>
      <c r="C292" s="72" t="s">
        <v>1556</v>
      </c>
      <c r="D292" s="72" t="s">
        <v>1553</v>
      </c>
      <c r="E292" s="72" t="s">
        <v>976</v>
      </c>
      <c r="F292" s="73">
        <v>59</v>
      </c>
      <c r="G292" s="73" t="s">
        <v>1554</v>
      </c>
      <c r="H292" s="72" t="s">
        <v>71</v>
      </c>
      <c r="I292" s="72" t="s">
        <v>1555</v>
      </c>
      <c r="J292" s="72" t="s">
        <v>320</v>
      </c>
      <c r="K292" s="72" t="s">
        <v>382</v>
      </c>
      <c r="L292" s="72" t="s">
        <v>1539</v>
      </c>
      <c r="M292" s="72" t="s">
        <v>388</v>
      </c>
      <c r="N292" s="72" t="s">
        <v>46</v>
      </c>
      <c r="O292" s="72" t="s">
        <v>539</v>
      </c>
      <c r="P292" s="72" t="s">
        <v>808</v>
      </c>
      <c r="Q292" s="72" t="s">
        <v>1017</v>
      </c>
      <c r="R292" s="72" t="s">
        <v>71</v>
      </c>
      <c r="V292" s="60" t="str">
        <f t="shared" si="35"/>
        <v>K3522синий</v>
      </c>
      <c r="W292" s="60" t="str">
        <f t="shared" si="32"/>
        <v>K3522</v>
      </c>
      <c r="X292" s="60" t="str">
        <f t="shared" si="36"/>
        <v>Tiled 507</v>
      </c>
      <c r="AC292" s="51">
        <f t="shared" si="37"/>
        <v>3</v>
      </c>
      <c r="AD292" s="44">
        <f t="shared" si="38"/>
        <v>95</v>
      </c>
      <c r="AE292" s="51">
        <f t="shared" si="39"/>
        <v>3095</v>
      </c>
    </row>
    <row r="293" spans="1:31">
      <c r="A293" s="60" t="str">
        <f t="shared" si="33"/>
        <v>K3107STblack</v>
      </c>
      <c r="B293" s="60" t="str">
        <f t="shared" si="34"/>
        <v>03-096-09</v>
      </c>
      <c r="C293" s="72" t="s">
        <v>1557</v>
      </c>
      <c r="D293" s="72" t="s">
        <v>1558</v>
      </c>
      <c r="E293" s="72" t="s">
        <v>1032</v>
      </c>
      <c r="F293" s="73">
        <v>55</v>
      </c>
      <c r="G293" s="73" t="s">
        <v>1559</v>
      </c>
      <c r="H293" s="72" t="s">
        <v>53</v>
      </c>
      <c r="I293" s="72" t="s">
        <v>1132</v>
      </c>
      <c r="J293" s="72" t="s">
        <v>334</v>
      </c>
      <c r="K293" s="72" t="s">
        <v>382</v>
      </c>
      <c r="L293" s="72" t="s">
        <v>988</v>
      </c>
      <c r="M293" s="72" t="s">
        <v>388</v>
      </c>
      <c r="N293" s="72" t="s">
        <v>44</v>
      </c>
      <c r="O293" s="72" t="s">
        <v>539</v>
      </c>
      <c r="P293" s="72" t="s">
        <v>808</v>
      </c>
      <c r="Q293" s="72" t="s">
        <v>1005</v>
      </c>
      <c r="R293" s="72" t="s">
        <v>53</v>
      </c>
      <c r="V293" s="60" t="str">
        <f t="shared" si="35"/>
        <v>K3107STчерный</v>
      </c>
      <c r="W293" s="60" t="str">
        <f t="shared" si="32"/>
        <v>K3107ST</v>
      </c>
      <c r="X293" s="60" t="str">
        <f t="shared" si="36"/>
        <v>Wool jax beret</v>
      </c>
      <c r="AC293" s="51">
        <f t="shared" si="37"/>
        <v>3</v>
      </c>
      <c r="AD293" s="44">
        <f t="shared" si="38"/>
        <v>96</v>
      </c>
      <c r="AE293" s="51">
        <f t="shared" si="39"/>
        <v>3096</v>
      </c>
    </row>
    <row r="294" spans="1:31">
      <c r="A294" s="60" t="str">
        <f t="shared" si="33"/>
        <v>K3107STblack</v>
      </c>
      <c r="B294" s="60" t="str">
        <f t="shared" si="34"/>
        <v>03-096-09</v>
      </c>
      <c r="C294" s="72" t="s">
        <v>1560</v>
      </c>
      <c r="D294" s="72" t="s">
        <v>1558</v>
      </c>
      <c r="E294" s="72" t="s">
        <v>969</v>
      </c>
      <c r="F294" s="73">
        <v>57</v>
      </c>
      <c r="G294" s="73" t="s">
        <v>1559</v>
      </c>
      <c r="H294" s="72" t="s">
        <v>53</v>
      </c>
      <c r="I294" s="72" t="s">
        <v>1132</v>
      </c>
      <c r="J294" s="72" t="s">
        <v>334</v>
      </c>
      <c r="K294" s="72" t="s">
        <v>382</v>
      </c>
      <c r="L294" s="72" t="s">
        <v>988</v>
      </c>
      <c r="M294" s="72" t="s">
        <v>388</v>
      </c>
      <c r="N294" s="72" t="s">
        <v>44</v>
      </c>
      <c r="O294" s="72" t="s">
        <v>539</v>
      </c>
      <c r="P294" s="72" t="s">
        <v>808</v>
      </c>
      <c r="Q294" s="72" t="s">
        <v>1005</v>
      </c>
      <c r="R294" s="72" t="s">
        <v>53</v>
      </c>
      <c r="V294" s="60" t="str">
        <f t="shared" si="35"/>
        <v>K3107STчерный</v>
      </c>
      <c r="W294" s="60" t="str">
        <f t="shared" si="32"/>
        <v>K3107ST</v>
      </c>
      <c r="X294" s="60" t="str">
        <f t="shared" si="36"/>
        <v>Wool jax beret</v>
      </c>
      <c r="AC294" s="51">
        <f t="shared" si="37"/>
        <v>3</v>
      </c>
      <c r="AD294" s="44">
        <f t="shared" si="38"/>
        <v>96</v>
      </c>
      <c r="AE294" s="51">
        <f t="shared" si="39"/>
        <v>3096</v>
      </c>
    </row>
    <row r="295" spans="1:31">
      <c r="A295" s="60" t="str">
        <f t="shared" si="33"/>
        <v>K3107STblack</v>
      </c>
      <c r="B295" s="60" t="str">
        <f t="shared" si="34"/>
        <v>03-096-09</v>
      </c>
      <c r="C295" s="72" t="s">
        <v>1561</v>
      </c>
      <c r="D295" s="72" t="s">
        <v>1558</v>
      </c>
      <c r="E295" s="72" t="s">
        <v>976</v>
      </c>
      <c r="F295" s="73">
        <v>59</v>
      </c>
      <c r="G295" s="73" t="s">
        <v>1559</v>
      </c>
      <c r="H295" s="72" t="s">
        <v>53</v>
      </c>
      <c r="I295" s="72" t="s">
        <v>1132</v>
      </c>
      <c r="J295" s="72" t="s">
        <v>334</v>
      </c>
      <c r="K295" s="72" t="s">
        <v>382</v>
      </c>
      <c r="L295" s="72" t="s">
        <v>988</v>
      </c>
      <c r="M295" s="72" t="s">
        <v>388</v>
      </c>
      <c r="N295" s="72" t="s">
        <v>44</v>
      </c>
      <c r="O295" s="72" t="s">
        <v>539</v>
      </c>
      <c r="P295" s="72" t="s">
        <v>808</v>
      </c>
      <c r="Q295" s="72" t="s">
        <v>1005</v>
      </c>
      <c r="R295" s="72" t="s">
        <v>53</v>
      </c>
      <c r="V295" s="60" t="str">
        <f t="shared" si="35"/>
        <v>K3107STчерный</v>
      </c>
      <c r="W295" s="60" t="str">
        <f t="shared" si="32"/>
        <v>K3107ST</v>
      </c>
      <c r="X295" s="60" t="str">
        <f t="shared" si="36"/>
        <v>Wool jax beret</v>
      </c>
      <c r="AC295" s="51">
        <f t="shared" si="37"/>
        <v>3</v>
      </c>
      <c r="AD295" s="44">
        <f t="shared" si="38"/>
        <v>96</v>
      </c>
      <c r="AE295" s="51">
        <f t="shared" si="39"/>
        <v>3096</v>
      </c>
    </row>
    <row r="296" spans="1:31">
      <c r="A296" s="60" t="str">
        <f t="shared" si="33"/>
        <v>K3107STblack</v>
      </c>
      <c r="B296" s="60" t="str">
        <f t="shared" si="34"/>
        <v>03-096-09</v>
      </c>
      <c r="C296" s="72" t="s">
        <v>1562</v>
      </c>
      <c r="D296" s="72" t="s">
        <v>1558</v>
      </c>
      <c r="E296" s="72" t="s">
        <v>1030</v>
      </c>
      <c r="F296" s="73">
        <v>61</v>
      </c>
      <c r="G296" s="73" t="s">
        <v>1559</v>
      </c>
      <c r="H296" s="72" t="s">
        <v>53</v>
      </c>
      <c r="I296" s="72" t="s">
        <v>1132</v>
      </c>
      <c r="J296" s="72" t="s">
        <v>334</v>
      </c>
      <c r="K296" s="72" t="s">
        <v>382</v>
      </c>
      <c r="L296" s="72" t="s">
        <v>988</v>
      </c>
      <c r="M296" s="72" t="s">
        <v>388</v>
      </c>
      <c r="N296" s="72" t="s">
        <v>44</v>
      </c>
      <c r="O296" s="72" t="s">
        <v>539</v>
      </c>
      <c r="P296" s="72" t="s">
        <v>808</v>
      </c>
      <c r="Q296" s="72" t="s">
        <v>1005</v>
      </c>
      <c r="R296" s="72" t="s">
        <v>53</v>
      </c>
      <c r="V296" s="60" t="str">
        <f t="shared" si="35"/>
        <v>K3107STчерный</v>
      </c>
      <c r="W296" s="60" t="str">
        <f t="shared" si="32"/>
        <v>K3107ST</v>
      </c>
      <c r="X296" s="60" t="str">
        <f t="shared" si="36"/>
        <v>Wool jax beret</v>
      </c>
      <c r="AC296" s="51">
        <f t="shared" si="37"/>
        <v>3</v>
      </c>
      <c r="AD296" s="44">
        <f t="shared" si="38"/>
        <v>96</v>
      </c>
      <c r="AE296" s="51">
        <f t="shared" si="39"/>
        <v>3096</v>
      </c>
    </row>
    <row r="297" spans="1:31">
      <c r="A297" s="60" t="str">
        <f t="shared" si="33"/>
        <v>K3526oil green</v>
      </c>
      <c r="B297" s="60" t="str">
        <f t="shared" si="34"/>
        <v>03-097-03</v>
      </c>
      <c r="C297" s="72" t="s">
        <v>1563</v>
      </c>
      <c r="D297" s="72" t="s">
        <v>1564</v>
      </c>
      <c r="E297" s="72" t="s">
        <v>909</v>
      </c>
      <c r="F297" s="73">
        <v>0</v>
      </c>
      <c r="G297" s="73" t="s">
        <v>1565</v>
      </c>
      <c r="H297" s="72" t="s">
        <v>195</v>
      </c>
      <c r="I297" s="72" t="s">
        <v>1566</v>
      </c>
      <c r="J297" s="72" t="s">
        <v>340</v>
      </c>
      <c r="K297" s="72" t="s">
        <v>382</v>
      </c>
      <c r="L297" s="72" t="s">
        <v>1567</v>
      </c>
      <c r="M297" s="72" t="s">
        <v>389</v>
      </c>
      <c r="N297" s="72" t="s">
        <v>46</v>
      </c>
      <c r="O297" s="72" t="s">
        <v>539</v>
      </c>
      <c r="P297" s="72" t="s">
        <v>808</v>
      </c>
      <c r="Q297" s="72" t="s">
        <v>1568</v>
      </c>
      <c r="R297" s="72" t="s">
        <v>195</v>
      </c>
      <c r="V297" s="60" t="str">
        <f t="shared" si="35"/>
        <v>K3526оливковый</v>
      </c>
      <c r="W297" s="60" t="str">
        <f t="shared" si="32"/>
        <v>K3526</v>
      </c>
      <c r="X297" s="60" t="str">
        <f t="shared" si="36"/>
        <v>Sliced peak beanie</v>
      </c>
      <c r="AC297" s="51">
        <f t="shared" si="37"/>
        <v>3</v>
      </c>
      <c r="AD297" s="44">
        <f t="shared" si="38"/>
        <v>97</v>
      </c>
      <c r="AE297" s="51">
        <f t="shared" si="39"/>
        <v>3097</v>
      </c>
    </row>
    <row r="298" spans="1:31">
      <c r="A298" s="60" t="str">
        <f t="shared" si="33"/>
        <v>K3454black</v>
      </c>
      <c r="B298" s="60" t="str">
        <f t="shared" si="34"/>
        <v>03-098-09</v>
      </c>
      <c r="C298" s="72" t="s">
        <v>1569</v>
      </c>
      <c r="D298" s="72" t="s">
        <v>1570</v>
      </c>
      <c r="E298" s="72" t="s">
        <v>909</v>
      </c>
      <c r="F298" s="73">
        <v>0</v>
      </c>
      <c r="G298" s="73" t="s">
        <v>1571</v>
      </c>
      <c r="H298" s="72" t="s">
        <v>53</v>
      </c>
      <c r="I298" s="72" t="s">
        <v>1221</v>
      </c>
      <c r="J298" s="72" t="s">
        <v>340</v>
      </c>
      <c r="K298" s="72" t="s">
        <v>382</v>
      </c>
      <c r="L298" s="72" t="s">
        <v>1567</v>
      </c>
      <c r="M298" s="72" t="s">
        <v>389</v>
      </c>
      <c r="N298" s="72" t="s">
        <v>46</v>
      </c>
      <c r="O298" s="72" t="s">
        <v>539</v>
      </c>
      <c r="P298" s="72" t="s">
        <v>808</v>
      </c>
      <c r="Q298" s="72" t="s">
        <v>1005</v>
      </c>
      <c r="R298" s="72" t="s">
        <v>53</v>
      </c>
      <c r="V298" s="60" t="str">
        <f t="shared" si="35"/>
        <v>K3454черный</v>
      </c>
      <c r="W298" s="60" t="str">
        <f t="shared" si="32"/>
        <v>K3454</v>
      </c>
      <c r="X298" s="60" t="str">
        <f t="shared" si="36"/>
        <v>Cardinal 2 way beanie</v>
      </c>
      <c r="AC298" s="51">
        <f t="shared" si="37"/>
        <v>3</v>
      </c>
      <c r="AD298" s="44">
        <f t="shared" si="38"/>
        <v>98</v>
      </c>
      <c r="AE298" s="51">
        <f t="shared" si="39"/>
        <v>3098</v>
      </c>
    </row>
    <row r="299" spans="1:31">
      <c r="A299" s="60" t="str">
        <f t="shared" si="33"/>
        <v>K3454fanfare</v>
      </c>
      <c r="B299" s="60" t="str">
        <f t="shared" si="34"/>
        <v>03-098-23</v>
      </c>
      <c r="C299" s="72" t="s">
        <v>1572</v>
      </c>
      <c r="D299" s="72" t="s">
        <v>1573</v>
      </c>
      <c r="E299" s="72" t="s">
        <v>909</v>
      </c>
      <c r="F299" s="73">
        <v>0</v>
      </c>
      <c r="G299" s="73" t="s">
        <v>1571</v>
      </c>
      <c r="H299" s="72" t="s">
        <v>120</v>
      </c>
      <c r="I299" s="72" t="s">
        <v>1221</v>
      </c>
      <c r="J299" s="72" t="s">
        <v>340</v>
      </c>
      <c r="K299" s="72" t="s">
        <v>382</v>
      </c>
      <c r="L299" s="72" t="s">
        <v>1567</v>
      </c>
      <c r="M299" s="72" t="s">
        <v>389</v>
      </c>
      <c r="N299" s="72" t="s">
        <v>46</v>
      </c>
      <c r="O299" s="72" t="s">
        <v>539</v>
      </c>
      <c r="P299" s="72" t="s">
        <v>808</v>
      </c>
      <c r="Q299" s="72" t="s">
        <v>1534</v>
      </c>
      <c r="R299" s="72" t="s">
        <v>91</v>
      </c>
      <c r="V299" s="60" t="str">
        <f t="shared" si="35"/>
        <v>K3454бирюзовый</v>
      </c>
      <c r="W299" s="60" t="str">
        <f t="shared" si="32"/>
        <v>K3454</v>
      </c>
      <c r="X299" s="60" t="str">
        <f t="shared" si="36"/>
        <v>Cardinal 2 way beanie</v>
      </c>
      <c r="AC299" s="51">
        <f t="shared" si="37"/>
        <v>3</v>
      </c>
      <c r="AD299" s="44">
        <f t="shared" si="38"/>
        <v>98</v>
      </c>
      <c r="AE299" s="51">
        <f t="shared" si="39"/>
        <v>3098</v>
      </c>
    </row>
    <row r="300" spans="1:31">
      <c r="A300" s="60" t="str">
        <f t="shared" si="33"/>
        <v>K3454grey</v>
      </c>
      <c r="B300" s="60" t="str">
        <f t="shared" si="34"/>
        <v>03-098-08</v>
      </c>
      <c r="C300" s="72" t="s">
        <v>1574</v>
      </c>
      <c r="D300" s="72" t="s">
        <v>1575</v>
      </c>
      <c r="E300" s="72" t="s">
        <v>909</v>
      </c>
      <c r="F300" s="73">
        <v>0</v>
      </c>
      <c r="G300" s="73" t="s">
        <v>1571</v>
      </c>
      <c r="H300" s="72" t="s">
        <v>83</v>
      </c>
      <c r="I300" s="72" t="s">
        <v>1221</v>
      </c>
      <c r="J300" s="72" t="s">
        <v>340</v>
      </c>
      <c r="K300" s="72" t="s">
        <v>382</v>
      </c>
      <c r="L300" s="72" t="s">
        <v>1567</v>
      </c>
      <c r="M300" s="72" t="s">
        <v>389</v>
      </c>
      <c r="N300" s="72" t="s">
        <v>46</v>
      </c>
      <c r="O300" s="72" t="s">
        <v>539</v>
      </c>
      <c r="P300" s="72" t="s">
        <v>808</v>
      </c>
      <c r="Q300" s="72" t="s">
        <v>1481</v>
      </c>
      <c r="R300" s="72" t="s">
        <v>83</v>
      </c>
      <c r="V300" s="60" t="str">
        <f t="shared" si="35"/>
        <v>K3454серый</v>
      </c>
      <c r="W300" s="60" t="str">
        <f t="shared" si="32"/>
        <v>K3454</v>
      </c>
      <c r="X300" s="60" t="str">
        <f t="shared" si="36"/>
        <v>Cardinal 2 way beanie</v>
      </c>
      <c r="AC300" s="51">
        <f t="shared" si="37"/>
        <v>3</v>
      </c>
      <c r="AD300" s="44">
        <f t="shared" si="38"/>
        <v>98</v>
      </c>
      <c r="AE300" s="51">
        <f t="shared" si="39"/>
        <v>3098</v>
      </c>
    </row>
    <row r="301" spans="1:31">
      <c r="A301" s="60" t="str">
        <f t="shared" si="33"/>
        <v>K3454old gold</v>
      </c>
      <c r="B301" s="60" t="str">
        <f t="shared" si="34"/>
        <v>03-098-20</v>
      </c>
      <c r="C301" s="72" t="s">
        <v>1576</v>
      </c>
      <c r="D301" s="72" t="s">
        <v>1577</v>
      </c>
      <c r="E301" s="72" t="s">
        <v>909</v>
      </c>
      <c r="F301" s="73">
        <v>0</v>
      </c>
      <c r="G301" s="73" t="s">
        <v>1571</v>
      </c>
      <c r="H301" s="72" t="s">
        <v>65</v>
      </c>
      <c r="I301" s="72" t="s">
        <v>1221</v>
      </c>
      <c r="J301" s="72" t="s">
        <v>340</v>
      </c>
      <c r="K301" s="72" t="s">
        <v>382</v>
      </c>
      <c r="L301" s="72" t="s">
        <v>1567</v>
      </c>
      <c r="M301" s="72" t="s">
        <v>389</v>
      </c>
      <c r="N301" s="72" t="s">
        <v>46</v>
      </c>
      <c r="O301" s="72" t="s">
        <v>539</v>
      </c>
      <c r="P301" s="72" t="s">
        <v>808</v>
      </c>
      <c r="Q301" s="72" t="s">
        <v>1422</v>
      </c>
      <c r="R301" s="72" t="s">
        <v>65</v>
      </c>
      <c r="V301" s="60" t="str">
        <f t="shared" si="35"/>
        <v>K3454желтый</v>
      </c>
      <c r="W301" s="60" t="str">
        <f t="shared" si="32"/>
        <v>K3454</v>
      </c>
      <c r="X301" s="60" t="str">
        <f t="shared" si="36"/>
        <v>Cardinal 2 way beanie</v>
      </c>
      <c r="AC301" s="51">
        <f t="shared" si="37"/>
        <v>3</v>
      </c>
      <c r="AD301" s="44">
        <f t="shared" si="38"/>
        <v>98</v>
      </c>
      <c r="AE301" s="51">
        <f t="shared" si="39"/>
        <v>3098</v>
      </c>
    </row>
    <row r="302" spans="1:31">
      <c r="A302" s="60" t="str">
        <f t="shared" si="33"/>
        <v>K3454red velvet</v>
      </c>
      <c r="B302" s="60" t="str">
        <f t="shared" si="34"/>
        <v>03-098-93</v>
      </c>
      <c r="C302" s="72" t="s">
        <v>1578</v>
      </c>
      <c r="D302" s="72" t="s">
        <v>1579</v>
      </c>
      <c r="E302" s="72" t="s">
        <v>909</v>
      </c>
      <c r="F302" s="73">
        <v>0</v>
      </c>
      <c r="G302" s="73" t="s">
        <v>1571</v>
      </c>
      <c r="H302" s="72" t="s">
        <v>192</v>
      </c>
      <c r="I302" s="72" t="s">
        <v>1221</v>
      </c>
      <c r="J302" s="72" t="s">
        <v>340</v>
      </c>
      <c r="K302" s="72" t="s">
        <v>387</v>
      </c>
      <c r="L302" s="72" t="s">
        <v>1567</v>
      </c>
      <c r="M302" s="72" t="s">
        <v>389</v>
      </c>
      <c r="N302" s="72" t="s">
        <v>46</v>
      </c>
      <c r="O302" s="72" t="s">
        <v>539</v>
      </c>
      <c r="P302" s="72" t="s">
        <v>808</v>
      </c>
      <c r="Q302" s="72" t="s">
        <v>1419</v>
      </c>
      <c r="R302" s="72" t="s">
        <v>78</v>
      </c>
      <c r="V302" s="60" t="str">
        <f t="shared" si="35"/>
        <v>K3454малиновый</v>
      </c>
      <c r="W302" s="60" t="str">
        <f t="shared" si="32"/>
        <v>K3454</v>
      </c>
      <c r="X302" s="60" t="str">
        <f t="shared" si="36"/>
        <v>Cardinal 2 way beanie</v>
      </c>
      <c r="AC302" s="51">
        <f t="shared" si="37"/>
        <v>3</v>
      </c>
      <c r="AD302" s="44">
        <f t="shared" si="38"/>
        <v>98</v>
      </c>
      <c r="AE302" s="51">
        <f t="shared" si="39"/>
        <v>3098</v>
      </c>
    </row>
    <row r="303" spans="1:31">
      <c r="A303" s="60" t="str">
        <f t="shared" si="33"/>
        <v>K3017STnavy</v>
      </c>
      <c r="B303" s="60" t="str">
        <f t="shared" si="34"/>
        <v>03-012-06</v>
      </c>
      <c r="C303" s="72" t="s">
        <v>1580</v>
      </c>
      <c r="D303" s="72" t="s">
        <v>1581</v>
      </c>
      <c r="E303" s="72" t="s">
        <v>1032</v>
      </c>
      <c r="F303" s="73">
        <v>55</v>
      </c>
      <c r="G303" s="73" t="s">
        <v>1582</v>
      </c>
      <c r="H303" s="72" t="s">
        <v>71</v>
      </c>
      <c r="I303" s="72" t="s">
        <v>1583</v>
      </c>
      <c r="J303" s="72" t="s">
        <v>325</v>
      </c>
      <c r="K303" s="72" t="s">
        <v>382</v>
      </c>
      <c r="L303" s="72" t="s">
        <v>1539</v>
      </c>
      <c r="M303" s="72" t="s">
        <v>388</v>
      </c>
      <c r="N303" s="72" t="s">
        <v>44</v>
      </c>
      <c r="O303" s="72" t="s">
        <v>539</v>
      </c>
      <c r="P303" s="72" t="s">
        <v>808</v>
      </c>
      <c r="Q303" s="72" t="s">
        <v>1017</v>
      </c>
      <c r="R303" s="72" t="s">
        <v>71</v>
      </c>
      <c r="V303" s="60" t="str">
        <f t="shared" si="35"/>
        <v>K3017STсиний</v>
      </c>
      <c r="W303" s="60" t="str">
        <f t="shared" si="32"/>
        <v>K3017ST</v>
      </c>
      <c r="X303" s="60" t="str">
        <f t="shared" si="36"/>
        <v>Furgora Casual</v>
      </c>
      <c r="AC303" s="51">
        <f t="shared" si="37"/>
        <v>3</v>
      </c>
      <c r="AD303" s="44">
        <f t="shared" si="38"/>
        <v>12</v>
      </c>
      <c r="AE303" s="51">
        <f t="shared" si="39"/>
        <v>3012</v>
      </c>
    </row>
    <row r="304" spans="1:31">
      <c r="A304" s="60" t="str">
        <f t="shared" si="33"/>
        <v>K3017STnavy</v>
      </c>
      <c r="B304" s="60" t="str">
        <f t="shared" si="34"/>
        <v>03-012-06</v>
      </c>
      <c r="C304" s="72" t="s">
        <v>1584</v>
      </c>
      <c r="D304" s="72" t="s">
        <v>1581</v>
      </c>
      <c r="E304" s="72" t="s">
        <v>969</v>
      </c>
      <c r="F304" s="73">
        <v>57</v>
      </c>
      <c r="G304" s="73" t="s">
        <v>1582</v>
      </c>
      <c r="H304" s="72" t="s">
        <v>71</v>
      </c>
      <c r="I304" s="72" t="s">
        <v>1583</v>
      </c>
      <c r="J304" s="72" t="s">
        <v>325</v>
      </c>
      <c r="K304" s="72" t="s">
        <v>382</v>
      </c>
      <c r="L304" s="72" t="s">
        <v>1539</v>
      </c>
      <c r="M304" s="72" t="s">
        <v>388</v>
      </c>
      <c r="N304" s="72" t="s">
        <v>44</v>
      </c>
      <c r="O304" s="72" t="s">
        <v>539</v>
      </c>
      <c r="P304" s="72" t="s">
        <v>808</v>
      </c>
      <c r="Q304" s="72" t="s">
        <v>1017</v>
      </c>
      <c r="R304" s="72" t="s">
        <v>71</v>
      </c>
      <c r="V304" s="60" t="str">
        <f t="shared" si="35"/>
        <v>K3017STсиний</v>
      </c>
      <c r="W304" s="60" t="str">
        <f t="shared" si="32"/>
        <v>K3017ST</v>
      </c>
      <c r="X304" s="60" t="str">
        <f t="shared" si="36"/>
        <v>Furgora Casual</v>
      </c>
      <c r="AC304" s="51">
        <f t="shared" si="37"/>
        <v>3</v>
      </c>
      <c r="AD304" s="44">
        <f t="shared" si="38"/>
        <v>12</v>
      </c>
      <c r="AE304" s="51">
        <f t="shared" si="39"/>
        <v>3012</v>
      </c>
    </row>
    <row r="305" spans="1:31">
      <c r="A305" s="60" t="str">
        <f t="shared" si="33"/>
        <v>K3017STnavy</v>
      </c>
      <c r="B305" s="60" t="str">
        <f t="shared" si="34"/>
        <v>03-012-06</v>
      </c>
      <c r="C305" s="72" t="s">
        <v>1585</v>
      </c>
      <c r="D305" s="72" t="s">
        <v>1581</v>
      </c>
      <c r="E305" s="72" t="s">
        <v>976</v>
      </c>
      <c r="F305" s="73">
        <v>59</v>
      </c>
      <c r="G305" s="73" t="s">
        <v>1582</v>
      </c>
      <c r="H305" s="72" t="s">
        <v>71</v>
      </c>
      <c r="I305" s="72" t="s">
        <v>1583</v>
      </c>
      <c r="J305" s="72" t="s">
        <v>325</v>
      </c>
      <c r="K305" s="72" t="s">
        <v>382</v>
      </c>
      <c r="L305" s="72" t="s">
        <v>1539</v>
      </c>
      <c r="M305" s="72" t="s">
        <v>388</v>
      </c>
      <c r="N305" s="72" t="s">
        <v>44</v>
      </c>
      <c r="O305" s="72" t="s">
        <v>539</v>
      </c>
      <c r="P305" s="72" t="s">
        <v>808</v>
      </c>
      <c r="Q305" s="72" t="s">
        <v>1017</v>
      </c>
      <c r="R305" s="72" t="s">
        <v>71</v>
      </c>
      <c r="V305" s="60" t="str">
        <f t="shared" si="35"/>
        <v>K3017STсиний</v>
      </c>
      <c r="W305" s="60" t="str">
        <f t="shared" si="32"/>
        <v>K3017ST</v>
      </c>
      <c r="X305" s="60" t="str">
        <f t="shared" si="36"/>
        <v>Furgora Casual</v>
      </c>
      <c r="AC305" s="51">
        <f t="shared" si="37"/>
        <v>3</v>
      </c>
      <c r="AD305" s="44">
        <f t="shared" si="38"/>
        <v>12</v>
      </c>
      <c r="AE305" s="51">
        <f t="shared" si="39"/>
        <v>3012</v>
      </c>
    </row>
    <row r="306" spans="1:31">
      <c r="A306" s="60" t="str">
        <f t="shared" si="33"/>
        <v>K3017STivory</v>
      </c>
      <c r="B306" s="60" t="str">
        <f t="shared" si="34"/>
        <v>03-012-47</v>
      </c>
      <c r="C306" s="72" t="s">
        <v>1586</v>
      </c>
      <c r="D306" s="72" t="s">
        <v>1587</v>
      </c>
      <c r="E306" s="72" t="s">
        <v>1032</v>
      </c>
      <c r="F306" s="73">
        <v>55</v>
      </c>
      <c r="G306" s="73" t="s">
        <v>1582</v>
      </c>
      <c r="H306" s="72" t="s">
        <v>194</v>
      </c>
      <c r="I306" s="72" t="s">
        <v>1583</v>
      </c>
      <c r="J306" s="72" t="s">
        <v>325</v>
      </c>
      <c r="K306" s="72" t="s">
        <v>382</v>
      </c>
      <c r="L306" s="72" t="s">
        <v>1539</v>
      </c>
      <c r="M306" s="72" t="s">
        <v>388</v>
      </c>
      <c r="N306" s="72" t="s">
        <v>44</v>
      </c>
      <c r="O306" s="72" t="s">
        <v>539</v>
      </c>
      <c r="P306" s="72" t="s">
        <v>808</v>
      </c>
      <c r="Q306" s="72" t="s">
        <v>1588</v>
      </c>
      <c r="R306" s="72" t="s">
        <v>63</v>
      </c>
      <c r="V306" s="60" t="str">
        <f t="shared" si="35"/>
        <v>K3017STмолочный</v>
      </c>
      <c r="W306" s="60" t="str">
        <f t="shared" si="32"/>
        <v>K3017ST</v>
      </c>
      <c r="X306" s="60" t="str">
        <f t="shared" si="36"/>
        <v>Furgora Casual</v>
      </c>
      <c r="AC306" s="51">
        <f t="shared" si="37"/>
        <v>3</v>
      </c>
      <c r="AD306" s="44">
        <f t="shared" si="38"/>
        <v>12</v>
      </c>
      <c r="AE306" s="51">
        <f t="shared" si="39"/>
        <v>3012</v>
      </c>
    </row>
    <row r="307" spans="1:31">
      <c r="A307" s="60" t="str">
        <f t="shared" si="33"/>
        <v>K3017STivory</v>
      </c>
      <c r="B307" s="60" t="str">
        <f t="shared" si="34"/>
        <v>03-012-47</v>
      </c>
      <c r="C307" s="72" t="s">
        <v>1589</v>
      </c>
      <c r="D307" s="72" t="s">
        <v>1587</v>
      </c>
      <c r="E307" s="72" t="s">
        <v>969</v>
      </c>
      <c r="F307" s="73">
        <v>57</v>
      </c>
      <c r="G307" s="73" t="s">
        <v>1582</v>
      </c>
      <c r="H307" s="72" t="s">
        <v>194</v>
      </c>
      <c r="I307" s="72" t="s">
        <v>1583</v>
      </c>
      <c r="J307" s="72" t="s">
        <v>325</v>
      </c>
      <c r="K307" s="72" t="s">
        <v>382</v>
      </c>
      <c r="L307" s="72" t="s">
        <v>1539</v>
      </c>
      <c r="M307" s="72" t="s">
        <v>388</v>
      </c>
      <c r="N307" s="72" t="s">
        <v>44</v>
      </c>
      <c r="O307" s="72" t="s">
        <v>539</v>
      </c>
      <c r="P307" s="72" t="s">
        <v>808</v>
      </c>
      <c r="Q307" s="72" t="s">
        <v>1588</v>
      </c>
      <c r="R307" s="72" t="s">
        <v>63</v>
      </c>
      <c r="V307" s="60" t="str">
        <f t="shared" si="35"/>
        <v>K3017STмолочный</v>
      </c>
      <c r="W307" s="60" t="str">
        <f t="shared" si="32"/>
        <v>K3017ST</v>
      </c>
      <c r="X307" s="60" t="str">
        <f t="shared" si="36"/>
        <v>Furgora Casual</v>
      </c>
      <c r="AC307" s="51">
        <f t="shared" si="37"/>
        <v>3</v>
      </c>
      <c r="AD307" s="44">
        <f t="shared" si="38"/>
        <v>12</v>
      </c>
      <c r="AE307" s="51">
        <f t="shared" si="39"/>
        <v>3012</v>
      </c>
    </row>
    <row r="308" spans="1:31">
      <c r="A308" s="60" t="str">
        <f t="shared" si="33"/>
        <v>K3477black</v>
      </c>
      <c r="B308" s="60" t="str">
        <f t="shared" si="34"/>
        <v>03-099-09</v>
      </c>
      <c r="C308" s="72" t="s">
        <v>1590</v>
      </c>
      <c r="D308" s="72" t="s">
        <v>1591</v>
      </c>
      <c r="E308" s="72" t="s">
        <v>1032</v>
      </c>
      <c r="F308" s="73">
        <v>55</v>
      </c>
      <c r="G308" s="73" t="s">
        <v>1592</v>
      </c>
      <c r="H308" s="72" t="s">
        <v>53</v>
      </c>
      <c r="I308" s="72" t="s">
        <v>1583</v>
      </c>
      <c r="J308" s="72" t="s">
        <v>325</v>
      </c>
      <c r="K308" s="72" t="s">
        <v>382</v>
      </c>
      <c r="L308" s="72" t="s">
        <v>1539</v>
      </c>
      <c r="M308" s="72" t="s">
        <v>388</v>
      </c>
      <c r="N308" s="72" t="s">
        <v>44</v>
      </c>
      <c r="O308" s="72" t="s">
        <v>539</v>
      </c>
      <c r="P308" s="72" t="s">
        <v>808</v>
      </c>
      <c r="Q308" s="72" t="s">
        <v>1005</v>
      </c>
      <c r="R308" s="72" t="s">
        <v>53</v>
      </c>
      <c r="V308" s="60" t="str">
        <f t="shared" si="35"/>
        <v>K3477черный</v>
      </c>
      <c r="W308" s="60" t="str">
        <f t="shared" si="32"/>
        <v>K3477</v>
      </c>
      <c r="X308" s="60" t="str">
        <f t="shared" si="36"/>
        <v>Furgora bucket</v>
      </c>
      <c r="AC308" s="51">
        <f t="shared" si="37"/>
        <v>3</v>
      </c>
      <c r="AD308" s="44">
        <f t="shared" si="38"/>
        <v>99</v>
      </c>
      <c r="AE308" s="51">
        <f t="shared" si="39"/>
        <v>3099</v>
      </c>
    </row>
    <row r="309" spans="1:31">
      <c r="A309" s="60" t="str">
        <f t="shared" si="33"/>
        <v>K3477black</v>
      </c>
      <c r="B309" s="60" t="str">
        <f t="shared" si="34"/>
        <v>03-099-09</v>
      </c>
      <c r="C309" s="72" t="s">
        <v>1593</v>
      </c>
      <c r="D309" s="72" t="s">
        <v>1591</v>
      </c>
      <c r="E309" s="72" t="s">
        <v>969</v>
      </c>
      <c r="F309" s="73">
        <v>57</v>
      </c>
      <c r="G309" s="73" t="s">
        <v>1592</v>
      </c>
      <c r="H309" s="72" t="s">
        <v>53</v>
      </c>
      <c r="I309" s="72" t="s">
        <v>1583</v>
      </c>
      <c r="J309" s="72" t="s">
        <v>325</v>
      </c>
      <c r="K309" s="72" t="s">
        <v>382</v>
      </c>
      <c r="L309" s="72" t="s">
        <v>1539</v>
      </c>
      <c r="M309" s="72" t="s">
        <v>388</v>
      </c>
      <c r="N309" s="72" t="s">
        <v>44</v>
      </c>
      <c r="O309" s="72" t="s">
        <v>539</v>
      </c>
      <c r="P309" s="72" t="s">
        <v>808</v>
      </c>
      <c r="Q309" s="72" t="s">
        <v>1005</v>
      </c>
      <c r="R309" s="72" t="s">
        <v>53</v>
      </c>
      <c r="V309" s="60" t="str">
        <f t="shared" si="35"/>
        <v>K3477черный</v>
      </c>
      <c r="W309" s="60" t="str">
        <f t="shared" si="32"/>
        <v>K3477</v>
      </c>
      <c r="X309" s="60" t="str">
        <f t="shared" si="36"/>
        <v>Furgora bucket</v>
      </c>
      <c r="AC309" s="51">
        <f t="shared" si="37"/>
        <v>3</v>
      </c>
      <c r="AD309" s="44">
        <f t="shared" si="38"/>
        <v>99</v>
      </c>
      <c r="AE309" s="51">
        <f t="shared" si="39"/>
        <v>3099</v>
      </c>
    </row>
    <row r="310" spans="1:31">
      <c r="A310" s="60" t="str">
        <f t="shared" si="33"/>
        <v>K3477black</v>
      </c>
      <c r="B310" s="60" t="str">
        <f t="shared" si="34"/>
        <v>03-099-09</v>
      </c>
      <c r="C310" s="72" t="s">
        <v>1594</v>
      </c>
      <c r="D310" s="72" t="s">
        <v>1591</v>
      </c>
      <c r="E310" s="72" t="s">
        <v>976</v>
      </c>
      <c r="F310" s="73">
        <v>59</v>
      </c>
      <c r="G310" s="73" t="s">
        <v>1592</v>
      </c>
      <c r="H310" s="72" t="s">
        <v>53</v>
      </c>
      <c r="I310" s="72" t="s">
        <v>1583</v>
      </c>
      <c r="J310" s="72" t="s">
        <v>325</v>
      </c>
      <c r="K310" s="72" t="s">
        <v>382</v>
      </c>
      <c r="L310" s="72" t="s">
        <v>1539</v>
      </c>
      <c r="M310" s="72" t="s">
        <v>388</v>
      </c>
      <c r="N310" s="72" t="s">
        <v>44</v>
      </c>
      <c r="O310" s="72" t="s">
        <v>539</v>
      </c>
      <c r="P310" s="72" t="s">
        <v>808</v>
      </c>
      <c r="Q310" s="72" t="s">
        <v>1005</v>
      </c>
      <c r="R310" s="72" t="s">
        <v>53</v>
      </c>
      <c r="V310" s="60" t="str">
        <f t="shared" si="35"/>
        <v>K3477черный</v>
      </c>
      <c r="W310" s="60" t="str">
        <f t="shared" si="32"/>
        <v>K3477</v>
      </c>
      <c r="X310" s="60" t="str">
        <f t="shared" si="36"/>
        <v>Furgora bucket</v>
      </c>
      <c r="AC310" s="51">
        <f t="shared" si="37"/>
        <v>3</v>
      </c>
      <c r="AD310" s="44">
        <f t="shared" si="38"/>
        <v>99</v>
      </c>
      <c r="AE310" s="51">
        <f t="shared" si="39"/>
        <v>3099</v>
      </c>
    </row>
    <row r="311" spans="1:31">
      <c r="A311" s="60" t="str">
        <f t="shared" si="33"/>
        <v>K3477ivory</v>
      </c>
      <c r="B311" s="60" t="str">
        <f t="shared" si="34"/>
        <v>03-099-17</v>
      </c>
      <c r="C311" s="72" t="s">
        <v>1595</v>
      </c>
      <c r="D311" s="72" t="s">
        <v>1596</v>
      </c>
      <c r="E311" s="72" t="s">
        <v>1032</v>
      </c>
      <c r="F311" s="73">
        <v>55</v>
      </c>
      <c r="G311" s="73" t="s">
        <v>1592</v>
      </c>
      <c r="H311" s="72" t="s">
        <v>57</v>
      </c>
      <c r="I311" s="72" t="s">
        <v>1583</v>
      </c>
      <c r="J311" s="72" t="s">
        <v>325</v>
      </c>
      <c r="K311" s="72" t="s">
        <v>387</v>
      </c>
      <c r="L311" s="72" t="s">
        <v>1539</v>
      </c>
      <c r="M311" s="72" t="s">
        <v>388</v>
      </c>
      <c r="N311" s="72" t="s">
        <v>44</v>
      </c>
      <c r="O311" s="72" t="s">
        <v>539</v>
      </c>
      <c r="P311" s="72" t="s">
        <v>808</v>
      </c>
      <c r="Q311" s="72" t="s">
        <v>1588</v>
      </c>
      <c r="R311" s="72" t="s">
        <v>57</v>
      </c>
      <c r="V311" s="60" t="str">
        <f t="shared" si="35"/>
        <v>K3477белый</v>
      </c>
      <c r="W311" s="60" t="str">
        <f t="shared" si="32"/>
        <v>K3477</v>
      </c>
      <c r="X311" s="60" t="str">
        <f t="shared" si="36"/>
        <v>Furgora bucket</v>
      </c>
      <c r="AC311" s="51">
        <f t="shared" si="37"/>
        <v>3</v>
      </c>
      <c r="AD311" s="44">
        <f t="shared" si="38"/>
        <v>99</v>
      </c>
      <c r="AE311" s="51">
        <f t="shared" si="39"/>
        <v>3099</v>
      </c>
    </row>
    <row r="312" spans="1:31">
      <c r="A312" s="60" t="str">
        <f t="shared" si="33"/>
        <v>K3477ivory</v>
      </c>
      <c r="B312" s="60" t="str">
        <f t="shared" si="34"/>
        <v>03-099-17</v>
      </c>
      <c r="C312" s="72" t="s">
        <v>1597</v>
      </c>
      <c r="D312" s="72" t="s">
        <v>1596</v>
      </c>
      <c r="E312" s="72" t="s">
        <v>969</v>
      </c>
      <c r="F312" s="73">
        <v>57</v>
      </c>
      <c r="G312" s="73" t="s">
        <v>1592</v>
      </c>
      <c r="H312" s="72" t="s">
        <v>57</v>
      </c>
      <c r="I312" s="72" t="s">
        <v>1583</v>
      </c>
      <c r="J312" s="72" t="s">
        <v>325</v>
      </c>
      <c r="K312" s="72" t="s">
        <v>387</v>
      </c>
      <c r="L312" s="72" t="s">
        <v>1539</v>
      </c>
      <c r="M312" s="72" t="s">
        <v>388</v>
      </c>
      <c r="N312" s="72" t="s">
        <v>44</v>
      </c>
      <c r="O312" s="72" t="s">
        <v>539</v>
      </c>
      <c r="P312" s="72" t="s">
        <v>808</v>
      </c>
      <c r="Q312" s="72" t="s">
        <v>1588</v>
      </c>
      <c r="R312" s="72" t="s">
        <v>57</v>
      </c>
      <c r="V312" s="60" t="str">
        <f t="shared" si="35"/>
        <v>K3477белый</v>
      </c>
      <c r="W312" s="60" t="str">
        <f t="shared" si="32"/>
        <v>K3477</v>
      </c>
      <c r="X312" s="60" t="str">
        <f t="shared" si="36"/>
        <v>Furgora bucket</v>
      </c>
      <c r="AC312" s="51">
        <f t="shared" si="37"/>
        <v>3</v>
      </c>
      <c r="AD312" s="44">
        <f t="shared" si="38"/>
        <v>99</v>
      </c>
      <c r="AE312" s="51">
        <f t="shared" si="39"/>
        <v>3099</v>
      </c>
    </row>
    <row r="313" spans="1:31">
      <c r="A313" s="60" t="str">
        <f t="shared" si="33"/>
        <v>K3477ivory</v>
      </c>
      <c r="B313" s="60" t="str">
        <f t="shared" si="34"/>
        <v>03-099-17</v>
      </c>
      <c r="C313" s="72" t="s">
        <v>1598</v>
      </c>
      <c r="D313" s="72" t="s">
        <v>1596</v>
      </c>
      <c r="E313" s="72" t="s">
        <v>976</v>
      </c>
      <c r="F313" s="73">
        <v>59</v>
      </c>
      <c r="G313" s="73" t="s">
        <v>1592</v>
      </c>
      <c r="H313" s="72" t="s">
        <v>57</v>
      </c>
      <c r="I313" s="72" t="s">
        <v>1583</v>
      </c>
      <c r="J313" s="72" t="s">
        <v>325</v>
      </c>
      <c r="K313" s="72" t="s">
        <v>387</v>
      </c>
      <c r="L313" s="72" t="s">
        <v>1539</v>
      </c>
      <c r="M313" s="72" t="s">
        <v>388</v>
      </c>
      <c r="N313" s="72" t="s">
        <v>44</v>
      </c>
      <c r="O313" s="72" t="s">
        <v>539</v>
      </c>
      <c r="P313" s="72" t="s">
        <v>808</v>
      </c>
      <c r="Q313" s="72" t="s">
        <v>1588</v>
      </c>
      <c r="R313" s="72" t="s">
        <v>57</v>
      </c>
      <c r="V313" s="60" t="str">
        <f t="shared" si="35"/>
        <v>K3477белый</v>
      </c>
      <c r="W313" s="60" t="str">
        <f t="shared" si="32"/>
        <v>K3477</v>
      </c>
      <c r="X313" s="60" t="str">
        <f t="shared" si="36"/>
        <v>Furgora bucket</v>
      </c>
      <c r="AC313" s="51">
        <f t="shared" si="37"/>
        <v>3</v>
      </c>
      <c r="AD313" s="44">
        <f t="shared" si="38"/>
        <v>99</v>
      </c>
      <c r="AE313" s="51">
        <f t="shared" si="39"/>
        <v>3099</v>
      </c>
    </row>
    <row r="314" spans="1:31">
      <c r="A314" s="60" t="str">
        <f t="shared" si="33"/>
        <v>K3477navy</v>
      </c>
      <c r="B314" s="60" t="str">
        <f t="shared" si="34"/>
        <v>03-099-06</v>
      </c>
      <c r="C314" s="72" t="s">
        <v>1599</v>
      </c>
      <c r="D314" s="72" t="s">
        <v>1600</v>
      </c>
      <c r="E314" s="72" t="s">
        <v>1032</v>
      </c>
      <c r="F314" s="73">
        <v>55</v>
      </c>
      <c r="G314" s="73" t="s">
        <v>1592</v>
      </c>
      <c r="H314" s="72" t="s">
        <v>71</v>
      </c>
      <c r="I314" s="72" t="s">
        <v>1583</v>
      </c>
      <c r="J314" s="72" t="s">
        <v>325</v>
      </c>
      <c r="K314" s="72" t="s">
        <v>387</v>
      </c>
      <c r="L314" s="72" t="s">
        <v>1539</v>
      </c>
      <c r="M314" s="72" t="s">
        <v>388</v>
      </c>
      <c r="N314" s="72" t="s">
        <v>44</v>
      </c>
      <c r="O314" s="72" t="s">
        <v>539</v>
      </c>
      <c r="P314" s="72" t="s">
        <v>808</v>
      </c>
      <c r="Q314" s="72" t="s">
        <v>1017</v>
      </c>
      <c r="R314" s="72" t="s">
        <v>71</v>
      </c>
      <c r="V314" s="60" t="str">
        <f t="shared" si="35"/>
        <v>K3477синий</v>
      </c>
      <c r="W314" s="60" t="str">
        <f t="shared" si="32"/>
        <v>K3477</v>
      </c>
      <c r="X314" s="60" t="str">
        <f t="shared" si="36"/>
        <v>Furgora bucket</v>
      </c>
      <c r="AC314" s="51">
        <f t="shared" si="37"/>
        <v>3</v>
      </c>
      <c r="AD314" s="44">
        <f t="shared" si="38"/>
        <v>99</v>
      </c>
      <c r="AE314" s="51">
        <f t="shared" si="39"/>
        <v>3099</v>
      </c>
    </row>
    <row r="315" spans="1:31">
      <c r="A315" s="60" t="str">
        <f t="shared" si="33"/>
        <v>K3477navy</v>
      </c>
      <c r="B315" s="60" t="str">
        <f t="shared" si="34"/>
        <v>03-099-06</v>
      </c>
      <c r="C315" s="72" t="s">
        <v>1601</v>
      </c>
      <c r="D315" s="72" t="s">
        <v>1600</v>
      </c>
      <c r="E315" s="72" t="s">
        <v>969</v>
      </c>
      <c r="F315" s="73">
        <v>57</v>
      </c>
      <c r="G315" s="73" t="s">
        <v>1592</v>
      </c>
      <c r="H315" s="72" t="s">
        <v>71</v>
      </c>
      <c r="I315" s="72" t="s">
        <v>1583</v>
      </c>
      <c r="J315" s="72" t="s">
        <v>325</v>
      </c>
      <c r="K315" s="72" t="s">
        <v>387</v>
      </c>
      <c r="L315" s="72" t="s">
        <v>1539</v>
      </c>
      <c r="M315" s="72" t="s">
        <v>388</v>
      </c>
      <c r="N315" s="72" t="s">
        <v>44</v>
      </c>
      <c r="O315" s="72" t="s">
        <v>539</v>
      </c>
      <c r="P315" s="72" t="s">
        <v>808</v>
      </c>
      <c r="Q315" s="72" t="s">
        <v>1017</v>
      </c>
      <c r="R315" s="72" t="s">
        <v>71</v>
      </c>
      <c r="V315" s="60" t="str">
        <f t="shared" si="35"/>
        <v>K3477синий</v>
      </c>
      <c r="W315" s="60" t="str">
        <f t="shared" si="32"/>
        <v>K3477</v>
      </c>
      <c r="X315" s="60" t="str">
        <f t="shared" si="36"/>
        <v>Furgora bucket</v>
      </c>
      <c r="AC315" s="51">
        <f t="shared" si="37"/>
        <v>3</v>
      </c>
      <c r="AD315" s="44">
        <f t="shared" si="38"/>
        <v>99</v>
      </c>
      <c r="AE315" s="51">
        <f t="shared" si="39"/>
        <v>3099</v>
      </c>
    </row>
    <row r="316" spans="1:31">
      <c r="A316" s="60" t="str">
        <f t="shared" si="33"/>
        <v>K3477navy</v>
      </c>
      <c r="B316" s="60" t="str">
        <f t="shared" si="34"/>
        <v>03-099-06</v>
      </c>
      <c r="C316" s="72" t="s">
        <v>1602</v>
      </c>
      <c r="D316" s="72" t="s">
        <v>1600</v>
      </c>
      <c r="E316" s="72" t="s">
        <v>976</v>
      </c>
      <c r="F316" s="73">
        <v>59</v>
      </c>
      <c r="G316" s="73" t="s">
        <v>1592</v>
      </c>
      <c r="H316" s="72" t="s">
        <v>71</v>
      </c>
      <c r="I316" s="72" t="s">
        <v>1583</v>
      </c>
      <c r="J316" s="72" t="s">
        <v>325</v>
      </c>
      <c r="K316" s="72" t="s">
        <v>387</v>
      </c>
      <c r="L316" s="72" t="s">
        <v>1539</v>
      </c>
      <c r="M316" s="72" t="s">
        <v>388</v>
      </c>
      <c r="N316" s="72" t="s">
        <v>44</v>
      </c>
      <c r="O316" s="72" t="s">
        <v>539</v>
      </c>
      <c r="P316" s="72" t="s">
        <v>808</v>
      </c>
      <c r="Q316" s="72" t="s">
        <v>1017</v>
      </c>
      <c r="R316" s="72" t="s">
        <v>71</v>
      </c>
      <c r="V316" s="60" t="str">
        <f t="shared" si="35"/>
        <v>K3477синий</v>
      </c>
      <c r="W316" s="60" t="str">
        <f t="shared" si="32"/>
        <v>K3477</v>
      </c>
      <c r="X316" s="60" t="str">
        <f t="shared" si="36"/>
        <v>Furgora bucket</v>
      </c>
      <c r="AC316" s="51">
        <f t="shared" si="37"/>
        <v>3</v>
      </c>
      <c r="AD316" s="44">
        <f t="shared" si="38"/>
        <v>99</v>
      </c>
      <c r="AE316" s="51">
        <f t="shared" si="39"/>
        <v>3099</v>
      </c>
    </row>
    <row r="317" spans="1:31">
      <c r="A317" s="60" t="str">
        <f t="shared" si="33"/>
        <v>K3017STblue tint</v>
      </c>
      <c r="B317" s="60" t="str">
        <f t="shared" si="34"/>
        <v>03-012-19</v>
      </c>
      <c r="C317" s="72" t="s">
        <v>1603</v>
      </c>
      <c r="D317" s="72" t="s">
        <v>1604</v>
      </c>
      <c r="E317" s="72" t="s">
        <v>1032</v>
      </c>
      <c r="F317" s="73">
        <v>55</v>
      </c>
      <c r="G317" s="73" t="s">
        <v>1582</v>
      </c>
      <c r="H317" s="72" t="s">
        <v>91</v>
      </c>
      <c r="I317" s="72" t="s">
        <v>1583</v>
      </c>
      <c r="J317" s="72" t="s">
        <v>325</v>
      </c>
      <c r="K317" s="72" t="s">
        <v>382</v>
      </c>
      <c r="L317" s="72" t="s">
        <v>1539</v>
      </c>
      <c r="M317" s="72" t="s">
        <v>388</v>
      </c>
      <c r="N317" s="72" t="s">
        <v>44</v>
      </c>
      <c r="O317" s="72" t="s">
        <v>539</v>
      </c>
      <c r="P317" s="72" t="s">
        <v>808</v>
      </c>
      <c r="Q317" s="72" t="s">
        <v>1498</v>
      </c>
      <c r="R317" s="72" t="s">
        <v>91</v>
      </c>
      <c r="V317" s="60" t="str">
        <f t="shared" si="35"/>
        <v>K3017STголубой</v>
      </c>
      <c r="W317" s="60" t="str">
        <f t="shared" si="32"/>
        <v>K3017ST</v>
      </c>
      <c r="X317" s="60" t="str">
        <f t="shared" si="36"/>
        <v>Furgora Casual</v>
      </c>
      <c r="AC317" s="51">
        <f t="shared" si="37"/>
        <v>3</v>
      </c>
      <c r="AD317" s="44">
        <f t="shared" si="38"/>
        <v>12</v>
      </c>
      <c r="AE317" s="51">
        <f t="shared" si="39"/>
        <v>3012</v>
      </c>
    </row>
    <row r="318" spans="1:31">
      <c r="A318" s="60" t="str">
        <f t="shared" si="33"/>
        <v>K3017STblue tint</v>
      </c>
      <c r="B318" s="60" t="str">
        <f t="shared" si="34"/>
        <v>03-012-19</v>
      </c>
      <c r="C318" s="72" t="s">
        <v>1605</v>
      </c>
      <c r="D318" s="72" t="s">
        <v>1604</v>
      </c>
      <c r="E318" s="72" t="s">
        <v>969</v>
      </c>
      <c r="F318" s="73">
        <v>57</v>
      </c>
      <c r="G318" s="73" t="s">
        <v>1582</v>
      </c>
      <c r="H318" s="72" t="s">
        <v>91</v>
      </c>
      <c r="I318" s="72" t="s">
        <v>1583</v>
      </c>
      <c r="J318" s="72" t="s">
        <v>325</v>
      </c>
      <c r="K318" s="72" t="s">
        <v>382</v>
      </c>
      <c r="L318" s="72" t="s">
        <v>1539</v>
      </c>
      <c r="M318" s="72" t="s">
        <v>388</v>
      </c>
      <c r="N318" s="72" t="s">
        <v>44</v>
      </c>
      <c r="O318" s="72" t="s">
        <v>539</v>
      </c>
      <c r="P318" s="72" t="s">
        <v>808</v>
      </c>
      <c r="Q318" s="72" t="s">
        <v>1498</v>
      </c>
      <c r="R318" s="72" t="s">
        <v>91</v>
      </c>
      <c r="V318" s="60" t="str">
        <f t="shared" si="35"/>
        <v>K3017STголубой</v>
      </c>
      <c r="W318" s="60" t="str">
        <f t="shared" si="32"/>
        <v>K3017ST</v>
      </c>
      <c r="X318" s="60" t="str">
        <f t="shared" si="36"/>
        <v>Furgora Casual</v>
      </c>
      <c r="AC318" s="51">
        <f t="shared" si="37"/>
        <v>3</v>
      </c>
      <c r="AD318" s="44">
        <f t="shared" si="38"/>
        <v>12</v>
      </c>
      <c r="AE318" s="51">
        <f t="shared" si="39"/>
        <v>3012</v>
      </c>
    </row>
    <row r="319" spans="1:31">
      <c r="A319" s="60" t="str">
        <f t="shared" si="33"/>
        <v>K3017STblue tint</v>
      </c>
      <c r="B319" s="60" t="str">
        <f t="shared" si="34"/>
        <v>03-012-19</v>
      </c>
      <c r="C319" s="72" t="s">
        <v>1606</v>
      </c>
      <c r="D319" s="72" t="s">
        <v>1604</v>
      </c>
      <c r="E319" s="72" t="s">
        <v>976</v>
      </c>
      <c r="F319" s="73">
        <v>59</v>
      </c>
      <c r="G319" s="73" t="s">
        <v>1582</v>
      </c>
      <c r="H319" s="72" t="s">
        <v>91</v>
      </c>
      <c r="I319" s="72" t="s">
        <v>1583</v>
      </c>
      <c r="J319" s="72" t="s">
        <v>325</v>
      </c>
      <c r="K319" s="72" t="s">
        <v>382</v>
      </c>
      <c r="L319" s="72" t="s">
        <v>1539</v>
      </c>
      <c r="M319" s="72" t="s">
        <v>388</v>
      </c>
      <c r="N319" s="72" t="s">
        <v>44</v>
      </c>
      <c r="O319" s="72" t="s">
        <v>539</v>
      </c>
      <c r="P319" s="72" t="s">
        <v>808</v>
      </c>
      <c r="Q319" s="72" t="s">
        <v>1498</v>
      </c>
      <c r="R319" s="72" t="s">
        <v>91</v>
      </c>
      <c r="V319" s="60" t="str">
        <f t="shared" si="35"/>
        <v>K3017STголубой</v>
      </c>
      <c r="W319" s="60" t="str">
        <f t="shared" si="32"/>
        <v>K3017ST</v>
      </c>
      <c r="X319" s="60" t="str">
        <f t="shared" si="36"/>
        <v>Furgora Casual</v>
      </c>
      <c r="AC319" s="51">
        <f t="shared" si="37"/>
        <v>3</v>
      </c>
      <c r="AD319" s="44">
        <f t="shared" si="38"/>
        <v>12</v>
      </c>
      <c r="AE319" s="51">
        <f t="shared" si="39"/>
        <v>3012</v>
      </c>
    </row>
    <row r="320" spans="1:31">
      <c r="A320" s="60" t="str">
        <f t="shared" si="33"/>
        <v>K4370lavender leopard</v>
      </c>
      <c r="B320" s="60" t="str">
        <f t="shared" si="34"/>
        <v>03-100-41</v>
      </c>
      <c r="C320" s="72" t="s">
        <v>1607</v>
      </c>
      <c r="D320" s="72" t="s">
        <v>1608</v>
      </c>
      <c r="E320" s="72" t="s">
        <v>1032</v>
      </c>
      <c r="F320" s="73">
        <v>55</v>
      </c>
      <c r="G320" s="73" t="s">
        <v>1609</v>
      </c>
      <c r="H320" s="72" t="s">
        <v>261</v>
      </c>
      <c r="I320" s="72" t="s">
        <v>1610</v>
      </c>
      <c r="J320" s="72" t="s">
        <v>325</v>
      </c>
      <c r="K320" s="72" t="s">
        <v>387</v>
      </c>
      <c r="L320" s="72" t="s">
        <v>1539</v>
      </c>
      <c r="M320" s="72" t="s">
        <v>388</v>
      </c>
      <c r="O320" s="72" t="s">
        <v>386</v>
      </c>
      <c r="P320" s="72" t="s">
        <v>808</v>
      </c>
      <c r="Q320" s="72" t="s">
        <v>1611</v>
      </c>
      <c r="R320" s="72" t="s">
        <v>286</v>
      </c>
      <c r="V320" s="60" t="str">
        <f t="shared" si="35"/>
        <v>K4370сиреневый</v>
      </c>
      <c r="W320" s="60" t="str">
        <f t="shared" si="32"/>
        <v>K4370</v>
      </c>
      <c r="X320" s="60" t="str">
        <f t="shared" si="36"/>
        <v>Faux Fur Bucket</v>
      </c>
      <c r="AC320" s="51">
        <f t="shared" si="37"/>
        <v>3</v>
      </c>
      <c r="AD320" s="44">
        <f t="shared" si="38"/>
        <v>100</v>
      </c>
      <c r="AE320" s="51">
        <f t="shared" si="39"/>
        <v>3100</v>
      </c>
    </row>
    <row r="321" spans="1:31">
      <c r="A321" s="60" t="str">
        <f t="shared" si="33"/>
        <v>K4370lavender leopard</v>
      </c>
      <c r="B321" s="60" t="str">
        <f t="shared" si="34"/>
        <v>03-100-41</v>
      </c>
      <c r="C321" s="72" t="s">
        <v>1612</v>
      </c>
      <c r="D321" s="72" t="s">
        <v>1608</v>
      </c>
      <c r="E321" s="72" t="s">
        <v>969</v>
      </c>
      <c r="F321" s="73">
        <v>57</v>
      </c>
      <c r="G321" s="73" t="s">
        <v>1609</v>
      </c>
      <c r="H321" s="72" t="s">
        <v>261</v>
      </c>
      <c r="I321" s="72" t="s">
        <v>1610</v>
      </c>
      <c r="J321" s="72" t="s">
        <v>325</v>
      </c>
      <c r="K321" s="72" t="s">
        <v>387</v>
      </c>
      <c r="L321" s="72" t="s">
        <v>1539</v>
      </c>
      <c r="M321" s="72" t="s">
        <v>388</v>
      </c>
      <c r="O321" s="72" t="s">
        <v>386</v>
      </c>
      <c r="P321" s="72" t="s">
        <v>808</v>
      </c>
      <c r="Q321" s="72" t="s">
        <v>1611</v>
      </c>
      <c r="R321" s="72" t="s">
        <v>286</v>
      </c>
      <c r="V321" s="60" t="str">
        <f t="shared" si="35"/>
        <v>K4370сиреневый</v>
      </c>
      <c r="W321" s="60" t="str">
        <f t="shared" si="32"/>
        <v>K4370</v>
      </c>
      <c r="X321" s="60" t="str">
        <f t="shared" si="36"/>
        <v>Faux Fur Bucket</v>
      </c>
      <c r="AC321" s="51">
        <f t="shared" si="37"/>
        <v>3</v>
      </c>
      <c r="AD321" s="44">
        <f t="shared" si="38"/>
        <v>100</v>
      </c>
      <c r="AE321" s="51">
        <f t="shared" si="39"/>
        <v>3100</v>
      </c>
    </row>
    <row r="322" spans="1:31">
      <c r="A322" s="60" t="str">
        <f t="shared" si="33"/>
        <v>K4370lavender leopard</v>
      </c>
      <c r="B322" s="60" t="str">
        <f t="shared" si="34"/>
        <v>03-100-41</v>
      </c>
      <c r="C322" s="72" t="s">
        <v>1612</v>
      </c>
      <c r="D322" s="72" t="s">
        <v>1608</v>
      </c>
      <c r="E322" s="72" t="s">
        <v>976</v>
      </c>
      <c r="F322" s="73">
        <v>57</v>
      </c>
      <c r="G322" s="73" t="s">
        <v>1609</v>
      </c>
      <c r="H322" s="72" t="s">
        <v>261</v>
      </c>
      <c r="I322" s="72" t="s">
        <v>1610</v>
      </c>
      <c r="J322" s="72" t="s">
        <v>325</v>
      </c>
      <c r="K322" s="72" t="s">
        <v>387</v>
      </c>
      <c r="L322" s="72" t="s">
        <v>1539</v>
      </c>
      <c r="M322" s="72" t="s">
        <v>388</v>
      </c>
      <c r="O322" s="72" t="s">
        <v>386</v>
      </c>
      <c r="P322" s="72" t="s">
        <v>808</v>
      </c>
      <c r="Q322" s="72" t="s">
        <v>1611</v>
      </c>
      <c r="R322" s="72" t="s">
        <v>286</v>
      </c>
      <c r="V322" s="60" t="str">
        <f t="shared" si="35"/>
        <v>K4370сиреневый</v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>K4370</v>
      </c>
      <c r="X322" s="60" t="str">
        <f t="shared" si="36"/>
        <v>Faux Fur Bucket</v>
      </c>
      <c r="AC322" s="51">
        <f t="shared" si="37"/>
        <v>3</v>
      </c>
      <c r="AD322" s="44">
        <f t="shared" si="38"/>
        <v>100</v>
      </c>
      <c r="AE322" s="51">
        <f t="shared" si="39"/>
        <v>3100</v>
      </c>
    </row>
    <row r="323" spans="1:31">
      <c r="A323" s="60" t="str">
        <f t="shared" ref="A323:A386" si="41">IF(G323&amp;Q323&lt;&gt;"",W323&amp;Q323,"")</f>
        <v>K4370blue houndstooth</v>
      </c>
      <c r="B323" s="60" t="str">
        <f t="shared" ref="B323:B386" si="42">IF(C323&lt;&gt;"",LEFT(C323,9),"")</f>
        <v>03-100-38</v>
      </c>
      <c r="C323" s="72" t="s">
        <v>1613</v>
      </c>
      <c r="D323" s="72" t="s">
        <v>1614</v>
      </c>
      <c r="E323" s="72" t="s">
        <v>1032</v>
      </c>
      <c r="F323" s="73">
        <v>55</v>
      </c>
      <c r="G323" s="73" t="s">
        <v>1609</v>
      </c>
      <c r="H323" s="72" t="s">
        <v>248</v>
      </c>
      <c r="I323" s="72" t="s">
        <v>1610</v>
      </c>
      <c r="J323" s="72" t="s">
        <v>325</v>
      </c>
      <c r="K323" s="72" t="s">
        <v>382</v>
      </c>
      <c r="L323" s="72" t="s">
        <v>1539</v>
      </c>
      <c r="M323" s="72" t="s">
        <v>388</v>
      </c>
      <c r="O323" s="72" t="s">
        <v>386</v>
      </c>
      <c r="P323" s="72" t="s">
        <v>808</v>
      </c>
      <c r="Q323" s="72" t="s">
        <v>1615</v>
      </c>
      <c r="R323" s="72" t="s">
        <v>71</v>
      </c>
      <c r="V323" s="60" t="str">
        <f t="shared" ref="V323:V386" si="43">W323&amp;H323</f>
        <v>K4370синий / белый</v>
      </c>
      <c r="W323" s="60" t="str">
        <f t="shared" si="40"/>
        <v>K4370</v>
      </c>
      <c r="X323" s="60" t="str">
        <f t="shared" ref="X323:X386" si="44">IF(A323&lt;&gt;"",IFERROR(IF(FIND(" ",G323)&gt;=1,MID(G323,FIND(" ",G323)+1,LEN(G323)),""),""),"")</f>
        <v>Faux Fur Bucket</v>
      </c>
      <c r="AC323" s="51">
        <f t="shared" ref="AC323:AC386" si="45">IFERROR(VALUE(MID($C323,1,2)),0)</f>
        <v>3</v>
      </c>
      <c r="AD323" s="44">
        <f t="shared" ref="AD323:AD386" si="46">IFERROR(VALUE(MID($C323,4,3)),0)</f>
        <v>100</v>
      </c>
      <c r="AE323" s="51">
        <f t="shared" ref="AE323:AE386" si="47">VALUE(RIGHT("00"&amp;AC323,2)&amp;RIGHT("000"&amp;AD323,3))</f>
        <v>3100</v>
      </c>
    </row>
    <row r="324" spans="1:31">
      <c r="A324" s="60" t="str">
        <f t="shared" si="41"/>
        <v>K4370blue houndstooth</v>
      </c>
      <c r="B324" s="60" t="str">
        <f t="shared" si="42"/>
        <v>03-100-38</v>
      </c>
      <c r="C324" s="72" t="s">
        <v>1616</v>
      </c>
      <c r="D324" s="72" t="s">
        <v>1614</v>
      </c>
      <c r="E324" s="72" t="s">
        <v>969</v>
      </c>
      <c r="F324" s="73">
        <v>57</v>
      </c>
      <c r="G324" s="73" t="s">
        <v>1609</v>
      </c>
      <c r="H324" s="72" t="s">
        <v>248</v>
      </c>
      <c r="I324" s="72" t="s">
        <v>1610</v>
      </c>
      <c r="J324" s="72" t="s">
        <v>325</v>
      </c>
      <c r="K324" s="72" t="s">
        <v>382</v>
      </c>
      <c r="L324" s="72" t="s">
        <v>1539</v>
      </c>
      <c r="M324" s="72" t="s">
        <v>388</v>
      </c>
      <c r="O324" s="72" t="s">
        <v>386</v>
      </c>
      <c r="P324" s="72" t="s">
        <v>808</v>
      </c>
      <c r="Q324" s="72" t="s">
        <v>1615</v>
      </c>
      <c r="R324" s="72" t="s">
        <v>71</v>
      </c>
      <c r="V324" s="60" t="str">
        <f t="shared" si="43"/>
        <v>K4370синий / белый</v>
      </c>
      <c r="W324" s="60" t="str">
        <f t="shared" si="40"/>
        <v>K4370</v>
      </c>
      <c r="X324" s="60" t="str">
        <f t="shared" si="44"/>
        <v>Faux Fur Bucket</v>
      </c>
      <c r="AC324" s="51">
        <f t="shared" si="45"/>
        <v>3</v>
      </c>
      <c r="AD324" s="44">
        <f t="shared" si="46"/>
        <v>100</v>
      </c>
      <c r="AE324" s="51">
        <f t="shared" si="47"/>
        <v>3100</v>
      </c>
    </row>
    <row r="325" spans="1:31">
      <c r="A325" s="60" t="str">
        <f t="shared" si="41"/>
        <v>K4370blue houndstooth</v>
      </c>
      <c r="B325" s="60" t="str">
        <f t="shared" si="42"/>
        <v>03-100-38</v>
      </c>
      <c r="C325" s="72" t="s">
        <v>1617</v>
      </c>
      <c r="D325" s="72" t="s">
        <v>1614</v>
      </c>
      <c r="E325" s="72" t="s">
        <v>976</v>
      </c>
      <c r="F325" s="73">
        <v>59</v>
      </c>
      <c r="G325" s="73" t="s">
        <v>1609</v>
      </c>
      <c r="H325" s="72" t="s">
        <v>248</v>
      </c>
      <c r="I325" s="72" t="s">
        <v>1610</v>
      </c>
      <c r="J325" s="72" t="s">
        <v>325</v>
      </c>
      <c r="K325" s="72" t="s">
        <v>382</v>
      </c>
      <c r="L325" s="72" t="s">
        <v>1539</v>
      </c>
      <c r="M325" s="72" t="s">
        <v>388</v>
      </c>
      <c r="O325" s="72" t="s">
        <v>386</v>
      </c>
      <c r="P325" s="72" t="s">
        <v>808</v>
      </c>
      <c r="Q325" s="72" t="s">
        <v>1615</v>
      </c>
      <c r="R325" s="72" t="s">
        <v>71</v>
      </c>
      <c r="V325" s="60" t="str">
        <f t="shared" si="43"/>
        <v>K4370синий / белый</v>
      </c>
      <c r="W325" s="60" t="str">
        <f t="shared" si="40"/>
        <v>K4370</v>
      </c>
      <c r="X325" s="60" t="str">
        <f t="shared" si="44"/>
        <v>Faux Fur Bucket</v>
      </c>
      <c r="AC325" s="51">
        <f t="shared" si="45"/>
        <v>3</v>
      </c>
      <c r="AD325" s="44">
        <f t="shared" si="46"/>
        <v>100</v>
      </c>
      <c r="AE325" s="51">
        <f t="shared" si="47"/>
        <v>3100</v>
      </c>
    </row>
    <row r="326" spans="1:31">
      <c r="A326" s="60" t="str">
        <f t="shared" si="41"/>
        <v>K4369lavender leopard</v>
      </c>
      <c r="B326" s="60" t="str">
        <f t="shared" si="42"/>
        <v>03-101-41</v>
      </c>
      <c r="C326" s="72" t="s">
        <v>1618</v>
      </c>
      <c r="D326" s="72" t="s">
        <v>1619</v>
      </c>
      <c r="E326" s="72" t="s">
        <v>1032</v>
      </c>
      <c r="F326" s="73">
        <v>55</v>
      </c>
      <c r="G326" s="73" t="s">
        <v>1620</v>
      </c>
      <c r="H326" s="72" t="s">
        <v>261</v>
      </c>
      <c r="I326" s="72" t="s">
        <v>1610</v>
      </c>
      <c r="J326" s="72" t="s">
        <v>334</v>
      </c>
      <c r="K326" s="72" t="s">
        <v>387</v>
      </c>
      <c r="L326" s="72" t="s">
        <v>1539</v>
      </c>
      <c r="M326" s="72" t="s">
        <v>388</v>
      </c>
      <c r="N326" s="72" t="s">
        <v>44</v>
      </c>
      <c r="O326" s="72" t="s">
        <v>386</v>
      </c>
      <c r="P326" s="72" t="s">
        <v>808</v>
      </c>
      <c r="Q326" s="72" t="s">
        <v>1611</v>
      </c>
      <c r="R326" s="72" t="s">
        <v>286</v>
      </c>
      <c r="V326" s="60" t="str">
        <f t="shared" si="43"/>
        <v>K4369сиреневый</v>
      </c>
      <c r="W326" s="60" t="str">
        <f t="shared" si="40"/>
        <v>K4369</v>
      </c>
      <c r="X326" s="60" t="str">
        <f t="shared" si="44"/>
        <v>Faux Fur Beret</v>
      </c>
      <c r="AC326" s="51">
        <f t="shared" si="45"/>
        <v>3</v>
      </c>
      <c r="AD326" s="44">
        <f t="shared" si="46"/>
        <v>101</v>
      </c>
      <c r="AE326" s="51">
        <f t="shared" si="47"/>
        <v>3101</v>
      </c>
    </row>
    <row r="327" spans="1:31">
      <c r="A327" s="60" t="str">
        <f t="shared" si="41"/>
        <v>K4369lavender leopard</v>
      </c>
      <c r="B327" s="60" t="str">
        <f t="shared" si="42"/>
        <v>03-101-41</v>
      </c>
      <c r="C327" s="72" t="s">
        <v>1621</v>
      </c>
      <c r="D327" s="72" t="s">
        <v>1619</v>
      </c>
      <c r="E327" s="72" t="s">
        <v>969</v>
      </c>
      <c r="F327" s="73">
        <v>57</v>
      </c>
      <c r="G327" s="73" t="s">
        <v>1620</v>
      </c>
      <c r="H327" s="72" t="s">
        <v>261</v>
      </c>
      <c r="I327" s="72" t="s">
        <v>1610</v>
      </c>
      <c r="J327" s="72" t="s">
        <v>334</v>
      </c>
      <c r="K327" s="72" t="s">
        <v>387</v>
      </c>
      <c r="L327" s="72" t="s">
        <v>1539</v>
      </c>
      <c r="M327" s="72" t="s">
        <v>388</v>
      </c>
      <c r="N327" s="72" t="s">
        <v>44</v>
      </c>
      <c r="O327" s="72" t="s">
        <v>386</v>
      </c>
      <c r="P327" s="72" t="s">
        <v>808</v>
      </c>
      <c r="Q327" s="72" t="s">
        <v>1611</v>
      </c>
      <c r="R327" s="72" t="s">
        <v>286</v>
      </c>
      <c r="V327" s="60" t="str">
        <f t="shared" si="43"/>
        <v>K4369сиреневый</v>
      </c>
      <c r="W327" s="60" t="str">
        <f t="shared" si="40"/>
        <v>K4369</v>
      </c>
      <c r="X327" s="60" t="str">
        <f t="shared" si="44"/>
        <v>Faux Fur Beret</v>
      </c>
      <c r="AC327" s="51">
        <f t="shared" si="45"/>
        <v>3</v>
      </c>
      <c r="AD327" s="44">
        <f t="shared" si="46"/>
        <v>101</v>
      </c>
      <c r="AE327" s="51">
        <f t="shared" si="47"/>
        <v>3101</v>
      </c>
    </row>
    <row r="328" spans="1:31">
      <c r="A328" s="60" t="str">
        <f t="shared" si="41"/>
        <v>K4369lavender leopard</v>
      </c>
      <c r="B328" s="60" t="str">
        <f t="shared" si="42"/>
        <v>03-101-41</v>
      </c>
      <c r="C328" s="72" t="s">
        <v>1622</v>
      </c>
      <c r="D328" s="72" t="s">
        <v>1619</v>
      </c>
      <c r="E328" s="72" t="s">
        <v>976</v>
      </c>
      <c r="F328" s="73">
        <v>59</v>
      </c>
      <c r="G328" s="73" t="s">
        <v>1620</v>
      </c>
      <c r="H328" s="72" t="s">
        <v>261</v>
      </c>
      <c r="I328" s="72" t="s">
        <v>1610</v>
      </c>
      <c r="J328" s="72" t="s">
        <v>334</v>
      </c>
      <c r="K328" s="72" t="s">
        <v>387</v>
      </c>
      <c r="L328" s="72" t="s">
        <v>1539</v>
      </c>
      <c r="M328" s="72" t="s">
        <v>388</v>
      </c>
      <c r="N328" s="72" t="s">
        <v>44</v>
      </c>
      <c r="O328" s="72" t="s">
        <v>386</v>
      </c>
      <c r="P328" s="72" t="s">
        <v>808</v>
      </c>
      <c r="Q328" s="72" t="s">
        <v>1611</v>
      </c>
      <c r="R328" s="72" t="s">
        <v>286</v>
      </c>
      <c r="V328" s="60" t="str">
        <f t="shared" si="43"/>
        <v>K4369сиреневый</v>
      </c>
      <c r="W328" s="60" t="str">
        <f t="shared" si="40"/>
        <v>K4369</v>
      </c>
      <c r="X328" s="60" t="str">
        <f t="shared" si="44"/>
        <v>Faux Fur Beret</v>
      </c>
      <c r="AC328" s="51">
        <f t="shared" si="45"/>
        <v>3</v>
      </c>
      <c r="AD328" s="44">
        <f t="shared" si="46"/>
        <v>101</v>
      </c>
      <c r="AE328" s="51">
        <f t="shared" si="47"/>
        <v>3101</v>
      </c>
    </row>
    <row r="329" spans="1:31">
      <c r="A329" s="60" t="str">
        <f t="shared" si="41"/>
        <v>K4369lavender leopard</v>
      </c>
      <c r="B329" s="60" t="str">
        <f t="shared" si="42"/>
        <v>03-101-41</v>
      </c>
      <c r="C329" s="72" t="s">
        <v>1623</v>
      </c>
      <c r="D329" s="72" t="s">
        <v>1619</v>
      </c>
      <c r="E329" s="72" t="s">
        <v>1053</v>
      </c>
      <c r="F329" s="73">
        <v>56</v>
      </c>
      <c r="G329" s="73" t="s">
        <v>1620</v>
      </c>
      <c r="H329" s="72" t="s">
        <v>261</v>
      </c>
      <c r="I329" s="72" t="s">
        <v>1610</v>
      </c>
      <c r="J329" s="72" t="s">
        <v>334</v>
      </c>
      <c r="K329" s="72" t="s">
        <v>387</v>
      </c>
      <c r="L329" s="72" t="s">
        <v>1539</v>
      </c>
      <c r="M329" s="72" t="s">
        <v>388</v>
      </c>
      <c r="N329" s="72" t="s">
        <v>44</v>
      </c>
      <c r="O329" s="72" t="s">
        <v>386</v>
      </c>
      <c r="P329" s="72" t="s">
        <v>808</v>
      </c>
      <c r="Q329" s="72" t="s">
        <v>1611</v>
      </c>
      <c r="R329" s="72" t="s">
        <v>286</v>
      </c>
      <c r="V329" s="60" t="str">
        <f t="shared" si="43"/>
        <v>K4369сиреневый</v>
      </c>
      <c r="W329" s="60" t="str">
        <f t="shared" si="40"/>
        <v>K4369</v>
      </c>
      <c r="X329" s="60" t="str">
        <f t="shared" si="44"/>
        <v>Faux Fur Beret</v>
      </c>
      <c r="AC329" s="51">
        <f t="shared" si="45"/>
        <v>3</v>
      </c>
      <c r="AD329" s="44">
        <f t="shared" si="46"/>
        <v>101</v>
      </c>
      <c r="AE329" s="51">
        <f t="shared" si="47"/>
        <v>3101</v>
      </c>
    </row>
    <row r="330" spans="1:31">
      <c r="A330" s="60" t="str">
        <f t="shared" si="41"/>
        <v>K4369taupe plaid</v>
      </c>
      <c r="B330" s="60" t="str">
        <f t="shared" si="42"/>
        <v>03-101-11</v>
      </c>
      <c r="C330" s="72" t="s">
        <v>1624</v>
      </c>
      <c r="D330" s="72" t="s">
        <v>1625</v>
      </c>
      <c r="E330" s="72" t="s">
        <v>1032</v>
      </c>
      <c r="F330" s="73">
        <v>55</v>
      </c>
      <c r="G330" s="73" t="s">
        <v>1620</v>
      </c>
      <c r="H330" s="72" t="s">
        <v>60</v>
      </c>
      <c r="I330" s="72" t="s">
        <v>1610</v>
      </c>
      <c r="J330" s="72" t="s">
        <v>334</v>
      </c>
      <c r="K330" s="72" t="s">
        <v>382</v>
      </c>
      <c r="L330" s="72" t="s">
        <v>1539</v>
      </c>
      <c r="M330" s="72" t="s">
        <v>388</v>
      </c>
      <c r="O330" s="72" t="s">
        <v>386</v>
      </c>
      <c r="P330" s="72" t="s">
        <v>808</v>
      </c>
      <c r="Q330" s="72" t="s">
        <v>1626</v>
      </c>
      <c r="R330" s="72" t="s">
        <v>60</v>
      </c>
      <c r="V330" s="60" t="str">
        <f t="shared" si="43"/>
        <v>K4369зеленый</v>
      </c>
      <c r="W330" s="60" t="str">
        <f t="shared" si="40"/>
        <v>K4369</v>
      </c>
      <c r="X330" s="60" t="str">
        <f t="shared" si="44"/>
        <v>Faux Fur Beret</v>
      </c>
      <c r="AC330" s="51">
        <f t="shared" si="45"/>
        <v>3</v>
      </c>
      <c r="AD330" s="44">
        <f t="shared" si="46"/>
        <v>101</v>
      </c>
      <c r="AE330" s="51">
        <f t="shared" si="47"/>
        <v>3101</v>
      </c>
    </row>
    <row r="331" spans="1:31">
      <c r="A331" s="60" t="str">
        <f t="shared" si="41"/>
        <v>K4369taupe plaid</v>
      </c>
      <c r="B331" s="60" t="str">
        <f t="shared" si="42"/>
        <v>03-101-11</v>
      </c>
      <c r="C331" s="72" t="s">
        <v>1627</v>
      </c>
      <c r="D331" s="72" t="s">
        <v>1625</v>
      </c>
      <c r="E331" s="72" t="s">
        <v>969</v>
      </c>
      <c r="F331" s="73">
        <v>57</v>
      </c>
      <c r="G331" s="73" t="s">
        <v>1620</v>
      </c>
      <c r="H331" s="72" t="s">
        <v>60</v>
      </c>
      <c r="I331" s="72" t="s">
        <v>1610</v>
      </c>
      <c r="J331" s="72" t="s">
        <v>334</v>
      </c>
      <c r="K331" s="72" t="s">
        <v>382</v>
      </c>
      <c r="L331" s="72" t="s">
        <v>1539</v>
      </c>
      <c r="M331" s="72" t="s">
        <v>388</v>
      </c>
      <c r="O331" s="72" t="s">
        <v>386</v>
      </c>
      <c r="P331" s="72" t="s">
        <v>808</v>
      </c>
      <c r="Q331" s="72" t="s">
        <v>1626</v>
      </c>
      <c r="R331" s="72" t="s">
        <v>60</v>
      </c>
      <c r="V331" s="60" t="str">
        <f t="shared" si="43"/>
        <v>K4369зеленый</v>
      </c>
      <c r="W331" s="60" t="str">
        <f t="shared" si="40"/>
        <v>K4369</v>
      </c>
      <c r="X331" s="60" t="str">
        <f t="shared" si="44"/>
        <v>Faux Fur Beret</v>
      </c>
      <c r="AC331" s="51">
        <f t="shared" si="45"/>
        <v>3</v>
      </c>
      <c r="AD331" s="44">
        <f t="shared" si="46"/>
        <v>101</v>
      </c>
      <c r="AE331" s="51">
        <f t="shared" si="47"/>
        <v>3101</v>
      </c>
    </row>
    <row r="332" spans="1:31">
      <c r="A332" s="60" t="str">
        <f t="shared" si="41"/>
        <v>K4369taupe plaid</v>
      </c>
      <c r="B332" s="60" t="str">
        <f t="shared" si="42"/>
        <v>03-101-11</v>
      </c>
      <c r="C332" s="72" t="s">
        <v>1628</v>
      </c>
      <c r="D332" s="72" t="s">
        <v>1625</v>
      </c>
      <c r="E332" s="72" t="s">
        <v>976</v>
      </c>
      <c r="F332" s="73">
        <v>59</v>
      </c>
      <c r="G332" s="73" t="s">
        <v>1620</v>
      </c>
      <c r="H332" s="72" t="s">
        <v>60</v>
      </c>
      <c r="I332" s="72" t="s">
        <v>1610</v>
      </c>
      <c r="J332" s="72" t="s">
        <v>334</v>
      </c>
      <c r="K332" s="72" t="s">
        <v>382</v>
      </c>
      <c r="L332" s="72" t="s">
        <v>1539</v>
      </c>
      <c r="M332" s="72" t="s">
        <v>388</v>
      </c>
      <c r="O332" s="72" t="s">
        <v>386</v>
      </c>
      <c r="P332" s="72" t="s">
        <v>808</v>
      </c>
      <c r="Q332" s="72" t="s">
        <v>1626</v>
      </c>
      <c r="R332" s="72" t="s">
        <v>60</v>
      </c>
      <c r="V332" s="60" t="str">
        <f t="shared" si="43"/>
        <v>K4369зеленый</v>
      </c>
      <c r="W332" s="60" t="str">
        <f t="shared" si="40"/>
        <v>K4369</v>
      </c>
      <c r="X332" s="60" t="str">
        <f t="shared" si="44"/>
        <v>Faux Fur Beret</v>
      </c>
      <c r="AC332" s="51">
        <f t="shared" si="45"/>
        <v>3</v>
      </c>
      <c r="AD332" s="44">
        <f t="shared" si="46"/>
        <v>101</v>
      </c>
      <c r="AE332" s="51">
        <f t="shared" si="47"/>
        <v>3101</v>
      </c>
    </row>
    <row r="333" spans="1:31">
      <c r="A333" s="60" t="str">
        <f t="shared" si="41"/>
        <v>K4369taupe plaid</v>
      </c>
      <c r="B333" s="60" t="str">
        <f t="shared" si="42"/>
        <v>03-101-11</v>
      </c>
      <c r="C333" s="72" t="s">
        <v>1629</v>
      </c>
      <c r="D333" s="72" t="s">
        <v>1625</v>
      </c>
      <c r="E333" s="72" t="s">
        <v>1053</v>
      </c>
      <c r="F333" s="73">
        <v>56</v>
      </c>
      <c r="G333" s="73" t="s">
        <v>1620</v>
      </c>
      <c r="H333" s="72" t="s">
        <v>60</v>
      </c>
      <c r="I333" s="72" t="s">
        <v>1610</v>
      </c>
      <c r="J333" s="72" t="s">
        <v>334</v>
      </c>
      <c r="K333" s="72" t="s">
        <v>382</v>
      </c>
      <c r="L333" s="72" t="s">
        <v>1539</v>
      </c>
      <c r="M333" s="72" t="s">
        <v>388</v>
      </c>
      <c r="O333" s="72" t="s">
        <v>386</v>
      </c>
      <c r="P333" s="72" t="s">
        <v>808</v>
      </c>
      <c r="Q333" s="72" t="s">
        <v>1626</v>
      </c>
      <c r="R333" s="72" t="s">
        <v>60</v>
      </c>
      <c r="V333" s="60" t="str">
        <f t="shared" si="43"/>
        <v>K4369зеленый</v>
      </c>
      <c r="W333" s="60" t="str">
        <f t="shared" si="40"/>
        <v>K4369</v>
      </c>
      <c r="X333" s="60" t="str">
        <f t="shared" si="44"/>
        <v>Faux Fur Beret</v>
      </c>
      <c r="AC333" s="51">
        <f t="shared" si="45"/>
        <v>3</v>
      </c>
      <c r="AD333" s="44">
        <f t="shared" si="46"/>
        <v>101</v>
      </c>
      <c r="AE333" s="51">
        <f t="shared" si="47"/>
        <v>3101</v>
      </c>
    </row>
    <row r="334" spans="1:31">
      <c r="A334" s="60" t="str">
        <f t="shared" si="41"/>
        <v>K3201STcream</v>
      </c>
      <c r="B334" s="60" t="str">
        <f t="shared" si="42"/>
        <v>03-071-36</v>
      </c>
      <c r="C334" s="72" t="s">
        <v>1630</v>
      </c>
      <c r="D334" s="72" t="s">
        <v>1631</v>
      </c>
      <c r="E334" s="72" t="s">
        <v>1058</v>
      </c>
      <c r="F334" s="73">
        <v>60</v>
      </c>
      <c r="G334" s="73" t="s">
        <v>1273</v>
      </c>
      <c r="H334" s="72" t="s">
        <v>187</v>
      </c>
      <c r="I334" s="72" t="s">
        <v>1274</v>
      </c>
      <c r="J334" s="72" t="s">
        <v>327</v>
      </c>
      <c r="K334" s="72" t="s">
        <v>387</v>
      </c>
      <c r="L334" s="72" t="s">
        <v>972</v>
      </c>
      <c r="M334" s="72" t="s">
        <v>389</v>
      </c>
      <c r="N334" s="72" t="s">
        <v>44</v>
      </c>
      <c r="O334" s="72" t="s">
        <v>539</v>
      </c>
      <c r="P334" s="72" t="s">
        <v>973</v>
      </c>
      <c r="Q334" s="72" t="s">
        <v>1550</v>
      </c>
      <c r="R334" s="72" t="s">
        <v>57</v>
      </c>
      <c r="V334" s="60" t="str">
        <f t="shared" si="43"/>
        <v>K3201STкремовый</v>
      </c>
      <c r="W334" s="60" t="str">
        <f t="shared" si="40"/>
        <v>K3201ST</v>
      </c>
      <c r="X334" s="60" t="str">
        <f t="shared" si="44"/>
        <v>Furgora Spacecap</v>
      </c>
      <c r="AC334" s="51">
        <f t="shared" si="45"/>
        <v>3</v>
      </c>
      <c r="AD334" s="44">
        <f t="shared" si="46"/>
        <v>71</v>
      </c>
      <c r="AE334" s="51">
        <f t="shared" si="47"/>
        <v>3071</v>
      </c>
    </row>
    <row r="335" spans="1:31">
      <c r="A335" s="60" t="str">
        <f t="shared" si="41"/>
        <v>K3201STcream</v>
      </c>
      <c r="B335" s="60" t="str">
        <f t="shared" si="42"/>
        <v>03-071-36</v>
      </c>
      <c r="C335" s="72" t="s">
        <v>1632</v>
      </c>
      <c r="D335" s="72" t="s">
        <v>1631</v>
      </c>
      <c r="E335" s="72" t="s">
        <v>1053</v>
      </c>
      <c r="F335" s="73">
        <v>56</v>
      </c>
      <c r="G335" s="73" t="s">
        <v>1273</v>
      </c>
      <c r="H335" s="72" t="s">
        <v>187</v>
      </c>
      <c r="I335" s="72" t="s">
        <v>1274</v>
      </c>
      <c r="J335" s="72" t="s">
        <v>327</v>
      </c>
      <c r="K335" s="72" t="s">
        <v>387</v>
      </c>
      <c r="L335" s="72" t="s">
        <v>972</v>
      </c>
      <c r="M335" s="72" t="s">
        <v>389</v>
      </c>
      <c r="N335" s="72" t="s">
        <v>44</v>
      </c>
      <c r="O335" s="72" t="s">
        <v>539</v>
      </c>
      <c r="P335" s="72" t="s">
        <v>973</v>
      </c>
      <c r="Q335" s="72" t="s">
        <v>1550</v>
      </c>
      <c r="R335" s="72" t="s">
        <v>57</v>
      </c>
      <c r="V335" s="60" t="str">
        <f t="shared" si="43"/>
        <v>K3201STкремовый</v>
      </c>
      <c r="W335" s="60" t="str">
        <f t="shared" si="40"/>
        <v>K3201ST</v>
      </c>
      <c r="X335" s="60" t="str">
        <f t="shared" si="44"/>
        <v>Furgora Spacecap</v>
      </c>
      <c r="AC335" s="51">
        <f t="shared" si="45"/>
        <v>3</v>
      </c>
      <c r="AD335" s="44">
        <f t="shared" si="46"/>
        <v>71</v>
      </c>
      <c r="AE335" s="51">
        <f t="shared" si="47"/>
        <v>3071</v>
      </c>
    </row>
    <row r="336" spans="1:31">
      <c r="A336" s="60" t="str">
        <f t="shared" si="41"/>
        <v>K3523black</v>
      </c>
      <c r="B336" s="60" t="str">
        <f t="shared" si="42"/>
        <v>03-102-09</v>
      </c>
      <c r="C336" s="72" t="s">
        <v>1633</v>
      </c>
      <c r="D336" s="72" t="s">
        <v>1634</v>
      </c>
      <c r="E336" s="72" t="s">
        <v>909</v>
      </c>
      <c r="F336" s="73">
        <v>0</v>
      </c>
      <c r="G336" s="73" t="s">
        <v>1635</v>
      </c>
      <c r="H336" s="72" t="s">
        <v>53</v>
      </c>
      <c r="I336" s="72" t="s">
        <v>1636</v>
      </c>
      <c r="J336" s="72" t="s">
        <v>340</v>
      </c>
      <c r="K336" s="72" t="s">
        <v>387</v>
      </c>
      <c r="L336" s="72" t="s">
        <v>1539</v>
      </c>
      <c r="M336" s="72" t="s">
        <v>389</v>
      </c>
      <c r="O336" s="72" t="s">
        <v>539</v>
      </c>
      <c r="P336" s="72" t="s">
        <v>808</v>
      </c>
      <c r="Q336" s="72" t="s">
        <v>1005</v>
      </c>
      <c r="R336" s="72" t="s">
        <v>53</v>
      </c>
      <c r="V336" s="60" t="str">
        <f t="shared" si="43"/>
        <v>K3523черный</v>
      </c>
      <c r="W336" s="60" t="str">
        <f t="shared" si="40"/>
        <v>K3523</v>
      </c>
      <c r="X336" s="60" t="str">
        <f t="shared" si="44"/>
        <v>Furgora Cuff Beanie</v>
      </c>
      <c r="AC336" s="51">
        <f t="shared" si="45"/>
        <v>3</v>
      </c>
      <c r="AD336" s="44">
        <f t="shared" si="46"/>
        <v>102</v>
      </c>
      <c r="AE336" s="51">
        <f t="shared" si="47"/>
        <v>3102</v>
      </c>
    </row>
    <row r="337" spans="1:31">
      <c r="A337" s="60" t="str">
        <f t="shared" si="41"/>
        <v>K4228HTblack</v>
      </c>
      <c r="B337" s="60" t="str">
        <f t="shared" si="42"/>
        <v>03-103-09</v>
      </c>
      <c r="C337" s="72" t="s">
        <v>1637</v>
      </c>
      <c r="D337" s="72" t="s">
        <v>1638</v>
      </c>
      <c r="E337" s="72" t="s">
        <v>1032</v>
      </c>
      <c r="F337" s="73">
        <v>55</v>
      </c>
      <c r="G337" s="73" t="s">
        <v>1639</v>
      </c>
      <c r="H337" s="72" t="s">
        <v>53</v>
      </c>
      <c r="I337" s="72" t="s">
        <v>1398</v>
      </c>
      <c r="J337" s="72" t="s">
        <v>325</v>
      </c>
      <c r="K337" s="72" t="s">
        <v>382</v>
      </c>
      <c r="L337" s="72" t="s">
        <v>1539</v>
      </c>
      <c r="M337" s="72" t="s">
        <v>388</v>
      </c>
      <c r="N337" s="72" t="s">
        <v>1244</v>
      </c>
      <c r="O337" s="72" t="s">
        <v>386</v>
      </c>
      <c r="P337" s="72" t="s">
        <v>808</v>
      </c>
      <c r="Q337" s="72" t="s">
        <v>1005</v>
      </c>
      <c r="R337" s="72" t="s">
        <v>53</v>
      </c>
      <c r="V337" s="60" t="str">
        <f t="shared" si="43"/>
        <v>K4228HTчерный</v>
      </c>
      <c r="W337" s="60" t="str">
        <f t="shared" si="40"/>
        <v>K4228HT</v>
      </c>
      <c r="X337" s="60" t="str">
        <f t="shared" si="44"/>
        <v>Cord Bucket</v>
      </c>
      <c r="AC337" s="51">
        <f t="shared" si="45"/>
        <v>3</v>
      </c>
      <c r="AD337" s="44">
        <f t="shared" si="46"/>
        <v>103</v>
      </c>
      <c r="AE337" s="51">
        <f t="shared" si="47"/>
        <v>3103</v>
      </c>
    </row>
    <row r="338" spans="1:31">
      <c r="A338" s="60" t="str">
        <f t="shared" si="41"/>
        <v>K4228HTblack</v>
      </c>
      <c r="B338" s="60" t="str">
        <f t="shared" si="42"/>
        <v>03-103-09</v>
      </c>
      <c r="C338" s="72" t="s">
        <v>1640</v>
      </c>
      <c r="D338" s="72" t="s">
        <v>1638</v>
      </c>
      <c r="E338" s="72" t="s">
        <v>969</v>
      </c>
      <c r="F338" s="73">
        <v>57</v>
      </c>
      <c r="G338" s="73" t="s">
        <v>1639</v>
      </c>
      <c r="H338" s="72" t="s">
        <v>53</v>
      </c>
      <c r="I338" s="72" t="s">
        <v>1398</v>
      </c>
      <c r="J338" s="72" t="s">
        <v>325</v>
      </c>
      <c r="K338" s="72" t="s">
        <v>382</v>
      </c>
      <c r="L338" s="72" t="s">
        <v>1539</v>
      </c>
      <c r="M338" s="72" t="s">
        <v>388</v>
      </c>
      <c r="N338" s="72" t="s">
        <v>1244</v>
      </c>
      <c r="O338" s="72" t="s">
        <v>386</v>
      </c>
      <c r="P338" s="72" t="s">
        <v>808</v>
      </c>
      <c r="Q338" s="72" t="s">
        <v>1005</v>
      </c>
      <c r="R338" s="72" t="s">
        <v>53</v>
      </c>
      <c r="V338" s="60" t="str">
        <f t="shared" si="43"/>
        <v>K4228HTчерный</v>
      </c>
      <c r="W338" s="60" t="str">
        <f t="shared" si="40"/>
        <v>K4228HT</v>
      </c>
      <c r="X338" s="60" t="str">
        <f t="shared" si="44"/>
        <v>Cord Bucket</v>
      </c>
      <c r="AC338" s="51">
        <f t="shared" si="45"/>
        <v>3</v>
      </c>
      <c r="AD338" s="44">
        <f t="shared" si="46"/>
        <v>103</v>
      </c>
      <c r="AE338" s="51">
        <f t="shared" si="47"/>
        <v>3103</v>
      </c>
    </row>
    <row r="339" spans="1:31">
      <c r="A339" s="60" t="str">
        <f t="shared" si="41"/>
        <v>K4228HTblack</v>
      </c>
      <c r="B339" s="60" t="str">
        <f t="shared" si="42"/>
        <v>03-103-09</v>
      </c>
      <c r="C339" s="72" t="s">
        <v>1641</v>
      </c>
      <c r="D339" s="72" t="s">
        <v>1638</v>
      </c>
      <c r="E339" s="72" t="s">
        <v>976</v>
      </c>
      <c r="F339" s="73">
        <v>59</v>
      </c>
      <c r="G339" s="73" t="s">
        <v>1639</v>
      </c>
      <c r="H339" s="72" t="s">
        <v>53</v>
      </c>
      <c r="I339" s="72" t="s">
        <v>1398</v>
      </c>
      <c r="J339" s="72" t="s">
        <v>325</v>
      </c>
      <c r="K339" s="72" t="s">
        <v>382</v>
      </c>
      <c r="L339" s="72" t="s">
        <v>1539</v>
      </c>
      <c r="M339" s="72" t="s">
        <v>388</v>
      </c>
      <c r="N339" s="72" t="s">
        <v>1244</v>
      </c>
      <c r="O339" s="72" t="s">
        <v>386</v>
      </c>
      <c r="P339" s="72" t="s">
        <v>808</v>
      </c>
      <c r="Q339" s="72" t="s">
        <v>1005</v>
      </c>
      <c r="R339" s="72" t="s">
        <v>53</v>
      </c>
      <c r="V339" s="60" t="str">
        <f t="shared" si="43"/>
        <v>K4228HTчерный</v>
      </c>
      <c r="W339" s="60" t="str">
        <f t="shared" si="40"/>
        <v>K4228HT</v>
      </c>
      <c r="X339" s="60" t="str">
        <f t="shared" si="44"/>
        <v>Cord Bucket</v>
      </c>
      <c r="AC339" s="51">
        <f t="shared" si="45"/>
        <v>3</v>
      </c>
      <c r="AD339" s="44">
        <f t="shared" si="46"/>
        <v>103</v>
      </c>
      <c r="AE339" s="51">
        <f t="shared" si="47"/>
        <v>3103</v>
      </c>
    </row>
    <row r="340" spans="1:31">
      <c r="A340" s="60" t="str">
        <f t="shared" si="41"/>
        <v>K3528black</v>
      </c>
      <c r="B340" s="60" t="str">
        <f t="shared" si="42"/>
        <v>03-104-09</v>
      </c>
      <c r="C340" s="72" t="s">
        <v>1642</v>
      </c>
      <c r="D340" s="72" t="s">
        <v>1643</v>
      </c>
      <c r="E340" s="72" t="s">
        <v>909</v>
      </c>
      <c r="F340" s="73">
        <v>0</v>
      </c>
      <c r="G340" s="73" t="s">
        <v>1644</v>
      </c>
      <c r="H340" s="72" t="s">
        <v>53</v>
      </c>
      <c r="I340" s="72" t="s">
        <v>1221</v>
      </c>
      <c r="J340" s="72" t="s">
        <v>340</v>
      </c>
      <c r="K340" s="72" t="s">
        <v>382</v>
      </c>
      <c r="L340" s="72" t="s">
        <v>972</v>
      </c>
      <c r="M340" s="72" t="s">
        <v>389</v>
      </c>
      <c r="N340" s="72" t="s">
        <v>46</v>
      </c>
      <c r="O340" s="72" t="s">
        <v>539</v>
      </c>
      <c r="P340" s="72" t="s">
        <v>973</v>
      </c>
      <c r="Q340" s="72" t="s">
        <v>1005</v>
      </c>
      <c r="R340" s="72" t="s">
        <v>53</v>
      </c>
      <c r="V340" s="60" t="str">
        <f t="shared" si="43"/>
        <v>K3528черный</v>
      </c>
      <c r="W340" s="60" t="str">
        <f t="shared" si="40"/>
        <v>K3528</v>
      </c>
      <c r="X340" s="60" t="str">
        <f t="shared" si="44"/>
        <v>Service-k Rib Beanie</v>
      </c>
      <c r="AC340" s="51">
        <f t="shared" si="45"/>
        <v>3</v>
      </c>
      <c r="AD340" s="44">
        <f t="shared" si="46"/>
        <v>104</v>
      </c>
      <c r="AE340" s="51">
        <f t="shared" si="47"/>
        <v>3104</v>
      </c>
    </row>
    <row r="341" spans="1:31">
      <c r="A341" s="60" t="str">
        <f t="shared" si="41"/>
        <v>K3528navy</v>
      </c>
      <c r="B341" s="60" t="str">
        <f t="shared" si="42"/>
        <v>03-104-06</v>
      </c>
      <c r="C341" s="72" t="s">
        <v>1645</v>
      </c>
      <c r="D341" s="72" t="s">
        <v>1646</v>
      </c>
      <c r="E341" s="72" t="s">
        <v>909</v>
      </c>
      <c r="F341" s="73">
        <v>0</v>
      </c>
      <c r="G341" s="73" t="s">
        <v>1644</v>
      </c>
      <c r="H341" s="72" t="s">
        <v>71</v>
      </c>
      <c r="I341" s="72" t="s">
        <v>1221</v>
      </c>
      <c r="J341" s="72" t="s">
        <v>340</v>
      </c>
      <c r="K341" s="72" t="s">
        <v>382</v>
      </c>
      <c r="L341" s="72" t="s">
        <v>972</v>
      </c>
      <c r="M341" s="72" t="s">
        <v>389</v>
      </c>
      <c r="N341" s="72" t="s">
        <v>46</v>
      </c>
      <c r="O341" s="72" t="s">
        <v>539</v>
      </c>
      <c r="P341" s="72" t="s">
        <v>973</v>
      </c>
      <c r="Q341" s="72" t="s">
        <v>1017</v>
      </c>
      <c r="R341" s="72" t="s">
        <v>53</v>
      </c>
      <c r="V341" s="60" t="str">
        <f t="shared" si="43"/>
        <v>K3528синий</v>
      </c>
      <c r="W341" s="60" t="str">
        <f t="shared" si="40"/>
        <v>K3528</v>
      </c>
      <c r="X341" s="60" t="str">
        <f t="shared" si="44"/>
        <v>Service-k Rib Beanie</v>
      </c>
      <c r="AC341" s="51">
        <f t="shared" si="45"/>
        <v>3</v>
      </c>
      <c r="AD341" s="44">
        <f t="shared" si="46"/>
        <v>104</v>
      </c>
      <c r="AE341" s="51">
        <f t="shared" si="47"/>
        <v>3104</v>
      </c>
    </row>
    <row r="342" spans="1:31">
      <c r="A342" s="60" t="str">
        <f t="shared" si="41"/>
        <v>K3524black</v>
      </c>
      <c r="B342" s="60" t="str">
        <f t="shared" si="42"/>
        <v>03-105-10</v>
      </c>
      <c r="C342" s="72" t="s">
        <v>1647</v>
      </c>
      <c r="D342" s="72" t="s">
        <v>1648</v>
      </c>
      <c r="E342" s="72" t="s">
        <v>909</v>
      </c>
      <c r="F342" s="73">
        <v>0</v>
      </c>
      <c r="G342" s="73" t="s">
        <v>1649</v>
      </c>
      <c r="H342" s="72" t="s">
        <v>308</v>
      </c>
      <c r="I342" s="72" t="s">
        <v>911</v>
      </c>
      <c r="J342" s="72" t="s">
        <v>340</v>
      </c>
      <c r="K342" s="72" t="s">
        <v>390</v>
      </c>
      <c r="L342" s="72" t="s">
        <v>972</v>
      </c>
      <c r="M342" s="72" t="s">
        <v>389</v>
      </c>
      <c r="N342" s="72" t="s">
        <v>46</v>
      </c>
      <c r="O342" s="72" t="s">
        <v>539</v>
      </c>
      <c r="P342" s="72" t="s">
        <v>973</v>
      </c>
      <c r="Q342" s="72" t="s">
        <v>1005</v>
      </c>
      <c r="R342" s="72" t="s">
        <v>53</v>
      </c>
      <c r="V342" s="60" t="str">
        <f t="shared" si="43"/>
        <v>K3524черный / серый</v>
      </c>
      <c r="W342" s="60" t="str">
        <f t="shared" si="40"/>
        <v>K3524</v>
      </c>
      <c r="X342" s="60" t="str">
        <f t="shared" si="44"/>
        <v>Rib Stripe Rev Beanie</v>
      </c>
      <c r="AC342" s="51">
        <f t="shared" si="45"/>
        <v>3</v>
      </c>
      <c r="AD342" s="44">
        <f t="shared" si="46"/>
        <v>105</v>
      </c>
      <c r="AE342" s="51">
        <f t="shared" si="47"/>
        <v>3105</v>
      </c>
    </row>
    <row r="343" spans="1:31">
      <c r="A343" s="60" t="str">
        <f t="shared" si="41"/>
        <v>K4224HTsmog</v>
      </c>
      <c r="B343" s="60" t="str">
        <f t="shared" si="42"/>
        <v>03-106-80</v>
      </c>
      <c r="C343" s="72" t="s">
        <v>1650</v>
      </c>
      <c r="D343" s="72" t="s">
        <v>1651</v>
      </c>
      <c r="E343" s="72" t="s">
        <v>976</v>
      </c>
      <c r="F343" s="73">
        <v>59</v>
      </c>
      <c r="G343" s="73" t="s">
        <v>1652</v>
      </c>
      <c r="H343" s="72" t="s">
        <v>83</v>
      </c>
      <c r="I343" s="72" t="s">
        <v>910</v>
      </c>
      <c r="J343" s="72" t="s">
        <v>325</v>
      </c>
      <c r="K343" s="72" t="s">
        <v>382</v>
      </c>
      <c r="L343" s="72" t="s">
        <v>972</v>
      </c>
      <c r="M343" s="72" t="s">
        <v>384</v>
      </c>
      <c r="N343" s="72" t="s">
        <v>43</v>
      </c>
      <c r="O343" s="72" t="s">
        <v>386</v>
      </c>
      <c r="P343" s="72" t="s">
        <v>808</v>
      </c>
      <c r="Q343" s="72" t="s">
        <v>1472</v>
      </c>
      <c r="R343" s="72" t="s">
        <v>83</v>
      </c>
      <c r="V343" s="60" t="str">
        <f t="shared" si="43"/>
        <v>K4224HTсерый</v>
      </c>
      <c r="W343" s="60" t="str">
        <f t="shared" si="40"/>
        <v>K4224HT</v>
      </c>
      <c r="X343" s="60" t="str">
        <f t="shared" si="44"/>
        <v>Washed Bucket</v>
      </c>
      <c r="AC343" s="51">
        <f t="shared" si="45"/>
        <v>3</v>
      </c>
      <c r="AD343" s="44">
        <f t="shared" si="46"/>
        <v>106</v>
      </c>
      <c r="AE343" s="51">
        <f t="shared" si="47"/>
        <v>3106</v>
      </c>
    </row>
    <row r="344" spans="1:31">
      <c r="A344" s="60" t="str">
        <f t="shared" si="41"/>
        <v>K4224HTsmog</v>
      </c>
      <c r="B344" s="60" t="str">
        <f t="shared" si="42"/>
        <v>03-106-80</v>
      </c>
      <c r="C344" s="72" t="s">
        <v>1653</v>
      </c>
      <c r="D344" s="72" t="s">
        <v>1651</v>
      </c>
      <c r="E344" s="72" t="s">
        <v>969</v>
      </c>
      <c r="F344" s="73">
        <v>57</v>
      </c>
      <c r="G344" s="73" t="s">
        <v>1652</v>
      </c>
      <c r="H344" s="72" t="s">
        <v>83</v>
      </c>
      <c r="I344" s="72" t="s">
        <v>910</v>
      </c>
      <c r="J344" s="72" t="s">
        <v>325</v>
      </c>
      <c r="K344" s="72" t="s">
        <v>382</v>
      </c>
      <c r="L344" s="72" t="s">
        <v>972</v>
      </c>
      <c r="M344" s="72" t="s">
        <v>384</v>
      </c>
      <c r="N344" s="72" t="s">
        <v>43</v>
      </c>
      <c r="O344" s="72" t="s">
        <v>386</v>
      </c>
      <c r="P344" s="72" t="s">
        <v>808</v>
      </c>
      <c r="Q344" s="72" t="s">
        <v>1472</v>
      </c>
      <c r="R344" s="72" t="s">
        <v>83</v>
      </c>
      <c r="V344" s="60" t="str">
        <f t="shared" si="43"/>
        <v>K4224HTсерый</v>
      </c>
      <c r="W344" s="60" t="str">
        <f t="shared" si="40"/>
        <v>K4224HT</v>
      </c>
      <c r="X344" s="60" t="str">
        <f t="shared" si="44"/>
        <v>Washed Bucket</v>
      </c>
      <c r="AC344" s="51">
        <f t="shared" si="45"/>
        <v>3</v>
      </c>
      <c r="AD344" s="44">
        <f t="shared" si="46"/>
        <v>106</v>
      </c>
      <c r="AE344" s="51">
        <f t="shared" si="47"/>
        <v>3106</v>
      </c>
    </row>
    <row r="345" spans="1:31">
      <c r="A345" s="60" t="str">
        <f t="shared" si="41"/>
        <v>K3050STnavy</v>
      </c>
      <c r="B345" s="60" t="str">
        <f t="shared" si="42"/>
        <v>03-030-16</v>
      </c>
      <c r="C345" s="72" t="s">
        <v>1654</v>
      </c>
      <c r="D345" s="72" t="s">
        <v>1655</v>
      </c>
      <c r="E345" s="72" t="s">
        <v>976</v>
      </c>
      <c r="F345" s="73">
        <v>59</v>
      </c>
      <c r="G345" s="73" t="s">
        <v>1656</v>
      </c>
      <c r="H345" s="72" t="s">
        <v>55</v>
      </c>
      <c r="I345" s="72" t="s">
        <v>971</v>
      </c>
      <c r="J345" s="72" t="s">
        <v>325</v>
      </c>
      <c r="K345" s="72" t="s">
        <v>382</v>
      </c>
      <c r="L345" s="72" t="s">
        <v>972</v>
      </c>
      <c r="M345" s="72" t="s">
        <v>384</v>
      </c>
      <c r="O345" s="72" t="s">
        <v>539</v>
      </c>
      <c r="P345" s="72" t="s">
        <v>808</v>
      </c>
      <c r="Q345" s="72" t="s">
        <v>1017</v>
      </c>
      <c r="R345" s="72" t="s">
        <v>71</v>
      </c>
      <c r="V345" s="60" t="str">
        <f t="shared" si="43"/>
        <v>K3050STтемно-синий</v>
      </c>
      <c r="W345" s="60" t="str">
        <f t="shared" si="40"/>
        <v>K3050ST</v>
      </c>
      <c r="X345" s="60" t="str">
        <f t="shared" si="44"/>
        <v>Bermuda Bucket</v>
      </c>
      <c r="AC345" s="51">
        <f t="shared" si="45"/>
        <v>3</v>
      </c>
      <c r="AD345" s="44">
        <f t="shared" si="46"/>
        <v>30</v>
      </c>
      <c r="AE345" s="51">
        <f t="shared" si="47"/>
        <v>3030</v>
      </c>
    </row>
    <row r="346" spans="1:31">
      <c r="A346" s="60" t="str">
        <f t="shared" si="41"/>
        <v>K3050STnavy</v>
      </c>
      <c r="B346" s="60" t="str">
        <f t="shared" si="42"/>
        <v>03-030-16</v>
      </c>
      <c r="C346" s="72" t="s">
        <v>1657</v>
      </c>
      <c r="D346" s="72" t="s">
        <v>1655</v>
      </c>
      <c r="E346" s="72" t="s">
        <v>969</v>
      </c>
      <c r="F346" s="73">
        <v>57</v>
      </c>
      <c r="G346" s="73" t="s">
        <v>1656</v>
      </c>
      <c r="H346" s="72" t="s">
        <v>55</v>
      </c>
      <c r="I346" s="72" t="s">
        <v>971</v>
      </c>
      <c r="J346" s="72" t="s">
        <v>325</v>
      </c>
      <c r="K346" s="72" t="s">
        <v>382</v>
      </c>
      <c r="L346" s="72" t="s">
        <v>972</v>
      </c>
      <c r="M346" s="72" t="s">
        <v>384</v>
      </c>
      <c r="O346" s="72" t="s">
        <v>539</v>
      </c>
      <c r="P346" s="72" t="s">
        <v>808</v>
      </c>
      <c r="Q346" s="72" t="s">
        <v>1017</v>
      </c>
      <c r="R346" s="72" t="s">
        <v>71</v>
      </c>
      <c r="V346" s="60" t="str">
        <f t="shared" si="43"/>
        <v>K3050STтемно-синий</v>
      </c>
      <c r="W346" s="60" t="str">
        <f t="shared" si="40"/>
        <v>K3050ST</v>
      </c>
      <c r="X346" s="60" t="str">
        <f t="shared" si="44"/>
        <v>Bermuda Bucket</v>
      </c>
      <c r="AC346" s="51">
        <f t="shared" si="45"/>
        <v>3</v>
      </c>
      <c r="AD346" s="44">
        <f t="shared" si="46"/>
        <v>30</v>
      </c>
      <c r="AE346" s="51">
        <f t="shared" si="47"/>
        <v>3030</v>
      </c>
    </row>
    <row r="347" spans="1:31">
      <c r="A347" s="60" t="str">
        <f t="shared" si="41"/>
        <v>6736BCdark blue</v>
      </c>
      <c r="B347" s="60" t="str">
        <f t="shared" si="42"/>
        <v>03-027-06</v>
      </c>
      <c r="C347" s="72" t="s">
        <v>1658</v>
      </c>
      <c r="D347" s="72" t="s">
        <v>1659</v>
      </c>
      <c r="E347" s="72" t="s">
        <v>976</v>
      </c>
      <c r="F347" s="73">
        <v>59</v>
      </c>
      <c r="G347" s="73" t="s">
        <v>1660</v>
      </c>
      <c r="H347" s="72" t="s">
        <v>71</v>
      </c>
      <c r="I347" s="72" t="s">
        <v>1661</v>
      </c>
      <c r="J347" s="72" t="s">
        <v>320</v>
      </c>
      <c r="K347" s="72" t="s">
        <v>382</v>
      </c>
      <c r="L347" s="72" t="s">
        <v>988</v>
      </c>
      <c r="M347" s="72" t="s">
        <v>384</v>
      </c>
      <c r="O347" s="72" t="s">
        <v>539</v>
      </c>
      <c r="P347" s="72" t="s">
        <v>808</v>
      </c>
      <c r="Q347" s="72" t="s">
        <v>1106</v>
      </c>
      <c r="R347" s="72" t="s">
        <v>71</v>
      </c>
      <c r="V347" s="60" t="str">
        <f t="shared" si="43"/>
        <v>6736BCсиний</v>
      </c>
      <c r="W347" s="60" t="str">
        <f t="shared" si="40"/>
        <v>6736BC</v>
      </c>
      <c r="X347" s="60" t="str">
        <f t="shared" si="44"/>
        <v>Bamboo 507</v>
      </c>
      <c r="AC347" s="51">
        <f t="shared" si="45"/>
        <v>3</v>
      </c>
      <c r="AD347" s="44">
        <f t="shared" si="46"/>
        <v>27</v>
      </c>
      <c r="AE347" s="51">
        <f t="shared" si="47"/>
        <v>3027</v>
      </c>
    </row>
    <row r="348" spans="1:31">
      <c r="A348" s="60" t="str">
        <f t="shared" si="41"/>
        <v>2978BCdark blue</v>
      </c>
      <c r="B348" s="60" t="str">
        <f t="shared" si="42"/>
        <v>03-005-16</v>
      </c>
      <c r="C348" s="72" t="s">
        <v>1662</v>
      </c>
      <c r="D348" s="72" t="s">
        <v>1663</v>
      </c>
      <c r="E348" s="72" t="s">
        <v>909</v>
      </c>
      <c r="F348" s="73">
        <v>0</v>
      </c>
      <c r="G348" s="73" t="s">
        <v>1317</v>
      </c>
      <c r="H348" s="72" t="s">
        <v>55</v>
      </c>
      <c r="I348" s="72" t="s">
        <v>1221</v>
      </c>
      <c r="J348" s="72" t="s">
        <v>340</v>
      </c>
      <c r="K348" s="72" t="s">
        <v>382</v>
      </c>
      <c r="L348" s="72" t="s">
        <v>988</v>
      </c>
      <c r="M348" s="72" t="s">
        <v>389</v>
      </c>
      <c r="O348" s="72" t="s">
        <v>386</v>
      </c>
      <c r="P348" s="72" t="s">
        <v>973</v>
      </c>
      <c r="Q348" s="72" t="s">
        <v>1106</v>
      </c>
      <c r="R348" s="72" t="s">
        <v>71</v>
      </c>
      <c r="V348" s="60" t="str">
        <f t="shared" si="43"/>
        <v>2978BCтемно-синий</v>
      </c>
      <c r="W348" s="60" t="str">
        <f t="shared" si="40"/>
        <v>2978BC</v>
      </c>
      <c r="X348" s="60" t="str">
        <f t="shared" si="44"/>
        <v>Acrylic Cuff Pull-On</v>
      </c>
      <c r="AC348" s="51">
        <f t="shared" si="45"/>
        <v>3</v>
      </c>
      <c r="AD348" s="44">
        <f t="shared" si="46"/>
        <v>5</v>
      </c>
      <c r="AE348" s="51">
        <f t="shared" si="47"/>
        <v>3005</v>
      </c>
    </row>
    <row r="349" spans="1:31">
      <c r="A349" s="60" t="str">
        <f t="shared" si="41"/>
        <v>K3019STblack</v>
      </c>
      <c r="B349" s="60" t="str">
        <f t="shared" si="42"/>
        <v>03-013-09</v>
      </c>
      <c r="C349" s="72" t="s">
        <v>1664</v>
      </c>
      <c r="D349" s="72" t="s">
        <v>1665</v>
      </c>
      <c r="E349" s="72" t="s">
        <v>909</v>
      </c>
      <c r="F349" s="73">
        <v>0</v>
      </c>
      <c r="G349" s="73" t="s">
        <v>1425</v>
      </c>
      <c r="H349" s="72" t="s">
        <v>53</v>
      </c>
      <c r="I349" s="72" t="s">
        <v>1666</v>
      </c>
      <c r="J349" s="72" t="s">
        <v>340</v>
      </c>
      <c r="K349" s="72" t="s">
        <v>387</v>
      </c>
      <c r="L349" s="72" t="s">
        <v>972</v>
      </c>
      <c r="M349" s="72" t="s">
        <v>389</v>
      </c>
      <c r="N349" s="72" t="s">
        <v>44</v>
      </c>
      <c r="O349" s="72" t="s">
        <v>539</v>
      </c>
      <c r="P349" s="72" t="s">
        <v>973</v>
      </c>
      <c r="Q349" s="72" t="s">
        <v>1005</v>
      </c>
      <c r="R349" s="72" t="s">
        <v>53</v>
      </c>
      <c r="V349" s="60" t="str">
        <f t="shared" si="43"/>
        <v>K3019STчерный</v>
      </c>
      <c r="W349" s="60" t="str">
        <f t="shared" si="40"/>
        <v>K3019ST</v>
      </c>
      <c r="X349" s="60" t="str">
        <f t="shared" si="44"/>
        <v>Furgora Skull Cap</v>
      </c>
      <c r="AC349" s="51">
        <f t="shared" si="45"/>
        <v>3</v>
      </c>
      <c r="AD349" s="44">
        <f t="shared" si="46"/>
        <v>13</v>
      </c>
      <c r="AE349" s="51">
        <f t="shared" si="47"/>
        <v>3013</v>
      </c>
    </row>
    <row r="350" spans="1:31">
      <c r="A350" s="60" t="str">
        <f t="shared" si="41"/>
        <v>K3027STdk.flannel</v>
      </c>
      <c r="B350" s="60" t="str">
        <f t="shared" si="42"/>
        <v>03-014-08</v>
      </c>
      <c r="C350" s="72" t="s">
        <v>1667</v>
      </c>
      <c r="D350" s="72" t="s">
        <v>1668</v>
      </c>
      <c r="E350" s="72" t="s">
        <v>909</v>
      </c>
      <c r="F350" s="73">
        <v>0</v>
      </c>
      <c r="G350" s="73" t="s">
        <v>1669</v>
      </c>
      <c r="H350" s="72" t="s">
        <v>241</v>
      </c>
      <c r="I350" s="72" t="s">
        <v>1221</v>
      </c>
      <c r="J350" s="72" t="s">
        <v>340</v>
      </c>
      <c r="K350" s="72" t="s">
        <v>382</v>
      </c>
      <c r="L350" s="72" t="s">
        <v>972</v>
      </c>
      <c r="M350" s="72" t="s">
        <v>389</v>
      </c>
      <c r="O350" s="72" t="s">
        <v>539</v>
      </c>
      <c r="P350" s="72" t="s">
        <v>973</v>
      </c>
      <c r="Q350" s="72" t="s">
        <v>1148</v>
      </c>
      <c r="R350" s="72" t="s">
        <v>83</v>
      </c>
      <c r="V350" s="60" t="str">
        <f t="shared" si="43"/>
        <v>K3027STсерый / красный</v>
      </c>
      <c r="W350" s="60" t="str">
        <f t="shared" si="40"/>
        <v>K3027ST</v>
      </c>
      <c r="X350" s="60" t="str">
        <f t="shared" si="44"/>
        <v>Eyelet Beanie</v>
      </c>
      <c r="AC350" s="51">
        <f t="shared" si="45"/>
        <v>3</v>
      </c>
      <c r="AD350" s="44">
        <f t="shared" si="46"/>
        <v>14</v>
      </c>
      <c r="AE350" s="51">
        <f t="shared" si="47"/>
        <v>3014</v>
      </c>
    </row>
    <row r="351" spans="1:31">
      <c r="A351" s="60" t="str">
        <f t="shared" si="41"/>
        <v>K3102STwhite</v>
      </c>
      <c r="B351" s="60" t="str">
        <f t="shared" si="42"/>
        <v>03-022-17</v>
      </c>
      <c r="C351" s="72" t="s">
        <v>1670</v>
      </c>
      <c r="D351" s="72" t="s">
        <v>1671</v>
      </c>
      <c r="E351" s="72" t="s">
        <v>909</v>
      </c>
      <c r="F351" s="73">
        <v>0</v>
      </c>
      <c r="G351" s="73" t="s">
        <v>1672</v>
      </c>
      <c r="H351" s="72" t="s">
        <v>57</v>
      </c>
      <c r="I351" s="72" t="s">
        <v>1221</v>
      </c>
      <c r="J351" s="72" t="s">
        <v>340</v>
      </c>
      <c r="K351" s="72" t="s">
        <v>387</v>
      </c>
      <c r="L351" s="72" t="s">
        <v>972</v>
      </c>
      <c r="M351" s="72" t="s">
        <v>389</v>
      </c>
      <c r="O351" s="72" t="s">
        <v>539</v>
      </c>
      <c r="P351" s="72" t="s">
        <v>973</v>
      </c>
      <c r="Q351" s="72" t="s">
        <v>989</v>
      </c>
      <c r="R351" s="72" t="s">
        <v>57</v>
      </c>
      <c r="V351" s="60" t="str">
        <f t="shared" si="43"/>
        <v>K3102STбелый</v>
      </c>
      <c r="W351" s="60" t="str">
        <f t="shared" si="40"/>
        <v>K3102ST</v>
      </c>
      <c r="X351" s="60" t="str">
        <f t="shared" si="44"/>
        <v>Col Eyelet Beanie</v>
      </c>
      <c r="AC351" s="51">
        <f t="shared" si="45"/>
        <v>3</v>
      </c>
      <c r="AD351" s="44">
        <f t="shared" si="46"/>
        <v>22</v>
      </c>
      <c r="AE351" s="51">
        <f t="shared" si="47"/>
        <v>3022</v>
      </c>
    </row>
    <row r="352" spans="1:31">
      <c r="A352" s="60" t="str">
        <f t="shared" si="41"/>
        <v>K3016STscarlet</v>
      </c>
      <c r="B352" s="60" t="str">
        <f t="shared" si="42"/>
        <v>03-011-18</v>
      </c>
      <c r="C352" s="72" t="s">
        <v>1673</v>
      </c>
      <c r="D352" s="72" t="s">
        <v>1674</v>
      </c>
      <c r="E352" s="72" t="s">
        <v>969</v>
      </c>
      <c r="F352" s="73">
        <v>57</v>
      </c>
      <c r="G352" s="73" t="s">
        <v>1675</v>
      </c>
      <c r="H352" s="72" t="s">
        <v>78</v>
      </c>
      <c r="I352" s="72" t="s">
        <v>1676</v>
      </c>
      <c r="J352" s="72" t="s">
        <v>320</v>
      </c>
      <c r="K352" s="72" t="s">
        <v>387</v>
      </c>
      <c r="L352" s="72" t="s">
        <v>972</v>
      </c>
      <c r="M352" s="72" t="s">
        <v>388</v>
      </c>
      <c r="N352" s="72" t="s">
        <v>44</v>
      </c>
      <c r="O352" s="72" t="s">
        <v>386</v>
      </c>
      <c r="P352" s="72" t="s">
        <v>973</v>
      </c>
      <c r="Q352" s="72" t="s">
        <v>1502</v>
      </c>
      <c r="R352" s="72" t="s">
        <v>78</v>
      </c>
      <c r="V352" s="60" t="str">
        <f t="shared" si="43"/>
        <v>K3016STкрасный</v>
      </c>
      <c r="W352" s="60" t="str">
        <f t="shared" si="40"/>
        <v>K3016ST</v>
      </c>
      <c r="X352" s="60" t="str">
        <f t="shared" si="44"/>
        <v>Furgora 504</v>
      </c>
      <c r="AC352" s="51">
        <f t="shared" si="45"/>
        <v>3</v>
      </c>
      <c r="AD352" s="44">
        <f t="shared" si="46"/>
        <v>11</v>
      </c>
      <c r="AE352" s="51">
        <f t="shared" si="47"/>
        <v>3011</v>
      </c>
    </row>
    <row r="353" spans="1:31">
      <c r="A353" s="60" t="str">
        <f t="shared" si="41"/>
        <v>K0875FAflannel</v>
      </c>
      <c r="B353" s="60" t="str">
        <f t="shared" si="42"/>
        <v>03-008-01</v>
      </c>
      <c r="C353" s="72" t="s">
        <v>1677</v>
      </c>
      <c r="D353" s="72" t="s">
        <v>1678</v>
      </c>
      <c r="E353" s="72" t="s">
        <v>969</v>
      </c>
      <c r="F353" s="73">
        <v>57</v>
      </c>
      <c r="G353" s="73" t="s">
        <v>1131</v>
      </c>
      <c r="H353" s="72" t="s">
        <v>231</v>
      </c>
      <c r="I353" s="72" t="s">
        <v>1132</v>
      </c>
      <c r="J353" s="72" t="s">
        <v>320</v>
      </c>
      <c r="K353" s="72" t="s">
        <v>382</v>
      </c>
      <c r="L353" s="72" t="s">
        <v>988</v>
      </c>
      <c r="M353" s="72" t="s">
        <v>388</v>
      </c>
      <c r="N353" s="72" t="s">
        <v>44</v>
      </c>
      <c r="O353" s="72" t="s">
        <v>539</v>
      </c>
      <c r="P353" s="72" t="s">
        <v>973</v>
      </c>
      <c r="Q353" s="72" t="s">
        <v>1119</v>
      </c>
      <c r="R353" s="72" t="s">
        <v>83</v>
      </c>
      <c r="V353" s="60" t="str">
        <f t="shared" si="43"/>
        <v>K0875FAсветло-серый</v>
      </c>
      <c r="W353" s="60" t="str">
        <f t="shared" si="40"/>
        <v>K0875FA</v>
      </c>
      <c r="X353" s="60" t="str">
        <f t="shared" si="44"/>
        <v>Seamless Wool 507</v>
      </c>
      <c r="AC353" s="51">
        <f t="shared" si="45"/>
        <v>3</v>
      </c>
      <c r="AD353" s="44">
        <f t="shared" si="46"/>
        <v>8</v>
      </c>
      <c r="AE353" s="51">
        <f t="shared" si="47"/>
        <v>3008</v>
      </c>
    </row>
    <row r="354" spans="1:31">
      <c r="A354" s="60" t="str">
        <f t="shared" si="41"/>
        <v>K0875FAflannel</v>
      </c>
      <c r="B354" s="60" t="str">
        <f t="shared" si="42"/>
        <v>03-008-01</v>
      </c>
      <c r="C354" s="72" t="s">
        <v>1679</v>
      </c>
      <c r="D354" s="72" t="s">
        <v>1678</v>
      </c>
      <c r="E354" s="72" t="s">
        <v>976</v>
      </c>
      <c r="F354" s="73">
        <v>59</v>
      </c>
      <c r="G354" s="73" t="s">
        <v>1131</v>
      </c>
      <c r="H354" s="72" t="s">
        <v>231</v>
      </c>
      <c r="I354" s="72" t="s">
        <v>1132</v>
      </c>
      <c r="J354" s="72" t="s">
        <v>320</v>
      </c>
      <c r="K354" s="72" t="s">
        <v>382</v>
      </c>
      <c r="L354" s="72" t="s">
        <v>988</v>
      </c>
      <c r="M354" s="72" t="s">
        <v>388</v>
      </c>
      <c r="N354" s="72" t="s">
        <v>44</v>
      </c>
      <c r="O354" s="72" t="s">
        <v>539</v>
      </c>
      <c r="P354" s="72" t="s">
        <v>973</v>
      </c>
      <c r="Q354" s="72" t="s">
        <v>1119</v>
      </c>
      <c r="R354" s="72" t="s">
        <v>83</v>
      </c>
      <c r="V354" s="60" t="str">
        <f t="shared" si="43"/>
        <v>K0875FAсветло-серый</v>
      </c>
      <c r="W354" s="60" t="str">
        <f t="shared" si="40"/>
        <v>K0875FA</v>
      </c>
      <c r="X354" s="60" t="str">
        <f t="shared" si="44"/>
        <v>Seamless Wool 507</v>
      </c>
      <c r="AC354" s="51">
        <f t="shared" si="45"/>
        <v>3</v>
      </c>
      <c r="AD354" s="44">
        <f t="shared" si="46"/>
        <v>8</v>
      </c>
      <c r="AE354" s="51">
        <f t="shared" si="47"/>
        <v>3008</v>
      </c>
    </row>
    <row r="355" spans="1:31">
      <c r="A355" s="60" t="str">
        <f t="shared" si="41"/>
        <v>K0875FAespresso</v>
      </c>
      <c r="B355" s="60" t="str">
        <f t="shared" si="42"/>
        <v>03-008-15</v>
      </c>
      <c r="C355" s="72" t="s">
        <v>1680</v>
      </c>
      <c r="D355" s="72" t="s">
        <v>1681</v>
      </c>
      <c r="E355" s="72" t="s">
        <v>1030</v>
      </c>
      <c r="F355" s="73">
        <v>61</v>
      </c>
      <c r="G355" s="73" t="s">
        <v>1131</v>
      </c>
      <c r="H355" s="72" t="s">
        <v>271</v>
      </c>
      <c r="I355" s="72" t="s">
        <v>1132</v>
      </c>
      <c r="J355" s="72" t="s">
        <v>320</v>
      </c>
      <c r="K355" s="72" t="s">
        <v>382</v>
      </c>
      <c r="L355" s="72" t="s">
        <v>988</v>
      </c>
      <c r="M355" s="72" t="s">
        <v>388</v>
      </c>
      <c r="N355" s="72" t="s">
        <v>44</v>
      </c>
      <c r="O355" s="72" t="s">
        <v>539</v>
      </c>
      <c r="P355" s="72" t="s">
        <v>973</v>
      </c>
      <c r="Q355" s="72" t="s">
        <v>1682</v>
      </c>
      <c r="R355" s="72" t="s">
        <v>86</v>
      </c>
      <c r="V355" s="60" t="str">
        <f t="shared" si="43"/>
        <v>K0875FAтемно-коричневый</v>
      </c>
      <c r="W355" s="60" t="str">
        <f t="shared" si="40"/>
        <v>K0875FA</v>
      </c>
      <c r="X355" s="60" t="str">
        <f t="shared" si="44"/>
        <v>Seamless Wool 507</v>
      </c>
      <c r="AC355" s="51">
        <f t="shared" si="45"/>
        <v>3</v>
      </c>
      <c r="AD355" s="44">
        <f t="shared" si="46"/>
        <v>8</v>
      </c>
      <c r="AE355" s="51">
        <f t="shared" si="47"/>
        <v>3008</v>
      </c>
    </row>
    <row r="356" spans="1:31">
      <c r="A356" s="60" t="str">
        <f t="shared" si="41"/>
        <v>K0875FAespresso</v>
      </c>
      <c r="B356" s="60" t="str">
        <f t="shared" si="42"/>
        <v>03-008-15</v>
      </c>
      <c r="C356" s="72" t="s">
        <v>1683</v>
      </c>
      <c r="D356" s="72" t="s">
        <v>1681</v>
      </c>
      <c r="E356" s="72" t="s">
        <v>969</v>
      </c>
      <c r="F356" s="73">
        <v>57</v>
      </c>
      <c r="G356" s="73" t="s">
        <v>1131</v>
      </c>
      <c r="H356" s="72" t="s">
        <v>271</v>
      </c>
      <c r="I356" s="72" t="s">
        <v>1132</v>
      </c>
      <c r="J356" s="72" t="s">
        <v>320</v>
      </c>
      <c r="K356" s="72" t="s">
        <v>382</v>
      </c>
      <c r="L356" s="72" t="s">
        <v>988</v>
      </c>
      <c r="M356" s="72" t="s">
        <v>388</v>
      </c>
      <c r="N356" s="72" t="s">
        <v>44</v>
      </c>
      <c r="O356" s="72" t="s">
        <v>539</v>
      </c>
      <c r="P356" s="72" t="s">
        <v>973</v>
      </c>
      <c r="Q356" s="72" t="s">
        <v>1682</v>
      </c>
      <c r="R356" s="72" t="s">
        <v>86</v>
      </c>
      <c r="V356" s="60" t="str">
        <f t="shared" si="43"/>
        <v>K0875FAтемно-коричневый</v>
      </c>
      <c r="W356" s="60" t="str">
        <f t="shared" si="40"/>
        <v>K0875FA</v>
      </c>
      <c r="X356" s="60" t="str">
        <f t="shared" si="44"/>
        <v>Seamless Wool 507</v>
      </c>
      <c r="AC356" s="51">
        <f t="shared" si="45"/>
        <v>3</v>
      </c>
      <c r="AD356" s="44">
        <f t="shared" si="46"/>
        <v>8</v>
      </c>
      <c r="AE356" s="51">
        <f t="shared" si="47"/>
        <v>3008</v>
      </c>
    </row>
    <row r="357" spans="1:31">
      <c r="A357" s="60" t="str">
        <f t="shared" si="41"/>
        <v>K0875FAespresso</v>
      </c>
      <c r="B357" s="60" t="str">
        <f t="shared" si="42"/>
        <v>03-008-15</v>
      </c>
      <c r="C357" s="72" t="s">
        <v>1684</v>
      </c>
      <c r="D357" s="72" t="s">
        <v>1681</v>
      </c>
      <c r="E357" s="72" t="s">
        <v>976</v>
      </c>
      <c r="F357" s="73">
        <v>59</v>
      </c>
      <c r="G357" s="73" t="s">
        <v>1131</v>
      </c>
      <c r="H357" s="72" t="s">
        <v>271</v>
      </c>
      <c r="I357" s="72" t="s">
        <v>1132</v>
      </c>
      <c r="J357" s="72" t="s">
        <v>320</v>
      </c>
      <c r="K357" s="72" t="s">
        <v>382</v>
      </c>
      <c r="L357" s="72" t="s">
        <v>988</v>
      </c>
      <c r="M357" s="72" t="s">
        <v>388</v>
      </c>
      <c r="N357" s="72" t="s">
        <v>44</v>
      </c>
      <c r="O357" s="72" t="s">
        <v>539</v>
      </c>
      <c r="P357" s="72" t="s">
        <v>973</v>
      </c>
      <c r="Q357" s="72" t="s">
        <v>1682</v>
      </c>
      <c r="R357" s="72" t="s">
        <v>86</v>
      </c>
      <c r="V357" s="60" t="str">
        <f t="shared" si="43"/>
        <v>K0875FAтемно-коричневый</v>
      </c>
      <c r="W357" s="60" t="str">
        <f t="shared" si="40"/>
        <v>K0875FA</v>
      </c>
      <c r="X357" s="60" t="str">
        <f t="shared" si="44"/>
        <v>Seamless Wool 507</v>
      </c>
      <c r="AC357" s="51">
        <f t="shared" si="45"/>
        <v>3</v>
      </c>
      <c r="AD357" s="44">
        <f t="shared" si="46"/>
        <v>8</v>
      </c>
      <c r="AE357" s="51">
        <f t="shared" si="47"/>
        <v>3008</v>
      </c>
    </row>
    <row r="358" spans="1:31">
      <c r="A358" s="60" t="str">
        <f t="shared" si="41"/>
        <v>K0875FAespresso</v>
      </c>
      <c r="B358" s="60" t="str">
        <f t="shared" si="42"/>
        <v>03-008-15</v>
      </c>
      <c r="C358" s="72" t="s">
        <v>1685</v>
      </c>
      <c r="D358" s="72" t="s">
        <v>1681</v>
      </c>
      <c r="E358" s="72" t="s">
        <v>1032</v>
      </c>
      <c r="F358" s="73">
        <v>55</v>
      </c>
      <c r="G358" s="73" t="s">
        <v>1131</v>
      </c>
      <c r="H358" s="72" t="s">
        <v>271</v>
      </c>
      <c r="I358" s="72" t="s">
        <v>1132</v>
      </c>
      <c r="J358" s="72" t="s">
        <v>320</v>
      </c>
      <c r="K358" s="72" t="s">
        <v>382</v>
      </c>
      <c r="L358" s="72" t="s">
        <v>988</v>
      </c>
      <c r="M358" s="72" t="s">
        <v>388</v>
      </c>
      <c r="N358" s="72" t="s">
        <v>44</v>
      </c>
      <c r="O358" s="72" t="s">
        <v>539</v>
      </c>
      <c r="P358" s="72" t="s">
        <v>973</v>
      </c>
      <c r="Q358" s="72" t="s">
        <v>1682</v>
      </c>
      <c r="R358" s="72" t="s">
        <v>86</v>
      </c>
      <c r="V358" s="60" t="str">
        <f t="shared" si="43"/>
        <v>K0875FAтемно-коричневый</v>
      </c>
      <c r="W358" s="60" t="str">
        <f t="shared" si="40"/>
        <v>K0875FA</v>
      </c>
      <c r="X358" s="60" t="str">
        <f t="shared" si="44"/>
        <v>Seamless Wool 507</v>
      </c>
      <c r="AC358" s="51">
        <f t="shared" si="45"/>
        <v>3</v>
      </c>
      <c r="AD358" s="44">
        <f t="shared" si="46"/>
        <v>8</v>
      </c>
      <c r="AE358" s="51">
        <f t="shared" si="47"/>
        <v>3008</v>
      </c>
    </row>
    <row r="359" spans="1:31">
      <c r="A359" s="60" t="str">
        <f t="shared" si="41"/>
        <v>0258BCblack</v>
      </c>
      <c r="B359" s="60" t="str">
        <f t="shared" si="42"/>
        <v>03-002-84</v>
      </c>
      <c r="C359" s="72" t="s">
        <v>1686</v>
      </c>
      <c r="D359" s="72" t="s">
        <v>1687</v>
      </c>
      <c r="E359" s="72" t="s">
        <v>1302</v>
      </c>
      <c r="F359" s="73">
        <v>63</v>
      </c>
      <c r="G359" s="73" t="s">
        <v>1118</v>
      </c>
      <c r="H359" s="72" t="s">
        <v>53</v>
      </c>
      <c r="I359" s="72" t="s">
        <v>1105</v>
      </c>
      <c r="J359" s="72" t="s">
        <v>320</v>
      </c>
      <c r="K359" s="72" t="s">
        <v>382</v>
      </c>
      <c r="L359" s="72" t="s">
        <v>988</v>
      </c>
      <c r="M359" s="72" t="s">
        <v>388</v>
      </c>
      <c r="N359" s="72" t="s">
        <v>44</v>
      </c>
      <c r="O359" s="72" t="s">
        <v>539</v>
      </c>
      <c r="P359" s="72" t="s">
        <v>973</v>
      </c>
      <c r="Q359" s="72" t="s">
        <v>1005</v>
      </c>
      <c r="R359" s="72" t="s">
        <v>53</v>
      </c>
      <c r="V359" s="60" t="str">
        <f t="shared" si="43"/>
        <v>0258BCчерный</v>
      </c>
      <c r="W359" s="60" t="str">
        <f t="shared" si="40"/>
        <v>0258BC</v>
      </c>
      <c r="X359" s="60" t="str">
        <f t="shared" si="44"/>
        <v>Wool 504</v>
      </c>
      <c r="AC359" s="51">
        <f t="shared" si="45"/>
        <v>3</v>
      </c>
      <c r="AD359" s="44">
        <f t="shared" si="46"/>
        <v>2</v>
      </c>
      <c r="AE359" s="51">
        <f t="shared" si="47"/>
        <v>3002</v>
      </c>
    </row>
    <row r="360" spans="1:31">
      <c r="A360" s="60" t="str">
        <f t="shared" si="41"/>
        <v>0258BCblack</v>
      </c>
      <c r="B360" s="60" t="str">
        <f t="shared" si="42"/>
        <v>03-002-84</v>
      </c>
      <c r="C360" s="72" t="s">
        <v>1688</v>
      </c>
      <c r="D360" s="72" t="s">
        <v>1687</v>
      </c>
      <c r="E360" s="72" t="s">
        <v>1032</v>
      </c>
      <c r="F360" s="73">
        <v>55</v>
      </c>
      <c r="G360" s="73" t="s">
        <v>1118</v>
      </c>
      <c r="H360" s="72" t="s">
        <v>53</v>
      </c>
      <c r="I360" s="72" t="s">
        <v>1105</v>
      </c>
      <c r="J360" s="72" t="s">
        <v>320</v>
      </c>
      <c r="K360" s="72" t="s">
        <v>382</v>
      </c>
      <c r="L360" s="72" t="s">
        <v>988</v>
      </c>
      <c r="M360" s="72" t="s">
        <v>388</v>
      </c>
      <c r="N360" s="72" t="s">
        <v>44</v>
      </c>
      <c r="O360" s="72" t="s">
        <v>539</v>
      </c>
      <c r="P360" s="72" t="s">
        <v>973</v>
      </c>
      <c r="Q360" s="72" t="s">
        <v>1005</v>
      </c>
      <c r="R360" s="72" t="s">
        <v>53</v>
      </c>
      <c r="V360" s="60" t="str">
        <f t="shared" si="43"/>
        <v>0258BCчерный</v>
      </c>
      <c r="W360" s="60" t="str">
        <f t="shared" si="40"/>
        <v>0258BC</v>
      </c>
      <c r="X360" s="60" t="str">
        <f t="shared" si="44"/>
        <v>Wool 504</v>
      </c>
      <c r="AC360" s="51">
        <f t="shared" si="45"/>
        <v>3</v>
      </c>
      <c r="AD360" s="44">
        <f t="shared" si="46"/>
        <v>2</v>
      </c>
      <c r="AE360" s="51">
        <f t="shared" si="47"/>
        <v>3002</v>
      </c>
    </row>
    <row r="361" spans="1:31">
      <c r="A361" s="60" t="str">
        <f t="shared" si="41"/>
        <v>0258BCblack</v>
      </c>
      <c r="B361" s="60" t="str">
        <f t="shared" si="42"/>
        <v>03-002-84</v>
      </c>
      <c r="C361" s="72" t="s">
        <v>1689</v>
      </c>
      <c r="D361" s="72" t="s">
        <v>1687</v>
      </c>
      <c r="E361" s="72" t="s">
        <v>976</v>
      </c>
      <c r="F361" s="73">
        <v>59</v>
      </c>
      <c r="G361" s="73" t="s">
        <v>1118</v>
      </c>
      <c r="H361" s="72" t="s">
        <v>53</v>
      </c>
      <c r="I361" s="72" t="s">
        <v>1105</v>
      </c>
      <c r="J361" s="72" t="s">
        <v>320</v>
      </c>
      <c r="K361" s="72" t="s">
        <v>382</v>
      </c>
      <c r="L361" s="72" t="s">
        <v>988</v>
      </c>
      <c r="M361" s="72" t="s">
        <v>388</v>
      </c>
      <c r="N361" s="72" t="s">
        <v>44</v>
      </c>
      <c r="O361" s="72" t="s">
        <v>539</v>
      </c>
      <c r="P361" s="72" t="s">
        <v>973</v>
      </c>
      <c r="Q361" s="72" t="s">
        <v>1005</v>
      </c>
      <c r="R361" s="72" t="s">
        <v>53</v>
      </c>
      <c r="V361" s="60" t="str">
        <f t="shared" si="43"/>
        <v>0258BCчерный</v>
      </c>
      <c r="W361" s="60" t="str">
        <f t="shared" si="40"/>
        <v>0258BC</v>
      </c>
      <c r="X361" s="60" t="str">
        <f t="shared" si="44"/>
        <v>Wool 504</v>
      </c>
      <c r="AC361" s="51">
        <f t="shared" si="45"/>
        <v>3</v>
      </c>
      <c r="AD361" s="44">
        <f t="shared" si="46"/>
        <v>2</v>
      </c>
      <c r="AE361" s="51">
        <f t="shared" si="47"/>
        <v>3002</v>
      </c>
    </row>
    <row r="362" spans="1:31">
      <c r="A362" s="60" t="str">
        <f t="shared" si="41"/>
        <v>0258BCblack</v>
      </c>
      <c r="B362" s="60" t="str">
        <f t="shared" si="42"/>
        <v>03-002-84</v>
      </c>
      <c r="C362" s="72" t="s">
        <v>1690</v>
      </c>
      <c r="D362" s="72" t="s">
        <v>1687</v>
      </c>
      <c r="E362" s="72" t="s">
        <v>969</v>
      </c>
      <c r="F362" s="73">
        <v>57</v>
      </c>
      <c r="G362" s="73" t="s">
        <v>1118</v>
      </c>
      <c r="H362" s="72" t="s">
        <v>53</v>
      </c>
      <c r="I362" s="72" t="s">
        <v>1105</v>
      </c>
      <c r="J362" s="72" t="s">
        <v>320</v>
      </c>
      <c r="K362" s="72" t="s">
        <v>382</v>
      </c>
      <c r="L362" s="72" t="s">
        <v>988</v>
      </c>
      <c r="M362" s="72" t="s">
        <v>388</v>
      </c>
      <c r="N362" s="72" t="s">
        <v>44</v>
      </c>
      <c r="O362" s="72" t="s">
        <v>539</v>
      </c>
      <c r="P362" s="72" t="s">
        <v>973</v>
      </c>
      <c r="Q362" s="72" t="s">
        <v>1005</v>
      </c>
      <c r="R362" s="72" t="s">
        <v>53</v>
      </c>
      <c r="V362" s="60" t="str">
        <f t="shared" si="43"/>
        <v>0258BCчерный</v>
      </c>
      <c r="W362" s="60" t="str">
        <f t="shared" si="40"/>
        <v>0258BC</v>
      </c>
      <c r="X362" s="60" t="str">
        <f t="shared" si="44"/>
        <v>Wool 504</v>
      </c>
      <c r="AC362" s="51">
        <f t="shared" si="45"/>
        <v>3</v>
      </c>
      <c r="AD362" s="44">
        <f t="shared" si="46"/>
        <v>2</v>
      </c>
      <c r="AE362" s="51">
        <f t="shared" si="47"/>
        <v>3002</v>
      </c>
    </row>
    <row r="363" spans="1:31">
      <c r="A363" s="60" t="str">
        <f t="shared" si="41"/>
        <v>0258BCblack</v>
      </c>
      <c r="B363" s="60" t="str">
        <f t="shared" si="42"/>
        <v>03-002-84</v>
      </c>
      <c r="C363" s="72" t="s">
        <v>1691</v>
      </c>
      <c r="D363" s="72" t="s">
        <v>1687</v>
      </c>
      <c r="E363" s="72" t="s">
        <v>1030</v>
      </c>
      <c r="F363" s="73">
        <v>61</v>
      </c>
      <c r="G363" s="73" t="s">
        <v>1118</v>
      </c>
      <c r="H363" s="72" t="s">
        <v>53</v>
      </c>
      <c r="I363" s="72" t="s">
        <v>1105</v>
      </c>
      <c r="J363" s="72" t="s">
        <v>320</v>
      </c>
      <c r="K363" s="72" t="s">
        <v>382</v>
      </c>
      <c r="L363" s="72" t="s">
        <v>988</v>
      </c>
      <c r="M363" s="72" t="s">
        <v>388</v>
      </c>
      <c r="N363" s="72" t="s">
        <v>44</v>
      </c>
      <c r="O363" s="72" t="s">
        <v>539</v>
      </c>
      <c r="P363" s="72" t="s">
        <v>973</v>
      </c>
      <c r="Q363" s="72" t="s">
        <v>1005</v>
      </c>
      <c r="R363" s="72" t="s">
        <v>53</v>
      </c>
      <c r="V363" s="60" t="str">
        <f t="shared" si="43"/>
        <v>0258BCчерный</v>
      </c>
      <c r="W363" s="60" t="str">
        <f t="shared" si="40"/>
        <v>0258BC</v>
      </c>
      <c r="X363" s="60" t="str">
        <f t="shared" si="44"/>
        <v>Wool 504</v>
      </c>
      <c r="AC363" s="51">
        <f t="shared" si="45"/>
        <v>3</v>
      </c>
      <c r="AD363" s="44">
        <f t="shared" si="46"/>
        <v>2</v>
      </c>
      <c r="AE363" s="51">
        <f t="shared" si="47"/>
        <v>3002</v>
      </c>
    </row>
    <row r="364" spans="1:31">
      <c r="A364" s="60" t="str">
        <f t="shared" si="41"/>
        <v>0258BCdark blue</v>
      </c>
      <c r="B364" s="60" t="str">
        <f t="shared" si="42"/>
        <v>03-002-06</v>
      </c>
      <c r="C364" s="72" t="s">
        <v>1692</v>
      </c>
      <c r="D364" s="72" t="s">
        <v>1693</v>
      </c>
      <c r="E364" s="72" t="s">
        <v>1032</v>
      </c>
      <c r="F364" s="73">
        <v>55</v>
      </c>
      <c r="G364" s="73" t="s">
        <v>1118</v>
      </c>
      <c r="H364" s="72" t="s">
        <v>55</v>
      </c>
      <c r="I364" s="72" t="s">
        <v>1105</v>
      </c>
      <c r="J364" s="72" t="s">
        <v>320</v>
      </c>
      <c r="K364" s="72" t="s">
        <v>382</v>
      </c>
      <c r="L364" s="72" t="s">
        <v>988</v>
      </c>
      <c r="M364" s="72" t="s">
        <v>388</v>
      </c>
      <c r="N364" s="72" t="s">
        <v>44</v>
      </c>
      <c r="O364" s="72" t="s">
        <v>539</v>
      </c>
      <c r="P364" s="72" t="s">
        <v>973</v>
      </c>
      <c r="Q364" s="72" t="s">
        <v>1106</v>
      </c>
      <c r="R364" s="72" t="s">
        <v>71</v>
      </c>
      <c r="V364" s="60" t="str">
        <f t="shared" si="43"/>
        <v>0258BCтемно-синий</v>
      </c>
      <c r="W364" s="60" t="str">
        <f t="shared" si="40"/>
        <v>0258BC</v>
      </c>
      <c r="X364" s="60" t="str">
        <f t="shared" si="44"/>
        <v>Wool 504</v>
      </c>
      <c r="AC364" s="51">
        <f t="shared" si="45"/>
        <v>3</v>
      </c>
      <c r="AD364" s="44">
        <f t="shared" si="46"/>
        <v>2</v>
      </c>
      <c r="AE364" s="51">
        <f t="shared" si="47"/>
        <v>3002</v>
      </c>
    </row>
    <row r="365" spans="1:31">
      <c r="A365" s="60" t="str">
        <f t="shared" si="41"/>
        <v>0258BCdark blue</v>
      </c>
      <c r="B365" s="60" t="str">
        <f t="shared" si="42"/>
        <v>03-002-06</v>
      </c>
      <c r="C365" s="72" t="s">
        <v>1694</v>
      </c>
      <c r="D365" s="72" t="s">
        <v>1693</v>
      </c>
      <c r="E365" s="72" t="s">
        <v>976</v>
      </c>
      <c r="F365" s="73">
        <v>59</v>
      </c>
      <c r="G365" s="73" t="s">
        <v>1118</v>
      </c>
      <c r="H365" s="72" t="s">
        <v>55</v>
      </c>
      <c r="I365" s="72" t="s">
        <v>1105</v>
      </c>
      <c r="J365" s="72" t="s">
        <v>320</v>
      </c>
      <c r="K365" s="72" t="s">
        <v>382</v>
      </c>
      <c r="L365" s="72" t="s">
        <v>988</v>
      </c>
      <c r="M365" s="72" t="s">
        <v>388</v>
      </c>
      <c r="N365" s="72" t="s">
        <v>44</v>
      </c>
      <c r="O365" s="72" t="s">
        <v>539</v>
      </c>
      <c r="P365" s="72" t="s">
        <v>973</v>
      </c>
      <c r="Q365" s="72" t="s">
        <v>1106</v>
      </c>
      <c r="R365" s="72" t="s">
        <v>71</v>
      </c>
      <c r="V365" s="60" t="str">
        <f t="shared" si="43"/>
        <v>0258BCтемно-синий</v>
      </c>
      <c r="W365" s="60" t="str">
        <f t="shared" si="40"/>
        <v>0258BC</v>
      </c>
      <c r="X365" s="60" t="str">
        <f t="shared" si="44"/>
        <v>Wool 504</v>
      </c>
      <c r="AC365" s="51">
        <f t="shared" si="45"/>
        <v>3</v>
      </c>
      <c r="AD365" s="44">
        <f t="shared" si="46"/>
        <v>2</v>
      </c>
      <c r="AE365" s="51">
        <f t="shared" si="47"/>
        <v>3002</v>
      </c>
    </row>
    <row r="366" spans="1:31">
      <c r="A366" s="60" t="str">
        <f t="shared" si="41"/>
        <v>0258BCdark blue</v>
      </c>
      <c r="B366" s="60" t="str">
        <f t="shared" si="42"/>
        <v>03-002-06</v>
      </c>
      <c r="C366" s="72" t="s">
        <v>1695</v>
      </c>
      <c r="D366" s="72" t="s">
        <v>1693</v>
      </c>
      <c r="E366" s="72" t="s">
        <v>969</v>
      </c>
      <c r="F366" s="73">
        <v>57</v>
      </c>
      <c r="G366" s="73" t="s">
        <v>1118</v>
      </c>
      <c r="H366" s="72" t="s">
        <v>55</v>
      </c>
      <c r="I366" s="72" t="s">
        <v>1105</v>
      </c>
      <c r="J366" s="72" t="s">
        <v>320</v>
      </c>
      <c r="K366" s="72" t="s">
        <v>382</v>
      </c>
      <c r="L366" s="72" t="s">
        <v>988</v>
      </c>
      <c r="M366" s="72" t="s">
        <v>388</v>
      </c>
      <c r="N366" s="72" t="s">
        <v>44</v>
      </c>
      <c r="O366" s="72" t="s">
        <v>539</v>
      </c>
      <c r="P366" s="72" t="s">
        <v>973</v>
      </c>
      <c r="Q366" s="72" t="s">
        <v>1106</v>
      </c>
      <c r="R366" s="72" t="s">
        <v>71</v>
      </c>
      <c r="V366" s="60" t="str">
        <f t="shared" si="43"/>
        <v>0258BCтемно-синий</v>
      </c>
      <c r="W366" s="60" t="str">
        <f t="shared" si="40"/>
        <v>0258BC</v>
      </c>
      <c r="X366" s="60" t="str">
        <f t="shared" si="44"/>
        <v>Wool 504</v>
      </c>
      <c r="AC366" s="51">
        <f t="shared" si="45"/>
        <v>3</v>
      </c>
      <c r="AD366" s="44">
        <f t="shared" si="46"/>
        <v>2</v>
      </c>
      <c r="AE366" s="51">
        <f t="shared" si="47"/>
        <v>3002</v>
      </c>
    </row>
    <row r="367" spans="1:31">
      <c r="A367" s="60" t="str">
        <f t="shared" si="41"/>
        <v>0258BCdark blue</v>
      </c>
      <c r="B367" s="60" t="str">
        <f t="shared" si="42"/>
        <v>03-002-06</v>
      </c>
      <c r="C367" s="72" t="s">
        <v>1696</v>
      </c>
      <c r="D367" s="72" t="s">
        <v>1693</v>
      </c>
      <c r="E367" s="72" t="s">
        <v>1030</v>
      </c>
      <c r="F367" s="73">
        <v>61</v>
      </c>
      <c r="G367" s="73" t="s">
        <v>1118</v>
      </c>
      <c r="H367" s="72" t="s">
        <v>55</v>
      </c>
      <c r="I367" s="72" t="s">
        <v>1105</v>
      </c>
      <c r="J367" s="72" t="s">
        <v>320</v>
      </c>
      <c r="K367" s="72" t="s">
        <v>382</v>
      </c>
      <c r="L367" s="72" t="s">
        <v>988</v>
      </c>
      <c r="M367" s="72" t="s">
        <v>388</v>
      </c>
      <c r="N367" s="72" t="s">
        <v>44</v>
      </c>
      <c r="O367" s="72" t="s">
        <v>539</v>
      </c>
      <c r="P367" s="72" t="s">
        <v>973</v>
      </c>
      <c r="Q367" s="72" t="s">
        <v>1106</v>
      </c>
      <c r="R367" s="72" t="s">
        <v>71</v>
      </c>
      <c r="V367" s="60" t="str">
        <f t="shared" si="43"/>
        <v>0258BCтемно-синий</v>
      </c>
      <c r="W367" s="60" t="str">
        <f t="shared" si="40"/>
        <v>0258BC</v>
      </c>
      <c r="X367" s="60" t="str">
        <f t="shared" si="44"/>
        <v>Wool 504</v>
      </c>
      <c r="AC367" s="51">
        <f t="shared" si="45"/>
        <v>3</v>
      </c>
      <c r="AD367" s="44">
        <f t="shared" si="46"/>
        <v>2</v>
      </c>
      <c r="AE367" s="51">
        <f t="shared" si="47"/>
        <v>3002</v>
      </c>
    </row>
    <row r="368" spans="1:31">
      <c r="A368" s="60" t="str">
        <f t="shared" si="41"/>
        <v>0252HTvino</v>
      </c>
      <c r="B368" s="60" t="str">
        <f t="shared" si="42"/>
        <v>03-001-12</v>
      </c>
      <c r="C368" s="72" t="s">
        <v>1697</v>
      </c>
      <c r="D368" s="72" t="s">
        <v>1698</v>
      </c>
      <c r="E368" s="72" t="s">
        <v>1032</v>
      </c>
      <c r="F368" s="73">
        <v>55</v>
      </c>
      <c r="G368" s="73" t="s">
        <v>1699</v>
      </c>
      <c r="H368" s="72" t="s">
        <v>121</v>
      </c>
      <c r="I368" s="72" t="s">
        <v>1105</v>
      </c>
      <c r="J368" s="72" t="s">
        <v>334</v>
      </c>
      <c r="K368" s="72" t="s">
        <v>382</v>
      </c>
      <c r="L368" s="72" t="s">
        <v>988</v>
      </c>
      <c r="M368" s="72" t="s">
        <v>388</v>
      </c>
      <c r="N368" s="72" t="s">
        <v>44</v>
      </c>
      <c r="O368" s="72" t="s">
        <v>386</v>
      </c>
      <c r="P368" s="72" t="s">
        <v>973</v>
      </c>
      <c r="Q368" s="72" t="s">
        <v>1310</v>
      </c>
      <c r="R368" s="72" t="s">
        <v>121</v>
      </c>
      <c r="V368" s="60" t="str">
        <f t="shared" si="43"/>
        <v>0252HTбордовый</v>
      </c>
      <c r="W368" s="60" t="str">
        <f t="shared" si="40"/>
        <v>0252HT</v>
      </c>
      <c r="X368" s="60" t="str">
        <f t="shared" si="44"/>
        <v>Anglobasque Beret</v>
      </c>
      <c r="AC368" s="51">
        <f t="shared" si="45"/>
        <v>3</v>
      </c>
      <c r="AD368" s="44">
        <f t="shared" si="46"/>
        <v>1</v>
      </c>
      <c r="AE368" s="51">
        <f t="shared" si="47"/>
        <v>3001</v>
      </c>
    </row>
    <row r="369" spans="1:31">
      <c r="A369" s="60" t="str">
        <f t="shared" si="41"/>
        <v>0252HTvino</v>
      </c>
      <c r="B369" s="60" t="str">
        <f t="shared" si="42"/>
        <v>03-001-12</v>
      </c>
      <c r="C369" s="72" t="s">
        <v>1700</v>
      </c>
      <c r="D369" s="72" t="s">
        <v>1698</v>
      </c>
      <c r="E369" s="72" t="s">
        <v>976</v>
      </c>
      <c r="F369" s="73">
        <v>59</v>
      </c>
      <c r="G369" s="73" t="s">
        <v>1699</v>
      </c>
      <c r="H369" s="72" t="s">
        <v>121</v>
      </c>
      <c r="I369" s="72" t="s">
        <v>1105</v>
      </c>
      <c r="J369" s="72" t="s">
        <v>334</v>
      </c>
      <c r="K369" s="72" t="s">
        <v>382</v>
      </c>
      <c r="L369" s="72" t="s">
        <v>988</v>
      </c>
      <c r="M369" s="72" t="s">
        <v>388</v>
      </c>
      <c r="N369" s="72" t="s">
        <v>44</v>
      </c>
      <c r="O369" s="72" t="s">
        <v>386</v>
      </c>
      <c r="P369" s="72" t="s">
        <v>973</v>
      </c>
      <c r="Q369" s="72" t="s">
        <v>1310</v>
      </c>
      <c r="R369" s="72" t="s">
        <v>121</v>
      </c>
      <c r="V369" s="60" t="str">
        <f t="shared" si="43"/>
        <v>0252HTбордовый</v>
      </c>
      <c r="W369" s="60" t="str">
        <f t="shared" si="40"/>
        <v>0252HT</v>
      </c>
      <c r="X369" s="60" t="str">
        <f t="shared" si="44"/>
        <v>Anglobasque Beret</v>
      </c>
      <c r="AC369" s="51">
        <f t="shared" si="45"/>
        <v>3</v>
      </c>
      <c r="AD369" s="44">
        <f t="shared" si="46"/>
        <v>1</v>
      </c>
      <c r="AE369" s="51">
        <f t="shared" si="47"/>
        <v>3001</v>
      </c>
    </row>
    <row r="370" spans="1:31">
      <c r="A370" s="60" t="str">
        <f t="shared" si="41"/>
        <v>0252HTvino</v>
      </c>
      <c r="B370" s="60" t="str">
        <f t="shared" si="42"/>
        <v>03-001-12</v>
      </c>
      <c r="C370" s="72" t="s">
        <v>1701</v>
      </c>
      <c r="D370" s="72" t="s">
        <v>1698</v>
      </c>
      <c r="E370" s="72" t="s">
        <v>969</v>
      </c>
      <c r="F370" s="73">
        <v>57</v>
      </c>
      <c r="G370" s="73" t="s">
        <v>1699</v>
      </c>
      <c r="H370" s="72" t="s">
        <v>121</v>
      </c>
      <c r="I370" s="72" t="s">
        <v>1105</v>
      </c>
      <c r="J370" s="72" t="s">
        <v>334</v>
      </c>
      <c r="K370" s="72" t="s">
        <v>382</v>
      </c>
      <c r="L370" s="72" t="s">
        <v>988</v>
      </c>
      <c r="M370" s="72" t="s">
        <v>388</v>
      </c>
      <c r="N370" s="72" t="s">
        <v>44</v>
      </c>
      <c r="O370" s="72" t="s">
        <v>386</v>
      </c>
      <c r="P370" s="72" t="s">
        <v>973</v>
      </c>
      <c r="Q370" s="72" t="s">
        <v>1310</v>
      </c>
      <c r="R370" s="72" t="s">
        <v>121</v>
      </c>
      <c r="V370" s="60" t="str">
        <f t="shared" si="43"/>
        <v>0252HTбордовый</v>
      </c>
      <c r="W370" s="60" t="str">
        <f t="shared" si="40"/>
        <v>0252HT</v>
      </c>
      <c r="X370" s="60" t="str">
        <f t="shared" si="44"/>
        <v>Anglobasque Beret</v>
      </c>
      <c r="AC370" s="51">
        <f t="shared" si="45"/>
        <v>3</v>
      </c>
      <c r="AD370" s="44">
        <f t="shared" si="46"/>
        <v>1</v>
      </c>
      <c r="AE370" s="51">
        <f t="shared" si="47"/>
        <v>3001</v>
      </c>
    </row>
    <row r="371" spans="1:31">
      <c r="A371" s="60" t="str">
        <f t="shared" si="41"/>
        <v>0252HTcamel</v>
      </c>
      <c r="B371" s="60" t="str">
        <f t="shared" si="42"/>
        <v>03-001-02</v>
      </c>
      <c r="C371" s="72" t="s">
        <v>1702</v>
      </c>
      <c r="D371" s="72" t="s">
        <v>1703</v>
      </c>
      <c r="E371" s="72" t="s">
        <v>1032</v>
      </c>
      <c r="F371" s="73">
        <v>55</v>
      </c>
      <c r="G371" s="73" t="s">
        <v>1699</v>
      </c>
      <c r="H371" s="72" t="s">
        <v>205</v>
      </c>
      <c r="I371" s="72" t="s">
        <v>1105</v>
      </c>
      <c r="J371" s="72" t="s">
        <v>334</v>
      </c>
      <c r="K371" s="72" t="s">
        <v>382</v>
      </c>
      <c r="L371" s="72" t="s">
        <v>988</v>
      </c>
      <c r="M371" s="72" t="s">
        <v>388</v>
      </c>
      <c r="N371" s="72" t="s">
        <v>44</v>
      </c>
      <c r="O371" s="72" t="s">
        <v>386</v>
      </c>
      <c r="P371" s="72" t="s">
        <v>973</v>
      </c>
      <c r="Q371" s="72" t="s">
        <v>1704</v>
      </c>
      <c r="R371" s="72" t="s">
        <v>63</v>
      </c>
      <c r="V371" s="60" t="str">
        <f t="shared" si="43"/>
        <v>0252HTпесочный</v>
      </c>
      <c r="W371" s="60" t="str">
        <f t="shared" si="40"/>
        <v>0252HT</v>
      </c>
      <c r="X371" s="60" t="str">
        <f t="shared" si="44"/>
        <v>Anglobasque Beret</v>
      </c>
      <c r="AC371" s="51">
        <f t="shared" si="45"/>
        <v>3</v>
      </c>
      <c r="AD371" s="44">
        <f t="shared" si="46"/>
        <v>1</v>
      </c>
      <c r="AE371" s="51">
        <f t="shared" si="47"/>
        <v>3001</v>
      </c>
    </row>
    <row r="372" spans="1:31">
      <c r="A372" s="60" t="str">
        <f t="shared" si="41"/>
        <v>0252HTcamel</v>
      </c>
      <c r="B372" s="60" t="str">
        <f t="shared" si="42"/>
        <v>03-001-02</v>
      </c>
      <c r="C372" s="72" t="s">
        <v>1705</v>
      </c>
      <c r="D372" s="72" t="s">
        <v>1703</v>
      </c>
      <c r="E372" s="72" t="s">
        <v>1030</v>
      </c>
      <c r="F372" s="73">
        <v>61</v>
      </c>
      <c r="G372" s="73" t="s">
        <v>1699</v>
      </c>
      <c r="H372" s="72" t="s">
        <v>205</v>
      </c>
      <c r="I372" s="72" t="s">
        <v>1105</v>
      </c>
      <c r="J372" s="72" t="s">
        <v>334</v>
      </c>
      <c r="K372" s="72" t="s">
        <v>382</v>
      </c>
      <c r="L372" s="72" t="s">
        <v>988</v>
      </c>
      <c r="M372" s="72" t="s">
        <v>388</v>
      </c>
      <c r="N372" s="72" t="s">
        <v>44</v>
      </c>
      <c r="O372" s="72" t="s">
        <v>386</v>
      </c>
      <c r="P372" s="72" t="s">
        <v>973</v>
      </c>
      <c r="Q372" s="72" t="s">
        <v>1704</v>
      </c>
      <c r="R372" s="72" t="s">
        <v>63</v>
      </c>
      <c r="V372" s="60" t="str">
        <f t="shared" si="43"/>
        <v>0252HTпесочный</v>
      </c>
      <c r="W372" s="60" t="str">
        <f t="shared" si="40"/>
        <v>0252HT</v>
      </c>
      <c r="X372" s="60" t="str">
        <f t="shared" si="44"/>
        <v>Anglobasque Beret</v>
      </c>
      <c r="AC372" s="51">
        <f t="shared" si="45"/>
        <v>3</v>
      </c>
      <c r="AD372" s="44">
        <f t="shared" si="46"/>
        <v>1</v>
      </c>
      <c r="AE372" s="51">
        <f t="shared" si="47"/>
        <v>3001</v>
      </c>
    </row>
    <row r="373" spans="1:31">
      <c r="A373" s="60" t="str">
        <f t="shared" si="41"/>
        <v>0252HTcamel</v>
      </c>
      <c r="B373" s="60" t="str">
        <f t="shared" si="42"/>
        <v>03-001-02</v>
      </c>
      <c r="C373" s="72" t="s">
        <v>1706</v>
      </c>
      <c r="D373" s="72" t="s">
        <v>1703</v>
      </c>
      <c r="E373" s="72" t="s">
        <v>976</v>
      </c>
      <c r="F373" s="73">
        <v>59</v>
      </c>
      <c r="G373" s="73" t="s">
        <v>1699</v>
      </c>
      <c r="H373" s="72" t="s">
        <v>205</v>
      </c>
      <c r="I373" s="72" t="s">
        <v>1105</v>
      </c>
      <c r="J373" s="72" t="s">
        <v>334</v>
      </c>
      <c r="K373" s="72" t="s">
        <v>382</v>
      </c>
      <c r="L373" s="72" t="s">
        <v>988</v>
      </c>
      <c r="M373" s="72" t="s">
        <v>388</v>
      </c>
      <c r="N373" s="72" t="s">
        <v>44</v>
      </c>
      <c r="O373" s="72" t="s">
        <v>386</v>
      </c>
      <c r="P373" s="72" t="s">
        <v>973</v>
      </c>
      <c r="Q373" s="72" t="s">
        <v>1704</v>
      </c>
      <c r="R373" s="72" t="s">
        <v>63</v>
      </c>
      <c r="V373" s="60" t="str">
        <f t="shared" si="43"/>
        <v>0252HTпесочный</v>
      </c>
      <c r="W373" s="60" t="str">
        <f t="shared" si="40"/>
        <v>0252HT</v>
      </c>
      <c r="X373" s="60" t="str">
        <f t="shared" si="44"/>
        <v>Anglobasque Beret</v>
      </c>
      <c r="AC373" s="51">
        <f t="shared" si="45"/>
        <v>3</v>
      </c>
      <c r="AD373" s="44">
        <f t="shared" si="46"/>
        <v>1</v>
      </c>
      <c r="AE373" s="51">
        <f t="shared" si="47"/>
        <v>3001</v>
      </c>
    </row>
    <row r="374" spans="1:31">
      <c r="A374" s="60" t="str">
        <f t="shared" si="41"/>
        <v>0252HTcamel</v>
      </c>
      <c r="B374" s="60" t="str">
        <f t="shared" si="42"/>
        <v>03-001-02</v>
      </c>
      <c r="C374" s="72" t="s">
        <v>1707</v>
      </c>
      <c r="D374" s="72" t="s">
        <v>1703</v>
      </c>
      <c r="E374" s="72" t="s">
        <v>969</v>
      </c>
      <c r="F374" s="73">
        <v>57</v>
      </c>
      <c r="G374" s="73" t="s">
        <v>1699</v>
      </c>
      <c r="H374" s="72" t="s">
        <v>205</v>
      </c>
      <c r="I374" s="72" t="s">
        <v>1105</v>
      </c>
      <c r="J374" s="72" t="s">
        <v>334</v>
      </c>
      <c r="K374" s="72" t="s">
        <v>382</v>
      </c>
      <c r="L374" s="72" t="s">
        <v>988</v>
      </c>
      <c r="M374" s="72" t="s">
        <v>388</v>
      </c>
      <c r="N374" s="72" t="s">
        <v>44</v>
      </c>
      <c r="O374" s="72" t="s">
        <v>386</v>
      </c>
      <c r="P374" s="72" t="s">
        <v>973</v>
      </c>
      <c r="Q374" s="72" t="s">
        <v>1704</v>
      </c>
      <c r="R374" s="72" t="s">
        <v>63</v>
      </c>
      <c r="V374" s="60" t="str">
        <f t="shared" si="43"/>
        <v>0252HTпесочный</v>
      </c>
      <c r="W374" s="60" t="str">
        <f t="shared" si="40"/>
        <v>0252HT</v>
      </c>
      <c r="X374" s="60" t="str">
        <f t="shared" si="44"/>
        <v>Anglobasque Beret</v>
      </c>
      <c r="AC374" s="51">
        <f t="shared" si="45"/>
        <v>3</v>
      </c>
      <c r="AD374" s="44">
        <f t="shared" si="46"/>
        <v>1</v>
      </c>
      <c r="AE374" s="51">
        <f t="shared" si="47"/>
        <v>3001</v>
      </c>
    </row>
    <row r="375" spans="1:31">
      <c r="A375" s="60" t="str">
        <f t="shared" si="41"/>
        <v>0252HTdark blue</v>
      </c>
      <c r="B375" s="60" t="str">
        <f t="shared" si="42"/>
        <v>03-001-16</v>
      </c>
      <c r="C375" s="72" t="s">
        <v>1708</v>
      </c>
      <c r="D375" s="72" t="s">
        <v>1709</v>
      </c>
      <c r="E375" s="72" t="s">
        <v>1032</v>
      </c>
      <c r="F375" s="73">
        <v>55</v>
      </c>
      <c r="G375" s="73" t="s">
        <v>1699</v>
      </c>
      <c r="H375" s="72" t="s">
        <v>55</v>
      </c>
      <c r="I375" s="72" t="s">
        <v>1105</v>
      </c>
      <c r="J375" s="72" t="s">
        <v>334</v>
      </c>
      <c r="K375" s="72" t="s">
        <v>382</v>
      </c>
      <c r="L375" s="72" t="s">
        <v>988</v>
      </c>
      <c r="M375" s="72" t="s">
        <v>388</v>
      </c>
      <c r="N375" s="72" t="s">
        <v>44</v>
      </c>
      <c r="O375" s="72" t="s">
        <v>386</v>
      </c>
      <c r="P375" s="72" t="s">
        <v>973</v>
      </c>
      <c r="Q375" s="72" t="s">
        <v>1106</v>
      </c>
      <c r="R375" s="72" t="s">
        <v>71</v>
      </c>
      <c r="V375" s="60" t="str">
        <f t="shared" si="43"/>
        <v>0252HTтемно-синий</v>
      </c>
      <c r="W375" s="60" t="str">
        <f t="shared" si="40"/>
        <v>0252HT</v>
      </c>
      <c r="X375" s="60" t="str">
        <f t="shared" si="44"/>
        <v>Anglobasque Beret</v>
      </c>
      <c r="AC375" s="51">
        <f t="shared" si="45"/>
        <v>3</v>
      </c>
      <c r="AD375" s="44">
        <f t="shared" si="46"/>
        <v>1</v>
      </c>
      <c r="AE375" s="51">
        <f t="shared" si="47"/>
        <v>3001</v>
      </c>
    </row>
    <row r="376" spans="1:31">
      <c r="A376" s="60" t="str">
        <f t="shared" si="41"/>
        <v>0252HTdark blue</v>
      </c>
      <c r="B376" s="60" t="str">
        <f t="shared" si="42"/>
        <v>03-001-16</v>
      </c>
      <c r="C376" s="72" t="s">
        <v>1710</v>
      </c>
      <c r="D376" s="72" t="s">
        <v>1709</v>
      </c>
      <c r="E376" s="72" t="s">
        <v>1030</v>
      </c>
      <c r="F376" s="73">
        <v>61</v>
      </c>
      <c r="G376" s="73" t="s">
        <v>1699</v>
      </c>
      <c r="H376" s="72" t="s">
        <v>55</v>
      </c>
      <c r="I376" s="72" t="s">
        <v>1105</v>
      </c>
      <c r="J376" s="72" t="s">
        <v>334</v>
      </c>
      <c r="K376" s="72" t="s">
        <v>382</v>
      </c>
      <c r="L376" s="72" t="s">
        <v>988</v>
      </c>
      <c r="M376" s="72" t="s">
        <v>388</v>
      </c>
      <c r="N376" s="72" t="s">
        <v>44</v>
      </c>
      <c r="O376" s="72" t="s">
        <v>386</v>
      </c>
      <c r="P376" s="72" t="s">
        <v>973</v>
      </c>
      <c r="Q376" s="72" t="s">
        <v>1106</v>
      </c>
      <c r="R376" s="72" t="s">
        <v>71</v>
      </c>
      <c r="V376" s="60" t="str">
        <f t="shared" si="43"/>
        <v>0252HTтемно-синий</v>
      </c>
      <c r="W376" s="60" t="str">
        <f t="shared" si="40"/>
        <v>0252HT</v>
      </c>
      <c r="X376" s="60" t="str">
        <f t="shared" si="44"/>
        <v>Anglobasque Beret</v>
      </c>
      <c r="AC376" s="51">
        <f t="shared" si="45"/>
        <v>3</v>
      </c>
      <c r="AD376" s="44">
        <f t="shared" si="46"/>
        <v>1</v>
      </c>
      <c r="AE376" s="51">
        <f t="shared" si="47"/>
        <v>3001</v>
      </c>
    </row>
    <row r="377" spans="1:31">
      <c r="A377" s="60" t="str">
        <f t="shared" si="41"/>
        <v>0252HTdark blue</v>
      </c>
      <c r="B377" s="60" t="str">
        <f t="shared" si="42"/>
        <v>03-001-16</v>
      </c>
      <c r="C377" s="72" t="s">
        <v>1711</v>
      </c>
      <c r="D377" s="72" t="s">
        <v>1709</v>
      </c>
      <c r="E377" s="72" t="s">
        <v>976</v>
      </c>
      <c r="F377" s="73">
        <v>59</v>
      </c>
      <c r="G377" s="73" t="s">
        <v>1699</v>
      </c>
      <c r="H377" s="72" t="s">
        <v>55</v>
      </c>
      <c r="I377" s="72" t="s">
        <v>1105</v>
      </c>
      <c r="J377" s="72" t="s">
        <v>334</v>
      </c>
      <c r="K377" s="72" t="s">
        <v>382</v>
      </c>
      <c r="L377" s="72" t="s">
        <v>988</v>
      </c>
      <c r="M377" s="72" t="s">
        <v>388</v>
      </c>
      <c r="N377" s="72" t="s">
        <v>44</v>
      </c>
      <c r="O377" s="72" t="s">
        <v>386</v>
      </c>
      <c r="P377" s="72" t="s">
        <v>973</v>
      </c>
      <c r="Q377" s="72" t="s">
        <v>1106</v>
      </c>
      <c r="R377" s="72" t="s">
        <v>71</v>
      </c>
      <c r="V377" s="60" t="str">
        <f t="shared" si="43"/>
        <v>0252HTтемно-синий</v>
      </c>
      <c r="W377" s="60" t="str">
        <f t="shared" si="40"/>
        <v>0252HT</v>
      </c>
      <c r="X377" s="60" t="str">
        <f t="shared" si="44"/>
        <v>Anglobasque Beret</v>
      </c>
      <c r="AC377" s="51">
        <f t="shared" si="45"/>
        <v>3</v>
      </c>
      <c r="AD377" s="44">
        <f t="shared" si="46"/>
        <v>1</v>
      </c>
      <c r="AE377" s="51">
        <f t="shared" si="47"/>
        <v>3001</v>
      </c>
    </row>
    <row r="378" spans="1:31">
      <c r="A378" s="60" t="str">
        <f t="shared" si="41"/>
        <v>0252HTdark blue</v>
      </c>
      <c r="B378" s="60" t="str">
        <f t="shared" si="42"/>
        <v>03-001-16</v>
      </c>
      <c r="C378" s="72" t="s">
        <v>1712</v>
      </c>
      <c r="D378" s="72" t="s">
        <v>1709</v>
      </c>
      <c r="E378" s="72" t="s">
        <v>969</v>
      </c>
      <c r="F378" s="73">
        <v>57</v>
      </c>
      <c r="G378" s="73" t="s">
        <v>1699</v>
      </c>
      <c r="H378" s="72" t="s">
        <v>55</v>
      </c>
      <c r="I378" s="72" t="s">
        <v>1105</v>
      </c>
      <c r="J378" s="72" t="s">
        <v>334</v>
      </c>
      <c r="K378" s="72" t="s">
        <v>382</v>
      </c>
      <c r="L378" s="72" t="s">
        <v>988</v>
      </c>
      <c r="M378" s="72" t="s">
        <v>388</v>
      </c>
      <c r="N378" s="72" t="s">
        <v>44</v>
      </c>
      <c r="O378" s="72" t="s">
        <v>386</v>
      </c>
      <c r="P378" s="72" t="s">
        <v>973</v>
      </c>
      <c r="Q378" s="72" t="s">
        <v>1106</v>
      </c>
      <c r="R378" s="72" t="s">
        <v>71</v>
      </c>
      <c r="V378" s="60" t="str">
        <f t="shared" si="43"/>
        <v>0252HTтемно-синий</v>
      </c>
      <c r="W378" s="60" t="str">
        <f t="shared" si="40"/>
        <v>0252HT</v>
      </c>
      <c r="X378" s="60" t="str">
        <f t="shared" si="44"/>
        <v>Anglobasque Beret</v>
      </c>
      <c r="AC378" s="51">
        <f t="shared" si="45"/>
        <v>3</v>
      </c>
      <c r="AD378" s="44">
        <f t="shared" si="46"/>
        <v>1</v>
      </c>
      <c r="AE378" s="51">
        <f t="shared" si="47"/>
        <v>3001</v>
      </c>
    </row>
    <row r="379" spans="1:31">
      <c r="A379" s="60" t="str">
        <f t="shared" si="41"/>
        <v>0258BCespresso</v>
      </c>
      <c r="B379" s="60" t="str">
        <f t="shared" si="42"/>
        <v>03-002-91</v>
      </c>
      <c r="C379" s="72" t="s">
        <v>1713</v>
      </c>
      <c r="D379" s="72" t="s">
        <v>1714</v>
      </c>
      <c r="E379" s="72" t="s">
        <v>1032</v>
      </c>
      <c r="F379" s="73">
        <v>55</v>
      </c>
      <c r="G379" s="73" t="s">
        <v>1118</v>
      </c>
      <c r="H379" s="72" t="s">
        <v>271</v>
      </c>
      <c r="I379" s="72" t="s">
        <v>1105</v>
      </c>
      <c r="J379" s="72" t="s">
        <v>320</v>
      </c>
      <c r="K379" s="72" t="s">
        <v>382</v>
      </c>
      <c r="L379" s="72" t="s">
        <v>988</v>
      </c>
      <c r="M379" s="72" t="s">
        <v>388</v>
      </c>
      <c r="N379" s="72" t="s">
        <v>44</v>
      </c>
      <c r="O379" s="72" t="s">
        <v>539</v>
      </c>
      <c r="P379" s="72" t="s">
        <v>973</v>
      </c>
      <c r="Q379" s="72" t="s">
        <v>1682</v>
      </c>
      <c r="R379" s="72" t="s">
        <v>86</v>
      </c>
      <c r="V379" s="60" t="str">
        <f t="shared" si="43"/>
        <v>0258BCтемно-коричневый</v>
      </c>
      <c r="W379" s="60" t="str">
        <f t="shared" si="40"/>
        <v>0258BC</v>
      </c>
      <c r="X379" s="60" t="str">
        <f t="shared" si="44"/>
        <v>Wool 504</v>
      </c>
      <c r="AC379" s="51">
        <f t="shared" si="45"/>
        <v>3</v>
      </c>
      <c r="AD379" s="44">
        <f t="shared" si="46"/>
        <v>2</v>
      </c>
      <c r="AE379" s="51">
        <f t="shared" si="47"/>
        <v>3002</v>
      </c>
    </row>
    <row r="380" spans="1:31">
      <c r="A380" s="60" t="str">
        <f t="shared" si="41"/>
        <v>0258BCespresso</v>
      </c>
      <c r="B380" s="60" t="str">
        <f t="shared" si="42"/>
        <v>03-002-91</v>
      </c>
      <c r="C380" s="72" t="s">
        <v>1715</v>
      </c>
      <c r="D380" s="72" t="s">
        <v>1714</v>
      </c>
      <c r="E380" s="72" t="s">
        <v>969</v>
      </c>
      <c r="F380" s="73">
        <v>57</v>
      </c>
      <c r="G380" s="73" t="s">
        <v>1118</v>
      </c>
      <c r="H380" s="72" t="s">
        <v>271</v>
      </c>
      <c r="I380" s="72" t="s">
        <v>1105</v>
      </c>
      <c r="J380" s="72" t="s">
        <v>320</v>
      </c>
      <c r="K380" s="72" t="s">
        <v>382</v>
      </c>
      <c r="L380" s="72" t="s">
        <v>988</v>
      </c>
      <c r="M380" s="72" t="s">
        <v>388</v>
      </c>
      <c r="N380" s="72" t="s">
        <v>44</v>
      </c>
      <c r="O380" s="72" t="s">
        <v>539</v>
      </c>
      <c r="P380" s="72" t="s">
        <v>973</v>
      </c>
      <c r="Q380" s="72" t="s">
        <v>1682</v>
      </c>
      <c r="R380" s="72" t="s">
        <v>86</v>
      </c>
      <c r="V380" s="60" t="str">
        <f t="shared" si="43"/>
        <v>0258BCтемно-коричневый</v>
      </c>
      <c r="W380" s="60" t="str">
        <f t="shared" si="40"/>
        <v>0258BC</v>
      </c>
      <c r="X380" s="60" t="str">
        <f t="shared" si="44"/>
        <v>Wool 504</v>
      </c>
      <c r="AC380" s="51">
        <f t="shared" si="45"/>
        <v>3</v>
      </c>
      <c r="AD380" s="44">
        <f t="shared" si="46"/>
        <v>2</v>
      </c>
      <c r="AE380" s="51">
        <f t="shared" si="47"/>
        <v>3002</v>
      </c>
    </row>
    <row r="381" spans="1:31">
      <c r="A381" s="60" t="str">
        <f t="shared" si="41"/>
        <v>0258BCespresso</v>
      </c>
      <c r="B381" s="60" t="str">
        <f t="shared" si="42"/>
        <v>03-002-91</v>
      </c>
      <c r="C381" s="72" t="s">
        <v>1716</v>
      </c>
      <c r="D381" s="72" t="s">
        <v>1714</v>
      </c>
      <c r="E381" s="72" t="s">
        <v>976</v>
      </c>
      <c r="F381" s="73">
        <v>59</v>
      </c>
      <c r="G381" s="73" t="s">
        <v>1118</v>
      </c>
      <c r="H381" s="72" t="s">
        <v>271</v>
      </c>
      <c r="I381" s="72" t="s">
        <v>1105</v>
      </c>
      <c r="J381" s="72" t="s">
        <v>320</v>
      </c>
      <c r="K381" s="72" t="s">
        <v>382</v>
      </c>
      <c r="L381" s="72" t="s">
        <v>988</v>
      </c>
      <c r="M381" s="72" t="s">
        <v>388</v>
      </c>
      <c r="N381" s="72" t="s">
        <v>44</v>
      </c>
      <c r="O381" s="72" t="s">
        <v>539</v>
      </c>
      <c r="P381" s="72" t="s">
        <v>973</v>
      </c>
      <c r="Q381" s="72" t="s">
        <v>1682</v>
      </c>
      <c r="R381" s="72" t="s">
        <v>86</v>
      </c>
      <c r="V381" s="60" t="str">
        <f t="shared" si="43"/>
        <v>0258BCтемно-коричневый</v>
      </c>
      <c r="W381" s="60" t="str">
        <f t="shared" si="40"/>
        <v>0258BC</v>
      </c>
      <c r="X381" s="60" t="str">
        <f t="shared" si="44"/>
        <v>Wool 504</v>
      </c>
      <c r="AC381" s="51">
        <f t="shared" si="45"/>
        <v>3</v>
      </c>
      <c r="AD381" s="44">
        <f t="shared" si="46"/>
        <v>2</v>
      </c>
      <c r="AE381" s="51">
        <f t="shared" si="47"/>
        <v>3002</v>
      </c>
    </row>
    <row r="382" spans="1:31">
      <c r="A382" s="60" t="str">
        <f t="shared" si="41"/>
        <v>0258BCespresso</v>
      </c>
      <c r="B382" s="60" t="str">
        <f t="shared" si="42"/>
        <v>03-002-91</v>
      </c>
      <c r="C382" s="72" t="s">
        <v>1717</v>
      </c>
      <c r="D382" s="72" t="s">
        <v>1714</v>
      </c>
      <c r="E382" s="72" t="s">
        <v>1030</v>
      </c>
      <c r="F382" s="73">
        <v>61</v>
      </c>
      <c r="G382" s="73" t="s">
        <v>1118</v>
      </c>
      <c r="H382" s="72" t="s">
        <v>271</v>
      </c>
      <c r="I382" s="72" t="s">
        <v>1105</v>
      </c>
      <c r="J382" s="72" t="s">
        <v>320</v>
      </c>
      <c r="K382" s="72" t="s">
        <v>382</v>
      </c>
      <c r="L382" s="72" t="s">
        <v>988</v>
      </c>
      <c r="M382" s="72" t="s">
        <v>388</v>
      </c>
      <c r="N382" s="72" t="s">
        <v>44</v>
      </c>
      <c r="O382" s="72" t="s">
        <v>539</v>
      </c>
      <c r="P382" s="72" t="s">
        <v>973</v>
      </c>
      <c r="Q382" s="72" t="s">
        <v>1682</v>
      </c>
      <c r="R382" s="72" t="s">
        <v>86</v>
      </c>
      <c r="V382" s="60" t="str">
        <f t="shared" si="43"/>
        <v>0258BCтемно-коричневый</v>
      </c>
      <c r="W382" s="60" t="str">
        <f t="shared" si="40"/>
        <v>0258BC</v>
      </c>
      <c r="X382" s="60" t="str">
        <f t="shared" si="44"/>
        <v>Wool 504</v>
      </c>
      <c r="AC382" s="51">
        <f t="shared" si="45"/>
        <v>3</v>
      </c>
      <c r="AD382" s="44">
        <f t="shared" si="46"/>
        <v>2</v>
      </c>
      <c r="AE382" s="51">
        <f t="shared" si="47"/>
        <v>3002</v>
      </c>
    </row>
    <row r="383" spans="1:31">
      <c r="A383" s="60" t="str">
        <f t="shared" si="41"/>
        <v>0259BCdk.flannel</v>
      </c>
      <c r="B383" s="60" t="str">
        <f t="shared" si="42"/>
        <v>03-015-05</v>
      </c>
      <c r="C383" s="72" t="s">
        <v>1718</v>
      </c>
      <c r="D383" s="72" t="s">
        <v>1719</v>
      </c>
      <c r="E383" s="72" t="s">
        <v>1032</v>
      </c>
      <c r="F383" s="73">
        <v>55</v>
      </c>
      <c r="G383" s="73" t="s">
        <v>1193</v>
      </c>
      <c r="H383" s="72" t="s">
        <v>277</v>
      </c>
      <c r="I383" s="72" t="s">
        <v>1132</v>
      </c>
      <c r="J383" s="72" t="s">
        <v>348</v>
      </c>
      <c r="K383" s="72" t="s">
        <v>382</v>
      </c>
      <c r="L383" s="72" t="s">
        <v>988</v>
      </c>
      <c r="M383" s="72" t="s">
        <v>388</v>
      </c>
      <c r="N383" s="72" t="s">
        <v>44</v>
      </c>
      <c r="O383" s="72" t="s">
        <v>539</v>
      </c>
      <c r="P383" s="72" t="s">
        <v>973</v>
      </c>
      <c r="Q383" s="72" t="s">
        <v>1148</v>
      </c>
      <c r="R383" s="72" t="s">
        <v>83</v>
      </c>
      <c r="V383" s="60" t="str">
        <f t="shared" si="43"/>
        <v>0259BCтемно-серый</v>
      </c>
      <c r="W383" s="60" t="str">
        <f t="shared" si="40"/>
        <v>0259BC</v>
      </c>
      <c r="X383" s="60" t="str">
        <f t="shared" si="44"/>
        <v>Wool Spitfire</v>
      </c>
      <c r="AC383" s="51">
        <f t="shared" si="45"/>
        <v>3</v>
      </c>
      <c r="AD383" s="44">
        <f t="shared" si="46"/>
        <v>15</v>
      </c>
      <c r="AE383" s="51">
        <f t="shared" si="47"/>
        <v>3015</v>
      </c>
    </row>
    <row r="384" spans="1:31">
      <c r="A384" s="60" t="str">
        <f t="shared" si="41"/>
        <v>0259BCdk.flannel</v>
      </c>
      <c r="B384" s="60" t="str">
        <f t="shared" si="42"/>
        <v>03-015-05</v>
      </c>
      <c r="C384" s="72" t="s">
        <v>1720</v>
      </c>
      <c r="D384" s="72" t="s">
        <v>1719</v>
      </c>
      <c r="E384" s="72" t="s">
        <v>976</v>
      </c>
      <c r="F384" s="73">
        <v>59</v>
      </c>
      <c r="G384" s="73" t="s">
        <v>1193</v>
      </c>
      <c r="H384" s="72" t="s">
        <v>277</v>
      </c>
      <c r="I384" s="72" t="s">
        <v>1132</v>
      </c>
      <c r="J384" s="72" t="s">
        <v>348</v>
      </c>
      <c r="K384" s="72" t="s">
        <v>382</v>
      </c>
      <c r="L384" s="72" t="s">
        <v>988</v>
      </c>
      <c r="M384" s="72" t="s">
        <v>388</v>
      </c>
      <c r="N384" s="72" t="s">
        <v>44</v>
      </c>
      <c r="O384" s="72" t="s">
        <v>539</v>
      </c>
      <c r="P384" s="72" t="s">
        <v>973</v>
      </c>
      <c r="Q384" s="72" t="s">
        <v>1148</v>
      </c>
      <c r="R384" s="72" t="s">
        <v>83</v>
      </c>
      <c r="V384" s="60" t="str">
        <f t="shared" si="43"/>
        <v>0259BCтемно-серый</v>
      </c>
      <c r="W384" s="60" t="str">
        <f t="shared" si="40"/>
        <v>0259BC</v>
      </c>
      <c r="X384" s="60" t="str">
        <f t="shared" si="44"/>
        <v>Wool Spitfire</v>
      </c>
      <c r="AC384" s="51">
        <f t="shared" si="45"/>
        <v>3</v>
      </c>
      <c r="AD384" s="44">
        <f t="shared" si="46"/>
        <v>15</v>
      </c>
      <c r="AE384" s="51">
        <f t="shared" si="47"/>
        <v>3015</v>
      </c>
    </row>
    <row r="385" spans="1:31">
      <c r="A385" s="60" t="str">
        <f t="shared" si="41"/>
        <v>0259BCdk.flannel</v>
      </c>
      <c r="B385" s="60" t="str">
        <f t="shared" si="42"/>
        <v>03-015-05</v>
      </c>
      <c r="C385" s="72" t="s">
        <v>1721</v>
      </c>
      <c r="D385" s="72" t="s">
        <v>1719</v>
      </c>
      <c r="E385" s="72" t="s">
        <v>969</v>
      </c>
      <c r="F385" s="73">
        <v>57</v>
      </c>
      <c r="G385" s="73" t="s">
        <v>1193</v>
      </c>
      <c r="H385" s="72" t="s">
        <v>277</v>
      </c>
      <c r="I385" s="72" t="s">
        <v>1132</v>
      </c>
      <c r="J385" s="72" t="s">
        <v>348</v>
      </c>
      <c r="K385" s="72" t="s">
        <v>382</v>
      </c>
      <c r="L385" s="72" t="s">
        <v>988</v>
      </c>
      <c r="M385" s="72" t="s">
        <v>388</v>
      </c>
      <c r="N385" s="72" t="s">
        <v>44</v>
      </c>
      <c r="O385" s="72" t="s">
        <v>539</v>
      </c>
      <c r="P385" s="72" t="s">
        <v>973</v>
      </c>
      <c r="Q385" s="72" t="s">
        <v>1148</v>
      </c>
      <c r="R385" s="72" t="s">
        <v>83</v>
      </c>
      <c r="V385" s="60" t="str">
        <f t="shared" si="43"/>
        <v>0259BCтемно-серый</v>
      </c>
      <c r="W385" s="60" t="str">
        <f t="shared" si="40"/>
        <v>0259BC</v>
      </c>
      <c r="X385" s="60" t="str">
        <f t="shared" si="44"/>
        <v>Wool Spitfire</v>
      </c>
      <c r="AC385" s="51">
        <f t="shared" si="45"/>
        <v>3</v>
      </c>
      <c r="AD385" s="44">
        <f t="shared" si="46"/>
        <v>15</v>
      </c>
      <c r="AE385" s="51">
        <f t="shared" si="47"/>
        <v>3015</v>
      </c>
    </row>
    <row r="386" spans="1:31">
      <c r="A386" s="60" t="str">
        <f t="shared" si="41"/>
        <v>0259BCdk.flannel</v>
      </c>
      <c r="B386" s="60" t="str">
        <f t="shared" si="42"/>
        <v>03-015-05</v>
      </c>
      <c r="C386" s="72" t="s">
        <v>1722</v>
      </c>
      <c r="D386" s="72" t="s">
        <v>1719</v>
      </c>
      <c r="E386" s="72" t="s">
        <v>1030</v>
      </c>
      <c r="F386" s="73">
        <v>61</v>
      </c>
      <c r="G386" s="73" t="s">
        <v>1193</v>
      </c>
      <c r="H386" s="72" t="s">
        <v>277</v>
      </c>
      <c r="I386" s="72" t="s">
        <v>1132</v>
      </c>
      <c r="J386" s="72" t="s">
        <v>348</v>
      </c>
      <c r="K386" s="72" t="s">
        <v>382</v>
      </c>
      <c r="L386" s="72" t="s">
        <v>988</v>
      </c>
      <c r="M386" s="72" t="s">
        <v>388</v>
      </c>
      <c r="N386" s="72" t="s">
        <v>44</v>
      </c>
      <c r="O386" s="72" t="s">
        <v>539</v>
      </c>
      <c r="P386" s="72" t="s">
        <v>973</v>
      </c>
      <c r="Q386" s="72" t="s">
        <v>1148</v>
      </c>
      <c r="R386" s="72" t="s">
        <v>83</v>
      </c>
      <c r="V386" s="60" t="str">
        <f t="shared" si="43"/>
        <v>0259BCтемно-серый</v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>0259BC</v>
      </c>
      <c r="X386" s="60" t="str">
        <f t="shared" si="44"/>
        <v>Wool Spitfire</v>
      </c>
      <c r="AC386" s="51">
        <f t="shared" si="45"/>
        <v>3</v>
      </c>
      <c r="AD386" s="44">
        <f t="shared" si="46"/>
        <v>15</v>
      </c>
      <c r="AE386" s="51">
        <f t="shared" si="47"/>
        <v>3015</v>
      </c>
    </row>
    <row r="387" spans="1:31">
      <c r="A387" s="60" t="str">
        <f t="shared" ref="A387:A450" si="49">IF(G387&amp;Q387&lt;&gt;"",W387&amp;Q387,"")</f>
        <v>2978BCblack/dk.flannel</v>
      </c>
      <c r="B387" s="60" t="str">
        <f t="shared" ref="B387:B450" si="50">IF(C387&lt;&gt;"",LEFT(C387,9),"")</f>
        <v>03-005-10</v>
      </c>
      <c r="C387" s="72" t="s">
        <v>1723</v>
      </c>
      <c r="D387" s="72" t="s">
        <v>1724</v>
      </c>
      <c r="E387" s="72" t="s">
        <v>909</v>
      </c>
      <c r="F387" s="73">
        <v>0</v>
      </c>
      <c r="G387" s="73" t="s">
        <v>1317</v>
      </c>
      <c r="H387" s="72" t="s">
        <v>308</v>
      </c>
      <c r="I387" s="72" t="s">
        <v>1221</v>
      </c>
      <c r="J387" s="72" t="s">
        <v>340</v>
      </c>
      <c r="K387" s="72" t="s">
        <v>382</v>
      </c>
      <c r="L387" s="72" t="s">
        <v>988</v>
      </c>
      <c r="M387" s="72" t="s">
        <v>389</v>
      </c>
      <c r="O387" s="72" t="s">
        <v>386</v>
      </c>
      <c r="P387" s="72" t="s">
        <v>973</v>
      </c>
      <c r="Q387" s="72" t="s">
        <v>1725</v>
      </c>
      <c r="R387" s="72" t="s">
        <v>53</v>
      </c>
      <c r="V387" s="60" t="str">
        <f t="shared" ref="V387:V450" si="51">W387&amp;H387</f>
        <v>2978BCчерный / серый</v>
      </c>
      <c r="W387" s="60" t="str">
        <f t="shared" si="48"/>
        <v>2978BC</v>
      </c>
      <c r="X387" s="60" t="str">
        <f t="shared" ref="X387:X450" si="52">IF(A387&lt;&gt;"",IFERROR(IF(FIND(" ",G387)&gt;=1,MID(G387,FIND(" ",G387)+1,LEN(G387)),""),""),"")</f>
        <v>Acrylic Cuff Pull-On</v>
      </c>
      <c r="AC387" s="51">
        <f t="shared" ref="AC387:AC450" si="53">IFERROR(VALUE(MID($C387,1,2)),0)</f>
        <v>3</v>
      </c>
      <c r="AD387" s="44">
        <f t="shared" ref="AD387:AD450" si="54">IFERROR(VALUE(MID($C387,4,3)),0)</f>
        <v>5</v>
      </c>
      <c r="AE387" s="51">
        <f t="shared" ref="AE387:AE450" si="55">VALUE(RIGHT("00"&amp;AC387,2)&amp;RIGHT("000"&amp;AD387,3))</f>
        <v>3005</v>
      </c>
    </row>
    <row r="388" spans="1:31">
      <c r="A388" s="60" t="str">
        <f t="shared" si="49"/>
        <v>2978BCprussian</v>
      </c>
      <c r="B388" s="60" t="str">
        <f t="shared" si="50"/>
        <v>03-005-19</v>
      </c>
      <c r="C388" s="72" t="s">
        <v>1726</v>
      </c>
      <c r="D388" s="72" t="s">
        <v>1727</v>
      </c>
      <c r="E388" s="72" t="s">
        <v>909</v>
      </c>
      <c r="F388" s="73">
        <v>0</v>
      </c>
      <c r="G388" s="73" t="s">
        <v>1317</v>
      </c>
      <c r="H388" s="72" t="s">
        <v>91</v>
      </c>
      <c r="I388" s="72" t="s">
        <v>1221</v>
      </c>
      <c r="J388" s="72" t="s">
        <v>340</v>
      </c>
      <c r="K388" s="72" t="s">
        <v>382</v>
      </c>
      <c r="L388" s="72" t="s">
        <v>988</v>
      </c>
      <c r="M388" s="72" t="s">
        <v>389</v>
      </c>
      <c r="O388" s="72" t="s">
        <v>539</v>
      </c>
      <c r="P388" s="72" t="s">
        <v>973</v>
      </c>
      <c r="Q388" s="72" t="s">
        <v>1728</v>
      </c>
      <c r="R388" s="72" t="s">
        <v>91</v>
      </c>
      <c r="V388" s="60" t="str">
        <f t="shared" si="51"/>
        <v>2978BCголубой</v>
      </c>
      <c r="W388" s="60" t="str">
        <f t="shared" si="48"/>
        <v>2978BC</v>
      </c>
      <c r="X388" s="60" t="str">
        <f t="shared" si="52"/>
        <v>Acrylic Cuff Pull-On</v>
      </c>
      <c r="AC388" s="51">
        <f t="shared" si="53"/>
        <v>3</v>
      </c>
      <c r="AD388" s="44">
        <f t="shared" si="54"/>
        <v>5</v>
      </c>
      <c r="AE388" s="51">
        <f t="shared" si="55"/>
        <v>3005</v>
      </c>
    </row>
    <row r="389" spans="1:31">
      <c r="A389" s="60" t="str">
        <f t="shared" si="49"/>
        <v>3388BCblack</v>
      </c>
      <c r="B389" s="60" t="str">
        <f t="shared" si="50"/>
        <v>03-006-09</v>
      </c>
      <c r="C389" s="72" t="s">
        <v>1729</v>
      </c>
      <c r="D389" s="72" t="s">
        <v>1730</v>
      </c>
      <c r="E389" s="72" t="s">
        <v>909</v>
      </c>
      <c r="F389" s="73">
        <v>0</v>
      </c>
      <c r="G389" s="73" t="s">
        <v>1731</v>
      </c>
      <c r="H389" s="72" t="s">
        <v>53</v>
      </c>
      <c r="I389" s="72" t="s">
        <v>1105</v>
      </c>
      <c r="J389" s="72" t="s">
        <v>334</v>
      </c>
      <c r="K389" s="72" t="s">
        <v>382</v>
      </c>
      <c r="L389" s="72" t="s">
        <v>988</v>
      </c>
      <c r="M389" s="72" t="s">
        <v>388</v>
      </c>
      <c r="N389" s="72" t="s">
        <v>44</v>
      </c>
      <c r="O389" s="72" t="s">
        <v>386</v>
      </c>
      <c r="P389" s="72" t="s">
        <v>808</v>
      </c>
      <c r="Q389" s="72" t="s">
        <v>1005</v>
      </c>
      <c r="R389" s="72" t="s">
        <v>53</v>
      </c>
      <c r="V389" s="60" t="str">
        <f t="shared" si="51"/>
        <v>3388BCчерный</v>
      </c>
      <c r="W389" s="60" t="str">
        <f t="shared" si="48"/>
        <v>3388BC</v>
      </c>
      <c r="X389" s="60" t="str">
        <f t="shared" si="52"/>
        <v>Modelaine Beret</v>
      </c>
      <c r="AC389" s="51">
        <f t="shared" si="53"/>
        <v>3</v>
      </c>
      <c r="AD389" s="44">
        <f t="shared" si="54"/>
        <v>6</v>
      </c>
      <c r="AE389" s="51">
        <f t="shared" si="55"/>
        <v>3006</v>
      </c>
    </row>
    <row r="390" spans="1:31">
      <c r="A390" s="60" t="str">
        <f t="shared" si="49"/>
        <v>K1901STamarillo</v>
      </c>
      <c r="B390" s="60" t="str">
        <f t="shared" si="50"/>
        <v>03-010-20</v>
      </c>
      <c r="C390" s="72" t="s">
        <v>1732</v>
      </c>
      <c r="D390" s="72" t="s">
        <v>1733</v>
      </c>
      <c r="E390" s="72" t="s">
        <v>909</v>
      </c>
      <c r="F390" s="73">
        <v>0</v>
      </c>
      <c r="G390" s="73" t="s">
        <v>1734</v>
      </c>
      <c r="H390" s="72" t="s">
        <v>65</v>
      </c>
      <c r="I390" s="72" t="s">
        <v>1221</v>
      </c>
      <c r="J390" s="72" t="s">
        <v>340</v>
      </c>
      <c r="K390" s="72" t="s">
        <v>382</v>
      </c>
      <c r="L390" s="72" t="s">
        <v>972</v>
      </c>
      <c r="M390" s="72" t="s">
        <v>389</v>
      </c>
      <c r="O390" s="72" t="s">
        <v>539</v>
      </c>
      <c r="P390" s="72" t="s">
        <v>973</v>
      </c>
      <c r="Q390" s="72" t="s">
        <v>1735</v>
      </c>
      <c r="R390" s="72" t="s">
        <v>65</v>
      </c>
      <c r="V390" s="60" t="str">
        <f t="shared" si="51"/>
        <v>K1901STжелтый</v>
      </c>
      <c r="W390" s="60" t="str">
        <f t="shared" si="48"/>
        <v>K1901ST</v>
      </c>
      <c r="X390" s="60" t="str">
        <f t="shared" si="52"/>
        <v>Cuff Beanie</v>
      </c>
      <c r="AC390" s="51">
        <f t="shared" si="53"/>
        <v>3</v>
      </c>
      <c r="AD390" s="44">
        <f t="shared" si="54"/>
        <v>10</v>
      </c>
      <c r="AE390" s="51">
        <f t="shared" si="55"/>
        <v>3010</v>
      </c>
    </row>
    <row r="391" spans="1:31">
      <c r="A391" s="60" t="str">
        <f t="shared" si="49"/>
        <v>K1901STvert</v>
      </c>
      <c r="B391" s="60" t="str">
        <f t="shared" si="50"/>
        <v>03-010-11</v>
      </c>
      <c r="C391" s="72" t="s">
        <v>1736</v>
      </c>
      <c r="D391" s="72" t="s">
        <v>1737</v>
      </c>
      <c r="E391" s="72" t="s">
        <v>909</v>
      </c>
      <c r="F391" s="73">
        <v>0</v>
      </c>
      <c r="G391" s="73" t="s">
        <v>1734</v>
      </c>
      <c r="H391" s="72" t="s">
        <v>60</v>
      </c>
      <c r="I391" s="72" t="s">
        <v>1221</v>
      </c>
      <c r="J391" s="72" t="s">
        <v>340</v>
      </c>
      <c r="K391" s="72" t="s">
        <v>382</v>
      </c>
      <c r="L391" s="72" t="s">
        <v>972</v>
      </c>
      <c r="M391" s="72" t="s">
        <v>389</v>
      </c>
      <c r="O391" s="72" t="s">
        <v>539</v>
      </c>
      <c r="P391" s="72" t="s">
        <v>973</v>
      </c>
      <c r="Q391" s="72" t="s">
        <v>1738</v>
      </c>
      <c r="R391" s="72" t="s">
        <v>60</v>
      </c>
      <c r="V391" s="60" t="str">
        <f t="shared" si="51"/>
        <v>K1901STзеленый</v>
      </c>
      <c r="W391" s="60" t="str">
        <f t="shared" si="48"/>
        <v>K1901ST</v>
      </c>
      <c r="X391" s="60" t="str">
        <f t="shared" si="52"/>
        <v>Cuff Beanie</v>
      </c>
      <c r="AC391" s="51">
        <f t="shared" si="53"/>
        <v>3</v>
      </c>
      <c r="AD391" s="44">
        <f t="shared" si="54"/>
        <v>10</v>
      </c>
      <c r="AE391" s="51">
        <f t="shared" si="55"/>
        <v>3010</v>
      </c>
    </row>
    <row r="392" spans="1:31">
      <c r="A392" s="60" t="str">
        <f t="shared" si="49"/>
        <v>K3115STblack</v>
      </c>
      <c r="B392" s="60" t="str">
        <f t="shared" si="50"/>
        <v>03-016-09</v>
      </c>
      <c r="C392" s="72" t="s">
        <v>1739</v>
      </c>
      <c r="D392" s="72" t="s">
        <v>1740</v>
      </c>
      <c r="E392" s="72" t="s">
        <v>909</v>
      </c>
      <c r="F392" s="73">
        <v>0</v>
      </c>
      <c r="G392" s="73" t="s">
        <v>1741</v>
      </c>
      <c r="H392" s="72" t="s">
        <v>308</v>
      </c>
      <c r="I392" s="72" t="s">
        <v>1221</v>
      </c>
      <c r="J392" s="72" t="s">
        <v>340</v>
      </c>
      <c r="K392" s="72" t="s">
        <v>382</v>
      </c>
      <c r="L392" s="72" t="s">
        <v>972</v>
      </c>
      <c r="M392" s="72" t="s">
        <v>389</v>
      </c>
      <c r="O392" s="72" t="s">
        <v>539</v>
      </c>
      <c r="P392" s="72" t="s">
        <v>973</v>
      </c>
      <c r="Q392" s="72" t="s">
        <v>1005</v>
      </c>
      <c r="R392" s="72" t="s">
        <v>53</v>
      </c>
      <c r="V392" s="60" t="str">
        <f t="shared" si="51"/>
        <v>K3115STчерный / серый</v>
      </c>
      <c r="W392" s="60" t="str">
        <f t="shared" si="48"/>
        <v>K3115ST</v>
      </c>
      <c r="X392" s="60" t="str">
        <f t="shared" si="52"/>
        <v>Pixel Reversible Beanie</v>
      </c>
      <c r="AC392" s="51">
        <f t="shared" si="53"/>
        <v>3</v>
      </c>
      <c r="AD392" s="44">
        <f t="shared" si="54"/>
        <v>16</v>
      </c>
      <c r="AE392" s="51">
        <f t="shared" si="55"/>
        <v>3016</v>
      </c>
    </row>
    <row r="393" spans="1:31">
      <c r="A393" s="60" t="str">
        <f t="shared" si="49"/>
        <v>K3115STnavy</v>
      </c>
      <c r="B393" s="60" t="str">
        <f t="shared" si="50"/>
        <v>03-016-16</v>
      </c>
      <c r="C393" s="72" t="s">
        <v>1742</v>
      </c>
      <c r="D393" s="72" t="s">
        <v>1743</v>
      </c>
      <c r="E393" s="72" t="s">
        <v>909</v>
      </c>
      <c r="F393" s="73">
        <v>0</v>
      </c>
      <c r="G393" s="73" t="s">
        <v>1741</v>
      </c>
      <c r="H393" s="72" t="s">
        <v>283</v>
      </c>
      <c r="I393" s="72" t="s">
        <v>1221</v>
      </c>
      <c r="J393" s="72" t="s">
        <v>340</v>
      </c>
      <c r="K393" s="72" t="s">
        <v>382</v>
      </c>
      <c r="L393" s="72" t="s">
        <v>972</v>
      </c>
      <c r="M393" s="72" t="s">
        <v>389</v>
      </c>
      <c r="O393" s="72" t="s">
        <v>539</v>
      </c>
      <c r="P393" s="72" t="s">
        <v>973</v>
      </c>
      <c r="Q393" s="72" t="s">
        <v>1017</v>
      </c>
      <c r="R393" s="72" t="s">
        <v>71</v>
      </c>
      <c r="V393" s="60" t="str">
        <f t="shared" si="51"/>
        <v>K3115STтемно-синий / розовый</v>
      </c>
      <c r="W393" s="60" t="str">
        <f t="shared" si="48"/>
        <v>K3115ST</v>
      </c>
      <c r="X393" s="60" t="str">
        <f t="shared" si="52"/>
        <v>Pixel Reversible Beanie</v>
      </c>
      <c r="AC393" s="51">
        <f t="shared" si="53"/>
        <v>3</v>
      </c>
      <c r="AD393" s="44">
        <f t="shared" si="54"/>
        <v>16</v>
      </c>
      <c r="AE393" s="51">
        <f t="shared" si="55"/>
        <v>3016</v>
      </c>
    </row>
    <row r="394" spans="1:31">
      <c r="A394" s="60" t="str">
        <f t="shared" si="49"/>
        <v>K3115STphthalo</v>
      </c>
      <c r="B394" s="60" t="str">
        <f t="shared" si="50"/>
        <v>03-016-11</v>
      </c>
      <c r="C394" s="72" t="s">
        <v>1744</v>
      </c>
      <c r="D394" s="72" t="s">
        <v>1745</v>
      </c>
      <c r="E394" s="72" t="s">
        <v>909</v>
      </c>
      <c r="F394" s="73">
        <v>0</v>
      </c>
      <c r="G394" s="73" t="s">
        <v>1741</v>
      </c>
      <c r="H394" s="72" t="s">
        <v>151</v>
      </c>
      <c r="I394" s="72" t="s">
        <v>1221</v>
      </c>
      <c r="J394" s="72" t="s">
        <v>340</v>
      </c>
      <c r="K394" s="72" t="s">
        <v>382</v>
      </c>
      <c r="L394" s="72" t="s">
        <v>972</v>
      </c>
      <c r="M394" s="72" t="s">
        <v>389</v>
      </c>
      <c r="O394" s="72" t="s">
        <v>539</v>
      </c>
      <c r="P394" s="72" t="s">
        <v>973</v>
      </c>
      <c r="Q394" s="72" t="s">
        <v>1746</v>
      </c>
      <c r="R394" s="72" t="s">
        <v>60</v>
      </c>
      <c r="V394" s="60" t="str">
        <f t="shared" si="51"/>
        <v>K3115STзеленый / желтый</v>
      </c>
      <c r="W394" s="60" t="str">
        <f t="shared" si="48"/>
        <v>K3115ST</v>
      </c>
      <c r="X394" s="60" t="str">
        <f t="shared" si="52"/>
        <v>Pixel Reversible Beanie</v>
      </c>
      <c r="AC394" s="51">
        <f t="shared" si="53"/>
        <v>3</v>
      </c>
      <c r="AD394" s="44">
        <f t="shared" si="54"/>
        <v>16</v>
      </c>
      <c r="AE394" s="51">
        <f t="shared" si="55"/>
        <v>3016</v>
      </c>
    </row>
    <row r="395" spans="1:31">
      <c r="A395" s="60" t="str">
        <f t="shared" si="49"/>
        <v>K4097HTblack</v>
      </c>
      <c r="B395" s="60" t="str">
        <f t="shared" si="50"/>
        <v>03-017-09</v>
      </c>
      <c r="C395" s="72" t="s">
        <v>1747</v>
      </c>
      <c r="D395" s="72" t="s">
        <v>1748</v>
      </c>
      <c r="E395" s="72" t="s">
        <v>976</v>
      </c>
      <c r="F395" s="73">
        <v>59</v>
      </c>
      <c r="G395" s="73" t="s">
        <v>1749</v>
      </c>
      <c r="H395" s="72" t="s">
        <v>53</v>
      </c>
      <c r="I395" s="72" t="s">
        <v>1750</v>
      </c>
      <c r="J395" s="72" t="s">
        <v>318</v>
      </c>
      <c r="K395" s="72" t="s">
        <v>382</v>
      </c>
      <c r="L395" s="72" t="s">
        <v>988</v>
      </c>
      <c r="M395" s="72" t="s">
        <v>388</v>
      </c>
      <c r="O395" s="72" t="s">
        <v>386</v>
      </c>
      <c r="P395" s="72" t="s">
        <v>973</v>
      </c>
      <c r="Q395" s="72" t="s">
        <v>1005</v>
      </c>
      <c r="R395" s="72" t="s">
        <v>53</v>
      </c>
      <c r="V395" s="60" t="str">
        <f t="shared" si="51"/>
        <v>K4097HTчерный</v>
      </c>
      <c r="W395" s="60" t="str">
        <f t="shared" si="48"/>
        <v>K4097HT</v>
      </c>
      <c r="X395" s="60" t="str">
        <f t="shared" si="52"/>
        <v>Stretch Ripley</v>
      </c>
      <c r="AC395" s="51">
        <f t="shared" si="53"/>
        <v>3</v>
      </c>
      <c r="AD395" s="44">
        <f t="shared" si="54"/>
        <v>17</v>
      </c>
      <c r="AE395" s="51">
        <f t="shared" si="55"/>
        <v>3017</v>
      </c>
    </row>
    <row r="396" spans="1:31">
      <c r="A396" s="60" t="str">
        <f t="shared" si="49"/>
        <v>K4097HTblack</v>
      </c>
      <c r="B396" s="60" t="str">
        <f t="shared" si="50"/>
        <v>03-017-09</v>
      </c>
      <c r="C396" s="72" t="s">
        <v>1751</v>
      </c>
      <c r="D396" s="72" t="s">
        <v>1748</v>
      </c>
      <c r="E396" s="72" t="s">
        <v>969</v>
      </c>
      <c r="F396" s="73">
        <v>57</v>
      </c>
      <c r="G396" s="73" t="s">
        <v>1749</v>
      </c>
      <c r="H396" s="72" t="s">
        <v>53</v>
      </c>
      <c r="I396" s="72" t="s">
        <v>1750</v>
      </c>
      <c r="J396" s="72" t="s">
        <v>318</v>
      </c>
      <c r="K396" s="72" t="s">
        <v>382</v>
      </c>
      <c r="L396" s="72" t="s">
        <v>988</v>
      </c>
      <c r="M396" s="72" t="s">
        <v>388</v>
      </c>
      <c r="O396" s="72" t="s">
        <v>386</v>
      </c>
      <c r="P396" s="72" t="s">
        <v>973</v>
      </c>
      <c r="Q396" s="72" t="s">
        <v>1005</v>
      </c>
      <c r="R396" s="72" t="s">
        <v>53</v>
      </c>
      <c r="V396" s="60" t="str">
        <f t="shared" si="51"/>
        <v>K4097HTчерный</v>
      </c>
      <c r="W396" s="60" t="str">
        <f t="shared" si="48"/>
        <v>K4097HT</v>
      </c>
      <c r="X396" s="60" t="str">
        <f t="shared" si="52"/>
        <v>Stretch Ripley</v>
      </c>
      <c r="AC396" s="51">
        <f t="shared" si="53"/>
        <v>3</v>
      </c>
      <c r="AD396" s="44">
        <f t="shared" si="54"/>
        <v>17</v>
      </c>
      <c r="AE396" s="51">
        <f t="shared" si="55"/>
        <v>3017</v>
      </c>
    </row>
    <row r="397" spans="1:31">
      <c r="A397" s="60" t="str">
        <f t="shared" si="49"/>
        <v>K4097HTblack</v>
      </c>
      <c r="B397" s="60" t="str">
        <f t="shared" si="50"/>
        <v>03-017-09</v>
      </c>
      <c r="C397" s="72" t="s">
        <v>1752</v>
      </c>
      <c r="D397" s="72" t="s">
        <v>1748</v>
      </c>
      <c r="E397" s="72" t="s">
        <v>1030</v>
      </c>
      <c r="F397" s="73">
        <v>61</v>
      </c>
      <c r="G397" s="73" t="s">
        <v>1749</v>
      </c>
      <c r="H397" s="72" t="s">
        <v>53</v>
      </c>
      <c r="I397" s="72" t="s">
        <v>1750</v>
      </c>
      <c r="J397" s="72" t="s">
        <v>318</v>
      </c>
      <c r="K397" s="72" t="s">
        <v>382</v>
      </c>
      <c r="L397" s="72" t="s">
        <v>988</v>
      </c>
      <c r="M397" s="72" t="s">
        <v>388</v>
      </c>
      <c r="O397" s="72" t="s">
        <v>386</v>
      </c>
      <c r="P397" s="72" t="s">
        <v>973</v>
      </c>
      <c r="Q397" s="72" t="s">
        <v>1005</v>
      </c>
      <c r="R397" s="72" t="s">
        <v>53</v>
      </c>
      <c r="V397" s="60" t="str">
        <f t="shared" si="51"/>
        <v>K4097HTчерный</v>
      </c>
      <c r="W397" s="60" t="str">
        <f t="shared" si="48"/>
        <v>K4097HT</v>
      </c>
      <c r="X397" s="60" t="str">
        <f t="shared" si="52"/>
        <v>Stretch Ripley</v>
      </c>
      <c r="AC397" s="51">
        <f t="shared" si="53"/>
        <v>3</v>
      </c>
      <c r="AD397" s="44">
        <f t="shared" si="54"/>
        <v>17</v>
      </c>
      <c r="AE397" s="51">
        <f t="shared" si="55"/>
        <v>3017</v>
      </c>
    </row>
    <row r="398" spans="1:31">
      <c r="A398" s="60" t="str">
        <f t="shared" si="49"/>
        <v>K4097HTblack</v>
      </c>
      <c r="B398" s="60" t="str">
        <f t="shared" si="50"/>
        <v>03-017-09</v>
      </c>
      <c r="C398" s="72" t="s">
        <v>1753</v>
      </c>
      <c r="D398" s="72" t="s">
        <v>1748</v>
      </c>
      <c r="E398" s="72" t="s">
        <v>1058</v>
      </c>
      <c r="F398" s="73">
        <v>60</v>
      </c>
      <c r="G398" s="73" t="s">
        <v>1749</v>
      </c>
      <c r="H398" s="72" t="s">
        <v>53</v>
      </c>
      <c r="I398" s="72" t="s">
        <v>1750</v>
      </c>
      <c r="J398" s="72" t="s">
        <v>318</v>
      </c>
      <c r="K398" s="72" t="s">
        <v>382</v>
      </c>
      <c r="L398" s="72" t="s">
        <v>988</v>
      </c>
      <c r="M398" s="72" t="s">
        <v>388</v>
      </c>
      <c r="O398" s="72" t="s">
        <v>386</v>
      </c>
      <c r="P398" s="72" t="s">
        <v>973</v>
      </c>
      <c r="Q398" s="72" t="s">
        <v>1005</v>
      </c>
      <c r="R398" s="72" t="s">
        <v>53</v>
      </c>
      <c r="V398" s="60" t="str">
        <f t="shared" si="51"/>
        <v>K4097HTчерный</v>
      </c>
      <c r="W398" s="60" t="str">
        <f t="shared" si="48"/>
        <v>K4097HT</v>
      </c>
      <c r="X398" s="60" t="str">
        <f t="shared" si="52"/>
        <v>Stretch Ripley</v>
      </c>
      <c r="AC398" s="51">
        <f t="shared" si="53"/>
        <v>3</v>
      </c>
      <c r="AD398" s="44">
        <f t="shared" si="54"/>
        <v>17</v>
      </c>
      <c r="AE398" s="51">
        <f t="shared" si="55"/>
        <v>3017</v>
      </c>
    </row>
    <row r="399" spans="1:31">
      <c r="A399" s="60" t="str">
        <f t="shared" si="49"/>
        <v>K4097HTblack</v>
      </c>
      <c r="B399" s="60" t="str">
        <f t="shared" si="50"/>
        <v>03-017-09</v>
      </c>
      <c r="C399" s="72" t="s">
        <v>1754</v>
      </c>
      <c r="D399" s="72" t="s">
        <v>1748</v>
      </c>
      <c r="E399" s="72" t="s">
        <v>1053</v>
      </c>
      <c r="F399" s="73">
        <v>56</v>
      </c>
      <c r="G399" s="73" t="s">
        <v>1749</v>
      </c>
      <c r="H399" s="72" t="s">
        <v>53</v>
      </c>
      <c r="I399" s="72" t="s">
        <v>1750</v>
      </c>
      <c r="J399" s="72" t="s">
        <v>318</v>
      </c>
      <c r="K399" s="72" t="s">
        <v>382</v>
      </c>
      <c r="L399" s="72" t="s">
        <v>988</v>
      </c>
      <c r="M399" s="72" t="s">
        <v>388</v>
      </c>
      <c r="O399" s="72" t="s">
        <v>386</v>
      </c>
      <c r="P399" s="72" t="s">
        <v>973</v>
      </c>
      <c r="Q399" s="72" t="s">
        <v>1005</v>
      </c>
      <c r="R399" s="72" t="s">
        <v>53</v>
      </c>
      <c r="V399" s="60" t="str">
        <f t="shared" si="51"/>
        <v>K4097HTчерный</v>
      </c>
      <c r="W399" s="60" t="str">
        <f t="shared" si="48"/>
        <v>K4097HT</v>
      </c>
      <c r="X399" s="60" t="str">
        <f t="shared" si="52"/>
        <v>Stretch Ripley</v>
      </c>
      <c r="AC399" s="51">
        <f t="shared" si="53"/>
        <v>3</v>
      </c>
      <c r="AD399" s="44">
        <f t="shared" si="54"/>
        <v>17</v>
      </c>
      <c r="AE399" s="51">
        <f t="shared" si="55"/>
        <v>3017</v>
      </c>
    </row>
    <row r="400" spans="1:31">
      <c r="A400" s="60" t="str">
        <f t="shared" si="49"/>
        <v>K4097HTgrey</v>
      </c>
      <c r="B400" s="60" t="str">
        <f t="shared" si="50"/>
        <v>03-017-08</v>
      </c>
      <c r="C400" s="72" t="s">
        <v>1755</v>
      </c>
      <c r="D400" s="72" t="s">
        <v>1756</v>
      </c>
      <c r="E400" s="72" t="s">
        <v>976</v>
      </c>
      <c r="F400" s="73">
        <v>59</v>
      </c>
      <c r="G400" s="73" t="s">
        <v>1749</v>
      </c>
      <c r="H400" s="72" t="s">
        <v>83</v>
      </c>
      <c r="I400" s="72" t="s">
        <v>1757</v>
      </c>
      <c r="J400" s="72" t="s">
        <v>318</v>
      </c>
      <c r="K400" s="72" t="s">
        <v>382</v>
      </c>
      <c r="L400" s="72" t="s">
        <v>988</v>
      </c>
      <c r="M400" s="72" t="s">
        <v>388</v>
      </c>
      <c r="O400" s="72" t="s">
        <v>386</v>
      </c>
      <c r="P400" s="72" t="s">
        <v>973</v>
      </c>
      <c r="Q400" s="72" t="s">
        <v>1481</v>
      </c>
      <c r="R400" s="72" t="s">
        <v>83</v>
      </c>
      <c r="V400" s="60" t="str">
        <f t="shared" si="51"/>
        <v>K4097HTсерый</v>
      </c>
      <c r="W400" s="60" t="str">
        <f t="shared" si="48"/>
        <v>K4097HT</v>
      </c>
      <c r="X400" s="60" t="str">
        <f t="shared" si="52"/>
        <v>Stretch Ripley</v>
      </c>
      <c r="AC400" s="51">
        <f t="shared" si="53"/>
        <v>3</v>
      </c>
      <c r="AD400" s="44">
        <f t="shared" si="54"/>
        <v>17</v>
      </c>
      <c r="AE400" s="51">
        <f t="shared" si="55"/>
        <v>3017</v>
      </c>
    </row>
    <row r="401" spans="1:31">
      <c r="A401" s="60" t="str">
        <f t="shared" si="49"/>
        <v>K4097HTgrey</v>
      </c>
      <c r="B401" s="60" t="str">
        <f t="shared" si="50"/>
        <v>03-017-08</v>
      </c>
      <c r="C401" s="72" t="s">
        <v>1758</v>
      </c>
      <c r="D401" s="72" t="s">
        <v>1756</v>
      </c>
      <c r="E401" s="72" t="s">
        <v>969</v>
      </c>
      <c r="F401" s="73">
        <v>57</v>
      </c>
      <c r="G401" s="73" t="s">
        <v>1749</v>
      </c>
      <c r="H401" s="72" t="s">
        <v>83</v>
      </c>
      <c r="I401" s="72" t="s">
        <v>1757</v>
      </c>
      <c r="J401" s="72" t="s">
        <v>318</v>
      </c>
      <c r="K401" s="72" t="s">
        <v>382</v>
      </c>
      <c r="L401" s="72" t="s">
        <v>988</v>
      </c>
      <c r="M401" s="72" t="s">
        <v>388</v>
      </c>
      <c r="O401" s="72" t="s">
        <v>386</v>
      </c>
      <c r="P401" s="72" t="s">
        <v>973</v>
      </c>
      <c r="Q401" s="72" t="s">
        <v>1481</v>
      </c>
      <c r="R401" s="72" t="s">
        <v>83</v>
      </c>
      <c r="V401" s="60" t="str">
        <f t="shared" si="51"/>
        <v>K4097HTсерый</v>
      </c>
      <c r="W401" s="60" t="str">
        <f t="shared" si="48"/>
        <v>K4097HT</v>
      </c>
      <c r="X401" s="60" t="str">
        <f t="shared" si="52"/>
        <v>Stretch Ripley</v>
      </c>
      <c r="AC401" s="51">
        <f t="shared" si="53"/>
        <v>3</v>
      </c>
      <c r="AD401" s="44">
        <f t="shared" si="54"/>
        <v>17</v>
      </c>
      <c r="AE401" s="51">
        <f t="shared" si="55"/>
        <v>3017</v>
      </c>
    </row>
    <row r="402" spans="1:31">
      <c r="A402" s="60" t="str">
        <f t="shared" si="49"/>
        <v>K4097HTgrey</v>
      </c>
      <c r="B402" s="60" t="str">
        <f t="shared" si="50"/>
        <v>03-017-08</v>
      </c>
      <c r="C402" s="72" t="s">
        <v>1759</v>
      </c>
      <c r="D402" s="72" t="s">
        <v>1756</v>
      </c>
      <c r="E402" s="72" t="s">
        <v>1030</v>
      </c>
      <c r="F402" s="73">
        <v>61</v>
      </c>
      <c r="G402" s="73" t="s">
        <v>1749</v>
      </c>
      <c r="H402" s="72" t="s">
        <v>83</v>
      </c>
      <c r="I402" s="72" t="s">
        <v>1757</v>
      </c>
      <c r="J402" s="72" t="s">
        <v>318</v>
      </c>
      <c r="K402" s="72" t="s">
        <v>382</v>
      </c>
      <c r="L402" s="72" t="s">
        <v>988</v>
      </c>
      <c r="M402" s="72" t="s">
        <v>388</v>
      </c>
      <c r="O402" s="72" t="s">
        <v>386</v>
      </c>
      <c r="P402" s="72" t="s">
        <v>973</v>
      </c>
      <c r="Q402" s="72" t="s">
        <v>1481</v>
      </c>
      <c r="R402" s="72" t="s">
        <v>83</v>
      </c>
      <c r="V402" s="60" t="str">
        <f t="shared" si="51"/>
        <v>K4097HTсерый</v>
      </c>
      <c r="W402" s="60" t="str">
        <f t="shared" si="48"/>
        <v>K4097HT</v>
      </c>
      <c r="X402" s="60" t="str">
        <f t="shared" si="52"/>
        <v>Stretch Ripley</v>
      </c>
      <c r="AC402" s="51">
        <f t="shared" si="53"/>
        <v>3</v>
      </c>
      <c r="AD402" s="44">
        <f t="shared" si="54"/>
        <v>17</v>
      </c>
      <c r="AE402" s="51">
        <f t="shared" si="55"/>
        <v>3017</v>
      </c>
    </row>
    <row r="403" spans="1:31">
      <c r="A403" s="60" t="str">
        <f t="shared" si="49"/>
        <v>K4097HTgrey</v>
      </c>
      <c r="B403" s="60" t="str">
        <f t="shared" si="50"/>
        <v>03-017-08</v>
      </c>
      <c r="C403" s="72" t="s">
        <v>1760</v>
      </c>
      <c r="D403" s="72" t="s">
        <v>1756</v>
      </c>
      <c r="E403" s="72" t="s">
        <v>1058</v>
      </c>
      <c r="F403" s="73">
        <v>60</v>
      </c>
      <c r="G403" s="73" t="s">
        <v>1749</v>
      </c>
      <c r="H403" s="72" t="s">
        <v>83</v>
      </c>
      <c r="I403" s="72" t="s">
        <v>1757</v>
      </c>
      <c r="J403" s="72" t="s">
        <v>318</v>
      </c>
      <c r="K403" s="72" t="s">
        <v>382</v>
      </c>
      <c r="L403" s="72" t="s">
        <v>988</v>
      </c>
      <c r="M403" s="72" t="s">
        <v>388</v>
      </c>
      <c r="O403" s="72" t="s">
        <v>386</v>
      </c>
      <c r="P403" s="72" t="s">
        <v>973</v>
      </c>
      <c r="Q403" s="72" t="s">
        <v>1481</v>
      </c>
      <c r="R403" s="72" t="s">
        <v>83</v>
      </c>
      <c r="V403" s="60" t="str">
        <f t="shared" si="51"/>
        <v>K4097HTсерый</v>
      </c>
      <c r="W403" s="60" t="str">
        <f t="shared" si="48"/>
        <v>K4097HT</v>
      </c>
      <c r="X403" s="60" t="str">
        <f t="shared" si="52"/>
        <v>Stretch Ripley</v>
      </c>
      <c r="AC403" s="51">
        <f t="shared" si="53"/>
        <v>3</v>
      </c>
      <c r="AD403" s="44">
        <f t="shared" si="54"/>
        <v>17</v>
      </c>
      <c r="AE403" s="51">
        <f t="shared" si="55"/>
        <v>3017</v>
      </c>
    </row>
    <row r="404" spans="1:31">
      <c r="A404" s="60" t="str">
        <f t="shared" si="49"/>
        <v>K4097HTgrey</v>
      </c>
      <c r="B404" s="60" t="str">
        <f t="shared" si="50"/>
        <v>03-017-08</v>
      </c>
      <c r="C404" s="72" t="s">
        <v>1761</v>
      </c>
      <c r="D404" s="72" t="s">
        <v>1756</v>
      </c>
      <c r="E404" s="72" t="s">
        <v>1053</v>
      </c>
      <c r="F404" s="73">
        <v>56</v>
      </c>
      <c r="G404" s="73" t="s">
        <v>1749</v>
      </c>
      <c r="H404" s="72" t="s">
        <v>83</v>
      </c>
      <c r="I404" s="72" t="s">
        <v>1757</v>
      </c>
      <c r="J404" s="72" t="s">
        <v>318</v>
      </c>
      <c r="K404" s="72" t="s">
        <v>382</v>
      </c>
      <c r="L404" s="72" t="s">
        <v>988</v>
      </c>
      <c r="M404" s="72" t="s">
        <v>388</v>
      </c>
      <c r="O404" s="72" t="s">
        <v>386</v>
      </c>
      <c r="P404" s="72" t="s">
        <v>973</v>
      </c>
      <c r="Q404" s="72" t="s">
        <v>1481</v>
      </c>
      <c r="R404" s="72" t="s">
        <v>83</v>
      </c>
      <c r="V404" s="60" t="str">
        <f t="shared" si="51"/>
        <v>K4097HTсерый</v>
      </c>
      <c r="W404" s="60" t="str">
        <f t="shared" si="48"/>
        <v>K4097HT</v>
      </c>
      <c r="X404" s="60" t="str">
        <f t="shared" si="52"/>
        <v>Stretch Ripley</v>
      </c>
      <c r="AC404" s="51">
        <f t="shared" si="53"/>
        <v>3</v>
      </c>
      <c r="AD404" s="44">
        <f t="shared" si="54"/>
        <v>17</v>
      </c>
      <c r="AE404" s="51">
        <f t="shared" si="55"/>
        <v>3017</v>
      </c>
    </row>
    <row r="405" spans="1:31">
      <c r="A405" s="60" t="str">
        <f t="shared" si="49"/>
        <v>K4097HTnavy</v>
      </c>
      <c r="B405" s="60" t="str">
        <f t="shared" si="50"/>
        <v>03-017-16</v>
      </c>
      <c r="C405" s="72" t="s">
        <v>1762</v>
      </c>
      <c r="D405" s="72" t="s">
        <v>1763</v>
      </c>
      <c r="E405" s="72" t="s">
        <v>976</v>
      </c>
      <c r="F405" s="73">
        <v>59</v>
      </c>
      <c r="G405" s="73" t="s">
        <v>1749</v>
      </c>
      <c r="H405" s="72" t="s">
        <v>55</v>
      </c>
      <c r="I405" s="72" t="s">
        <v>1757</v>
      </c>
      <c r="J405" s="72" t="s">
        <v>318</v>
      </c>
      <c r="K405" s="72" t="s">
        <v>382</v>
      </c>
      <c r="L405" s="72" t="s">
        <v>988</v>
      </c>
      <c r="M405" s="72" t="s">
        <v>388</v>
      </c>
      <c r="O405" s="72" t="s">
        <v>386</v>
      </c>
      <c r="P405" s="72" t="s">
        <v>973</v>
      </c>
      <c r="Q405" s="72" t="s">
        <v>1017</v>
      </c>
      <c r="R405" s="72" t="s">
        <v>71</v>
      </c>
      <c r="V405" s="60" t="str">
        <f t="shared" si="51"/>
        <v>K4097HTтемно-синий</v>
      </c>
      <c r="W405" s="60" t="str">
        <f t="shared" si="48"/>
        <v>K4097HT</v>
      </c>
      <c r="X405" s="60" t="str">
        <f t="shared" si="52"/>
        <v>Stretch Ripley</v>
      </c>
      <c r="AC405" s="51">
        <f t="shared" si="53"/>
        <v>3</v>
      </c>
      <c r="AD405" s="44">
        <f t="shared" si="54"/>
        <v>17</v>
      </c>
      <c r="AE405" s="51">
        <f t="shared" si="55"/>
        <v>3017</v>
      </c>
    </row>
    <row r="406" spans="1:31">
      <c r="A406" s="60" t="str">
        <f t="shared" si="49"/>
        <v>K4097HTnavy</v>
      </c>
      <c r="B406" s="60" t="str">
        <f t="shared" si="50"/>
        <v>03-017-16</v>
      </c>
      <c r="C406" s="72" t="s">
        <v>1764</v>
      </c>
      <c r="D406" s="72" t="s">
        <v>1763</v>
      </c>
      <c r="E406" s="72" t="s">
        <v>969</v>
      </c>
      <c r="F406" s="73">
        <v>57</v>
      </c>
      <c r="G406" s="73" t="s">
        <v>1749</v>
      </c>
      <c r="H406" s="72" t="s">
        <v>55</v>
      </c>
      <c r="I406" s="72" t="s">
        <v>1757</v>
      </c>
      <c r="J406" s="72" t="s">
        <v>318</v>
      </c>
      <c r="K406" s="72" t="s">
        <v>382</v>
      </c>
      <c r="L406" s="72" t="s">
        <v>988</v>
      </c>
      <c r="M406" s="72" t="s">
        <v>388</v>
      </c>
      <c r="O406" s="72" t="s">
        <v>386</v>
      </c>
      <c r="P406" s="72" t="s">
        <v>973</v>
      </c>
      <c r="Q406" s="72" t="s">
        <v>1017</v>
      </c>
      <c r="R406" s="72" t="s">
        <v>71</v>
      </c>
      <c r="V406" s="60" t="str">
        <f t="shared" si="51"/>
        <v>K4097HTтемно-синий</v>
      </c>
      <c r="W406" s="60" t="str">
        <f t="shared" si="48"/>
        <v>K4097HT</v>
      </c>
      <c r="X406" s="60" t="str">
        <f t="shared" si="52"/>
        <v>Stretch Ripley</v>
      </c>
      <c r="AC406" s="51">
        <f t="shared" si="53"/>
        <v>3</v>
      </c>
      <c r="AD406" s="44">
        <f t="shared" si="54"/>
        <v>17</v>
      </c>
      <c r="AE406" s="51">
        <f t="shared" si="55"/>
        <v>3017</v>
      </c>
    </row>
    <row r="407" spans="1:31">
      <c r="A407" s="60" t="str">
        <f t="shared" si="49"/>
        <v>K4097HTnavy</v>
      </c>
      <c r="B407" s="60" t="str">
        <f t="shared" si="50"/>
        <v>03-017-16</v>
      </c>
      <c r="C407" s="72" t="s">
        <v>1765</v>
      </c>
      <c r="D407" s="72" t="s">
        <v>1763</v>
      </c>
      <c r="E407" s="72" t="s">
        <v>1030</v>
      </c>
      <c r="F407" s="73">
        <v>61</v>
      </c>
      <c r="G407" s="73" t="s">
        <v>1749</v>
      </c>
      <c r="H407" s="72" t="s">
        <v>55</v>
      </c>
      <c r="I407" s="72" t="s">
        <v>1757</v>
      </c>
      <c r="J407" s="72" t="s">
        <v>318</v>
      </c>
      <c r="K407" s="72" t="s">
        <v>382</v>
      </c>
      <c r="L407" s="72" t="s">
        <v>988</v>
      </c>
      <c r="M407" s="72" t="s">
        <v>388</v>
      </c>
      <c r="O407" s="72" t="s">
        <v>386</v>
      </c>
      <c r="P407" s="72" t="s">
        <v>973</v>
      </c>
      <c r="Q407" s="72" t="s">
        <v>1017</v>
      </c>
      <c r="R407" s="72" t="s">
        <v>71</v>
      </c>
      <c r="V407" s="60" t="str">
        <f t="shared" si="51"/>
        <v>K4097HTтемно-синий</v>
      </c>
      <c r="W407" s="60" t="str">
        <f t="shared" si="48"/>
        <v>K4097HT</v>
      </c>
      <c r="X407" s="60" t="str">
        <f t="shared" si="52"/>
        <v>Stretch Ripley</v>
      </c>
      <c r="AC407" s="51">
        <f t="shared" si="53"/>
        <v>3</v>
      </c>
      <c r="AD407" s="44">
        <f t="shared" si="54"/>
        <v>17</v>
      </c>
      <c r="AE407" s="51">
        <f t="shared" si="55"/>
        <v>3017</v>
      </c>
    </row>
    <row r="408" spans="1:31">
      <c r="A408" s="60" t="str">
        <f t="shared" si="49"/>
        <v>K4097HTnavy</v>
      </c>
      <c r="B408" s="60" t="str">
        <f t="shared" si="50"/>
        <v>03-017-16</v>
      </c>
      <c r="C408" s="72" t="s">
        <v>1766</v>
      </c>
      <c r="D408" s="72" t="s">
        <v>1763</v>
      </c>
      <c r="E408" s="72" t="s">
        <v>1058</v>
      </c>
      <c r="F408" s="73">
        <v>60</v>
      </c>
      <c r="G408" s="73" t="s">
        <v>1749</v>
      </c>
      <c r="H408" s="72" t="s">
        <v>55</v>
      </c>
      <c r="I408" s="72" t="s">
        <v>1757</v>
      </c>
      <c r="J408" s="72" t="s">
        <v>318</v>
      </c>
      <c r="K408" s="72" t="s">
        <v>382</v>
      </c>
      <c r="L408" s="72" t="s">
        <v>988</v>
      </c>
      <c r="M408" s="72" t="s">
        <v>388</v>
      </c>
      <c r="O408" s="72" t="s">
        <v>386</v>
      </c>
      <c r="P408" s="72" t="s">
        <v>973</v>
      </c>
      <c r="Q408" s="72" t="s">
        <v>1017</v>
      </c>
      <c r="R408" s="72" t="s">
        <v>71</v>
      </c>
      <c r="V408" s="60" t="str">
        <f t="shared" si="51"/>
        <v>K4097HTтемно-синий</v>
      </c>
      <c r="W408" s="60" t="str">
        <f t="shared" si="48"/>
        <v>K4097HT</v>
      </c>
      <c r="X408" s="60" t="str">
        <f t="shared" si="52"/>
        <v>Stretch Ripley</v>
      </c>
      <c r="AC408" s="51">
        <f t="shared" si="53"/>
        <v>3</v>
      </c>
      <c r="AD408" s="44">
        <f t="shared" si="54"/>
        <v>17</v>
      </c>
      <c r="AE408" s="51">
        <f t="shared" si="55"/>
        <v>3017</v>
      </c>
    </row>
    <row r="409" spans="1:31">
      <c r="A409" s="60" t="str">
        <f t="shared" si="49"/>
        <v>K4097HTnavy</v>
      </c>
      <c r="B409" s="60" t="str">
        <f t="shared" si="50"/>
        <v>03-017-16</v>
      </c>
      <c r="C409" s="72" t="s">
        <v>1767</v>
      </c>
      <c r="D409" s="72" t="s">
        <v>1763</v>
      </c>
      <c r="E409" s="72" t="s">
        <v>1053</v>
      </c>
      <c r="F409" s="73">
        <v>56</v>
      </c>
      <c r="G409" s="73" t="s">
        <v>1749</v>
      </c>
      <c r="H409" s="72" t="s">
        <v>55</v>
      </c>
      <c r="I409" s="72" t="s">
        <v>1757</v>
      </c>
      <c r="J409" s="72" t="s">
        <v>318</v>
      </c>
      <c r="K409" s="72" t="s">
        <v>382</v>
      </c>
      <c r="L409" s="72" t="s">
        <v>988</v>
      </c>
      <c r="M409" s="72" t="s">
        <v>388</v>
      </c>
      <c r="O409" s="72" t="s">
        <v>386</v>
      </c>
      <c r="P409" s="72" t="s">
        <v>973</v>
      </c>
      <c r="Q409" s="72" t="s">
        <v>1017</v>
      </c>
      <c r="R409" s="72" t="s">
        <v>71</v>
      </c>
      <c r="V409" s="60" t="str">
        <f t="shared" si="51"/>
        <v>K4097HTтемно-синий</v>
      </c>
      <c r="W409" s="60" t="str">
        <f t="shared" si="48"/>
        <v>K4097HT</v>
      </c>
      <c r="X409" s="60" t="str">
        <f t="shared" si="52"/>
        <v>Stretch Ripley</v>
      </c>
      <c r="AC409" s="51">
        <f t="shared" si="53"/>
        <v>3</v>
      </c>
      <c r="AD409" s="44">
        <f t="shared" si="54"/>
        <v>17</v>
      </c>
      <c r="AE409" s="51">
        <f t="shared" si="55"/>
        <v>3017</v>
      </c>
    </row>
    <row r="410" spans="1:31">
      <c r="A410" s="60" t="str">
        <f t="shared" si="49"/>
        <v>K4108SPblack</v>
      </c>
      <c r="B410" s="60" t="str">
        <f t="shared" si="50"/>
        <v>03-018-09</v>
      </c>
      <c r="C410" s="72" t="s">
        <v>1768</v>
      </c>
      <c r="D410" s="72" t="s">
        <v>1769</v>
      </c>
      <c r="E410" s="72" t="s">
        <v>909</v>
      </c>
      <c r="F410" s="73">
        <v>0</v>
      </c>
      <c r="G410" s="73" t="s">
        <v>1770</v>
      </c>
      <c r="H410" s="72" t="s">
        <v>293</v>
      </c>
      <c r="I410" s="72" t="s">
        <v>1221</v>
      </c>
      <c r="J410" s="72" t="s">
        <v>340</v>
      </c>
      <c r="K410" s="72" t="s">
        <v>382</v>
      </c>
      <c r="L410" s="72" t="s">
        <v>972</v>
      </c>
      <c r="M410" s="72" t="s">
        <v>389</v>
      </c>
      <c r="O410" s="72" t="s">
        <v>386</v>
      </c>
      <c r="P410" s="72" t="s">
        <v>973</v>
      </c>
      <c r="Q410" s="72" t="s">
        <v>1005</v>
      </c>
      <c r="R410" s="72" t="s">
        <v>53</v>
      </c>
      <c r="V410" s="60" t="str">
        <f t="shared" si="51"/>
        <v>K4108SPчерный / белый</v>
      </c>
      <c r="W410" s="60" t="str">
        <f t="shared" si="48"/>
        <v>K4108SP</v>
      </c>
      <c r="X410" s="60" t="str">
        <f t="shared" si="52"/>
        <v>Rev Stripe Slouch Beanie</v>
      </c>
      <c r="AC410" s="51">
        <f t="shared" si="53"/>
        <v>3</v>
      </c>
      <c r="AD410" s="44">
        <f t="shared" si="54"/>
        <v>18</v>
      </c>
      <c r="AE410" s="51">
        <f t="shared" si="55"/>
        <v>3018</v>
      </c>
    </row>
    <row r="411" spans="1:31">
      <c r="A411" s="60" t="str">
        <f t="shared" si="49"/>
        <v>K4108SPgrey</v>
      </c>
      <c r="B411" s="60" t="str">
        <f t="shared" si="50"/>
        <v>03-018-08</v>
      </c>
      <c r="C411" s="72" t="s">
        <v>1771</v>
      </c>
      <c r="D411" s="72" t="s">
        <v>1772</v>
      </c>
      <c r="E411" s="72" t="s">
        <v>909</v>
      </c>
      <c r="F411" s="73">
        <v>0</v>
      </c>
      <c r="G411" s="73" t="s">
        <v>1770</v>
      </c>
      <c r="H411" s="72" t="s">
        <v>245</v>
      </c>
      <c r="I411" s="72" t="s">
        <v>1221</v>
      </c>
      <c r="J411" s="72" t="s">
        <v>340</v>
      </c>
      <c r="K411" s="72" t="s">
        <v>382</v>
      </c>
      <c r="L411" s="72" t="s">
        <v>972</v>
      </c>
      <c r="M411" s="72" t="s">
        <v>389</v>
      </c>
      <c r="O411" s="72" t="s">
        <v>386</v>
      </c>
      <c r="P411" s="72" t="s">
        <v>973</v>
      </c>
      <c r="Q411" s="72" t="s">
        <v>1481</v>
      </c>
      <c r="R411" s="72" t="s">
        <v>83</v>
      </c>
      <c r="V411" s="60" t="str">
        <f t="shared" si="51"/>
        <v>K4108SPсерый / синий</v>
      </c>
      <c r="W411" s="60" t="str">
        <f t="shared" si="48"/>
        <v>K4108SP</v>
      </c>
      <c r="X411" s="60" t="str">
        <f t="shared" si="52"/>
        <v>Rev Stripe Slouch Beanie</v>
      </c>
      <c r="AC411" s="51">
        <f t="shared" si="53"/>
        <v>3</v>
      </c>
      <c r="AD411" s="44">
        <f t="shared" si="54"/>
        <v>18</v>
      </c>
      <c r="AE411" s="51">
        <f t="shared" si="55"/>
        <v>3018</v>
      </c>
    </row>
    <row r="412" spans="1:31">
      <c r="A412" s="60" t="str">
        <f t="shared" si="49"/>
        <v>K4108SPnavy</v>
      </c>
      <c r="B412" s="60" t="str">
        <f t="shared" si="50"/>
        <v>03-018-16</v>
      </c>
      <c r="C412" s="72" t="s">
        <v>1773</v>
      </c>
      <c r="D412" s="72" t="s">
        <v>1774</v>
      </c>
      <c r="E412" s="72" t="s">
        <v>909</v>
      </c>
      <c r="F412" s="73">
        <v>0</v>
      </c>
      <c r="G412" s="73" t="s">
        <v>1770</v>
      </c>
      <c r="H412" s="72" t="s">
        <v>280</v>
      </c>
      <c r="I412" s="72" t="s">
        <v>1221</v>
      </c>
      <c r="J412" s="72" t="s">
        <v>340</v>
      </c>
      <c r="K412" s="72" t="s">
        <v>382</v>
      </c>
      <c r="L412" s="72" t="s">
        <v>972</v>
      </c>
      <c r="M412" s="72" t="s">
        <v>389</v>
      </c>
      <c r="O412" s="72" t="s">
        <v>386</v>
      </c>
      <c r="P412" s="72" t="s">
        <v>973</v>
      </c>
      <c r="Q412" s="72" t="s">
        <v>1017</v>
      </c>
      <c r="R412" s="72" t="s">
        <v>71</v>
      </c>
      <c r="V412" s="60" t="str">
        <f t="shared" si="51"/>
        <v>K4108SPтемно-синий / желтый</v>
      </c>
      <c r="W412" s="60" t="str">
        <f t="shared" si="48"/>
        <v>K4108SP</v>
      </c>
      <c r="X412" s="60" t="str">
        <f t="shared" si="52"/>
        <v>Rev Stripe Slouch Beanie</v>
      </c>
      <c r="AC412" s="51">
        <f t="shared" si="53"/>
        <v>3</v>
      </c>
      <c r="AD412" s="44">
        <f t="shared" si="54"/>
        <v>18</v>
      </c>
      <c r="AE412" s="51">
        <f t="shared" si="55"/>
        <v>3018</v>
      </c>
    </row>
    <row r="413" spans="1:31">
      <c r="A413" s="60" t="str">
        <f t="shared" si="49"/>
        <v>K6015HTblack</v>
      </c>
      <c r="B413" s="60" t="str">
        <f t="shared" si="50"/>
        <v>03-019-09</v>
      </c>
      <c r="C413" s="72" t="s">
        <v>1775</v>
      </c>
      <c r="D413" s="72" t="s">
        <v>1776</v>
      </c>
      <c r="E413" s="72" t="s">
        <v>909</v>
      </c>
      <c r="F413" s="73">
        <v>0</v>
      </c>
      <c r="G413" s="73" t="s">
        <v>1777</v>
      </c>
      <c r="H413" s="72" t="s">
        <v>53</v>
      </c>
      <c r="I413" s="72" t="s">
        <v>1105</v>
      </c>
      <c r="J413" s="72" t="s">
        <v>340</v>
      </c>
      <c r="K413" s="72" t="s">
        <v>382</v>
      </c>
      <c r="L413" s="72" t="s">
        <v>972</v>
      </c>
      <c r="M413" s="72" t="s">
        <v>389</v>
      </c>
      <c r="N413" s="72" t="s">
        <v>44</v>
      </c>
      <c r="O413" s="72" t="s">
        <v>539</v>
      </c>
      <c r="P413" s="72" t="s">
        <v>973</v>
      </c>
      <c r="Q413" s="72" t="s">
        <v>1005</v>
      </c>
      <c r="R413" s="72" t="s">
        <v>53</v>
      </c>
      <c r="V413" s="60" t="str">
        <f t="shared" si="51"/>
        <v>K6015HTчерный</v>
      </c>
      <c r="W413" s="60" t="str">
        <f t="shared" si="48"/>
        <v>K6015HT</v>
      </c>
      <c r="X413" s="60" t="str">
        <f t="shared" si="52"/>
        <v>Lambswool FF Pull-On</v>
      </c>
      <c r="AC413" s="51">
        <f t="shared" si="53"/>
        <v>3</v>
      </c>
      <c r="AD413" s="44">
        <f t="shared" si="54"/>
        <v>19</v>
      </c>
      <c r="AE413" s="51">
        <f t="shared" si="55"/>
        <v>3019</v>
      </c>
    </row>
    <row r="414" spans="1:31">
      <c r="A414" s="60" t="str">
        <f t="shared" si="49"/>
        <v>K6015HTflannel</v>
      </c>
      <c r="B414" s="60" t="str">
        <f t="shared" si="50"/>
        <v>03-019-08</v>
      </c>
      <c r="C414" s="72" t="s">
        <v>1778</v>
      </c>
      <c r="D414" s="72" t="s">
        <v>1779</v>
      </c>
      <c r="E414" s="72" t="s">
        <v>909</v>
      </c>
      <c r="F414" s="73">
        <v>0</v>
      </c>
      <c r="G414" s="73" t="s">
        <v>1777</v>
      </c>
      <c r="H414" s="72" t="s">
        <v>83</v>
      </c>
      <c r="I414" s="72" t="s">
        <v>1105</v>
      </c>
      <c r="J414" s="72" t="s">
        <v>340</v>
      </c>
      <c r="K414" s="72" t="s">
        <v>382</v>
      </c>
      <c r="L414" s="72" t="s">
        <v>988</v>
      </c>
      <c r="M414" s="72" t="s">
        <v>389</v>
      </c>
      <c r="N414" s="72" t="s">
        <v>44</v>
      </c>
      <c r="O414" s="72" t="s">
        <v>539</v>
      </c>
      <c r="P414" s="72" t="s">
        <v>973</v>
      </c>
      <c r="Q414" s="72" t="s">
        <v>1119</v>
      </c>
      <c r="R414" s="72" t="s">
        <v>83</v>
      </c>
      <c r="V414" s="60" t="str">
        <f t="shared" si="51"/>
        <v>K6015HTсерый</v>
      </c>
      <c r="W414" s="60" t="str">
        <f t="shared" si="48"/>
        <v>K6015HT</v>
      </c>
      <c r="X414" s="60" t="str">
        <f t="shared" si="52"/>
        <v>Lambswool FF Pull-On</v>
      </c>
      <c r="AC414" s="51">
        <f t="shared" si="53"/>
        <v>3</v>
      </c>
      <c r="AD414" s="44">
        <f t="shared" si="54"/>
        <v>19</v>
      </c>
      <c r="AE414" s="51">
        <f t="shared" si="55"/>
        <v>3019</v>
      </c>
    </row>
    <row r="415" spans="1:31">
      <c r="A415" s="60" t="str">
        <f t="shared" si="49"/>
        <v>K6015HTnavy</v>
      </c>
      <c r="B415" s="60" t="str">
        <f t="shared" si="50"/>
        <v>03-019-16</v>
      </c>
      <c r="C415" s="72" t="s">
        <v>1780</v>
      </c>
      <c r="D415" s="72" t="s">
        <v>1781</v>
      </c>
      <c r="E415" s="72" t="s">
        <v>909</v>
      </c>
      <c r="F415" s="73">
        <v>0</v>
      </c>
      <c r="G415" s="73" t="s">
        <v>1777</v>
      </c>
      <c r="H415" s="72" t="s">
        <v>55</v>
      </c>
      <c r="I415" s="72" t="s">
        <v>1105</v>
      </c>
      <c r="J415" s="72" t="s">
        <v>340</v>
      </c>
      <c r="K415" s="72" t="s">
        <v>382</v>
      </c>
      <c r="L415" s="72" t="s">
        <v>988</v>
      </c>
      <c r="M415" s="72" t="s">
        <v>389</v>
      </c>
      <c r="N415" s="72" t="s">
        <v>44</v>
      </c>
      <c r="O415" s="72" t="s">
        <v>539</v>
      </c>
      <c r="P415" s="72" t="s">
        <v>973</v>
      </c>
      <c r="Q415" s="72" t="s">
        <v>1017</v>
      </c>
      <c r="R415" s="72" t="s">
        <v>71</v>
      </c>
      <c r="V415" s="60" t="str">
        <f t="shared" si="51"/>
        <v>K6015HTтемно-синий</v>
      </c>
      <c r="W415" s="60" t="str">
        <f t="shared" si="48"/>
        <v>K6015HT</v>
      </c>
      <c r="X415" s="60" t="str">
        <f t="shared" si="52"/>
        <v>Lambswool FF Pull-On</v>
      </c>
      <c r="AC415" s="51">
        <f t="shared" si="53"/>
        <v>3</v>
      </c>
      <c r="AD415" s="44">
        <f t="shared" si="54"/>
        <v>19</v>
      </c>
      <c r="AE415" s="51">
        <f t="shared" si="55"/>
        <v>3019</v>
      </c>
    </row>
    <row r="416" spans="1:31">
      <c r="A416" s="60" t="str">
        <f t="shared" si="49"/>
        <v>K6016SPblack</v>
      </c>
      <c r="B416" s="60" t="str">
        <f t="shared" si="50"/>
        <v>03-020-09</v>
      </c>
      <c r="C416" s="72" t="s">
        <v>1782</v>
      </c>
      <c r="D416" s="72" t="s">
        <v>1783</v>
      </c>
      <c r="E416" s="72" t="s">
        <v>909</v>
      </c>
      <c r="F416" s="73">
        <v>0</v>
      </c>
      <c r="G416" s="73" t="s">
        <v>1784</v>
      </c>
      <c r="H416" s="72" t="s">
        <v>308</v>
      </c>
      <c r="I416" s="72" t="s">
        <v>1221</v>
      </c>
      <c r="J416" s="72" t="s">
        <v>340</v>
      </c>
      <c r="K416" s="72" t="s">
        <v>382</v>
      </c>
      <c r="L416" s="72" t="s">
        <v>972</v>
      </c>
      <c r="M416" s="72" t="s">
        <v>389</v>
      </c>
      <c r="O416" s="72" t="s">
        <v>539</v>
      </c>
      <c r="P416" s="72" t="s">
        <v>973</v>
      </c>
      <c r="Q416" s="72" t="s">
        <v>1005</v>
      </c>
      <c r="R416" s="72" t="s">
        <v>53</v>
      </c>
      <c r="V416" s="60" t="str">
        <f t="shared" si="51"/>
        <v>K6016SPчерный / серый</v>
      </c>
      <c r="W416" s="60" t="str">
        <f t="shared" si="48"/>
        <v>K6016SP</v>
      </c>
      <c r="X416" s="60" t="str">
        <f t="shared" si="52"/>
        <v>Sport Stripe Beanie</v>
      </c>
      <c r="AC416" s="51">
        <f t="shared" si="53"/>
        <v>3</v>
      </c>
      <c r="AD416" s="44">
        <f t="shared" si="54"/>
        <v>20</v>
      </c>
      <c r="AE416" s="51">
        <f t="shared" si="55"/>
        <v>3020</v>
      </c>
    </row>
    <row r="417" spans="1:31">
      <c r="A417" s="60" t="str">
        <f t="shared" si="49"/>
        <v>K6016SPgrey</v>
      </c>
      <c r="B417" s="60" t="str">
        <f t="shared" si="50"/>
        <v>03-020-08</v>
      </c>
      <c r="C417" s="72" t="s">
        <v>1785</v>
      </c>
      <c r="D417" s="72" t="s">
        <v>1786</v>
      </c>
      <c r="E417" s="72" t="s">
        <v>909</v>
      </c>
      <c r="F417" s="73">
        <v>0</v>
      </c>
      <c r="G417" s="73" t="s">
        <v>1784</v>
      </c>
      <c r="H417" s="72" t="s">
        <v>245</v>
      </c>
      <c r="I417" s="72" t="s">
        <v>1221</v>
      </c>
      <c r="J417" s="72" t="s">
        <v>340</v>
      </c>
      <c r="K417" s="72" t="s">
        <v>382</v>
      </c>
      <c r="L417" s="72" t="s">
        <v>972</v>
      </c>
      <c r="M417" s="72" t="s">
        <v>389</v>
      </c>
      <c r="O417" s="72" t="s">
        <v>539</v>
      </c>
      <c r="P417" s="72" t="s">
        <v>973</v>
      </c>
      <c r="Q417" s="72" t="s">
        <v>1481</v>
      </c>
      <c r="R417" s="72" t="s">
        <v>83</v>
      </c>
      <c r="V417" s="60" t="str">
        <f t="shared" si="51"/>
        <v>K6016SPсерый / синий</v>
      </c>
      <c r="W417" s="60" t="str">
        <f t="shared" si="48"/>
        <v>K6016SP</v>
      </c>
      <c r="X417" s="60" t="str">
        <f t="shared" si="52"/>
        <v>Sport Stripe Beanie</v>
      </c>
      <c r="AC417" s="51">
        <f t="shared" si="53"/>
        <v>3</v>
      </c>
      <c r="AD417" s="44">
        <f t="shared" si="54"/>
        <v>20</v>
      </c>
      <c r="AE417" s="51">
        <f t="shared" si="55"/>
        <v>3020</v>
      </c>
    </row>
    <row r="418" spans="1:31">
      <c r="A418" s="60" t="str">
        <f t="shared" si="49"/>
        <v>K6016SPmarine</v>
      </c>
      <c r="B418" s="60" t="str">
        <f t="shared" si="50"/>
        <v>03-020-06</v>
      </c>
      <c r="C418" s="72" t="s">
        <v>1787</v>
      </c>
      <c r="D418" s="72" t="s">
        <v>1788</v>
      </c>
      <c r="E418" s="72" t="s">
        <v>909</v>
      </c>
      <c r="F418" s="73">
        <v>0</v>
      </c>
      <c r="G418" s="73" t="s">
        <v>1784</v>
      </c>
      <c r="H418" s="72" t="s">
        <v>259</v>
      </c>
      <c r="I418" s="72" t="s">
        <v>1221</v>
      </c>
      <c r="J418" s="72" t="s">
        <v>340</v>
      </c>
      <c r="K418" s="72" t="s">
        <v>382</v>
      </c>
      <c r="L418" s="72" t="s">
        <v>972</v>
      </c>
      <c r="M418" s="72" t="s">
        <v>389</v>
      </c>
      <c r="O418" s="72" t="s">
        <v>539</v>
      </c>
      <c r="P418" s="72" t="s">
        <v>973</v>
      </c>
      <c r="Q418" s="72" t="s">
        <v>1789</v>
      </c>
      <c r="R418" s="72" t="s">
        <v>71</v>
      </c>
      <c r="V418" s="60" t="str">
        <f t="shared" si="51"/>
        <v>K6016SPсиний / черный</v>
      </c>
      <c r="W418" s="60" t="str">
        <f t="shared" si="48"/>
        <v>K6016SP</v>
      </c>
      <c r="X418" s="60" t="str">
        <f t="shared" si="52"/>
        <v>Sport Stripe Beanie</v>
      </c>
      <c r="AC418" s="51">
        <f t="shared" si="53"/>
        <v>3</v>
      </c>
      <c r="AD418" s="44">
        <f t="shared" si="54"/>
        <v>20</v>
      </c>
      <c r="AE418" s="51">
        <f t="shared" si="55"/>
        <v>3020</v>
      </c>
    </row>
    <row r="419" spans="1:31">
      <c r="A419" s="60" t="str">
        <f t="shared" si="49"/>
        <v>K6017HTblack</v>
      </c>
      <c r="B419" s="60" t="str">
        <f t="shared" si="50"/>
        <v>03-021-09</v>
      </c>
      <c r="C419" s="72" t="s">
        <v>1790</v>
      </c>
      <c r="D419" s="72" t="s">
        <v>1791</v>
      </c>
      <c r="E419" s="72" t="s">
        <v>909</v>
      </c>
      <c r="F419" s="73">
        <v>0</v>
      </c>
      <c r="G419" s="73" t="s">
        <v>1792</v>
      </c>
      <c r="H419" s="72" t="s">
        <v>53</v>
      </c>
      <c r="I419" s="72" t="s">
        <v>1793</v>
      </c>
      <c r="J419" s="72" t="s">
        <v>340</v>
      </c>
      <c r="K419" s="72" t="s">
        <v>382</v>
      </c>
      <c r="L419" s="72" t="s">
        <v>972</v>
      </c>
      <c r="M419" s="72" t="s">
        <v>389</v>
      </c>
      <c r="O419" s="72" t="s">
        <v>539</v>
      </c>
      <c r="P419" s="72" t="s">
        <v>973</v>
      </c>
      <c r="Q419" s="72" t="s">
        <v>1005</v>
      </c>
      <c r="R419" s="72" t="s">
        <v>53</v>
      </c>
      <c r="V419" s="60" t="str">
        <f t="shared" si="51"/>
        <v>K6017HTчерный</v>
      </c>
      <c r="W419" s="60" t="str">
        <f t="shared" si="48"/>
        <v>K6017HT</v>
      </c>
      <c r="X419" s="60" t="str">
        <f t="shared" si="52"/>
        <v>Long Pull-On</v>
      </c>
      <c r="AC419" s="51">
        <f t="shared" si="53"/>
        <v>3</v>
      </c>
      <c r="AD419" s="44">
        <f t="shared" si="54"/>
        <v>21</v>
      </c>
      <c r="AE419" s="51">
        <f t="shared" si="55"/>
        <v>3021</v>
      </c>
    </row>
    <row r="420" spans="1:31">
      <c r="A420" s="60" t="str">
        <f t="shared" si="49"/>
        <v>K6017HTmorel</v>
      </c>
      <c r="B420" s="60" t="str">
        <f t="shared" si="50"/>
        <v>03-021-02</v>
      </c>
      <c r="C420" s="72" t="s">
        <v>1794</v>
      </c>
      <c r="D420" s="72" t="s">
        <v>1795</v>
      </c>
      <c r="E420" s="72" t="s">
        <v>909</v>
      </c>
      <c r="F420" s="73">
        <v>0</v>
      </c>
      <c r="G420" s="73" t="s">
        <v>1792</v>
      </c>
      <c r="H420" s="72" t="s">
        <v>63</v>
      </c>
      <c r="I420" s="72" t="s">
        <v>1793</v>
      </c>
      <c r="J420" s="72" t="s">
        <v>340</v>
      </c>
      <c r="K420" s="72" t="s">
        <v>382</v>
      </c>
      <c r="L420" s="72" t="s">
        <v>972</v>
      </c>
      <c r="M420" s="72" t="s">
        <v>389</v>
      </c>
      <c r="O420" s="72" t="s">
        <v>539</v>
      </c>
      <c r="P420" s="72" t="s">
        <v>973</v>
      </c>
      <c r="Q420" s="72" t="s">
        <v>1796</v>
      </c>
      <c r="R420" s="72" t="s">
        <v>63</v>
      </c>
      <c r="V420" s="60" t="str">
        <f t="shared" si="51"/>
        <v>K6017HTбежевый</v>
      </c>
      <c r="W420" s="60" t="str">
        <f t="shared" si="48"/>
        <v>K6017HT</v>
      </c>
      <c r="X420" s="60" t="str">
        <f t="shared" si="52"/>
        <v>Long Pull-On</v>
      </c>
      <c r="AC420" s="51">
        <f t="shared" si="53"/>
        <v>3</v>
      </c>
      <c r="AD420" s="44">
        <f t="shared" si="54"/>
        <v>21</v>
      </c>
      <c r="AE420" s="51">
        <f t="shared" si="55"/>
        <v>3021</v>
      </c>
    </row>
    <row r="421" spans="1:31">
      <c r="A421" s="60" t="str">
        <f t="shared" si="49"/>
        <v>K6017HTvino</v>
      </c>
      <c r="B421" s="60" t="str">
        <f t="shared" si="50"/>
        <v>03-021-12</v>
      </c>
      <c r="C421" s="72" t="s">
        <v>1797</v>
      </c>
      <c r="D421" s="72" t="s">
        <v>1798</v>
      </c>
      <c r="E421" s="72" t="s">
        <v>909</v>
      </c>
      <c r="F421" s="73">
        <v>0</v>
      </c>
      <c r="G421" s="73" t="s">
        <v>1792</v>
      </c>
      <c r="H421" s="72" t="s">
        <v>121</v>
      </c>
      <c r="I421" s="72" t="s">
        <v>1793</v>
      </c>
      <c r="J421" s="72" t="s">
        <v>340</v>
      </c>
      <c r="K421" s="72" t="s">
        <v>382</v>
      </c>
      <c r="L421" s="72" t="s">
        <v>972</v>
      </c>
      <c r="M421" s="72" t="s">
        <v>389</v>
      </c>
      <c r="O421" s="72" t="s">
        <v>539</v>
      </c>
      <c r="P421" s="72" t="s">
        <v>973</v>
      </c>
      <c r="Q421" s="72" t="s">
        <v>1310</v>
      </c>
      <c r="R421" s="72" t="s">
        <v>121</v>
      </c>
      <c r="V421" s="60" t="str">
        <f t="shared" si="51"/>
        <v>K6017HTбордовый</v>
      </c>
      <c r="W421" s="60" t="str">
        <f t="shared" si="48"/>
        <v>K6017HT</v>
      </c>
      <c r="X421" s="60" t="str">
        <f t="shared" si="52"/>
        <v>Long Pull-On</v>
      </c>
      <c r="AC421" s="51">
        <f t="shared" si="53"/>
        <v>3</v>
      </c>
      <c r="AD421" s="44">
        <f t="shared" si="54"/>
        <v>21</v>
      </c>
      <c r="AE421" s="51">
        <f t="shared" si="55"/>
        <v>3021</v>
      </c>
    </row>
    <row r="422" spans="1:31">
      <c r="A422" s="60" t="str">
        <f t="shared" si="49"/>
        <v>0252HTblack</v>
      </c>
      <c r="B422" s="60" t="str">
        <f t="shared" si="50"/>
        <v>03-001-09</v>
      </c>
      <c r="C422" s="72" t="s">
        <v>1799</v>
      </c>
      <c r="D422" s="72" t="s">
        <v>1800</v>
      </c>
      <c r="E422" s="72" t="s">
        <v>1030</v>
      </c>
      <c r="F422" s="73">
        <v>61</v>
      </c>
      <c r="G422" s="73" t="s">
        <v>1699</v>
      </c>
      <c r="H422" s="72" t="s">
        <v>53</v>
      </c>
      <c r="I422" s="72" t="s">
        <v>1105</v>
      </c>
      <c r="J422" s="72" t="s">
        <v>334</v>
      </c>
      <c r="K422" s="72" t="s">
        <v>382</v>
      </c>
      <c r="L422" s="72" t="s">
        <v>988</v>
      </c>
      <c r="M422" s="72" t="s">
        <v>388</v>
      </c>
      <c r="N422" s="72" t="s">
        <v>44</v>
      </c>
      <c r="O422" s="72" t="s">
        <v>386</v>
      </c>
      <c r="P422" s="72" t="s">
        <v>808</v>
      </c>
      <c r="Q422" s="72" t="s">
        <v>1005</v>
      </c>
      <c r="R422" s="72" t="s">
        <v>53</v>
      </c>
      <c r="V422" s="60" t="str">
        <f t="shared" si="51"/>
        <v>0252HTчерный</v>
      </c>
      <c r="W422" s="60" t="str">
        <f t="shared" si="48"/>
        <v>0252HT</v>
      </c>
      <c r="X422" s="60" t="str">
        <f t="shared" si="52"/>
        <v>Anglobasque Beret</v>
      </c>
      <c r="AC422" s="51">
        <f t="shared" si="53"/>
        <v>3</v>
      </c>
      <c r="AD422" s="44">
        <f t="shared" si="54"/>
        <v>1</v>
      </c>
      <c r="AE422" s="51">
        <f t="shared" si="55"/>
        <v>3001</v>
      </c>
    </row>
    <row r="423" spans="1:31">
      <c r="A423" s="60" t="str">
        <f t="shared" si="49"/>
        <v>0252HTblack</v>
      </c>
      <c r="B423" s="60" t="str">
        <f t="shared" si="50"/>
        <v>03-001-09</v>
      </c>
      <c r="C423" s="72" t="s">
        <v>1801</v>
      </c>
      <c r="D423" s="72" t="s">
        <v>1800</v>
      </c>
      <c r="E423" s="72" t="s">
        <v>1032</v>
      </c>
      <c r="F423" s="73">
        <v>55</v>
      </c>
      <c r="G423" s="73" t="s">
        <v>1699</v>
      </c>
      <c r="H423" s="72" t="s">
        <v>53</v>
      </c>
      <c r="I423" s="72" t="s">
        <v>1105</v>
      </c>
      <c r="J423" s="72" t="s">
        <v>334</v>
      </c>
      <c r="K423" s="72" t="s">
        <v>382</v>
      </c>
      <c r="L423" s="72" t="s">
        <v>988</v>
      </c>
      <c r="M423" s="72" t="s">
        <v>388</v>
      </c>
      <c r="N423" s="72" t="s">
        <v>44</v>
      </c>
      <c r="O423" s="72" t="s">
        <v>386</v>
      </c>
      <c r="P423" s="72" t="s">
        <v>808</v>
      </c>
      <c r="Q423" s="72" t="s">
        <v>1005</v>
      </c>
      <c r="R423" s="72" t="s">
        <v>53</v>
      </c>
      <c r="V423" s="60" t="str">
        <f t="shared" si="51"/>
        <v>0252HTчерный</v>
      </c>
      <c r="W423" s="60" t="str">
        <f t="shared" si="48"/>
        <v>0252HT</v>
      </c>
      <c r="X423" s="60" t="str">
        <f t="shared" si="52"/>
        <v>Anglobasque Beret</v>
      </c>
      <c r="AC423" s="51">
        <f t="shared" si="53"/>
        <v>3</v>
      </c>
      <c r="AD423" s="44">
        <f t="shared" si="54"/>
        <v>1</v>
      </c>
      <c r="AE423" s="51">
        <f t="shared" si="55"/>
        <v>3001</v>
      </c>
    </row>
    <row r="424" spans="1:31">
      <c r="A424" s="60" t="str">
        <f t="shared" si="49"/>
        <v>0252HTblack</v>
      </c>
      <c r="B424" s="60" t="str">
        <f t="shared" si="50"/>
        <v>03-001-09</v>
      </c>
      <c r="C424" s="72" t="s">
        <v>1802</v>
      </c>
      <c r="D424" s="72" t="s">
        <v>1800</v>
      </c>
      <c r="E424" s="72" t="s">
        <v>976</v>
      </c>
      <c r="F424" s="73">
        <v>59</v>
      </c>
      <c r="G424" s="73" t="s">
        <v>1699</v>
      </c>
      <c r="H424" s="72" t="s">
        <v>53</v>
      </c>
      <c r="I424" s="72" t="s">
        <v>1105</v>
      </c>
      <c r="J424" s="72" t="s">
        <v>334</v>
      </c>
      <c r="K424" s="72" t="s">
        <v>382</v>
      </c>
      <c r="L424" s="72" t="s">
        <v>988</v>
      </c>
      <c r="M424" s="72" t="s">
        <v>388</v>
      </c>
      <c r="N424" s="72" t="s">
        <v>44</v>
      </c>
      <c r="O424" s="72" t="s">
        <v>386</v>
      </c>
      <c r="P424" s="72" t="s">
        <v>808</v>
      </c>
      <c r="Q424" s="72" t="s">
        <v>1005</v>
      </c>
      <c r="R424" s="72" t="s">
        <v>53</v>
      </c>
      <c r="V424" s="60" t="str">
        <f t="shared" si="51"/>
        <v>0252HTчерный</v>
      </c>
      <c r="W424" s="60" t="str">
        <f t="shared" si="48"/>
        <v>0252HT</v>
      </c>
      <c r="X424" s="60" t="str">
        <f t="shared" si="52"/>
        <v>Anglobasque Beret</v>
      </c>
      <c r="AC424" s="51">
        <f t="shared" si="53"/>
        <v>3</v>
      </c>
      <c r="AD424" s="44">
        <f t="shared" si="54"/>
        <v>1</v>
      </c>
      <c r="AE424" s="51">
        <f t="shared" si="55"/>
        <v>3001</v>
      </c>
    </row>
    <row r="425" spans="1:31">
      <c r="A425" s="60" t="str">
        <f t="shared" si="49"/>
        <v>0252HTblack</v>
      </c>
      <c r="B425" s="60" t="str">
        <f t="shared" si="50"/>
        <v>03-001-09</v>
      </c>
      <c r="C425" s="72" t="s">
        <v>1803</v>
      </c>
      <c r="D425" s="72" t="s">
        <v>1800</v>
      </c>
      <c r="E425" s="72" t="s">
        <v>969</v>
      </c>
      <c r="F425" s="73">
        <v>57</v>
      </c>
      <c r="G425" s="73" t="s">
        <v>1699</v>
      </c>
      <c r="H425" s="72" t="s">
        <v>53</v>
      </c>
      <c r="I425" s="72" t="s">
        <v>1105</v>
      </c>
      <c r="J425" s="72" t="s">
        <v>334</v>
      </c>
      <c r="K425" s="72" t="s">
        <v>382</v>
      </c>
      <c r="L425" s="72" t="s">
        <v>988</v>
      </c>
      <c r="M425" s="72" t="s">
        <v>388</v>
      </c>
      <c r="N425" s="72" t="s">
        <v>44</v>
      </c>
      <c r="O425" s="72" t="s">
        <v>386</v>
      </c>
      <c r="P425" s="72" t="s">
        <v>808</v>
      </c>
      <c r="Q425" s="72" t="s">
        <v>1005</v>
      </c>
      <c r="R425" s="72" t="s">
        <v>53</v>
      </c>
      <c r="V425" s="60" t="str">
        <f t="shared" si="51"/>
        <v>0252HTчерный</v>
      </c>
      <c r="W425" s="60" t="str">
        <f t="shared" si="48"/>
        <v>0252HT</v>
      </c>
      <c r="X425" s="60" t="str">
        <f t="shared" si="52"/>
        <v>Anglobasque Beret</v>
      </c>
      <c r="AC425" s="51">
        <f t="shared" si="53"/>
        <v>3</v>
      </c>
      <c r="AD425" s="44">
        <f t="shared" si="54"/>
        <v>1</v>
      </c>
      <c r="AE425" s="51">
        <f t="shared" si="55"/>
        <v>3001</v>
      </c>
    </row>
    <row r="426" spans="1:31">
      <c r="A426" s="60" t="str">
        <f t="shared" si="49"/>
        <v>0258BCatlantis</v>
      </c>
      <c r="B426" s="60" t="str">
        <f t="shared" si="50"/>
        <v>03-002-16</v>
      </c>
      <c r="C426" s="72" t="s">
        <v>1804</v>
      </c>
      <c r="D426" s="72" t="s">
        <v>1805</v>
      </c>
      <c r="E426" s="72" t="s">
        <v>1032</v>
      </c>
      <c r="F426" s="73">
        <v>55</v>
      </c>
      <c r="G426" s="73" t="s">
        <v>1118</v>
      </c>
      <c r="H426" s="72" t="s">
        <v>739</v>
      </c>
      <c r="I426" s="72" t="s">
        <v>1105</v>
      </c>
      <c r="J426" s="72" t="s">
        <v>320</v>
      </c>
      <c r="K426" s="72" t="s">
        <v>382</v>
      </c>
      <c r="L426" s="72" t="s">
        <v>988</v>
      </c>
      <c r="M426" s="72" t="s">
        <v>388</v>
      </c>
      <c r="N426" s="72" t="s">
        <v>44</v>
      </c>
      <c r="O426" s="72" t="s">
        <v>386</v>
      </c>
      <c r="P426" s="72" t="s">
        <v>973</v>
      </c>
      <c r="Q426" s="72" t="s">
        <v>1806</v>
      </c>
      <c r="R426" s="72" t="s">
        <v>71</v>
      </c>
      <c r="V426" s="60" t="str">
        <f t="shared" si="51"/>
        <v>0258BCсиневато-черный</v>
      </c>
      <c r="W426" s="60" t="str">
        <f t="shared" si="48"/>
        <v>0258BC</v>
      </c>
      <c r="X426" s="60" t="str">
        <f t="shared" si="52"/>
        <v>Wool 504</v>
      </c>
      <c r="AC426" s="51">
        <f t="shared" si="53"/>
        <v>3</v>
      </c>
      <c r="AD426" s="44">
        <f t="shared" si="54"/>
        <v>2</v>
      </c>
      <c r="AE426" s="51">
        <f t="shared" si="55"/>
        <v>3002</v>
      </c>
    </row>
    <row r="427" spans="1:31">
      <c r="A427" s="60" t="str">
        <f t="shared" si="49"/>
        <v>0258BCatlantis</v>
      </c>
      <c r="B427" s="60" t="str">
        <f t="shared" si="50"/>
        <v>03-002-16</v>
      </c>
      <c r="C427" s="72" t="s">
        <v>1807</v>
      </c>
      <c r="D427" s="72" t="s">
        <v>1805</v>
      </c>
      <c r="E427" s="72" t="s">
        <v>976</v>
      </c>
      <c r="F427" s="73">
        <v>59</v>
      </c>
      <c r="G427" s="73" t="s">
        <v>1118</v>
      </c>
      <c r="H427" s="72" t="s">
        <v>739</v>
      </c>
      <c r="I427" s="72" t="s">
        <v>1105</v>
      </c>
      <c r="J427" s="72" t="s">
        <v>320</v>
      </c>
      <c r="K427" s="72" t="s">
        <v>382</v>
      </c>
      <c r="L427" s="72" t="s">
        <v>988</v>
      </c>
      <c r="M427" s="72" t="s">
        <v>388</v>
      </c>
      <c r="N427" s="72" t="s">
        <v>44</v>
      </c>
      <c r="O427" s="72" t="s">
        <v>386</v>
      </c>
      <c r="P427" s="72" t="s">
        <v>973</v>
      </c>
      <c r="Q427" s="72" t="s">
        <v>1806</v>
      </c>
      <c r="R427" s="72" t="s">
        <v>71</v>
      </c>
      <c r="V427" s="60" t="str">
        <f t="shared" si="51"/>
        <v>0258BCсиневато-черный</v>
      </c>
      <c r="W427" s="60" t="str">
        <f t="shared" si="48"/>
        <v>0258BC</v>
      </c>
      <c r="X427" s="60" t="str">
        <f t="shared" si="52"/>
        <v>Wool 504</v>
      </c>
      <c r="AC427" s="51">
        <f t="shared" si="53"/>
        <v>3</v>
      </c>
      <c r="AD427" s="44">
        <f t="shared" si="54"/>
        <v>2</v>
      </c>
      <c r="AE427" s="51">
        <f t="shared" si="55"/>
        <v>3002</v>
      </c>
    </row>
    <row r="428" spans="1:31">
      <c r="A428" s="60" t="str">
        <f t="shared" si="49"/>
        <v>0258BCatlantis</v>
      </c>
      <c r="B428" s="60" t="str">
        <f t="shared" si="50"/>
        <v>03-002-16</v>
      </c>
      <c r="C428" s="72" t="s">
        <v>1808</v>
      </c>
      <c r="D428" s="72" t="s">
        <v>1805</v>
      </c>
      <c r="E428" s="72" t="s">
        <v>969</v>
      </c>
      <c r="F428" s="73">
        <v>57</v>
      </c>
      <c r="G428" s="73" t="s">
        <v>1118</v>
      </c>
      <c r="H428" s="72" t="s">
        <v>739</v>
      </c>
      <c r="I428" s="72" t="s">
        <v>1105</v>
      </c>
      <c r="J428" s="72" t="s">
        <v>320</v>
      </c>
      <c r="K428" s="72" t="s">
        <v>382</v>
      </c>
      <c r="L428" s="72" t="s">
        <v>988</v>
      </c>
      <c r="M428" s="72" t="s">
        <v>388</v>
      </c>
      <c r="N428" s="72" t="s">
        <v>44</v>
      </c>
      <c r="O428" s="72" t="s">
        <v>386</v>
      </c>
      <c r="P428" s="72" t="s">
        <v>973</v>
      </c>
      <c r="Q428" s="72" t="s">
        <v>1806</v>
      </c>
      <c r="R428" s="72" t="s">
        <v>71</v>
      </c>
      <c r="V428" s="60" t="str">
        <f t="shared" si="51"/>
        <v>0258BCсиневато-черный</v>
      </c>
      <c r="W428" s="60" t="str">
        <f t="shared" si="48"/>
        <v>0258BC</v>
      </c>
      <c r="X428" s="60" t="str">
        <f t="shared" si="52"/>
        <v>Wool 504</v>
      </c>
      <c r="AC428" s="51">
        <f t="shared" si="53"/>
        <v>3</v>
      </c>
      <c r="AD428" s="44">
        <f t="shared" si="54"/>
        <v>2</v>
      </c>
      <c r="AE428" s="51">
        <f t="shared" si="55"/>
        <v>3002</v>
      </c>
    </row>
    <row r="429" spans="1:31">
      <c r="A429" s="60" t="str">
        <f t="shared" si="49"/>
        <v>0258BCatlantis</v>
      </c>
      <c r="B429" s="60" t="str">
        <f t="shared" si="50"/>
        <v>03-002-16</v>
      </c>
      <c r="C429" s="72" t="s">
        <v>1809</v>
      </c>
      <c r="D429" s="72" t="s">
        <v>1805</v>
      </c>
      <c r="E429" s="72" t="s">
        <v>1030</v>
      </c>
      <c r="F429" s="73">
        <v>61</v>
      </c>
      <c r="G429" s="73" t="s">
        <v>1118</v>
      </c>
      <c r="H429" s="72" t="s">
        <v>739</v>
      </c>
      <c r="I429" s="72" t="s">
        <v>1105</v>
      </c>
      <c r="J429" s="72" t="s">
        <v>320</v>
      </c>
      <c r="K429" s="72" t="s">
        <v>382</v>
      </c>
      <c r="L429" s="72" t="s">
        <v>988</v>
      </c>
      <c r="M429" s="72" t="s">
        <v>388</v>
      </c>
      <c r="N429" s="72" t="s">
        <v>44</v>
      </c>
      <c r="O429" s="72" t="s">
        <v>386</v>
      </c>
      <c r="P429" s="72" t="s">
        <v>973</v>
      </c>
      <c r="Q429" s="72" t="s">
        <v>1806</v>
      </c>
      <c r="R429" s="72" t="s">
        <v>71</v>
      </c>
      <c r="V429" s="60" t="str">
        <f t="shared" si="51"/>
        <v>0258BCсиневато-черный</v>
      </c>
      <c r="W429" s="60" t="str">
        <f t="shared" si="48"/>
        <v>0258BC</v>
      </c>
      <c r="X429" s="60" t="str">
        <f t="shared" si="52"/>
        <v>Wool 504</v>
      </c>
      <c r="AC429" s="51">
        <f t="shared" si="53"/>
        <v>3</v>
      </c>
      <c r="AD429" s="44">
        <f t="shared" si="54"/>
        <v>2</v>
      </c>
      <c r="AE429" s="51">
        <f t="shared" si="55"/>
        <v>3002</v>
      </c>
    </row>
    <row r="430" spans="1:31">
      <c r="A430" s="60" t="str">
        <f t="shared" si="49"/>
        <v>0258BCmoutarde</v>
      </c>
      <c r="B430" s="60" t="str">
        <f t="shared" si="50"/>
        <v>03-002-20</v>
      </c>
      <c r="C430" s="72" t="s">
        <v>1810</v>
      </c>
      <c r="D430" s="72" t="s">
        <v>1811</v>
      </c>
      <c r="E430" s="72" t="s">
        <v>976</v>
      </c>
      <c r="F430" s="73">
        <v>59</v>
      </c>
      <c r="G430" s="73" t="s">
        <v>1118</v>
      </c>
      <c r="H430" s="72" t="s">
        <v>65</v>
      </c>
      <c r="I430" s="72" t="s">
        <v>1105</v>
      </c>
      <c r="J430" s="72" t="s">
        <v>320</v>
      </c>
      <c r="K430" s="72" t="s">
        <v>382</v>
      </c>
      <c r="L430" s="72" t="s">
        <v>988</v>
      </c>
      <c r="M430" s="72" t="s">
        <v>388</v>
      </c>
      <c r="N430" s="72" t="s">
        <v>44</v>
      </c>
      <c r="O430" s="72" t="s">
        <v>386</v>
      </c>
      <c r="P430" s="72" t="s">
        <v>973</v>
      </c>
      <c r="Q430" s="72" t="s">
        <v>1812</v>
      </c>
      <c r="R430" s="72" t="s">
        <v>65</v>
      </c>
      <c r="V430" s="60" t="str">
        <f t="shared" si="51"/>
        <v>0258BCжелтый</v>
      </c>
      <c r="W430" s="60" t="str">
        <f t="shared" si="48"/>
        <v>0258BC</v>
      </c>
      <c r="X430" s="60" t="str">
        <f t="shared" si="52"/>
        <v>Wool 504</v>
      </c>
      <c r="AC430" s="51">
        <f t="shared" si="53"/>
        <v>3</v>
      </c>
      <c r="AD430" s="44">
        <f t="shared" si="54"/>
        <v>2</v>
      </c>
      <c r="AE430" s="51">
        <f t="shared" si="55"/>
        <v>3002</v>
      </c>
    </row>
    <row r="431" spans="1:31">
      <c r="A431" s="60" t="str">
        <f t="shared" si="49"/>
        <v>0258BCmoutarde</v>
      </c>
      <c r="B431" s="60" t="str">
        <f t="shared" si="50"/>
        <v>03-002-20</v>
      </c>
      <c r="C431" s="72" t="s">
        <v>1813</v>
      </c>
      <c r="D431" s="72" t="s">
        <v>1811</v>
      </c>
      <c r="E431" s="72" t="s">
        <v>969</v>
      </c>
      <c r="F431" s="73">
        <v>57</v>
      </c>
      <c r="G431" s="73" t="s">
        <v>1118</v>
      </c>
      <c r="H431" s="72" t="s">
        <v>65</v>
      </c>
      <c r="I431" s="72" t="s">
        <v>1105</v>
      </c>
      <c r="J431" s="72" t="s">
        <v>320</v>
      </c>
      <c r="K431" s="72" t="s">
        <v>382</v>
      </c>
      <c r="L431" s="72" t="s">
        <v>988</v>
      </c>
      <c r="M431" s="72" t="s">
        <v>388</v>
      </c>
      <c r="N431" s="72" t="s">
        <v>44</v>
      </c>
      <c r="O431" s="72" t="s">
        <v>386</v>
      </c>
      <c r="P431" s="72" t="s">
        <v>973</v>
      </c>
      <c r="Q431" s="72" t="s">
        <v>1812</v>
      </c>
      <c r="R431" s="72" t="s">
        <v>65</v>
      </c>
      <c r="V431" s="60" t="str">
        <f t="shared" si="51"/>
        <v>0258BCжелтый</v>
      </c>
      <c r="W431" s="60" t="str">
        <f t="shared" si="48"/>
        <v>0258BC</v>
      </c>
      <c r="X431" s="60" t="str">
        <f t="shared" si="52"/>
        <v>Wool 504</v>
      </c>
      <c r="AC431" s="51">
        <f t="shared" si="53"/>
        <v>3</v>
      </c>
      <c r="AD431" s="44">
        <f t="shared" si="54"/>
        <v>2</v>
      </c>
      <c r="AE431" s="51">
        <f t="shared" si="55"/>
        <v>3002</v>
      </c>
    </row>
    <row r="432" spans="1:31">
      <c r="A432" s="60" t="str">
        <f t="shared" si="49"/>
        <v>0258BCmoutarde</v>
      </c>
      <c r="B432" s="60" t="str">
        <f t="shared" si="50"/>
        <v>03-002-20</v>
      </c>
      <c r="C432" s="72" t="s">
        <v>1814</v>
      </c>
      <c r="D432" s="72" t="s">
        <v>1811</v>
      </c>
      <c r="E432" s="72" t="s">
        <v>1030</v>
      </c>
      <c r="F432" s="73">
        <v>61</v>
      </c>
      <c r="G432" s="73" t="s">
        <v>1118</v>
      </c>
      <c r="H432" s="72" t="s">
        <v>65</v>
      </c>
      <c r="I432" s="72" t="s">
        <v>1105</v>
      </c>
      <c r="J432" s="72" t="s">
        <v>320</v>
      </c>
      <c r="K432" s="72" t="s">
        <v>382</v>
      </c>
      <c r="L432" s="72" t="s">
        <v>988</v>
      </c>
      <c r="M432" s="72" t="s">
        <v>388</v>
      </c>
      <c r="N432" s="72" t="s">
        <v>44</v>
      </c>
      <c r="O432" s="72" t="s">
        <v>386</v>
      </c>
      <c r="P432" s="72" t="s">
        <v>973</v>
      </c>
      <c r="Q432" s="72" t="s">
        <v>1812</v>
      </c>
      <c r="R432" s="72" t="s">
        <v>65</v>
      </c>
      <c r="V432" s="60" t="str">
        <f t="shared" si="51"/>
        <v>0258BCжелтый</v>
      </c>
      <c r="W432" s="60" t="str">
        <f t="shared" si="48"/>
        <v>0258BC</v>
      </c>
      <c r="X432" s="60" t="str">
        <f t="shared" si="52"/>
        <v>Wool 504</v>
      </c>
      <c r="AC432" s="51">
        <f t="shared" si="53"/>
        <v>3</v>
      </c>
      <c r="AD432" s="44">
        <f t="shared" si="54"/>
        <v>2</v>
      </c>
      <c r="AE432" s="51">
        <f t="shared" si="55"/>
        <v>3002</v>
      </c>
    </row>
    <row r="433" spans="1:31">
      <c r="A433" s="60" t="str">
        <f t="shared" si="49"/>
        <v>0258BCcamel</v>
      </c>
      <c r="B433" s="60" t="str">
        <f t="shared" si="50"/>
        <v>03-002-02</v>
      </c>
      <c r="C433" s="72" t="s">
        <v>1815</v>
      </c>
      <c r="D433" s="72" t="s">
        <v>1816</v>
      </c>
      <c r="E433" s="72" t="s">
        <v>976</v>
      </c>
      <c r="F433" s="73">
        <v>59</v>
      </c>
      <c r="G433" s="73" t="s">
        <v>1118</v>
      </c>
      <c r="H433" s="72" t="s">
        <v>63</v>
      </c>
      <c r="I433" s="72" t="s">
        <v>1105</v>
      </c>
      <c r="J433" s="72" t="s">
        <v>320</v>
      </c>
      <c r="K433" s="72" t="s">
        <v>382</v>
      </c>
      <c r="L433" s="72" t="s">
        <v>988</v>
      </c>
      <c r="M433" s="72" t="s">
        <v>388</v>
      </c>
      <c r="N433" s="72" t="s">
        <v>44</v>
      </c>
      <c r="O433" s="72" t="s">
        <v>539</v>
      </c>
      <c r="P433" s="72" t="s">
        <v>808</v>
      </c>
      <c r="Q433" s="72" t="s">
        <v>1704</v>
      </c>
      <c r="R433" s="72" t="s">
        <v>63</v>
      </c>
      <c r="V433" s="60" t="str">
        <f t="shared" si="51"/>
        <v>0258BCбежевый</v>
      </c>
      <c r="W433" s="60" t="str">
        <f t="shared" si="48"/>
        <v>0258BC</v>
      </c>
      <c r="X433" s="60" t="str">
        <f t="shared" si="52"/>
        <v>Wool 504</v>
      </c>
      <c r="AC433" s="51">
        <f t="shared" si="53"/>
        <v>3</v>
      </c>
      <c r="AD433" s="44">
        <f t="shared" si="54"/>
        <v>2</v>
      </c>
      <c r="AE433" s="51">
        <f t="shared" si="55"/>
        <v>3002</v>
      </c>
    </row>
    <row r="434" spans="1:31">
      <c r="A434" s="60" t="str">
        <f t="shared" si="49"/>
        <v>0258BCcamel</v>
      </c>
      <c r="B434" s="60" t="str">
        <f t="shared" si="50"/>
        <v>03-002-02</v>
      </c>
      <c r="C434" s="72" t="s">
        <v>1817</v>
      </c>
      <c r="D434" s="72" t="s">
        <v>1816</v>
      </c>
      <c r="E434" s="72" t="s">
        <v>969</v>
      </c>
      <c r="F434" s="73">
        <v>57</v>
      </c>
      <c r="G434" s="73" t="s">
        <v>1118</v>
      </c>
      <c r="H434" s="72" t="s">
        <v>63</v>
      </c>
      <c r="I434" s="72" t="s">
        <v>1105</v>
      </c>
      <c r="J434" s="72" t="s">
        <v>320</v>
      </c>
      <c r="K434" s="72" t="s">
        <v>382</v>
      </c>
      <c r="L434" s="72" t="s">
        <v>988</v>
      </c>
      <c r="M434" s="72" t="s">
        <v>388</v>
      </c>
      <c r="N434" s="72" t="s">
        <v>44</v>
      </c>
      <c r="O434" s="72" t="s">
        <v>539</v>
      </c>
      <c r="P434" s="72" t="s">
        <v>808</v>
      </c>
      <c r="Q434" s="72" t="s">
        <v>1704</v>
      </c>
      <c r="R434" s="72" t="s">
        <v>63</v>
      </c>
      <c r="V434" s="60" t="str">
        <f t="shared" si="51"/>
        <v>0258BCбежевый</v>
      </c>
      <c r="W434" s="60" t="str">
        <f t="shared" si="48"/>
        <v>0258BC</v>
      </c>
      <c r="X434" s="60" t="str">
        <f t="shared" si="52"/>
        <v>Wool 504</v>
      </c>
      <c r="AC434" s="51">
        <f t="shared" si="53"/>
        <v>3</v>
      </c>
      <c r="AD434" s="44">
        <f t="shared" si="54"/>
        <v>2</v>
      </c>
      <c r="AE434" s="51">
        <f t="shared" si="55"/>
        <v>3002</v>
      </c>
    </row>
    <row r="435" spans="1:31">
      <c r="A435" s="60" t="str">
        <f t="shared" si="49"/>
        <v>0258BCcamel</v>
      </c>
      <c r="B435" s="60" t="str">
        <f t="shared" si="50"/>
        <v>03-002-02</v>
      </c>
      <c r="C435" s="72" t="s">
        <v>1818</v>
      </c>
      <c r="D435" s="72" t="s">
        <v>1816</v>
      </c>
      <c r="E435" s="72" t="s">
        <v>1032</v>
      </c>
      <c r="F435" s="73">
        <v>55</v>
      </c>
      <c r="G435" s="73" t="s">
        <v>1118</v>
      </c>
      <c r="H435" s="72" t="s">
        <v>63</v>
      </c>
      <c r="I435" s="72" t="s">
        <v>1105</v>
      </c>
      <c r="J435" s="72" t="s">
        <v>320</v>
      </c>
      <c r="K435" s="72" t="s">
        <v>382</v>
      </c>
      <c r="L435" s="72" t="s">
        <v>988</v>
      </c>
      <c r="M435" s="72" t="s">
        <v>388</v>
      </c>
      <c r="N435" s="72" t="s">
        <v>44</v>
      </c>
      <c r="O435" s="72" t="s">
        <v>539</v>
      </c>
      <c r="P435" s="72" t="s">
        <v>808</v>
      </c>
      <c r="Q435" s="72" t="s">
        <v>1704</v>
      </c>
      <c r="R435" s="72" t="s">
        <v>63</v>
      </c>
      <c r="V435" s="60" t="str">
        <f t="shared" si="51"/>
        <v>0258BCбежевый</v>
      </c>
      <c r="W435" s="60" t="str">
        <f t="shared" si="48"/>
        <v>0258BC</v>
      </c>
      <c r="X435" s="60" t="str">
        <f t="shared" si="52"/>
        <v>Wool 504</v>
      </c>
      <c r="AC435" s="51">
        <f t="shared" si="53"/>
        <v>3</v>
      </c>
      <c r="AD435" s="44">
        <f t="shared" si="54"/>
        <v>2</v>
      </c>
      <c r="AE435" s="51">
        <f t="shared" si="55"/>
        <v>3002</v>
      </c>
    </row>
    <row r="436" spans="1:31">
      <c r="A436" s="60" t="str">
        <f t="shared" si="49"/>
        <v>0258BCcamel</v>
      </c>
      <c r="B436" s="60" t="str">
        <f t="shared" si="50"/>
        <v>03-002-02</v>
      </c>
      <c r="C436" s="72" t="s">
        <v>1819</v>
      </c>
      <c r="D436" s="72" t="s">
        <v>1816</v>
      </c>
      <c r="E436" s="72" t="s">
        <v>1030</v>
      </c>
      <c r="F436" s="73">
        <v>61</v>
      </c>
      <c r="G436" s="73" t="s">
        <v>1118</v>
      </c>
      <c r="H436" s="72" t="s">
        <v>63</v>
      </c>
      <c r="I436" s="72" t="s">
        <v>1105</v>
      </c>
      <c r="J436" s="72" t="s">
        <v>320</v>
      </c>
      <c r="K436" s="72" t="s">
        <v>382</v>
      </c>
      <c r="L436" s="72" t="s">
        <v>988</v>
      </c>
      <c r="M436" s="72" t="s">
        <v>388</v>
      </c>
      <c r="N436" s="72" t="s">
        <v>44</v>
      </c>
      <c r="O436" s="72" t="s">
        <v>539</v>
      </c>
      <c r="P436" s="72" t="s">
        <v>808</v>
      </c>
      <c r="Q436" s="72" t="s">
        <v>1704</v>
      </c>
      <c r="R436" s="72" t="s">
        <v>63</v>
      </c>
      <c r="V436" s="60" t="str">
        <f t="shared" si="51"/>
        <v>0258BCбежевый</v>
      </c>
      <c r="W436" s="60" t="str">
        <f t="shared" si="48"/>
        <v>0258BC</v>
      </c>
      <c r="X436" s="60" t="str">
        <f t="shared" si="52"/>
        <v>Wool 504</v>
      </c>
      <c r="AC436" s="51">
        <f t="shared" si="53"/>
        <v>3</v>
      </c>
      <c r="AD436" s="44">
        <f t="shared" si="54"/>
        <v>2</v>
      </c>
      <c r="AE436" s="51">
        <f t="shared" si="55"/>
        <v>3002</v>
      </c>
    </row>
    <row r="437" spans="1:31">
      <c r="A437" s="60" t="str">
        <f t="shared" si="49"/>
        <v>0258BCdk.flannel</v>
      </c>
      <c r="B437" s="60" t="str">
        <f t="shared" si="50"/>
        <v>03-002-05</v>
      </c>
      <c r="C437" s="72" t="s">
        <v>1820</v>
      </c>
      <c r="D437" s="72" t="s">
        <v>1821</v>
      </c>
      <c r="E437" s="72" t="s">
        <v>1030</v>
      </c>
      <c r="F437" s="73">
        <v>61</v>
      </c>
      <c r="G437" s="73" t="s">
        <v>1118</v>
      </c>
      <c r="H437" s="72" t="s">
        <v>277</v>
      </c>
      <c r="I437" s="72" t="s">
        <v>1105</v>
      </c>
      <c r="J437" s="72" t="s">
        <v>320</v>
      </c>
      <c r="K437" s="72" t="s">
        <v>382</v>
      </c>
      <c r="L437" s="72" t="s">
        <v>988</v>
      </c>
      <c r="M437" s="72" t="s">
        <v>388</v>
      </c>
      <c r="N437" s="72" t="s">
        <v>44</v>
      </c>
      <c r="O437" s="72" t="s">
        <v>539</v>
      </c>
      <c r="P437" s="72" t="s">
        <v>973</v>
      </c>
      <c r="Q437" s="72" t="s">
        <v>1148</v>
      </c>
      <c r="R437" s="72" t="s">
        <v>83</v>
      </c>
      <c r="V437" s="60" t="str">
        <f t="shared" si="51"/>
        <v>0258BCтемно-серый</v>
      </c>
      <c r="W437" s="60" t="str">
        <f t="shared" si="48"/>
        <v>0258BC</v>
      </c>
      <c r="X437" s="60" t="str">
        <f t="shared" si="52"/>
        <v>Wool 504</v>
      </c>
      <c r="AC437" s="51">
        <f t="shared" si="53"/>
        <v>3</v>
      </c>
      <c r="AD437" s="44">
        <f t="shared" si="54"/>
        <v>2</v>
      </c>
      <c r="AE437" s="51">
        <f t="shared" si="55"/>
        <v>3002</v>
      </c>
    </row>
    <row r="438" spans="1:31">
      <c r="A438" s="60" t="str">
        <f t="shared" si="49"/>
        <v>0258BCdk.flannel</v>
      </c>
      <c r="B438" s="60" t="str">
        <f t="shared" si="50"/>
        <v>03-002-05</v>
      </c>
      <c r="C438" s="72" t="s">
        <v>1822</v>
      </c>
      <c r="D438" s="72" t="s">
        <v>1821</v>
      </c>
      <c r="E438" s="72" t="s">
        <v>1032</v>
      </c>
      <c r="F438" s="73">
        <v>55</v>
      </c>
      <c r="G438" s="73" t="s">
        <v>1118</v>
      </c>
      <c r="H438" s="72" t="s">
        <v>277</v>
      </c>
      <c r="I438" s="72" t="s">
        <v>1105</v>
      </c>
      <c r="J438" s="72" t="s">
        <v>320</v>
      </c>
      <c r="K438" s="72" t="s">
        <v>382</v>
      </c>
      <c r="L438" s="72" t="s">
        <v>988</v>
      </c>
      <c r="M438" s="72" t="s">
        <v>388</v>
      </c>
      <c r="N438" s="72" t="s">
        <v>44</v>
      </c>
      <c r="O438" s="72" t="s">
        <v>539</v>
      </c>
      <c r="P438" s="72" t="s">
        <v>973</v>
      </c>
      <c r="Q438" s="72" t="s">
        <v>1148</v>
      </c>
      <c r="R438" s="72" t="s">
        <v>83</v>
      </c>
      <c r="V438" s="60" t="str">
        <f t="shared" si="51"/>
        <v>0258BCтемно-серый</v>
      </c>
      <c r="W438" s="60" t="str">
        <f t="shared" si="48"/>
        <v>0258BC</v>
      </c>
      <c r="X438" s="60" t="str">
        <f t="shared" si="52"/>
        <v>Wool 504</v>
      </c>
      <c r="AC438" s="51">
        <f t="shared" si="53"/>
        <v>3</v>
      </c>
      <c r="AD438" s="44">
        <f t="shared" si="54"/>
        <v>2</v>
      </c>
      <c r="AE438" s="51">
        <f t="shared" si="55"/>
        <v>3002</v>
      </c>
    </row>
    <row r="439" spans="1:31">
      <c r="A439" s="60" t="str">
        <f t="shared" si="49"/>
        <v>0258BCdk.flannel</v>
      </c>
      <c r="B439" s="60" t="str">
        <f t="shared" si="50"/>
        <v>03-002-05</v>
      </c>
      <c r="C439" s="72" t="s">
        <v>1823</v>
      </c>
      <c r="D439" s="72" t="s">
        <v>1821</v>
      </c>
      <c r="E439" s="72" t="s">
        <v>969</v>
      </c>
      <c r="F439" s="73">
        <v>57</v>
      </c>
      <c r="G439" s="73" t="s">
        <v>1118</v>
      </c>
      <c r="H439" s="72" t="s">
        <v>277</v>
      </c>
      <c r="I439" s="72" t="s">
        <v>1105</v>
      </c>
      <c r="J439" s="72" t="s">
        <v>320</v>
      </c>
      <c r="K439" s="72" t="s">
        <v>382</v>
      </c>
      <c r="L439" s="72" t="s">
        <v>988</v>
      </c>
      <c r="M439" s="72" t="s">
        <v>388</v>
      </c>
      <c r="N439" s="72" t="s">
        <v>44</v>
      </c>
      <c r="O439" s="72" t="s">
        <v>539</v>
      </c>
      <c r="P439" s="72" t="s">
        <v>973</v>
      </c>
      <c r="Q439" s="72" t="s">
        <v>1148</v>
      </c>
      <c r="R439" s="72" t="s">
        <v>83</v>
      </c>
      <c r="V439" s="60" t="str">
        <f t="shared" si="51"/>
        <v>0258BCтемно-серый</v>
      </c>
      <c r="W439" s="60" t="str">
        <f t="shared" si="48"/>
        <v>0258BC</v>
      </c>
      <c r="X439" s="60" t="str">
        <f t="shared" si="52"/>
        <v>Wool 504</v>
      </c>
      <c r="AC439" s="51">
        <f t="shared" si="53"/>
        <v>3</v>
      </c>
      <c r="AD439" s="44">
        <f t="shared" si="54"/>
        <v>2</v>
      </c>
      <c r="AE439" s="51">
        <f t="shared" si="55"/>
        <v>3002</v>
      </c>
    </row>
    <row r="440" spans="1:31">
      <c r="A440" s="60" t="str">
        <f t="shared" si="49"/>
        <v>0258BCdk.flannel</v>
      </c>
      <c r="B440" s="60" t="str">
        <f t="shared" si="50"/>
        <v>03-002-05</v>
      </c>
      <c r="C440" s="72" t="s">
        <v>1824</v>
      </c>
      <c r="D440" s="72" t="s">
        <v>1821</v>
      </c>
      <c r="E440" s="72" t="s">
        <v>976</v>
      </c>
      <c r="F440" s="73">
        <v>59</v>
      </c>
      <c r="G440" s="73" t="s">
        <v>1118</v>
      </c>
      <c r="H440" s="72" t="s">
        <v>277</v>
      </c>
      <c r="I440" s="72" t="s">
        <v>1105</v>
      </c>
      <c r="J440" s="72" t="s">
        <v>320</v>
      </c>
      <c r="K440" s="72" t="s">
        <v>382</v>
      </c>
      <c r="L440" s="72" t="s">
        <v>988</v>
      </c>
      <c r="M440" s="72" t="s">
        <v>388</v>
      </c>
      <c r="N440" s="72" t="s">
        <v>44</v>
      </c>
      <c r="O440" s="72" t="s">
        <v>539</v>
      </c>
      <c r="P440" s="72" t="s">
        <v>973</v>
      </c>
      <c r="Q440" s="72" t="s">
        <v>1148</v>
      </c>
      <c r="R440" s="72" t="s">
        <v>83</v>
      </c>
      <c r="V440" s="60" t="str">
        <f t="shared" si="51"/>
        <v>0258BCтемно-серый</v>
      </c>
      <c r="W440" s="60" t="str">
        <f t="shared" si="48"/>
        <v>0258BC</v>
      </c>
      <c r="X440" s="60" t="str">
        <f t="shared" si="52"/>
        <v>Wool 504</v>
      </c>
      <c r="AC440" s="51">
        <f t="shared" si="53"/>
        <v>3</v>
      </c>
      <c r="AD440" s="44">
        <f t="shared" si="54"/>
        <v>2</v>
      </c>
      <c r="AE440" s="51">
        <f t="shared" si="55"/>
        <v>3002</v>
      </c>
    </row>
    <row r="441" spans="1:31">
      <c r="A441" s="60" t="str">
        <f t="shared" si="49"/>
        <v>0258BCred</v>
      </c>
      <c r="B441" s="60" t="str">
        <f t="shared" si="50"/>
        <v>03-002-18</v>
      </c>
      <c r="C441" s="72" t="s">
        <v>1825</v>
      </c>
      <c r="D441" s="72" t="s">
        <v>1826</v>
      </c>
      <c r="E441" s="72" t="s">
        <v>969</v>
      </c>
      <c r="F441" s="73">
        <v>57</v>
      </c>
      <c r="G441" s="73" t="s">
        <v>1118</v>
      </c>
      <c r="H441" s="72" t="s">
        <v>78</v>
      </c>
      <c r="I441" s="72" t="s">
        <v>1105</v>
      </c>
      <c r="J441" s="72" t="s">
        <v>320</v>
      </c>
      <c r="K441" s="72" t="s">
        <v>382</v>
      </c>
      <c r="L441" s="72" t="s">
        <v>988</v>
      </c>
      <c r="M441" s="72" t="s">
        <v>388</v>
      </c>
      <c r="N441" s="72" t="s">
        <v>44</v>
      </c>
      <c r="O441" s="72" t="s">
        <v>386</v>
      </c>
      <c r="P441" s="72" t="s">
        <v>973</v>
      </c>
      <c r="Q441" s="72" t="s">
        <v>1255</v>
      </c>
      <c r="R441" s="72" t="s">
        <v>78</v>
      </c>
      <c r="V441" s="60" t="str">
        <f t="shared" si="51"/>
        <v>0258BCкрасный</v>
      </c>
      <c r="W441" s="60" t="str">
        <f t="shared" si="48"/>
        <v>0258BC</v>
      </c>
      <c r="X441" s="60" t="str">
        <f t="shared" si="52"/>
        <v>Wool 504</v>
      </c>
      <c r="AC441" s="51">
        <f t="shared" si="53"/>
        <v>3</v>
      </c>
      <c r="AD441" s="44">
        <f t="shared" si="54"/>
        <v>2</v>
      </c>
      <c r="AE441" s="51">
        <f t="shared" si="55"/>
        <v>3002</v>
      </c>
    </row>
    <row r="442" spans="1:31">
      <c r="A442" s="60" t="str">
        <f t="shared" si="49"/>
        <v>0258BCred</v>
      </c>
      <c r="B442" s="60" t="str">
        <f t="shared" si="50"/>
        <v>03-002-18</v>
      </c>
      <c r="C442" s="72" t="s">
        <v>1827</v>
      </c>
      <c r="D442" s="72" t="s">
        <v>1826</v>
      </c>
      <c r="E442" s="72" t="s">
        <v>1032</v>
      </c>
      <c r="F442" s="73">
        <v>55</v>
      </c>
      <c r="G442" s="73" t="s">
        <v>1118</v>
      </c>
      <c r="H442" s="72" t="s">
        <v>78</v>
      </c>
      <c r="I442" s="72" t="s">
        <v>1105</v>
      </c>
      <c r="J442" s="72" t="s">
        <v>320</v>
      </c>
      <c r="K442" s="72" t="s">
        <v>382</v>
      </c>
      <c r="L442" s="72" t="s">
        <v>988</v>
      </c>
      <c r="M442" s="72" t="s">
        <v>388</v>
      </c>
      <c r="N442" s="72" t="s">
        <v>44</v>
      </c>
      <c r="O442" s="72" t="s">
        <v>386</v>
      </c>
      <c r="P442" s="72" t="s">
        <v>973</v>
      </c>
      <c r="Q442" s="72" t="s">
        <v>1255</v>
      </c>
      <c r="R442" s="72" t="s">
        <v>78</v>
      </c>
      <c r="V442" s="60" t="str">
        <f t="shared" si="51"/>
        <v>0258BCкрасный</v>
      </c>
      <c r="W442" s="60" t="str">
        <f t="shared" si="48"/>
        <v>0258BC</v>
      </c>
      <c r="X442" s="60" t="str">
        <f t="shared" si="52"/>
        <v>Wool 504</v>
      </c>
      <c r="AC442" s="51">
        <f t="shared" si="53"/>
        <v>3</v>
      </c>
      <c r="AD442" s="44">
        <f t="shared" si="54"/>
        <v>2</v>
      </c>
      <c r="AE442" s="51">
        <f t="shared" si="55"/>
        <v>3002</v>
      </c>
    </row>
    <row r="443" spans="1:31">
      <c r="A443" s="60" t="str">
        <f t="shared" si="49"/>
        <v>0258BCred</v>
      </c>
      <c r="B443" s="60" t="str">
        <f t="shared" si="50"/>
        <v>03-002-18</v>
      </c>
      <c r="C443" s="72" t="s">
        <v>1828</v>
      </c>
      <c r="D443" s="72" t="s">
        <v>1826</v>
      </c>
      <c r="E443" s="72" t="s">
        <v>976</v>
      </c>
      <c r="F443" s="73">
        <v>59</v>
      </c>
      <c r="G443" s="73" t="s">
        <v>1118</v>
      </c>
      <c r="H443" s="72" t="s">
        <v>78</v>
      </c>
      <c r="I443" s="72" t="s">
        <v>1105</v>
      </c>
      <c r="J443" s="72" t="s">
        <v>320</v>
      </c>
      <c r="K443" s="72" t="s">
        <v>382</v>
      </c>
      <c r="L443" s="72" t="s">
        <v>988</v>
      </c>
      <c r="M443" s="72" t="s">
        <v>388</v>
      </c>
      <c r="N443" s="72" t="s">
        <v>44</v>
      </c>
      <c r="O443" s="72" t="s">
        <v>386</v>
      </c>
      <c r="P443" s="72" t="s">
        <v>973</v>
      </c>
      <c r="Q443" s="72" t="s">
        <v>1255</v>
      </c>
      <c r="R443" s="72" t="s">
        <v>78</v>
      </c>
      <c r="V443" s="60" t="str">
        <f t="shared" si="51"/>
        <v>0258BCкрасный</v>
      </c>
      <c r="W443" s="60" t="str">
        <f t="shared" si="48"/>
        <v>0258BC</v>
      </c>
      <c r="X443" s="60" t="str">
        <f t="shared" si="52"/>
        <v>Wool 504</v>
      </c>
      <c r="AC443" s="51">
        <f t="shared" si="53"/>
        <v>3</v>
      </c>
      <c r="AD443" s="44">
        <f t="shared" si="54"/>
        <v>2</v>
      </c>
      <c r="AE443" s="51">
        <f t="shared" si="55"/>
        <v>3002</v>
      </c>
    </row>
    <row r="444" spans="1:31">
      <c r="A444" s="60" t="str">
        <f t="shared" si="49"/>
        <v>0258BCwhite</v>
      </c>
      <c r="B444" s="60" t="str">
        <f t="shared" si="50"/>
        <v>03-002-17</v>
      </c>
      <c r="C444" s="72" t="s">
        <v>1829</v>
      </c>
      <c r="D444" s="72" t="s">
        <v>1830</v>
      </c>
      <c r="E444" s="72" t="s">
        <v>1032</v>
      </c>
      <c r="F444" s="73">
        <v>55</v>
      </c>
      <c r="G444" s="73" t="s">
        <v>1118</v>
      </c>
      <c r="H444" s="72" t="s">
        <v>57</v>
      </c>
      <c r="I444" s="72" t="s">
        <v>1105</v>
      </c>
      <c r="J444" s="72" t="s">
        <v>320</v>
      </c>
      <c r="K444" s="72" t="s">
        <v>382</v>
      </c>
      <c r="L444" s="72" t="s">
        <v>988</v>
      </c>
      <c r="M444" s="72" t="s">
        <v>388</v>
      </c>
      <c r="N444" s="72" t="s">
        <v>44</v>
      </c>
      <c r="O444" s="72" t="s">
        <v>539</v>
      </c>
      <c r="P444" s="72" t="s">
        <v>973</v>
      </c>
      <c r="Q444" s="72" t="s">
        <v>989</v>
      </c>
      <c r="R444" s="72" t="s">
        <v>57</v>
      </c>
      <c r="V444" s="60" t="str">
        <f t="shared" si="51"/>
        <v>0258BCбелый</v>
      </c>
      <c r="W444" s="60" t="str">
        <f t="shared" si="48"/>
        <v>0258BC</v>
      </c>
      <c r="X444" s="60" t="str">
        <f t="shared" si="52"/>
        <v>Wool 504</v>
      </c>
      <c r="AC444" s="51">
        <f t="shared" si="53"/>
        <v>3</v>
      </c>
      <c r="AD444" s="44">
        <f t="shared" si="54"/>
        <v>2</v>
      </c>
      <c r="AE444" s="51">
        <f t="shared" si="55"/>
        <v>3002</v>
      </c>
    </row>
    <row r="445" spans="1:31">
      <c r="A445" s="60" t="str">
        <f t="shared" si="49"/>
        <v>0258BCwhite</v>
      </c>
      <c r="B445" s="60" t="str">
        <f t="shared" si="50"/>
        <v>03-002-17</v>
      </c>
      <c r="C445" s="72" t="s">
        <v>1831</v>
      </c>
      <c r="D445" s="72" t="s">
        <v>1830</v>
      </c>
      <c r="E445" s="72" t="s">
        <v>1030</v>
      </c>
      <c r="F445" s="73">
        <v>61</v>
      </c>
      <c r="G445" s="73" t="s">
        <v>1118</v>
      </c>
      <c r="H445" s="72" t="s">
        <v>57</v>
      </c>
      <c r="I445" s="72" t="s">
        <v>1105</v>
      </c>
      <c r="J445" s="72" t="s">
        <v>320</v>
      </c>
      <c r="K445" s="72" t="s">
        <v>382</v>
      </c>
      <c r="L445" s="72" t="s">
        <v>988</v>
      </c>
      <c r="M445" s="72" t="s">
        <v>388</v>
      </c>
      <c r="N445" s="72" t="s">
        <v>44</v>
      </c>
      <c r="O445" s="72" t="s">
        <v>539</v>
      </c>
      <c r="P445" s="72" t="s">
        <v>973</v>
      </c>
      <c r="Q445" s="72" t="s">
        <v>989</v>
      </c>
      <c r="R445" s="72" t="s">
        <v>57</v>
      </c>
      <c r="V445" s="60" t="str">
        <f t="shared" si="51"/>
        <v>0258BCбелый</v>
      </c>
      <c r="W445" s="60" t="str">
        <f t="shared" si="48"/>
        <v>0258BC</v>
      </c>
      <c r="X445" s="60" t="str">
        <f t="shared" si="52"/>
        <v>Wool 504</v>
      </c>
      <c r="AC445" s="51">
        <f t="shared" si="53"/>
        <v>3</v>
      </c>
      <c r="AD445" s="44">
        <f t="shared" si="54"/>
        <v>2</v>
      </c>
      <c r="AE445" s="51">
        <f t="shared" si="55"/>
        <v>3002</v>
      </c>
    </row>
    <row r="446" spans="1:31">
      <c r="A446" s="60" t="str">
        <f t="shared" si="49"/>
        <v>0258BCwhite</v>
      </c>
      <c r="B446" s="60" t="str">
        <f t="shared" si="50"/>
        <v>03-002-17</v>
      </c>
      <c r="C446" s="72" t="s">
        <v>1832</v>
      </c>
      <c r="D446" s="72" t="s">
        <v>1830</v>
      </c>
      <c r="E446" s="72" t="s">
        <v>969</v>
      </c>
      <c r="F446" s="73">
        <v>57</v>
      </c>
      <c r="G446" s="73" t="s">
        <v>1118</v>
      </c>
      <c r="H446" s="72" t="s">
        <v>57</v>
      </c>
      <c r="I446" s="72" t="s">
        <v>1105</v>
      </c>
      <c r="J446" s="72" t="s">
        <v>320</v>
      </c>
      <c r="K446" s="72" t="s">
        <v>382</v>
      </c>
      <c r="L446" s="72" t="s">
        <v>988</v>
      </c>
      <c r="M446" s="72" t="s">
        <v>388</v>
      </c>
      <c r="N446" s="72" t="s">
        <v>44</v>
      </c>
      <c r="O446" s="72" t="s">
        <v>539</v>
      </c>
      <c r="P446" s="72" t="s">
        <v>973</v>
      </c>
      <c r="Q446" s="72" t="s">
        <v>989</v>
      </c>
      <c r="R446" s="72" t="s">
        <v>57</v>
      </c>
      <c r="V446" s="60" t="str">
        <f t="shared" si="51"/>
        <v>0258BCбелый</v>
      </c>
      <c r="W446" s="60" t="str">
        <f t="shared" si="48"/>
        <v>0258BC</v>
      </c>
      <c r="X446" s="60" t="str">
        <f t="shared" si="52"/>
        <v>Wool 504</v>
      </c>
      <c r="AC446" s="51">
        <f t="shared" si="53"/>
        <v>3</v>
      </c>
      <c r="AD446" s="44">
        <f t="shared" si="54"/>
        <v>2</v>
      </c>
      <c r="AE446" s="51">
        <f t="shared" si="55"/>
        <v>3002</v>
      </c>
    </row>
    <row r="447" spans="1:31">
      <c r="A447" s="60" t="str">
        <f t="shared" si="49"/>
        <v>0258BCwhite</v>
      </c>
      <c r="B447" s="60" t="str">
        <f t="shared" si="50"/>
        <v>03-002-17</v>
      </c>
      <c r="C447" s="72" t="s">
        <v>1833</v>
      </c>
      <c r="D447" s="72" t="s">
        <v>1830</v>
      </c>
      <c r="E447" s="72" t="s">
        <v>976</v>
      </c>
      <c r="F447" s="73">
        <v>59</v>
      </c>
      <c r="G447" s="73" t="s">
        <v>1118</v>
      </c>
      <c r="H447" s="72" t="s">
        <v>57</v>
      </c>
      <c r="I447" s="72" t="s">
        <v>1105</v>
      </c>
      <c r="J447" s="72" t="s">
        <v>320</v>
      </c>
      <c r="K447" s="72" t="s">
        <v>382</v>
      </c>
      <c r="L447" s="72" t="s">
        <v>988</v>
      </c>
      <c r="M447" s="72" t="s">
        <v>388</v>
      </c>
      <c r="N447" s="72" t="s">
        <v>44</v>
      </c>
      <c r="O447" s="72" t="s">
        <v>539</v>
      </c>
      <c r="P447" s="72" t="s">
        <v>973</v>
      </c>
      <c r="Q447" s="72" t="s">
        <v>989</v>
      </c>
      <c r="R447" s="72" t="s">
        <v>57</v>
      </c>
      <c r="V447" s="60" t="str">
        <f t="shared" si="51"/>
        <v>0258BCбелый</v>
      </c>
      <c r="W447" s="60" t="str">
        <f t="shared" si="48"/>
        <v>0258BC</v>
      </c>
      <c r="X447" s="60" t="str">
        <f t="shared" si="52"/>
        <v>Wool 504</v>
      </c>
      <c r="AC447" s="51">
        <f t="shared" si="53"/>
        <v>3</v>
      </c>
      <c r="AD447" s="44">
        <f t="shared" si="54"/>
        <v>2</v>
      </c>
      <c r="AE447" s="51">
        <f t="shared" si="55"/>
        <v>3002</v>
      </c>
    </row>
    <row r="448" spans="1:31">
      <c r="A448" s="60" t="str">
        <f t="shared" si="49"/>
        <v>0259BCblack</v>
      </c>
      <c r="B448" s="60" t="str">
        <f t="shared" si="50"/>
        <v>03-015-09</v>
      </c>
      <c r="C448" s="72" t="s">
        <v>1834</v>
      </c>
      <c r="D448" s="72" t="s">
        <v>1835</v>
      </c>
      <c r="E448" s="72" t="s">
        <v>1032</v>
      </c>
      <c r="F448" s="73">
        <v>55</v>
      </c>
      <c r="G448" s="73" t="s">
        <v>1193</v>
      </c>
      <c r="H448" s="72" t="s">
        <v>53</v>
      </c>
      <c r="I448" s="72" t="s">
        <v>1132</v>
      </c>
      <c r="J448" s="72" t="s">
        <v>348</v>
      </c>
      <c r="K448" s="72" t="s">
        <v>382</v>
      </c>
      <c r="L448" s="72" t="s">
        <v>988</v>
      </c>
      <c r="M448" s="72" t="s">
        <v>388</v>
      </c>
      <c r="N448" s="72" t="s">
        <v>44</v>
      </c>
      <c r="O448" s="72" t="s">
        <v>539</v>
      </c>
      <c r="P448" s="72" t="s">
        <v>973</v>
      </c>
      <c r="Q448" s="72" t="s">
        <v>1005</v>
      </c>
      <c r="R448" s="72" t="s">
        <v>53</v>
      </c>
      <c r="V448" s="60" t="str">
        <f t="shared" si="51"/>
        <v>0259BCчерный</v>
      </c>
      <c r="W448" s="60" t="str">
        <f t="shared" si="48"/>
        <v>0259BC</v>
      </c>
      <c r="X448" s="60" t="str">
        <f t="shared" si="52"/>
        <v>Wool Spitfire</v>
      </c>
      <c r="AC448" s="51">
        <f t="shared" si="53"/>
        <v>3</v>
      </c>
      <c r="AD448" s="44">
        <f t="shared" si="54"/>
        <v>15</v>
      </c>
      <c r="AE448" s="51">
        <f t="shared" si="55"/>
        <v>3015</v>
      </c>
    </row>
    <row r="449" spans="1:31">
      <c r="A449" s="60" t="str">
        <f t="shared" si="49"/>
        <v>0259BCblack</v>
      </c>
      <c r="B449" s="60" t="str">
        <f t="shared" si="50"/>
        <v>03-015-09</v>
      </c>
      <c r="C449" s="72" t="s">
        <v>1836</v>
      </c>
      <c r="D449" s="72" t="s">
        <v>1835</v>
      </c>
      <c r="E449" s="72" t="s">
        <v>1302</v>
      </c>
      <c r="F449" s="73">
        <v>63</v>
      </c>
      <c r="G449" s="73" t="s">
        <v>1193</v>
      </c>
      <c r="H449" s="72" t="s">
        <v>53</v>
      </c>
      <c r="I449" s="72" t="s">
        <v>1132</v>
      </c>
      <c r="J449" s="72" t="s">
        <v>348</v>
      </c>
      <c r="K449" s="72" t="s">
        <v>382</v>
      </c>
      <c r="L449" s="72" t="s">
        <v>988</v>
      </c>
      <c r="M449" s="72" t="s">
        <v>388</v>
      </c>
      <c r="N449" s="72" t="s">
        <v>44</v>
      </c>
      <c r="O449" s="72" t="s">
        <v>539</v>
      </c>
      <c r="P449" s="72" t="s">
        <v>973</v>
      </c>
      <c r="Q449" s="72" t="s">
        <v>1005</v>
      </c>
      <c r="R449" s="72" t="s">
        <v>53</v>
      </c>
      <c r="V449" s="60" t="str">
        <f t="shared" si="51"/>
        <v>0259BCчерный</v>
      </c>
      <c r="W449" s="60" t="str">
        <f t="shared" si="48"/>
        <v>0259BC</v>
      </c>
      <c r="X449" s="60" t="str">
        <f t="shared" si="52"/>
        <v>Wool Spitfire</v>
      </c>
      <c r="AC449" s="51">
        <f t="shared" si="53"/>
        <v>3</v>
      </c>
      <c r="AD449" s="44">
        <f t="shared" si="54"/>
        <v>15</v>
      </c>
      <c r="AE449" s="51">
        <f t="shared" si="55"/>
        <v>3015</v>
      </c>
    </row>
    <row r="450" spans="1:31">
      <c r="A450" s="60" t="str">
        <f t="shared" si="49"/>
        <v>0259BCblack</v>
      </c>
      <c r="B450" s="60" t="str">
        <f t="shared" si="50"/>
        <v>03-015-09</v>
      </c>
      <c r="C450" s="72" t="s">
        <v>1837</v>
      </c>
      <c r="D450" s="72" t="s">
        <v>1835</v>
      </c>
      <c r="E450" s="72" t="s">
        <v>976</v>
      </c>
      <c r="F450" s="73">
        <v>59</v>
      </c>
      <c r="G450" s="73" t="s">
        <v>1193</v>
      </c>
      <c r="H450" s="72" t="s">
        <v>53</v>
      </c>
      <c r="I450" s="72" t="s">
        <v>1132</v>
      </c>
      <c r="J450" s="72" t="s">
        <v>348</v>
      </c>
      <c r="K450" s="72" t="s">
        <v>382</v>
      </c>
      <c r="L450" s="72" t="s">
        <v>988</v>
      </c>
      <c r="M450" s="72" t="s">
        <v>388</v>
      </c>
      <c r="N450" s="72" t="s">
        <v>44</v>
      </c>
      <c r="O450" s="72" t="s">
        <v>539</v>
      </c>
      <c r="P450" s="72" t="s">
        <v>973</v>
      </c>
      <c r="Q450" s="72" t="s">
        <v>1005</v>
      </c>
      <c r="R450" s="72" t="s">
        <v>53</v>
      </c>
      <c r="V450" s="60" t="str">
        <f t="shared" si="51"/>
        <v>0259BCчерный</v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>0259BC</v>
      </c>
      <c r="X450" s="60" t="str">
        <f t="shared" si="52"/>
        <v>Wool Spitfire</v>
      </c>
      <c r="AC450" s="51">
        <f t="shared" si="53"/>
        <v>3</v>
      </c>
      <c r="AD450" s="44">
        <f t="shared" si="54"/>
        <v>15</v>
      </c>
      <c r="AE450" s="51">
        <f t="shared" si="55"/>
        <v>3015</v>
      </c>
    </row>
    <row r="451" spans="1:31">
      <c r="A451" s="60" t="str">
        <f t="shared" ref="A451:A514" si="57">IF(G451&amp;Q451&lt;&gt;"",W451&amp;Q451,"")</f>
        <v>0259BCblack</v>
      </c>
      <c r="B451" s="60" t="str">
        <f t="shared" ref="B451:B514" si="58">IF(C451&lt;&gt;"",LEFT(C451,9),"")</f>
        <v>03-015-09</v>
      </c>
      <c r="C451" s="72" t="s">
        <v>1838</v>
      </c>
      <c r="D451" s="72" t="s">
        <v>1835</v>
      </c>
      <c r="E451" s="72" t="s">
        <v>969</v>
      </c>
      <c r="F451" s="73">
        <v>57</v>
      </c>
      <c r="G451" s="73" t="s">
        <v>1193</v>
      </c>
      <c r="H451" s="72" t="s">
        <v>53</v>
      </c>
      <c r="I451" s="72" t="s">
        <v>1132</v>
      </c>
      <c r="J451" s="72" t="s">
        <v>348</v>
      </c>
      <c r="K451" s="72" t="s">
        <v>382</v>
      </c>
      <c r="L451" s="72" t="s">
        <v>988</v>
      </c>
      <c r="M451" s="72" t="s">
        <v>388</v>
      </c>
      <c r="N451" s="72" t="s">
        <v>44</v>
      </c>
      <c r="O451" s="72" t="s">
        <v>539</v>
      </c>
      <c r="P451" s="72" t="s">
        <v>973</v>
      </c>
      <c r="Q451" s="72" t="s">
        <v>1005</v>
      </c>
      <c r="R451" s="72" t="s">
        <v>53</v>
      </c>
      <c r="V451" s="60" t="str">
        <f t="shared" ref="V451:V514" si="59">W451&amp;H451</f>
        <v>0259BCчерный</v>
      </c>
      <c r="W451" s="60" t="str">
        <f t="shared" si="56"/>
        <v>0259BC</v>
      </c>
      <c r="X451" s="60" t="str">
        <f t="shared" ref="X451:X514" si="60">IF(A451&lt;&gt;"",IFERROR(IF(FIND(" ",G451)&gt;=1,MID(G451,FIND(" ",G451)+1,LEN(G451)),""),""),"")</f>
        <v>Wool Spitfire</v>
      </c>
      <c r="AC451" s="51">
        <f t="shared" ref="AC451:AC514" si="61">IFERROR(VALUE(MID($C451,1,2)),0)</f>
        <v>3</v>
      </c>
      <c r="AD451" s="44">
        <f t="shared" ref="AD451:AD514" si="62">IFERROR(VALUE(MID($C451,4,3)),0)</f>
        <v>15</v>
      </c>
      <c r="AE451" s="51">
        <f t="shared" ref="AE451:AE514" si="63">VALUE(RIGHT("00"&amp;AC451,2)&amp;RIGHT("000"&amp;AD451,3))</f>
        <v>3015</v>
      </c>
    </row>
    <row r="452" spans="1:31">
      <c r="A452" s="60" t="str">
        <f t="shared" si="57"/>
        <v>0259BCblack</v>
      </c>
      <c r="B452" s="60" t="str">
        <f t="shared" si="58"/>
        <v>03-015-09</v>
      </c>
      <c r="C452" s="72" t="s">
        <v>1839</v>
      </c>
      <c r="D452" s="72" t="s">
        <v>1835</v>
      </c>
      <c r="E452" s="72" t="s">
        <v>1030</v>
      </c>
      <c r="F452" s="73">
        <v>61</v>
      </c>
      <c r="G452" s="73" t="s">
        <v>1193</v>
      </c>
      <c r="H452" s="72" t="s">
        <v>53</v>
      </c>
      <c r="I452" s="72" t="s">
        <v>1132</v>
      </c>
      <c r="J452" s="72" t="s">
        <v>348</v>
      </c>
      <c r="K452" s="72" t="s">
        <v>382</v>
      </c>
      <c r="L452" s="72" t="s">
        <v>988</v>
      </c>
      <c r="M452" s="72" t="s">
        <v>388</v>
      </c>
      <c r="N452" s="72" t="s">
        <v>44</v>
      </c>
      <c r="O452" s="72" t="s">
        <v>539</v>
      </c>
      <c r="P452" s="72" t="s">
        <v>973</v>
      </c>
      <c r="Q452" s="72" t="s">
        <v>1005</v>
      </c>
      <c r="R452" s="72" t="s">
        <v>53</v>
      </c>
      <c r="V452" s="60" t="str">
        <f t="shared" si="59"/>
        <v>0259BCчерный</v>
      </c>
      <c r="W452" s="60" t="str">
        <f t="shared" si="56"/>
        <v>0259BC</v>
      </c>
      <c r="X452" s="60" t="str">
        <f t="shared" si="60"/>
        <v>Wool Spitfire</v>
      </c>
      <c r="AC452" s="51">
        <f t="shared" si="61"/>
        <v>3</v>
      </c>
      <c r="AD452" s="44">
        <f t="shared" si="62"/>
        <v>15</v>
      </c>
      <c r="AE452" s="51">
        <f t="shared" si="63"/>
        <v>3015</v>
      </c>
    </row>
    <row r="453" spans="1:31">
      <c r="A453" s="60" t="str">
        <f t="shared" si="57"/>
        <v>0264KGbrown</v>
      </c>
      <c r="B453" s="60" t="str">
        <f t="shared" si="58"/>
        <v>03-003-14</v>
      </c>
      <c r="C453" s="72" t="s">
        <v>1840</v>
      </c>
      <c r="D453" s="72" t="s">
        <v>1841</v>
      </c>
      <c r="E453" s="72" t="s">
        <v>976</v>
      </c>
      <c r="F453" s="73">
        <v>59</v>
      </c>
      <c r="G453" s="73" t="s">
        <v>1842</v>
      </c>
      <c r="H453" s="72" t="s">
        <v>86</v>
      </c>
      <c r="I453" s="72" t="s">
        <v>1843</v>
      </c>
      <c r="J453" s="72" t="s">
        <v>324</v>
      </c>
      <c r="K453" s="72" t="s">
        <v>382</v>
      </c>
      <c r="L453" s="72" t="s">
        <v>988</v>
      </c>
      <c r="M453" s="72" t="s">
        <v>388</v>
      </c>
      <c r="N453" s="72" t="s">
        <v>44</v>
      </c>
      <c r="O453" s="72" t="s">
        <v>386</v>
      </c>
      <c r="P453" s="72" t="s">
        <v>973</v>
      </c>
      <c r="Q453" s="72" t="s">
        <v>998</v>
      </c>
      <c r="R453" s="72" t="s">
        <v>86</v>
      </c>
      <c r="V453" s="60" t="str">
        <f t="shared" si="59"/>
        <v>0264KGкоричневый</v>
      </c>
      <c r="W453" s="60" t="str">
        <f t="shared" si="56"/>
        <v>0264KG</v>
      </c>
      <c r="X453" s="60" t="str">
        <f t="shared" si="60"/>
        <v>Herringbone 504</v>
      </c>
      <c r="AC453" s="51">
        <f t="shared" si="61"/>
        <v>3</v>
      </c>
      <c r="AD453" s="44">
        <f t="shared" si="62"/>
        <v>3</v>
      </c>
      <c r="AE453" s="51">
        <f t="shared" si="63"/>
        <v>3003</v>
      </c>
    </row>
    <row r="454" spans="1:31">
      <c r="A454" s="60" t="str">
        <f t="shared" si="57"/>
        <v>0264KGbrown</v>
      </c>
      <c r="B454" s="60" t="str">
        <f t="shared" si="58"/>
        <v>03-003-14</v>
      </c>
      <c r="C454" s="72" t="s">
        <v>1844</v>
      </c>
      <c r="D454" s="72" t="s">
        <v>1841</v>
      </c>
      <c r="E454" s="72" t="s">
        <v>969</v>
      </c>
      <c r="F454" s="73">
        <v>57</v>
      </c>
      <c r="G454" s="73" t="s">
        <v>1842</v>
      </c>
      <c r="H454" s="72" t="s">
        <v>86</v>
      </c>
      <c r="I454" s="72" t="s">
        <v>1843</v>
      </c>
      <c r="J454" s="72" t="s">
        <v>324</v>
      </c>
      <c r="K454" s="72" t="s">
        <v>382</v>
      </c>
      <c r="L454" s="72" t="s">
        <v>988</v>
      </c>
      <c r="M454" s="72" t="s">
        <v>388</v>
      </c>
      <c r="N454" s="72" t="s">
        <v>44</v>
      </c>
      <c r="O454" s="72" t="s">
        <v>386</v>
      </c>
      <c r="P454" s="72" t="s">
        <v>973</v>
      </c>
      <c r="Q454" s="72" t="s">
        <v>998</v>
      </c>
      <c r="R454" s="72" t="s">
        <v>86</v>
      </c>
      <c r="V454" s="60" t="str">
        <f t="shared" si="59"/>
        <v>0264KGкоричневый</v>
      </c>
      <c r="W454" s="60" t="str">
        <f t="shared" si="56"/>
        <v>0264KG</v>
      </c>
      <c r="X454" s="60" t="str">
        <f t="shared" si="60"/>
        <v>Herringbone 504</v>
      </c>
      <c r="AC454" s="51">
        <f t="shared" si="61"/>
        <v>3</v>
      </c>
      <c r="AD454" s="44">
        <f t="shared" si="62"/>
        <v>3</v>
      </c>
      <c r="AE454" s="51">
        <f t="shared" si="63"/>
        <v>3003</v>
      </c>
    </row>
    <row r="455" spans="1:31">
      <c r="A455" s="60" t="str">
        <f t="shared" si="57"/>
        <v>0264KGbrown</v>
      </c>
      <c r="B455" s="60" t="str">
        <f t="shared" si="58"/>
        <v>03-003-14</v>
      </c>
      <c r="C455" s="72" t="s">
        <v>1845</v>
      </c>
      <c r="D455" s="72" t="s">
        <v>1841</v>
      </c>
      <c r="E455" s="72" t="s">
        <v>1030</v>
      </c>
      <c r="F455" s="73">
        <v>61</v>
      </c>
      <c r="G455" s="73" t="s">
        <v>1842</v>
      </c>
      <c r="H455" s="72" t="s">
        <v>86</v>
      </c>
      <c r="I455" s="72" t="s">
        <v>1843</v>
      </c>
      <c r="J455" s="72" t="s">
        <v>324</v>
      </c>
      <c r="K455" s="72" t="s">
        <v>382</v>
      </c>
      <c r="L455" s="72" t="s">
        <v>988</v>
      </c>
      <c r="M455" s="72" t="s">
        <v>388</v>
      </c>
      <c r="N455" s="72" t="s">
        <v>44</v>
      </c>
      <c r="O455" s="72" t="s">
        <v>386</v>
      </c>
      <c r="P455" s="72" t="s">
        <v>973</v>
      </c>
      <c r="Q455" s="72" t="s">
        <v>998</v>
      </c>
      <c r="R455" s="72" t="s">
        <v>86</v>
      </c>
      <c r="V455" s="60" t="str">
        <f t="shared" si="59"/>
        <v>0264KGкоричневый</v>
      </c>
      <c r="W455" s="60" t="str">
        <f t="shared" si="56"/>
        <v>0264KG</v>
      </c>
      <c r="X455" s="60" t="str">
        <f t="shared" si="60"/>
        <v>Herringbone 504</v>
      </c>
      <c r="AC455" s="51">
        <f t="shared" si="61"/>
        <v>3</v>
      </c>
      <c r="AD455" s="44">
        <f t="shared" si="62"/>
        <v>3</v>
      </c>
      <c r="AE455" s="51">
        <f t="shared" si="63"/>
        <v>3003</v>
      </c>
    </row>
    <row r="456" spans="1:31">
      <c r="A456" s="60" t="str">
        <f t="shared" si="57"/>
        <v>0264KGdk.blue</v>
      </c>
      <c r="B456" s="60" t="str">
        <f t="shared" si="58"/>
        <v>03-003-06</v>
      </c>
      <c r="C456" s="72" t="s">
        <v>1846</v>
      </c>
      <c r="D456" s="72" t="s">
        <v>1847</v>
      </c>
      <c r="E456" s="72" t="s">
        <v>1032</v>
      </c>
      <c r="F456" s="73">
        <v>55</v>
      </c>
      <c r="G456" s="73" t="s">
        <v>1842</v>
      </c>
      <c r="H456" s="72" t="s">
        <v>71</v>
      </c>
      <c r="I456" s="72" t="s">
        <v>1843</v>
      </c>
      <c r="J456" s="72" t="s">
        <v>324</v>
      </c>
      <c r="K456" s="72" t="s">
        <v>382</v>
      </c>
      <c r="L456" s="72" t="s">
        <v>988</v>
      </c>
      <c r="M456" s="72" t="s">
        <v>388</v>
      </c>
      <c r="N456" s="72" t="s">
        <v>44</v>
      </c>
      <c r="O456" s="72" t="s">
        <v>386</v>
      </c>
      <c r="P456" s="72" t="s">
        <v>973</v>
      </c>
      <c r="Q456" s="72" t="s">
        <v>1848</v>
      </c>
      <c r="R456" s="72" t="s">
        <v>71</v>
      </c>
      <c r="V456" s="60" t="str">
        <f t="shared" si="59"/>
        <v>0264KGсиний</v>
      </c>
      <c r="W456" s="60" t="str">
        <f t="shared" si="56"/>
        <v>0264KG</v>
      </c>
      <c r="X456" s="60" t="str">
        <f t="shared" si="60"/>
        <v>Herringbone 504</v>
      </c>
      <c r="AC456" s="51">
        <f t="shared" si="61"/>
        <v>3</v>
      </c>
      <c r="AD456" s="44">
        <f t="shared" si="62"/>
        <v>3</v>
      </c>
      <c r="AE456" s="51">
        <f t="shared" si="63"/>
        <v>3003</v>
      </c>
    </row>
    <row r="457" spans="1:31">
      <c r="A457" s="60" t="str">
        <f t="shared" si="57"/>
        <v>0264KGdk.blue</v>
      </c>
      <c r="B457" s="60" t="str">
        <f t="shared" si="58"/>
        <v>03-003-06</v>
      </c>
      <c r="C457" s="72" t="s">
        <v>1849</v>
      </c>
      <c r="D457" s="72" t="s">
        <v>1847</v>
      </c>
      <c r="E457" s="72" t="s">
        <v>976</v>
      </c>
      <c r="F457" s="73">
        <v>59</v>
      </c>
      <c r="G457" s="73" t="s">
        <v>1842</v>
      </c>
      <c r="H457" s="72" t="s">
        <v>71</v>
      </c>
      <c r="I457" s="72" t="s">
        <v>1843</v>
      </c>
      <c r="J457" s="72" t="s">
        <v>324</v>
      </c>
      <c r="K457" s="72" t="s">
        <v>382</v>
      </c>
      <c r="L457" s="72" t="s">
        <v>988</v>
      </c>
      <c r="M457" s="72" t="s">
        <v>388</v>
      </c>
      <c r="N457" s="72" t="s">
        <v>44</v>
      </c>
      <c r="O457" s="72" t="s">
        <v>386</v>
      </c>
      <c r="P457" s="72" t="s">
        <v>973</v>
      </c>
      <c r="Q457" s="72" t="s">
        <v>1848</v>
      </c>
      <c r="R457" s="72" t="s">
        <v>71</v>
      </c>
      <c r="V457" s="60" t="str">
        <f t="shared" si="59"/>
        <v>0264KGсиний</v>
      </c>
      <c r="W457" s="60" t="str">
        <f t="shared" si="56"/>
        <v>0264KG</v>
      </c>
      <c r="X457" s="60" t="str">
        <f t="shared" si="60"/>
        <v>Herringbone 504</v>
      </c>
      <c r="AC457" s="51">
        <f t="shared" si="61"/>
        <v>3</v>
      </c>
      <c r="AD457" s="44">
        <f t="shared" si="62"/>
        <v>3</v>
      </c>
      <c r="AE457" s="51">
        <f t="shared" si="63"/>
        <v>3003</v>
      </c>
    </row>
    <row r="458" spans="1:31">
      <c r="A458" s="60" t="str">
        <f t="shared" si="57"/>
        <v>0264KGdk.blue</v>
      </c>
      <c r="B458" s="60" t="str">
        <f t="shared" si="58"/>
        <v>03-003-06</v>
      </c>
      <c r="C458" s="72" t="s">
        <v>1850</v>
      </c>
      <c r="D458" s="72" t="s">
        <v>1847</v>
      </c>
      <c r="E458" s="72" t="s">
        <v>969</v>
      </c>
      <c r="F458" s="73">
        <v>57</v>
      </c>
      <c r="G458" s="73" t="s">
        <v>1842</v>
      </c>
      <c r="H458" s="72" t="s">
        <v>71</v>
      </c>
      <c r="I458" s="72" t="s">
        <v>1843</v>
      </c>
      <c r="J458" s="72" t="s">
        <v>324</v>
      </c>
      <c r="K458" s="72" t="s">
        <v>382</v>
      </c>
      <c r="L458" s="72" t="s">
        <v>988</v>
      </c>
      <c r="M458" s="72" t="s">
        <v>388</v>
      </c>
      <c r="N458" s="72" t="s">
        <v>44</v>
      </c>
      <c r="O458" s="72" t="s">
        <v>386</v>
      </c>
      <c r="P458" s="72" t="s">
        <v>973</v>
      </c>
      <c r="Q458" s="72" t="s">
        <v>1848</v>
      </c>
      <c r="R458" s="72" t="s">
        <v>71</v>
      </c>
      <c r="V458" s="60" t="str">
        <f t="shared" si="59"/>
        <v>0264KGсиний</v>
      </c>
      <c r="W458" s="60" t="str">
        <f t="shared" si="56"/>
        <v>0264KG</v>
      </c>
      <c r="X458" s="60" t="str">
        <f t="shared" si="60"/>
        <v>Herringbone 504</v>
      </c>
      <c r="AC458" s="51">
        <f t="shared" si="61"/>
        <v>3</v>
      </c>
      <c r="AD458" s="44">
        <f t="shared" si="62"/>
        <v>3</v>
      </c>
      <c r="AE458" s="51">
        <f t="shared" si="63"/>
        <v>3003</v>
      </c>
    </row>
    <row r="459" spans="1:31">
      <c r="A459" s="60" t="str">
        <f t="shared" si="57"/>
        <v>0264KGdk.blue</v>
      </c>
      <c r="B459" s="60" t="str">
        <f t="shared" si="58"/>
        <v>03-003-06</v>
      </c>
      <c r="C459" s="72" t="s">
        <v>1851</v>
      </c>
      <c r="D459" s="72" t="s">
        <v>1847</v>
      </c>
      <c r="E459" s="72" t="s">
        <v>1030</v>
      </c>
      <c r="F459" s="73">
        <v>61</v>
      </c>
      <c r="G459" s="73" t="s">
        <v>1842</v>
      </c>
      <c r="H459" s="72" t="s">
        <v>71</v>
      </c>
      <c r="I459" s="72" t="s">
        <v>1843</v>
      </c>
      <c r="J459" s="72" t="s">
        <v>324</v>
      </c>
      <c r="K459" s="72" t="s">
        <v>382</v>
      </c>
      <c r="L459" s="72" t="s">
        <v>988</v>
      </c>
      <c r="M459" s="72" t="s">
        <v>388</v>
      </c>
      <c r="N459" s="72" t="s">
        <v>44</v>
      </c>
      <c r="O459" s="72" t="s">
        <v>386</v>
      </c>
      <c r="P459" s="72" t="s">
        <v>973</v>
      </c>
      <c r="Q459" s="72" t="s">
        <v>1848</v>
      </c>
      <c r="R459" s="72" t="s">
        <v>71</v>
      </c>
      <c r="V459" s="60" t="str">
        <f t="shared" si="59"/>
        <v>0264KGсиний</v>
      </c>
      <c r="W459" s="60" t="str">
        <f t="shared" si="56"/>
        <v>0264KG</v>
      </c>
      <c r="X459" s="60" t="str">
        <f t="shared" si="60"/>
        <v>Herringbone 504</v>
      </c>
      <c r="AC459" s="51">
        <f t="shared" si="61"/>
        <v>3</v>
      </c>
      <c r="AD459" s="44">
        <f t="shared" si="62"/>
        <v>3</v>
      </c>
      <c r="AE459" s="51">
        <f t="shared" si="63"/>
        <v>3003</v>
      </c>
    </row>
    <row r="460" spans="1:31">
      <c r="A460" s="60" t="str">
        <f t="shared" si="57"/>
        <v>2301BCbeige</v>
      </c>
      <c r="B460" s="60" t="str">
        <f t="shared" si="58"/>
        <v>03-004-02</v>
      </c>
      <c r="C460" s="72" t="s">
        <v>1852</v>
      </c>
      <c r="D460" s="72" t="s">
        <v>1853</v>
      </c>
      <c r="E460" s="72" t="s">
        <v>909</v>
      </c>
      <c r="F460" s="73">
        <v>0</v>
      </c>
      <c r="G460" s="73" t="s">
        <v>1854</v>
      </c>
      <c r="H460" s="72" t="s">
        <v>63</v>
      </c>
      <c r="I460" s="72" t="s">
        <v>1221</v>
      </c>
      <c r="J460" s="72" t="s">
        <v>340</v>
      </c>
      <c r="K460" s="72" t="s">
        <v>382</v>
      </c>
      <c r="L460" s="72" t="s">
        <v>981</v>
      </c>
      <c r="M460" s="72" t="s">
        <v>389</v>
      </c>
      <c r="O460" s="72" t="s">
        <v>386</v>
      </c>
      <c r="P460" s="72" t="s">
        <v>973</v>
      </c>
      <c r="Q460" s="72" t="s">
        <v>1085</v>
      </c>
      <c r="R460" s="72" t="s">
        <v>63</v>
      </c>
      <c r="V460" s="60" t="str">
        <f t="shared" si="59"/>
        <v>2301BCбежевый</v>
      </c>
      <c r="W460" s="60" t="str">
        <f t="shared" si="56"/>
        <v>2301BC</v>
      </c>
      <c r="X460" s="60" t="str">
        <f t="shared" si="60"/>
        <v>Acrylic Cuffless Pull-On</v>
      </c>
      <c r="AC460" s="51">
        <f t="shared" si="61"/>
        <v>3</v>
      </c>
      <c r="AD460" s="44">
        <f t="shared" si="62"/>
        <v>4</v>
      </c>
      <c r="AE460" s="51">
        <f t="shared" si="63"/>
        <v>3004</v>
      </c>
    </row>
    <row r="461" spans="1:31">
      <c r="A461" s="60" t="str">
        <f t="shared" si="57"/>
        <v>2301BCblack</v>
      </c>
      <c r="B461" s="60" t="str">
        <f t="shared" si="58"/>
        <v>03-004-09</v>
      </c>
      <c r="C461" s="72" t="s">
        <v>1855</v>
      </c>
      <c r="D461" s="72" t="s">
        <v>1856</v>
      </c>
      <c r="E461" s="72" t="s">
        <v>909</v>
      </c>
      <c r="F461" s="73">
        <v>0</v>
      </c>
      <c r="G461" s="73" t="s">
        <v>1854</v>
      </c>
      <c r="H461" s="72" t="s">
        <v>53</v>
      </c>
      <c r="I461" s="72" t="s">
        <v>1221</v>
      </c>
      <c r="J461" s="72" t="s">
        <v>340</v>
      </c>
      <c r="K461" s="72" t="s">
        <v>382</v>
      </c>
      <c r="L461" s="72" t="s">
        <v>981</v>
      </c>
      <c r="M461" s="72" t="s">
        <v>389</v>
      </c>
      <c r="O461" s="72" t="s">
        <v>386</v>
      </c>
      <c r="P461" s="72" t="s">
        <v>973</v>
      </c>
      <c r="Q461" s="72" t="s">
        <v>1005</v>
      </c>
      <c r="R461" s="72" t="s">
        <v>53</v>
      </c>
      <c r="V461" s="60" t="str">
        <f t="shared" si="59"/>
        <v>2301BCчерный</v>
      </c>
      <c r="W461" s="60" t="str">
        <f t="shared" si="56"/>
        <v>2301BC</v>
      </c>
      <c r="X461" s="60" t="str">
        <f t="shared" si="60"/>
        <v>Acrylic Cuffless Pull-On</v>
      </c>
      <c r="AC461" s="51">
        <f t="shared" si="61"/>
        <v>3</v>
      </c>
      <c r="AD461" s="44">
        <f t="shared" si="62"/>
        <v>4</v>
      </c>
      <c r="AE461" s="51">
        <f t="shared" si="63"/>
        <v>3004</v>
      </c>
    </row>
    <row r="462" spans="1:31">
      <c r="A462" s="60" t="str">
        <f t="shared" si="57"/>
        <v>2301BCdk.blue</v>
      </c>
      <c r="B462" s="60" t="str">
        <f t="shared" si="58"/>
        <v>03-004-16</v>
      </c>
      <c r="C462" s="72" t="s">
        <v>1857</v>
      </c>
      <c r="D462" s="72" t="s">
        <v>1858</v>
      </c>
      <c r="E462" s="72" t="s">
        <v>909</v>
      </c>
      <c r="F462" s="73">
        <v>0</v>
      </c>
      <c r="G462" s="73" t="s">
        <v>1854</v>
      </c>
      <c r="H462" s="72" t="s">
        <v>55</v>
      </c>
      <c r="I462" s="72" t="s">
        <v>1221</v>
      </c>
      <c r="J462" s="72" t="s">
        <v>340</v>
      </c>
      <c r="K462" s="72" t="s">
        <v>382</v>
      </c>
      <c r="L462" s="72" t="s">
        <v>981</v>
      </c>
      <c r="M462" s="72" t="s">
        <v>389</v>
      </c>
      <c r="O462" s="72" t="s">
        <v>386</v>
      </c>
      <c r="P462" s="72" t="s">
        <v>973</v>
      </c>
      <c r="Q462" s="72" t="s">
        <v>1848</v>
      </c>
      <c r="R462" s="72" t="s">
        <v>71</v>
      </c>
      <c r="V462" s="60" t="str">
        <f t="shared" si="59"/>
        <v>2301BCтемно-синий</v>
      </c>
      <c r="W462" s="60" t="str">
        <f t="shared" si="56"/>
        <v>2301BC</v>
      </c>
      <c r="X462" s="60" t="str">
        <f t="shared" si="60"/>
        <v>Acrylic Cuffless Pull-On</v>
      </c>
      <c r="AC462" s="51">
        <f t="shared" si="61"/>
        <v>3</v>
      </c>
      <c r="AD462" s="44">
        <f t="shared" si="62"/>
        <v>4</v>
      </c>
      <c r="AE462" s="51">
        <f t="shared" si="63"/>
        <v>3004</v>
      </c>
    </row>
    <row r="463" spans="1:31">
      <c r="A463" s="60" t="str">
        <f t="shared" si="57"/>
        <v>2978BCblack</v>
      </c>
      <c r="B463" s="60" t="str">
        <f t="shared" si="58"/>
        <v>03-005-09</v>
      </c>
      <c r="C463" s="72" t="s">
        <v>1859</v>
      </c>
      <c r="D463" s="72" t="s">
        <v>1860</v>
      </c>
      <c r="E463" s="72" t="s">
        <v>909</v>
      </c>
      <c r="F463" s="73">
        <v>0</v>
      </c>
      <c r="G463" s="73" t="s">
        <v>1317</v>
      </c>
      <c r="H463" s="72" t="s">
        <v>53</v>
      </c>
      <c r="I463" s="72" t="s">
        <v>1221</v>
      </c>
      <c r="J463" s="72" t="s">
        <v>340</v>
      </c>
      <c r="K463" s="72" t="s">
        <v>382</v>
      </c>
      <c r="L463" s="72" t="s">
        <v>988</v>
      </c>
      <c r="M463" s="72" t="s">
        <v>389</v>
      </c>
      <c r="O463" s="72" t="s">
        <v>539</v>
      </c>
      <c r="P463" s="72" t="s">
        <v>973</v>
      </c>
      <c r="Q463" s="72" t="s">
        <v>1005</v>
      </c>
      <c r="R463" s="72" t="s">
        <v>53</v>
      </c>
      <c r="V463" s="60" t="str">
        <f t="shared" si="59"/>
        <v>2978BCчерный</v>
      </c>
      <c r="W463" s="60" t="str">
        <f t="shared" si="56"/>
        <v>2978BC</v>
      </c>
      <c r="X463" s="60" t="str">
        <f t="shared" si="60"/>
        <v>Acrylic Cuff Pull-On</v>
      </c>
      <c r="AC463" s="51">
        <f t="shared" si="61"/>
        <v>3</v>
      </c>
      <c r="AD463" s="44">
        <f t="shared" si="62"/>
        <v>5</v>
      </c>
      <c r="AE463" s="51">
        <f t="shared" si="63"/>
        <v>3005</v>
      </c>
    </row>
    <row r="464" spans="1:31">
      <c r="A464" s="60" t="str">
        <f t="shared" si="57"/>
        <v>2978BCdk.flannel</v>
      </c>
      <c r="B464" s="60" t="str">
        <f t="shared" si="58"/>
        <v>03-005-05</v>
      </c>
      <c r="C464" s="72" t="s">
        <v>1861</v>
      </c>
      <c r="D464" s="72" t="s">
        <v>1862</v>
      </c>
      <c r="E464" s="72" t="s">
        <v>909</v>
      </c>
      <c r="F464" s="73">
        <v>0</v>
      </c>
      <c r="G464" s="73" t="s">
        <v>1317</v>
      </c>
      <c r="H464" s="72" t="s">
        <v>277</v>
      </c>
      <c r="I464" s="72" t="s">
        <v>1221</v>
      </c>
      <c r="J464" s="72" t="s">
        <v>340</v>
      </c>
      <c r="K464" s="72" t="s">
        <v>382</v>
      </c>
      <c r="L464" s="72" t="s">
        <v>988</v>
      </c>
      <c r="M464" s="72" t="s">
        <v>389</v>
      </c>
      <c r="O464" s="72" t="s">
        <v>539</v>
      </c>
      <c r="P464" s="72" t="s">
        <v>973</v>
      </c>
      <c r="Q464" s="72" t="s">
        <v>1148</v>
      </c>
      <c r="R464" s="72" t="s">
        <v>83</v>
      </c>
      <c r="V464" s="60" t="str">
        <f t="shared" si="59"/>
        <v>2978BCтемно-серый</v>
      </c>
      <c r="W464" s="60" t="str">
        <f t="shared" si="56"/>
        <v>2978BC</v>
      </c>
      <c r="X464" s="60" t="str">
        <f t="shared" si="60"/>
        <v>Acrylic Cuff Pull-On</v>
      </c>
      <c r="AC464" s="51">
        <f t="shared" si="61"/>
        <v>3</v>
      </c>
      <c r="AD464" s="44">
        <f t="shared" si="62"/>
        <v>5</v>
      </c>
      <c r="AE464" s="51">
        <f t="shared" si="63"/>
        <v>3005</v>
      </c>
    </row>
    <row r="465" spans="1:31">
      <c r="A465" s="60" t="str">
        <f t="shared" si="57"/>
        <v>3388BCcamel</v>
      </c>
      <c r="B465" s="60" t="str">
        <f t="shared" si="58"/>
        <v>03-006-02</v>
      </c>
      <c r="C465" s="72" t="s">
        <v>1863</v>
      </c>
      <c r="D465" s="72" t="s">
        <v>1864</v>
      </c>
      <c r="E465" s="72" t="s">
        <v>909</v>
      </c>
      <c r="F465" s="73">
        <v>0</v>
      </c>
      <c r="G465" s="73" t="s">
        <v>1731</v>
      </c>
      <c r="H465" s="72" t="s">
        <v>63</v>
      </c>
      <c r="I465" s="72" t="s">
        <v>1105</v>
      </c>
      <c r="J465" s="72" t="s">
        <v>334</v>
      </c>
      <c r="K465" s="72" t="s">
        <v>382</v>
      </c>
      <c r="L465" s="72" t="s">
        <v>988</v>
      </c>
      <c r="M465" s="72" t="s">
        <v>388</v>
      </c>
      <c r="N465" s="72" t="s">
        <v>44</v>
      </c>
      <c r="O465" s="72" t="s">
        <v>386</v>
      </c>
      <c r="P465" s="72" t="s">
        <v>973</v>
      </c>
      <c r="Q465" s="72" t="s">
        <v>1704</v>
      </c>
      <c r="R465" s="72" t="s">
        <v>63</v>
      </c>
      <c r="V465" s="60" t="str">
        <f t="shared" si="59"/>
        <v>3388BCбежевый</v>
      </c>
      <c r="W465" s="60" t="str">
        <f t="shared" si="56"/>
        <v>3388BC</v>
      </c>
      <c r="X465" s="60" t="str">
        <f t="shared" si="60"/>
        <v>Modelaine Beret</v>
      </c>
      <c r="AC465" s="51">
        <f t="shared" si="61"/>
        <v>3</v>
      </c>
      <c r="AD465" s="44">
        <f t="shared" si="62"/>
        <v>6</v>
      </c>
      <c r="AE465" s="51">
        <f t="shared" si="63"/>
        <v>3006</v>
      </c>
    </row>
    <row r="466" spans="1:31">
      <c r="A466" s="60" t="str">
        <f t="shared" si="57"/>
        <v>3388BCdk.blue</v>
      </c>
      <c r="B466" s="60" t="str">
        <f t="shared" si="58"/>
        <v>03-006-16</v>
      </c>
      <c r="C466" s="72" t="s">
        <v>1865</v>
      </c>
      <c r="D466" s="72" t="s">
        <v>1866</v>
      </c>
      <c r="E466" s="72" t="s">
        <v>909</v>
      </c>
      <c r="F466" s="73">
        <v>0</v>
      </c>
      <c r="G466" s="73" t="s">
        <v>1731</v>
      </c>
      <c r="H466" s="72" t="s">
        <v>55</v>
      </c>
      <c r="I466" s="72" t="s">
        <v>1105</v>
      </c>
      <c r="J466" s="72" t="s">
        <v>334</v>
      </c>
      <c r="K466" s="72" t="s">
        <v>382</v>
      </c>
      <c r="L466" s="72" t="s">
        <v>988</v>
      </c>
      <c r="M466" s="72" t="s">
        <v>388</v>
      </c>
      <c r="N466" s="72" t="s">
        <v>44</v>
      </c>
      <c r="O466" s="72" t="s">
        <v>386</v>
      </c>
      <c r="P466" s="72" t="s">
        <v>973</v>
      </c>
      <c r="Q466" s="72" t="s">
        <v>1848</v>
      </c>
      <c r="R466" s="72" t="s">
        <v>71</v>
      </c>
      <c r="V466" s="60" t="str">
        <f t="shared" si="59"/>
        <v>3388BCтемно-синий</v>
      </c>
      <c r="W466" s="60" t="str">
        <f t="shared" si="56"/>
        <v>3388BC</v>
      </c>
      <c r="X466" s="60" t="str">
        <f t="shared" si="60"/>
        <v>Modelaine Beret</v>
      </c>
      <c r="AC466" s="51">
        <f t="shared" si="61"/>
        <v>3</v>
      </c>
      <c r="AD466" s="44">
        <f t="shared" si="62"/>
        <v>6</v>
      </c>
      <c r="AE466" s="51">
        <f t="shared" si="63"/>
        <v>3006</v>
      </c>
    </row>
    <row r="467" spans="1:31">
      <c r="A467" s="60" t="str">
        <f t="shared" si="57"/>
        <v>3388BCdk.flannel</v>
      </c>
      <c r="B467" s="60" t="str">
        <f t="shared" si="58"/>
        <v>03-006-05</v>
      </c>
      <c r="C467" s="72" t="s">
        <v>1867</v>
      </c>
      <c r="D467" s="72" t="s">
        <v>1868</v>
      </c>
      <c r="E467" s="72" t="s">
        <v>909</v>
      </c>
      <c r="F467" s="73">
        <v>0</v>
      </c>
      <c r="G467" s="73" t="s">
        <v>1731</v>
      </c>
      <c r="H467" s="72" t="s">
        <v>277</v>
      </c>
      <c r="I467" s="72" t="s">
        <v>1105</v>
      </c>
      <c r="J467" s="72" t="s">
        <v>334</v>
      </c>
      <c r="K467" s="72" t="s">
        <v>382</v>
      </c>
      <c r="L467" s="72" t="s">
        <v>988</v>
      </c>
      <c r="M467" s="72" t="s">
        <v>389</v>
      </c>
      <c r="N467" s="72" t="s">
        <v>44</v>
      </c>
      <c r="O467" s="72" t="s">
        <v>386</v>
      </c>
      <c r="P467" s="72" t="s">
        <v>973</v>
      </c>
      <c r="Q467" s="72" t="s">
        <v>1148</v>
      </c>
      <c r="R467" s="72" t="s">
        <v>83</v>
      </c>
      <c r="V467" s="60" t="str">
        <f t="shared" si="59"/>
        <v>3388BCтемно-серый</v>
      </c>
      <c r="W467" s="60" t="str">
        <f t="shared" si="56"/>
        <v>3388BC</v>
      </c>
      <c r="X467" s="60" t="str">
        <f t="shared" si="60"/>
        <v>Modelaine Beret</v>
      </c>
      <c r="AC467" s="51">
        <f t="shared" si="61"/>
        <v>3</v>
      </c>
      <c r="AD467" s="44">
        <f t="shared" si="62"/>
        <v>6</v>
      </c>
      <c r="AE467" s="51">
        <f t="shared" si="63"/>
        <v>3006</v>
      </c>
    </row>
    <row r="468" spans="1:31">
      <c r="A468" s="60" t="str">
        <f t="shared" si="57"/>
        <v>3388BCflannel</v>
      </c>
      <c r="B468" s="60" t="str">
        <f t="shared" si="58"/>
        <v>03-006-08</v>
      </c>
      <c r="C468" s="72" t="s">
        <v>1869</v>
      </c>
      <c r="D468" s="72" t="s">
        <v>1870</v>
      </c>
      <c r="E468" s="72" t="s">
        <v>909</v>
      </c>
      <c r="F468" s="73">
        <v>0</v>
      </c>
      <c r="G468" s="73" t="s">
        <v>1731</v>
      </c>
      <c r="H468" s="72" t="s">
        <v>83</v>
      </c>
      <c r="I468" s="72" t="s">
        <v>1105</v>
      </c>
      <c r="J468" s="72" t="s">
        <v>334</v>
      </c>
      <c r="K468" s="72" t="s">
        <v>382</v>
      </c>
      <c r="L468" s="72" t="s">
        <v>988</v>
      </c>
      <c r="M468" s="72" t="s">
        <v>388</v>
      </c>
      <c r="N468" s="72" t="s">
        <v>44</v>
      </c>
      <c r="O468" s="72" t="s">
        <v>386</v>
      </c>
      <c r="P468" s="72" t="s">
        <v>973</v>
      </c>
      <c r="Q468" s="72" t="s">
        <v>1119</v>
      </c>
      <c r="R468" s="72" t="s">
        <v>83</v>
      </c>
      <c r="V468" s="60" t="str">
        <f t="shared" si="59"/>
        <v>3388BCсерый</v>
      </c>
      <c r="W468" s="60" t="str">
        <f t="shared" si="56"/>
        <v>3388BC</v>
      </c>
      <c r="X468" s="60" t="str">
        <f t="shared" si="60"/>
        <v>Modelaine Beret</v>
      </c>
      <c r="AC468" s="51">
        <f t="shared" si="61"/>
        <v>3</v>
      </c>
      <c r="AD468" s="44">
        <f t="shared" si="62"/>
        <v>6</v>
      </c>
      <c r="AE468" s="51">
        <f t="shared" si="63"/>
        <v>3006</v>
      </c>
    </row>
    <row r="469" spans="1:31">
      <c r="A469" s="60" t="str">
        <f t="shared" si="57"/>
        <v>3388BCred</v>
      </c>
      <c r="B469" s="60" t="str">
        <f t="shared" si="58"/>
        <v>03-006-18</v>
      </c>
      <c r="C469" s="72" t="s">
        <v>1871</v>
      </c>
      <c r="D469" s="72" t="s">
        <v>1872</v>
      </c>
      <c r="E469" s="72" t="s">
        <v>909</v>
      </c>
      <c r="F469" s="73">
        <v>0</v>
      </c>
      <c r="G469" s="73" t="s">
        <v>1731</v>
      </c>
      <c r="H469" s="72" t="s">
        <v>78</v>
      </c>
      <c r="I469" s="72" t="s">
        <v>1105</v>
      </c>
      <c r="J469" s="72" t="s">
        <v>334</v>
      </c>
      <c r="K469" s="72" t="s">
        <v>387</v>
      </c>
      <c r="L469" s="72" t="s">
        <v>988</v>
      </c>
      <c r="M469" s="72" t="s">
        <v>388</v>
      </c>
      <c r="N469" s="72" t="s">
        <v>44</v>
      </c>
      <c r="O469" s="72" t="s">
        <v>386</v>
      </c>
      <c r="P469" s="72" t="s">
        <v>973</v>
      </c>
      <c r="Q469" s="72" t="s">
        <v>1255</v>
      </c>
      <c r="R469" s="72" t="s">
        <v>78</v>
      </c>
      <c r="V469" s="60" t="str">
        <f t="shared" si="59"/>
        <v>3388BCкрасный</v>
      </c>
      <c r="W469" s="60" t="str">
        <f t="shared" si="56"/>
        <v>3388BC</v>
      </c>
      <c r="X469" s="60" t="str">
        <f t="shared" si="60"/>
        <v>Modelaine Beret</v>
      </c>
      <c r="AC469" s="51">
        <f t="shared" si="61"/>
        <v>3</v>
      </c>
      <c r="AD469" s="44">
        <f t="shared" si="62"/>
        <v>6</v>
      </c>
      <c r="AE469" s="51">
        <f t="shared" si="63"/>
        <v>3006</v>
      </c>
    </row>
    <row r="470" spans="1:31">
      <c r="A470" s="60" t="str">
        <f t="shared" si="57"/>
        <v>K0710STblack</v>
      </c>
      <c r="B470" s="60" t="str">
        <f t="shared" si="58"/>
        <v>03-007-09</v>
      </c>
      <c r="C470" s="72" t="s">
        <v>1873</v>
      </c>
      <c r="D470" s="72" t="s">
        <v>1874</v>
      </c>
      <c r="E470" s="72" t="s">
        <v>969</v>
      </c>
      <c r="F470" s="73">
        <v>57</v>
      </c>
      <c r="G470" s="73" t="s">
        <v>1875</v>
      </c>
      <c r="H470" s="72" t="s">
        <v>53</v>
      </c>
      <c r="I470" s="72" t="s">
        <v>1444</v>
      </c>
      <c r="J470" s="72" t="s">
        <v>362</v>
      </c>
      <c r="K470" s="72" t="s">
        <v>382</v>
      </c>
      <c r="L470" s="72" t="s">
        <v>972</v>
      </c>
      <c r="M470" s="72" t="s">
        <v>389</v>
      </c>
      <c r="N470" s="72" t="s">
        <v>44</v>
      </c>
      <c r="O470" s="72" t="s">
        <v>386</v>
      </c>
      <c r="P470" s="72" t="s">
        <v>973</v>
      </c>
      <c r="Q470" s="72" t="s">
        <v>1005</v>
      </c>
      <c r="R470" s="72" t="s">
        <v>53</v>
      </c>
      <c r="V470" s="60" t="str">
        <f t="shared" si="59"/>
        <v>K0710STчерный</v>
      </c>
      <c r="W470" s="60" t="str">
        <f t="shared" si="56"/>
        <v>K0710ST</v>
      </c>
      <c r="X470" s="60" t="str">
        <f t="shared" si="60"/>
        <v>Wool Bombin</v>
      </c>
      <c r="AC470" s="51">
        <f t="shared" si="61"/>
        <v>3</v>
      </c>
      <c r="AD470" s="44">
        <f t="shared" si="62"/>
        <v>7</v>
      </c>
      <c r="AE470" s="51">
        <f t="shared" si="63"/>
        <v>3007</v>
      </c>
    </row>
    <row r="471" spans="1:31">
      <c r="A471" s="60" t="str">
        <f t="shared" si="57"/>
        <v>K0710STblack</v>
      </c>
      <c r="B471" s="60" t="str">
        <f t="shared" si="58"/>
        <v>03-007-09</v>
      </c>
      <c r="C471" s="72" t="s">
        <v>1876</v>
      </c>
      <c r="D471" s="72" t="s">
        <v>1874</v>
      </c>
      <c r="E471" s="72" t="s">
        <v>976</v>
      </c>
      <c r="F471" s="73">
        <v>59</v>
      </c>
      <c r="G471" s="73" t="s">
        <v>1875</v>
      </c>
      <c r="H471" s="72" t="s">
        <v>53</v>
      </c>
      <c r="I471" s="72" t="s">
        <v>1444</v>
      </c>
      <c r="J471" s="72" t="s">
        <v>362</v>
      </c>
      <c r="K471" s="72" t="s">
        <v>382</v>
      </c>
      <c r="L471" s="72" t="s">
        <v>972</v>
      </c>
      <c r="M471" s="72" t="s">
        <v>389</v>
      </c>
      <c r="N471" s="72" t="s">
        <v>44</v>
      </c>
      <c r="O471" s="72" t="s">
        <v>386</v>
      </c>
      <c r="P471" s="72" t="s">
        <v>973</v>
      </c>
      <c r="Q471" s="72" t="s">
        <v>1005</v>
      </c>
      <c r="R471" s="72" t="s">
        <v>53</v>
      </c>
      <c r="V471" s="60" t="str">
        <f t="shared" si="59"/>
        <v>K0710STчерный</v>
      </c>
      <c r="W471" s="60" t="str">
        <f t="shared" si="56"/>
        <v>K0710ST</v>
      </c>
      <c r="X471" s="60" t="str">
        <f t="shared" si="60"/>
        <v>Wool Bombin</v>
      </c>
      <c r="AC471" s="51">
        <f t="shared" si="61"/>
        <v>3</v>
      </c>
      <c r="AD471" s="44">
        <f t="shared" si="62"/>
        <v>7</v>
      </c>
      <c r="AE471" s="51">
        <f t="shared" si="63"/>
        <v>3007</v>
      </c>
    </row>
    <row r="472" spans="1:31">
      <c r="A472" s="60" t="str">
        <f t="shared" si="57"/>
        <v>K0875FAblack</v>
      </c>
      <c r="B472" s="60" t="str">
        <f t="shared" si="58"/>
        <v>03-008-09</v>
      </c>
      <c r="C472" s="72" t="s">
        <v>1877</v>
      </c>
      <c r="D472" s="72" t="s">
        <v>1878</v>
      </c>
      <c r="E472" s="72" t="s">
        <v>969</v>
      </c>
      <c r="F472" s="73">
        <v>57</v>
      </c>
      <c r="G472" s="73" t="s">
        <v>1131</v>
      </c>
      <c r="H472" s="72" t="s">
        <v>53</v>
      </c>
      <c r="I472" s="72" t="s">
        <v>1132</v>
      </c>
      <c r="J472" s="72" t="s">
        <v>320</v>
      </c>
      <c r="K472" s="72" t="s">
        <v>382</v>
      </c>
      <c r="L472" s="72" t="s">
        <v>988</v>
      </c>
      <c r="M472" s="72" t="s">
        <v>388</v>
      </c>
      <c r="N472" s="72" t="s">
        <v>44</v>
      </c>
      <c r="O472" s="72" t="s">
        <v>539</v>
      </c>
      <c r="P472" s="72" t="s">
        <v>808</v>
      </c>
      <c r="Q472" s="72" t="s">
        <v>1005</v>
      </c>
      <c r="R472" s="72" t="s">
        <v>53</v>
      </c>
      <c r="V472" s="60" t="str">
        <f t="shared" si="59"/>
        <v>K0875FAчерный</v>
      </c>
      <c r="W472" s="60" t="str">
        <f t="shared" si="56"/>
        <v>K0875FA</v>
      </c>
      <c r="X472" s="60" t="str">
        <f t="shared" si="60"/>
        <v>Seamless Wool 507</v>
      </c>
      <c r="AC472" s="51">
        <f t="shared" si="61"/>
        <v>3</v>
      </c>
      <c r="AD472" s="44">
        <f t="shared" si="62"/>
        <v>8</v>
      </c>
      <c r="AE472" s="51">
        <f t="shared" si="63"/>
        <v>3008</v>
      </c>
    </row>
    <row r="473" spans="1:31">
      <c r="A473" s="60" t="str">
        <f t="shared" si="57"/>
        <v>K0875FAblack</v>
      </c>
      <c r="B473" s="60" t="str">
        <f t="shared" si="58"/>
        <v>03-008-09</v>
      </c>
      <c r="C473" s="72" t="s">
        <v>1879</v>
      </c>
      <c r="D473" s="72" t="s">
        <v>1878</v>
      </c>
      <c r="E473" s="72" t="s">
        <v>1032</v>
      </c>
      <c r="F473" s="73">
        <v>55</v>
      </c>
      <c r="G473" s="73" t="s">
        <v>1131</v>
      </c>
      <c r="H473" s="72" t="s">
        <v>53</v>
      </c>
      <c r="I473" s="72" t="s">
        <v>1132</v>
      </c>
      <c r="J473" s="72" t="s">
        <v>320</v>
      </c>
      <c r="K473" s="72" t="s">
        <v>382</v>
      </c>
      <c r="L473" s="72" t="s">
        <v>988</v>
      </c>
      <c r="M473" s="72" t="s">
        <v>388</v>
      </c>
      <c r="N473" s="72" t="s">
        <v>44</v>
      </c>
      <c r="O473" s="72" t="s">
        <v>539</v>
      </c>
      <c r="P473" s="72" t="s">
        <v>808</v>
      </c>
      <c r="Q473" s="72" t="s">
        <v>1005</v>
      </c>
      <c r="R473" s="72" t="s">
        <v>53</v>
      </c>
      <c r="V473" s="60" t="str">
        <f t="shared" si="59"/>
        <v>K0875FAчерный</v>
      </c>
      <c r="W473" s="60" t="str">
        <f t="shared" si="56"/>
        <v>K0875FA</v>
      </c>
      <c r="X473" s="60" t="str">
        <f t="shared" si="60"/>
        <v>Seamless Wool 507</v>
      </c>
      <c r="AC473" s="51">
        <f t="shared" si="61"/>
        <v>3</v>
      </c>
      <c r="AD473" s="44">
        <f t="shared" si="62"/>
        <v>8</v>
      </c>
      <c r="AE473" s="51">
        <f t="shared" si="63"/>
        <v>3008</v>
      </c>
    </row>
    <row r="474" spans="1:31">
      <c r="A474" s="60" t="str">
        <f t="shared" si="57"/>
        <v>K0875FAblack</v>
      </c>
      <c r="B474" s="60" t="str">
        <f t="shared" si="58"/>
        <v>03-008-09</v>
      </c>
      <c r="C474" s="72" t="s">
        <v>1880</v>
      </c>
      <c r="D474" s="72" t="s">
        <v>1878</v>
      </c>
      <c r="E474" s="72" t="s">
        <v>976</v>
      </c>
      <c r="F474" s="73">
        <v>59</v>
      </c>
      <c r="G474" s="73" t="s">
        <v>1131</v>
      </c>
      <c r="H474" s="72" t="s">
        <v>53</v>
      </c>
      <c r="I474" s="72" t="s">
        <v>1132</v>
      </c>
      <c r="J474" s="72" t="s">
        <v>320</v>
      </c>
      <c r="K474" s="72" t="s">
        <v>382</v>
      </c>
      <c r="L474" s="72" t="s">
        <v>988</v>
      </c>
      <c r="M474" s="72" t="s">
        <v>388</v>
      </c>
      <c r="N474" s="72" t="s">
        <v>44</v>
      </c>
      <c r="O474" s="72" t="s">
        <v>539</v>
      </c>
      <c r="P474" s="72" t="s">
        <v>808</v>
      </c>
      <c r="Q474" s="72" t="s">
        <v>1005</v>
      </c>
      <c r="R474" s="72" t="s">
        <v>53</v>
      </c>
      <c r="V474" s="60" t="str">
        <f t="shared" si="59"/>
        <v>K0875FAчерный</v>
      </c>
      <c r="W474" s="60" t="str">
        <f t="shared" si="56"/>
        <v>K0875FA</v>
      </c>
      <c r="X474" s="60" t="str">
        <f t="shared" si="60"/>
        <v>Seamless Wool 507</v>
      </c>
      <c r="AC474" s="51">
        <f t="shared" si="61"/>
        <v>3</v>
      </c>
      <c r="AD474" s="44">
        <f t="shared" si="62"/>
        <v>8</v>
      </c>
      <c r="AE474" s="51">
        <f t="shared" si="63"/>
        <v>3008</v>
      </c>
    </row>
    <row r="475" spans="1:31">
      <c r="A475" s="60" t="str">
        <f t="shared" si="57"/>
        <v>K0875FAblack</v>
      </c>
      <c r="B475" s="60" t="str">
        <f t="shared" si="58"/>
        <v>03-008-09</v>
      </c>
      <c r="C475" s="72" t="s">
        <v>1881</v>
      </c>
      <c r="D475" s="72" t="s">
        <v>1878</v>
      </c>
      <c r="E475" s="72" t="s">
        <v>1030</v>
      </c>
      <c r="F475" s="73">
        <v>61</v>
      </c>
      <c r="G475" s="73" t="s">
        <v>1131</v>
      </c>
      <c r="H475" s="72" t="s">
        <v>53</v>
      </c>
      <c r="I475" s="72" t="s">
        <v>1132</v>
      </c>
      <c r="J475" s="72" t="s">
        <v>320</v>
      </c>
      <c r="K475" s="72" t="s">
        <v>382</v>
      </c>
      <c r="L475" s="72" t="s">
        <v>988</v>
      </c>
      <c r="M475" s="72" t="s">
        <v>388</v>
      </c>
      <c r="N475" s="72" t="s">
        <v>44</v>
      </c>
      <c r="O475" s="72" t="s">
        <v>539</v>
      </c>
      <c r="P475" s="72" t="s">
        <v>808</v>
      </c>
      <c r="Q475" s="72" t="s">
        <v>1005</v>
      </c>
      <c r="R475" s="72" t="s">
        <v>53</v>
      </c>
      <c r="V475" s="60" t="str">
        <f t="shared" si="59"/>
        <v>K0875FAчерный</v>
      </c>
      <c r="W475" s="60" t="str">
        <f t="shared" si="56"/>
        <v>K0875FA</v>
      </c>
      <c r="X475" s="60" t="str">
        <f t="shared" si="60"/>
        <v>Seamless Wool 507</v>
      </c>
      <c r="AC475" s="51">
        <f t="shared" si="61"/>
        <v>3</v>
      </c>
      <c r="AD475" s="44">
        <f t="shared" si="62"/>
        <v>8</v>
      </c>
      <c r="AE475" s="51">
        <f t="shared" si="63"/>
        <v>3008</v>
      </c>
    </row>
    <row r="476" spans="1:31">
      <c r="A476" s="60" t="str">
        <f t="shared" si="57"/>
        <v>K0875FAblack/gold</v>
      </c>
      <c r="B476" s="60" t="str">
        <f t="shared" si="58"/>
        <v>03-008-20</v>
      </c>
      <c r="C476" s="72" t="s">
        <v>1882</v>
      </c>
      <c r="D476" s="72" t="s">
        <v>1883</v>
      </c>
      <c r="E476" s="72" t="s">
        <v>1032</v>
      </c>
      <c r="F476" s="73">
        <v>55</v>
      </c>
      <c r="G476" s="73" t="s">
        <v>1131</v>
      </c>
      <c r="H476" s="72" t="s">
        <v>300</v>
      </c>
      <c r="I476" s="72" t="s">
        <v>1132</v>
      </c>
      <c r="J476" s="72" t="s">
        <v>320</v>
      </c>
      <c r="K476" s="72" t="s">
        <v>382</v>
      </c>
      <c r="L476" s="72" t="s">
        <v>988</v>
      </c>
      <c r="M476" s="72" t="s">
        <v>388</v>
      </c>
      <c r="N476" s="72" t="s">
        <v>44</v>
      </c>
      <c r="O476" s="72" t="s">
        <v>539</v>
      </c>
      <c r="P476" s="72" t="s">
        <v>973</v>
      </c>
      <c r="Q476" s="72" t="s">
        <v>1884</v>
      </c>
      <c r="R476" s="72" t="s">
        <v>53</v>
      </c>
      <c r="V476" s="60" t="str">
        <f t="shared" si="59"/>
        <v>K0875FAчерный / золотой</v>
      </c>
      <c r="W476" s="60" t="str">
        <f t="shared" si="56"/>
        <v>K0875FA</v>
      </c>
      <c r="X476" s="60" t="str">
        <f t="shared" si="60"/>
        <v>Seamless Wool 507</v>
      </c>
      <c r="AC476" s="51">
        <f t="shared" si="61"/>
        <v>3</v>
      </c>
      <c r="AD476" s="44">
        <f t="shared" si="62"/>
        <v>8</v>
      </c>
      <c r="AE476" s="51">
        <f t="shared" si="63"/>
        <v>3008</v>
      </c>
    </row>
    <row r="477" spans="1:31">
      <c r="A477" s="60" t="str">
        <f t="shared" si="57"/>
        <v>K0875FAblack/gold</v>
      </c>
      <c r="B477" s="60" t="str">
        <f t="shared" si="58"/>
        <v>03-008-20</v>
      </c>
      <c r="C477" s="72" t="s">
        <v>1885</v>
      </c>
      <c r="D477" s="72" t="s">
        <v>1883</v>
      </c>
      <c r="E477" s="72" t="s">
        <v>969</v>
      </c>
      <c r="F477" s="73">
        <v>57</v>
      </c>
      <c r="G477" s="73" t="s">
        <v>1131</v>
      </c>
      <c r="H477" s="72" t="s">
        <v>300</v>
      </c>
      <c r="I477" s="72" t="s">
        <v>1132</v>
      </c>
      <c r="J477" s="72" t="s">
        <v>320</v>
      </c>
      <c r="K477" s="72" t="s">
        <v>382</v>
      </c>
      <c r="L477" s="72" t="s">
        <v>988</v>
      </c>
      <c r="M477" s="72" t="s">
        <v>388</v>
      </c>
      <c r="N477" s="72" t="s">
        <v>44</v>
      </c>
      <c r="O477" s="72" t="s">
        <v>539</v>
      </c>
      <c r="P477" s="72" t="s">
        <v>973</v>
      </c>
      <c r="Q477" s="72" t="s">
        <v>1884</v>
      </c>
      <c r="R477" s="72" t="s">
        <v>53</v>
      </c>
      <c r="V477" s="60" t="str">
        <f t="shared" si="59"/>
        <v>K0875FAчерный / золотой</v>
      </c>
      <c r="W477" s="60" t="str">
        <f t="shared" si="56"/>
        <v>K0875FA</v>
      </c>
      <c r="X477" s="60" t="str">
        <f t="shared" si="60"/>
        <v>Seamless Wool 507</v>
      </c>
      <c r="AC477" s="51">
        <f t="shared" si="61"/>
        <v>3</v>
      </c>
      <c r="AD477" s="44">
        <f t="shared" si="62"/>
        <v>8</v>
      </c>
      <c r="AE477" s="51">
        <f t="shared" si="63"/>
        <v>3008</v>
      </c>
    </row>
    <row r="478" spans="1:31">
      <c r="A478" s="60" t="str">
        <f t="shared" si="57"/>
        <v>K0875FAblack/gold</v>
      </c>
      <c r="B478" s="60" t="str">
        <f t="shared" si="58"/>
        <v>03-008-20</v>
      </c>
      <c r="C478" s="72" t="s">
        <v>1886</v>
      </c>
      <c r="D478" s="72" t="s">
        <v>1883</v>
      </c>
      <c r="E478" s="72" t="s">
        <v>976</v>
      </c>
      <c r="F478" s="73">
        <v>59</v>
      </c>
      <c r="G478" s="73" t="s">
        <v>1131</v>
      </c>
      <c r="H478" s="72" t="s">
        <v>300</v>
      </c>
      <c r="I478" s="72" t="s">
        <v>1132</v>
      </c>
      <c r="J478" s="72" t="s">
        <v>320</v>
      </c>
      <c r="K478" s="72" t="s">
        <v>382</v>
      </c>
      <c r="L478" s="72" t="s">
        <v>988</v>
      </c>
      <c r="M478" s="72" t="s">
        <v>388</v>
      </c>
      <c r="N478" s="72" t="s">
        <v>44</v>
      </c>
      <c r="O478" s="72" t="s">
        <v>539</v>
      </c>
      <c r="P478" s="72" t="s">
        <v>973</v>
      </c>
      <c r="Q478" s="72" t="s">
        <v>1884</v>
      </c>
      <c r="R478" s="72" t="s">
        <v>53</v>
      </c>
      <c r="V478" s="60" t="str">
        <f t="shared" si="59"/>
        <v>K0875FAчерный / золотой</v>
      </c>
      <c r="W478" s="60" t="str">
        <f t="shared" si="56"/>
        <v>K0875FA</v>
      </c>
      <c r="X478" s="60" t="str">
        <f t="shared" si="60"/>
        <v>Seamless Wool 507</v>
      </c>
      <c r="AC478" s="51">
        <f t="shared" si="61"/>
        <v>3</v>
      </c>
      <c r="AD478" s="44">
        <f t="shared" si="62"/>
        <v>8</v>
      </c>
      <c r="AE478" s="51">
        <f t="shared" si="63"/>
        <v>3008</v>
      </c>
    </row>
    <row r="479" spans="1:31">
      <c r="A479" s="60" t="str">
        <f t="shared" si="57"/>
        <v>K0875FAblack/gold</v>
      </c>
      <c r="B479" s="60" t="str">
        <f t="shared" si="58"/>
        <v>03-008-20</v>
      </c>
      <c r="C479" s="72" t="s">
        <v>1887</v>
      </c>
      <c r="D479" s="72" t="s">
        <v>1883</v>
      </c>
      <c r="E479" s="72" t="s">
        <v>1030</v>
      </c>
      <c r="F479" s="73">
        <v>61</v>
      </c>
      <c r="G479" s="73" t="s">
        <v>1131</v>
      </c>
      <c r="H479" s="72" t="s">
        <v>300</v>
      </c>
      <c r="I479" s="72" t="s">
        <v>1132</v>
      </c>
      <c r="J479" s="72" t="s">
        <v>320</v>
      </c>
      <c r="K479" s="72" t="s">
        <v>382</v>
      </c>
      <c r="L479" s="72" t="s">
        <v>988</v>
      </c>
      <c r="M479" s="72" t="s">
        <v>388</v>
      </c>
      <c r="N479" s="72" t="s">
        <v>44</v>
      </c>
      <c r="O479" s="72" t="s">
        <v>539</v>
      </c>
      <c r="P479" s="72" t="s">
        <v>973</v>
      </c>
      <c r="Q479" s="72" t="s">
        <v>1884</v>
      </c>
      <c r="R479" s="72" t="s">
        <v>53</v>
      </c>
      <c r="V479" s="60" t="str">
        <f t="shared" si="59"/>
        <v>K0875FAчерный / золотой</v>
      </c>
      <c r="W479" s="60" t="str">
        <f t="shared" si="56"/>
        <v>K0875FA</v>
      </c>
      <c r="X479" s="60" t="str">
        <f t="shared" si="60"/>
        <v>Seamless Wool 507</v>
      </c>
      <c r="AC479" s="51">
        <f t="shared" si="61"/>
        <v>3</v>
      </c>
      <c r="AD479" s="44">
        <f t="shared" si="62"/>
        <v>8</v>
      </c>
      <c r="AE479" s="51">
        <f t="shared" si="63"/>
        <v>3008</v>
      </c>
    </row>
    <row r="480" spans="1:31">
      <c r="A480" s="60" t="str">
        <f t="shared" si="57"/>
        <v>K0875FAdk.blue</v>
      </c>
      <c r="B480" s="60" t="str">
        <f t="shared" si="58"/>
        <v>03-008-16</v>
      </c>
      <c r="C480" s="72" t="s">
        <v>1888</v>
      </c>
      <c r="D480" s="72" t="s">
        <v>1889</v>
      </c>
      <c r="E480" s="72" t="s">
        <v>1032</v>
      </c>
      <c r="F480" s="73">
        <v>55</v>
      </c>
      <c r="G480" s="73" t="s">
        <v>1131</v>
      </c>
      <c r="H480" s="72" t="s">
        <v>55</v>
      </c>
      <c r="I480" s="72" t="s">
        <v>1132</v>
      </c>
      <c r="J480" s="72" t="s">
        <v>320</v>
      </c>
      <c r="K480" s="72" t="s">
        <v>382</v>
      </c>
      <c r="L480" s="72" t="s">
        <v>988</v>
      </c>
      <c r="M480" s="72" t="s">
        <v>388</v>
      </c>
      <c r="N480" s="72" t="s">
        <v>44</v>
      </c>
      <c r="O480" s="72" t="s">
        <v>539</v>
      </c>
      <c r="P480" s="72" t="s">
        <v>973</v>
      </c>
      <c r="Q480" s="72" t="s">
        <v>1848</v>
      </c>
      <c r="R480" s="72" t="s">
        <v>71</v>
      </c>
      <c r="V480" s="60" t="str">
        <f t="shared" si="59"/>
        <v>K0875FAтемно-синий</v>
      </c>
      <c r="W480" s="60" t="str">
        <f t="shared" si="56"/>
        <v>K0875FA</v>
      </c>
      <c r="X480" s="60" t="str">
        <f t="shared" si="60"/>
        <v>Seamless Wool 507</v>
      </c>
      <c r="AC480" s="51">
        <f t="shared" si="61"/>
        <v>3</v>
      </c>
      <c r="AD480" s="44">
        <f t="shared" si="62"/>
        <v>8</v>
      </c>
      <c r="AE480" s="51">
        <f t="shared" si="63"/>
        <v>3008</v>
      </c>
    </row>
    <row r="481" spans="1:31">
      <c r="A481" s="60" t="str">
        <f t="shared" si="57"/>
        <v>K0875FAdk.blue</v>
      </c>
      <c r="B481" s="60" t="str">
        <f t="shared" si="58"/>
        <v>03-008-16</v>
      </c>
      <c r="C481" s="72" t="s">
        <v>1890</v>
      </c>
      <c r="D481" s="72" t="s">
        <v>1889</v>
      </c>
      <c r="E481" s="72" t="s">
        <v>1030</v>
      </c>
      <c r="F481" s="73">
        <v>61</v>
      </c>
      <c r="G481" s="73" t="s">
        <v>1131</v>
      </c>
      <c r="H481" s="72" t="s">
        <v>55</v>
      </c>
      <c r="I481" s="72" t="s">
        <v>1132</v>
      </c>
      <c r="J481" s="72" t="s">
        <v>320</v>
      </c>
      <c r="K481" s="72" t="s">
        <v>382</v>
      </c>
      <c r="L481" s="72" t="s">
        <v>988</v>
      </c>
      <c r="M481" s="72" t="s">
        <v>388</v>
      </c>
      <c r="N481" s="72" t="s">
        <v>44</v>
      </c>
      <c r="O481" s="72" t="s">
        <v>539</v>
      </c>
      <c r="P481" s="72" t="s">
        <v>973</v>
      </c>
      <c r="Q481" s="72" t="s">
        <v>1848</v>
      </c>
      <c r="R481" s="72" t="s">
        <v>71</v>
      </c>
      <c r="V481" s="60" t="str">
        <f t="shared" si="59"/>
        <v>K0875FAтемно-синий</v>
      </c>
      <c r="W481" s="60" t="str">
        <f t="shared" si="56"/>
        <v>K0875FA</v>
      </c>
      <c r="X481" s="60" t="str">
        <f t="shared" si="60"/>
        <v>Seamless Wool 507</v>
      </c>
      <c r="AC481" s="51">
        <f t="shared" si="61"/>
        <v>3</v>
      </c>
      <c r="AD481" s="44">
        <f t="shared" si="62"/>
        <v>8</v>
      </c>
      <c r="AE481" s="51">
        <f t="shared" si="63"/>
        <v>3008</v>
      </c>
    </row>
    <row r="482" spans="1:31">
      <c r="A482" s="60" t="str">
        <f t="shared" si="57"/>
        <v>K0875FAdk.blue</v>
      </c>
      <c r="B482" s="60" t="str">
        <f t="shared" si="58"/>
        <v>03-008-16</v>
      </c>
      <c r="C482" s="72" t="s">
        <v>1891</v>
      </c>
      <c r="D482" s="72" t="s">
        <v>1889</v>
      </c>
      <c r="E482" s="72" t="s">
        <v>976</v>
      </c>
      <c r="F482" s="73">
        <v>59</v>
      </c>
      <c r="G482" s="73" t="s">
        <v>1131</v>
      </c>
      <c r="H482" s="72" t="s">
        <v>55</v>
      </c>
      <c r="I482" s="72" t="s">
        <v>1132</v>
      </c>
      <c r="J482" s="72" t="s">
        <v>320</v>
      </c>
      <c r="K482" s="72" t="s">
        <v>382</v>
      </c>
      <c r="L482" s="72" t="s">
        <v>988</v>
      </c>
      <c r="M482" s="72" t="s">
        <v>388</v>
      </c>
      <c r="N482" s="72" t="s">
        <v>44</v>
      </c>
      <c r="O482" s="72" t="s">
        <v>539</v>
      </c>
      <c r="P482" s="72" t="s">
        <v>973</v>
      </c>
      <c r="Q482" s="72" t="s">
        <v>1848</v>
      </c>
      <c r="R482" s="72" t="s">
        <v>71</v>
      </c>
      <c r="V482" s="60" t="str">
        <f t="shared" si="59"/>
        <v>K0875FAтемно-синий</v>
      </c>
      <c r="W482" s="60" t="str">
        <f t="shared" si="56"/>
        <v>K0875FA</v>
      </c>
      <c r="X482" s="60" t="str">
        <f t="shared" si="60"/>
        <v>Seamless Wool 507</v>
      </c>
      <c r="AC482" s="51">
        <f t="shared" si="61"/>
        <v>3</v>
      </c>
      <c r="AD482" s="44">
        <f t="shared" si="62"/>
        <v>8</v>
      </c>
      <c r="AE482" s="51">
        <f t="shared" si="63"/>
        <v>3008</v>
      </c>
    </row>
    <row r="483" spans="1:31">
      <c r="A483" s="60" t="str">
        <f t="shared" si="57"/>
        <v>K0875FAdk.blue</v>
      </c>
      <c r="B483" s="60" t="str">
        <f t="shared" si="58"/>
        <v>03-008-16</v>
      </c>
      <c r="C483" s="72" t="s">
        <v>1892</v>
      </c>
      <c r="D483" s="72" t="s">
        <v>1889</v>
      </c>
      <c r="E483" s="72" t="s">
        <v>969</v>
      </c>
      <c r="F483" s="73">
        <v>57</v>
      </c>
      <c r="G483" s="73" t="s">
        <v>1131</v>
      </c>
      <c r="H483" s="72" t="s">
        <v>55</v>
      </c>
      <c r="I483" s="72" t="s">
        <v>1132</v>
      </c>
      <c r="J483" s="72" t="s">
        <v>320</v>
      </c>
      <c r="K483" s="72" t="s">
        <v>382</v>
      </c>
      <c r="L483" s="72" t="s">
        <v>988</v>
      </c>
      <c r="M483" s="72" t="s">
        <v>388</v>
      </c>
      <c r="N483" s="72" t="s">
        <v>44</v>
      </c>
      <c r="O483" s="72" t="s">
        <v>539</v>
      </c>
      <c r="P483" s="72" t="s">
        <v>973</v>
      </c>
      <c r="Q483" s="72" t="s">
        <v>1848</v>
      </c>
      <c r="R483" s="72" t="s">
        <v>71</v>
      </c>
      <c r="V483" s="60" t="str">
        <f t="shared" si="59"/>
        <v>K0875FAтемно-синий</v>
      </c>
      <c r="W483" s="60" t="str">
        <f t="shared" si="56"/>
        <v>K0875FA</v>
      </c>
      <c r="X483" s="60" t="str">
        <f t="shared" si="60"/>
        <v>Seamless Wool 507</v>
      </c>
      <c r="AC483" s="51">
        <f t="shared" si="61"/>
        <v>3</v>
      </c>
      <c r="AD483" s="44">
        <f t="shared" si="62"/>
        <v>8</v>
      </c>
      <c r="AE483" s="51">
        <f t="shared" si="63"/>
        <v>3008</v>
      </c>
    </row>
    <row r="484" spans="1:31">
      <c r="A484" s="60" t="str">
        <f t="shared" si="57"/>
        <v>K0875FAdk.flannel</v>
      </c>
      <c r="B484" s="60" t="str">
        <f t="shared" si="58"/>
        <v>03-008-05</v>
      </c>
      <c r="C484" s="72" t="s">
        <v>1893</v>
      </c>
      <c r="D484" s="72" t="s">
        <v>1894</v>
      </c>
      <c r="E484" s="72" t="s">
        <v>1032</v>
      </c>
      <c r="F484" s="73">
        <v>55</v>
      </c>
      <c r="G484" s="73" t="s">
        <v>1131</v>
      </c>
      <c r="H484" s="72" t="s">
        <v>277</v>
      </c>
      <c r="I484" s="72" t="s">
        <v>1132</v>
      </c>
      <c r="J484" s="72" t="s">
        <v>320</v>
      </c>
      <c r="K484" s="72" t="s">
        <v>382</v>
      </c>
      <c r="L484" s="72" t="s">
        <v>988</v>
      </c>
      <c r="M484" s="72" t="s">
        <v>388</v>
      </c>
      <c r="N484" s="72" t="s">
        <v>44</v>
      </c>
      <c r="O484" s="72" t="s">
        <v>539</v>
      </c>
      <c r="P484" s="72" t="s">
        <v>973</v>
      </c>
      <c r="Q484" s="72" t="s">
        <v>1148</v>
      </c>
      <c r="R484" s="72" t="s">
        <v>83</v>
      </c>
      <c r="V484" s="60" t="str">
        <f t="shared" si="59"/>
        <v>K0875FAтемно-серый</v>
      </c>
      <c r="W484" s="60" t="str">
        <f t="shared" si="56"/>
        <v>K0875FA</v>
      </c>
      <c r="X484" s="60" t="str">
        <f t="shared" si="60"/>
        <v>Seamless Wool 507</v>
      </c>
      <c r="AC484" s="51">
        <f t="shared" si="61"/>
        <v>3</v>
      </c>
      <c r="AD484" s="44">
        <f t="shared" si="62"/>
        <v>8</v>
      </c>
      <c r="AE484" s="51">
        <f t="shared" si="63"/>
        <v>3008</v>
      </c>
    </row>
    <row r="485" spans="1:31">
      <c r="A485" s="60" t="str">
        <f t="shared" si="57"/>
        <v>K0875FAdk.flannel</v>
      </c>
      <c r="B485" s="60" t="str">
        <f t="shared" si="58"/>
        <v>03-008-05</v>
      </c>
      <c r="C485" s="72" t="s">
        <v>1895</v>
      </c>
      <c r="D485" s="72" t="s">
        <v>1894</v>
      </c>
      <c r="E485" s="72" t="s">
        <v>1030</v>
      </c>
      <c r="F485" s="73">
        <v>61</v>
      </c>
      <c r="G485" s="73" t="s">
        <v>1131</v>
      </c>
      <c r="H485" s="72" t="s">
        <v>277</v>
      </c>
      <c r="I485" s="72" t="s">
        <v>1132</v>
      </c>
      <c r="J485" s="72" t="s">
        <v>320</v>
      </c>
      <c r="K485" s="72" t="s">
        <v>382</v>
      </c>
      <c r="L485" s="72" t="s">
        <v>988</v>
      </c>
      <c r="M485" s="72" t="s">
        <v>388</v>
      </c>
      <c r="N485" s="72" t="s">
        <v>44</v>
      </c>
      <c r="O485" s="72" t="s">
        <v>539</v>
      </c>
      <c r="P485" s="72" t="s">
        <v>973</v>
      </c>
      <c r="Q485" s="72" t="s">
        <v>1148</v>
      </c>
      <c r="R485" s="72" t="s">
        <v>83</v>
      </c>
      <c r="V485" s="60" t="str">
        <f t="shared" si="59"/>
        <v>K0875FAтемно-серый</v>
      </c>
      <c r="W485" s="60" t="str">
        <f t="shared" si="56"/>
        <v>K0875FA</v>
      </c>
      <c r="X485" s="60" t="str">
        <f t="shared" si="60"/>
        <v>Seamless Wool 507</v>
      </c>
      <c r="AC485" s="51">
        <f t="shared" si="61"/>
        <v>3</v>
      </c>
      <c r="AD485" s="44">
        <f t="shared" si="62"/>
        <v>8</v>
      </c>
      <c r="AE485" s="51">
        <f t="shared" si="63"/>
        <v>3008</v>
      </c>
    </row>
    <row r="486" spans="1:31">
      <c r="A486" s="60" t="str">
        <f t="shared" si="57"/>
        <v>K0875FAdk.flannel</v>
      </c>
      <c r="B486" s="60" t="str">
        <f t="shared" si="58"/>
        <v>03-008-05</v>
      </c>
      <c r="C486" s="72" t="s">
        <v>1896</v>
      </c>
      <c r="D486" s="72" t="s">
        <v>1894</v>
      </c>
      <c r="E486" s="72" t="s">
        <v>976</v>
      </c>
      <c r="F486" s="73">
        <v>59</v>
      </c>
      <c r="G486" s="73" t="s">
        <v>1131</v>
      </c>
      <c r="H486" s="72" t="s">
        <v>277</v>
      </c>
      <c r="I486" s="72" t="s">
        <v>1132</v>
      </c>
      <c r="J486" s="72" t="s">
        <v>320</v>
      </c>
      <c r="K486" s="72" t="s">
        <v>382</v>
      </c>
      <c r="L486" s="72" t="s">
        <v>988</v>
      </c>
      <c r="M486" s="72" t="s">
        <v>388</v>
      </c>
      <c r="N486" s="72" t="s">
        <v>44</v>
      </c>
      <c r="O486" s="72" t="s">
        <v>539</v>
      </c>
      <c r="P486" s="72" t="s">
        <v>973</v>
      </c>
      <c r="Q486" s="72" t="s">
        <v>1148</v>
      </c>
      <c r="R486" s="72" t="s">
        <v>83</v>
      </c>
      <c r="V486" s="60" t="str">
        <f t="shared" si="59"/>
        <v>K0875FAтемно-серый</v>
      </c>
      <c r="W486" s="60" t="str">
        <f t="shared" si="56"/>
        <v>K0875FA</v>
      </c>
      <c r="X486" s="60" t="str">
        <f t="shared" si="60"/>
        <v>Seamless Wool 507</v>
      </c>
      <c r="AC486" s="51">
        <f t="shared" si="61"/>
        <v>3</v>
      </c>
      <c r="AD486" s="44">
        <f t="shared" si="62"/>
        <v>8</v>
      </c>
      <c r="AE486" s="51">
        <f t="shared" si="63"/>
        <v>3008</v>
      </c>
    </row>
    <row r="487" spans="1:31">
      <c r="A487" s="60" t="str">
        <f t="shared" si="57"/>
        <v>K0875FAdk.flannel</v>
      </c>
      <c r="B487" s="60" t="str">
        <f t="shared" si="58"/>
        <v>03-008-05</v>
      </c>
      <c r="C487" s="72" t="s">
        <v>1897</v>
      </c>
      <c r="D487" s="72" t="s">
        <v>1894</v>
      </c>
      <c r="E487" s="72" t="s">
        <v>969</v>
      </c>
      <c r="F487" s="73">
        <v>57</v>
      </c>
      <c r="G487" s="73" t="s">
        <v>1131</v>
      </c>
      <c r="H487" s="72" t="s">
        <v>277</v>
      </c>
      <c r="I487" s="72" t="s">
        <v>1132</v>
      </c>
      <c r="J487" s="72" t="s">
        <v>320</v>
      </c>
      <c r="K487" s="72" t="s">
        <v>382</v>
      </c>
      <c r="L487" s="72" t="s">
        <v>988</v>
      </c>
      <c r="M487" s="72" t="s">
        <v>388</v>
      </c>
      <c r="N487" s="72" t="s">
        <v>44</v>
      </c>
      <c r="O487" s="72" t="s">
        <v>539</v>
      </c>
      <c r="P487" s="72" t="s">
        <v>973</v>
      </c>
      <c r="Q487" s="72" t="s">
        <v>1148</v>
      </c>
      <c r="R487" s="72" t="s">
        <v>83</v>
      </c>
      <c r="V487" s="60" t="str">
        <f t="shared" si="59"/>
        <v>K0875FAтемно-серый</v>
      </c>
      <c r="W487" s="60" t="str">
        <f t="shared" si="56"/>
        <v>K0875FA</v>
      </c>
      <c r="X487" s="60" t="str">
        <f t="shared" si="60"/>
        <v>Seamless Wool 507</v>
      </c>
      <c r="AC487" s="51">
        <f t="shared" si="61"/>
        <v>3</v>
      </c>
      <c r="AD487" s="44">
        <f t="shared" si="62"/>
        <v>8</v>
      </c>
      <c r="AE487" s="51">
        <f t="shared" si="63"/>
        <v>3008</v>
      </c>
    </row>
    <row r="488" spans="1:31">
      <c r="A488" s="60" t="str">
        <f t="shared" si="57"/>
        <v>K1221COblack</v>
      </c>
      <c r="B488" s="60" t="str">
        <f t="shared" si="58"/>
        <v>03-009-09</v>
      </c>
      <c r="C488" s="72" t="s">
        <v>1898</v>
      </c>
      <c r="D488" s="72" t="s">
        <v>1899</v>
      </c>
      <c r="E488" s="72" t="s">
        <v>976</v>
      </c>
      <c r="F488" s="73">
        <v>59</v>
      </c>
      <c r="G488" s="73" t="s">
        <v>1900</v>
      </c>
      <c r="H488" s="72" t="s">
        <v>53</v>
      </c>
      <c r="I488" s="72" t="s">
        <v>1843</v>
      </c>
      <c r="J488" s="72" t="s">
        <v>320</v>
      </c>
      <c r="K488" s="72" t="s">
        <v>382</v>
      </c>
      <c r="L488" s="72" t="s">
        <v>988</v>
      </c>
      <c r="M488" s="72" t="s">
        <v>388</v>
      </c>
      <c r="N488" s="72" t="s">
        <v>44</v>
      </c>
      <c r="O488" s="72" t="s">
        <v>386</v>
      </c>
      <c r="P488" s="72" t="s">
        <v>973</v>
      </c>
      <c r="Q488" s="72" t="s">
        <v>1005</v>
      </c>
      <c r="R488" s="72" t="s">
        <v>53</v>
      </c>
      <c r="V488" s="60" t="str">
        <f t="shared" si="59"/>
        <v>K1221COчерный</v>
      </c>
      <c r="W488" s="60" t="str">
        <f t="shared" si="56"/>
        <v>K1221CO</v>
      </c>
      <c r="X488" s="60" t="str">
        <f t="shared" si="60"/>
        <v>Herringbone 507</v>
      </c>
      <c r="AC488" s="51">
        <f t="shared" si="61"/>
        <v>3</v>
      </c>
      <c r="AD488" s="44">
        <f t="shared" si="62"/>
        <v>9</v>
      </c>
      <c r="AE488" s="51">
        <f t="shared" si="63"/>
        <v>3009</v>
      </c>
    </row>
    <row r="489" spans="1:31">
      <c r="A489" s="60" t="str">
        <f t="shared" si="57"/>
        <v>K1221COblack</v>
      </c>
      <c r="B489" s="60" t="str">
        <f t="shared" si="58"/>
        <v>03-009-09</v>
      </c>
      <c r="C489" s="72" t="s">
        <v>1901</v>
      </c>
      <c r="D489" s="72" t="s">
        <v>1899</v>
      </c>
      <c r="E489" s="72" t="s">
        <v>969</v>
      </c>
      <c r="F489" s="73">
        <v>57</v>
      </c>
      <c r="G489" s="73" t="s">
        <v>1900</v>
      </c>
      <c r="H489" s="72" t="s">
        <v>53</v>
      </c>
      <c r="I489" s="72" t="s">
        <v>1843</v>
      </c>
      <c r="J489" s="72" t="s">
        <v>320</v>
      </c>
      <c r="K489" s="72" t="s">
        <v>382</v>
      </c>
      <c r="L489" s="72" t="s">
        <v>988</v>
      </c>
      <c r="M489" s="72" t="s">
        <v>388</v>
      </c>
      <c r="N489" s="72" t="s">
        <v>44</v>
      </c>
      <c r="O489" s="72" t="s">
        <v>386</v>
      </c>
      <c r="P489" s="72" t="s">
        <v>973</v>
      </c>
      <c r="Q489" s="72" t="s">
        <v>1005</v>
      </c>
      <c r="R489" s="72" t="s">
        <v>53</v>
      </c>
      <c r="V489" s="60" t="str">
        <f t="shared" si="59"/>
        <v>K1221COчерный</v>
      </c>
      <c r="W489" s="60" t="str">
        <f t="shared" si="56"/>
        <v>K1221CO</v>
      </c>
      <c r="X489" s="60" t="str">
        <f t="shared" si="60"/>
        <v>Herringbone 507</v>
      </c>
      <c r="AC489" s="51">
        <f t="shared" si="61"/>
        <v>3</v>
      </c>
      <c r="AD489" s="44">
        <f t="shared" si="62"/>
        <v>9</v>
      </c>
      <c r="AE489" s="51">
        <f t="shared" si="63"/>
        <v>3009</v>
      </c>
    </row>
    <row r="490" spans="1:31">
      <c r="A490" s="60" t="str">
        <f t="shared" si="57"/>
        <v>K1221COblack</v>
      </c>
      <c r="B490" s="60" t="str">
        <f t="shared" si="58"/>
        <v>03-009-09</v>
      </c>
      <c r="C490" s="72" t="s">
        <v>1902</v>
      </c>
      <c r="D490" s="72" t="s">
        <v>1899</v>
      </c>
      <c r="E490" s="72" t="s">
        <v>1030</v>
      </c>
      <c r="F490" s="73">
        <v>61</v>
      </c>
      <c r="G490" s="73" t="s">
        <v>1900</v>
      </c>
      <c r="H490" s="72" t="s">
        <v>53</v>
      </c>
      <c r="I490" s="72" t="s">
        <v>1843</v>
      </c>
      <c r="J490" s="72" t="s">
        <v>320</v>
      </c>
      <c r="K490" s="72" t="s">
        <v>382</v>
      </c>
      <c r="L490" s="72" t="s">
        <v>988</v>
      </c>
      <c r="M490" s="72" t="s">
        <v>388</v>
      </c>
      <c r="N490" s="72" t="s">
        <v>44</v>
      </c>
      <c r="O490" s="72" t="s">
        <v>386</v>
      </c>
      <c r="P490" s="72" t="s">
        <v>973</v>
      </c>
      <c r="Q490" s="72" t="s">
        <v>1005</v>
      </c>
      <c r="R490" s="72" t="s">
        <v>53</v>
      </c>
      <c r="V490" s="60" t="str">
        <f t="shared" si="59"/>
        <v>K1221COчерный</v>
      </c>
      <c r="W490" s="60" t="str">
        <f t="shared" si="56"/>
        <v>K1221CO</v>
      </c>
      <c r="X490" s="60" t="str">
        <f t="shared" si="60"/>
        <v>Herringbone 507</v>
      </c>
      <c r="AC490" s="51">
        <f t="shared" si="61"/>
        <v>3</v>
      </c>
      <c r="AD490" s="44">
        <f t="shared" si="62"/>
        <v>9</v>
      </c>
      <c r="AE490" s="51">
        <f t="shared" si="63"/>
        <v>3009</v>
      </c>
    </row>
    <row r="491" spans="1:31">
      <c r="A491" s="60" t="str">
        <f t="shared" si="57"/>
        <v>K1221CObrown</v>
      </c>
      <c r="B491" s="60" t="str">
        <f t="shared" si="58"/>
        <v>03-009-14</v>
      </c>
      <c r="C491" s="72" t="s">
        <v>1903</v>
      </c>
      <c r="D491" s="72" t="s">
        <v>1904</v>
      </c>
      <c r="E491" s="72" t="s">
        <v>969</v>
      </c>
      <c r="F491" s="73">
        <v>57</v>
      </c>
      <c r="G491" s="73" t="s">
        <v>1900</v>
      </c>
      <c r="H491" s="72" t="s">
        <v>86</v>
      </c>
      <c r="I491" s="72" t="s">
        <v>1843</v>
      </c>
      <c r="J491" s="72" t="s">
        <v>320</v>
      </c>
      <c r="K491" s="72" t="s">
        <v>382</v>
      </c>
      <c r="L491" s="72" t="s">
        <v>988</v>
      </c>
      <c r="M491" s="72" t="s">
        <v>388</v>
      </c>
      <c r="O491" s="72" t="s">
        <v>386</v>
      </c>
      <c r="P491" s="72" t="s">
        <v>973</v>
      </c>
      <c r="Q491" s="72" t="s">
        <v>998</v>
      </c>
      <c r="R491" s="72" t="s">
        <v>86</v>
      </c>
      <c r="V491" s="60" t="str">
        <f t="shared" si="59"/>
        <v>K1221COкоричневый</v>
      </c>
      <c r="W491" s="60" t="str">
        <f t="shared" si="56"/>
        <v>K1221CO</v>
      </c>
      <c r="X491" s="60" t="str">
        <f t="shared" si="60"/>
        <v>Herringbone 507</v>
      </c>
      <c r="AC491" s="51">
        <f t="shared" si="61"/>
        <v>3</v>
      </c>
      <c r="AD491" s="44">
        <f t="shared" si="62"/>
        <v>9</v>
      </c>
      <c r="AE491" s="51">
        <f t="shared" si="63"/>
        <v>3009</v>
      </c>
    </row>
    <row r="492" spans="1:31">
      <c r="A492" s="60" t="str">
        <f t="shared" si="57"/>
        <v>K1221CObrown</v>
      </c>
      <c r="B492" s="60" t="str">
        <f t="shared" si="58"/>
        <v>03-009-14</v>
      </c>
      <c r="C492" s="72" t="s">
        <v>1905</v>
      </c>
      <c r="D492" s="72" t="s">
        <v>1904</v>
      </c>
      <c r="E492" s="72" t="s">
        <v>976</v>
      </c>
      <c r="F492" s="73">
        <v>59</v>
      </c>
      <c r="G492" s="73" t="s">
        <v>1900</v>
      </c>
      <c r="H492" s="72" t="s">
        <v>86</v>
      </c>
      <c r="I492" s="72" t="s">
        <v>1843</v>
      </c>
      <c r="J492" s="72" t="s">
        <v>320</v>
      </c>
      <c r="K492" s="72" t="s">
        <v>382</v>
      </c>
      <c r="L492" s="72" t="s">
        <v>988</v>
      </c>
      <c r="M492" s="72" t="s">
        <v>388</v>
      </c>
      <c r="O492" s="72" t="s">
        <v>386</v>
      </c>
      <c r="P492" s="72" t="s">
        <v>973</v>
      </c>
      <c r="Q492" s="72" t="s">
        <v>998</v>
      </c>
      <c r="R492" s="72" t="s">
        <v>86</v>
      </c>
      <c r="V492" s="60" t="str">
        <f t="shared" si="59"/>
        <v>K1221COкоричневый</v>
      </c>
      <c r="W492" s="60" t="str">
        <f t="shared" si="56"/>
        <v>K1221CO</v>
      </c>
      <c r="X492" s="60" t="str">
        <f t="shared" si="60"/>
        <v>Herringbone 507</v>
      </c>
      <c r="AC492" s="51">
        <f t="shared" si="61"/>
        <v>3</v>
      </c>
      <c r="AD492" s="44">
        <f t="shared" si="62"/>
        <v>9</v>
      </c>
      <c r="AE492" s="51">
        <f t="shared" si="63"/>
        <v>3009</v>
      </c>
    </row>
    <row r="493" spans="1:31">
      <c r="A493" s="60" t="str">
        <f t="shared" si="57"/>
        <v>K1221CObrown</v>
      </c>
      <c r="B493" s="60" t="str">
        <f t="shared" si="58"/>
        <v>03-009-14</v>
      </c>
      <c r="C493" s="72" t="s">
        <v>1906</v>
      </c>
      <c r="D493" s="72" t="s">
        <v>1904</v>
      </c>
      <c r="E493" s="72" t="s">
        <v>1030</v>
      </c>
      <c r="F493" s="73">
        <v>61</v>
      </c>
      <c r="G493" s="73" t="s">
        <v>1900</v>
      </c>
      <c r="H493" s="72" t="s">
        <v>86</v>
      </c>
      <c r="I493" s="72" t="s">
        <v>1843</v>
      </c>
      <c r="J493" s="72" t="s">
        <v>320</v>
      </c>
      <c r="K493" s="72" t="s">
        <v>382</v>
      </c>
      <c r="L493" s="72" t="s">
        <v>988</v>
      </c>
      <c r="M493" s="72" t="s">
        <v>388</v>
      </c>
      <c r="O493" s="72" t="s">
        <v>386</v>
      </c>
      <c r="P493" s="72" t="s">
        <v>973</v>
      </c>
      <c r="Q493" s="72" t="s">
        <v>998</v>
      </c>
      <c r="R493" s="72" t="s">
        <v>86</v>
      </c>
      <c r="V493" s="60" t="str">
        <f t="shared" si="59"/>
        <v>K1221COкоричневый</v>
      </c>
      <c r="W493" s="60" t="str">
        <f t="shared" si="56"/>
        <v>K1221CO</v>
      </c>
      <c r="X493" s="60" t="str">
        <f t="shared" si="60"/>
        <v>Herringbone 507</v>
      </c>
      <c r="AC493" s="51">
        <f t="shared" si="61"/>
        <v>3</v>
      </c>
      <c r="AD493" s="44">
        <f t="shared" si="62"/>
        <v>9</v>
      </c>
      <c r="AE493" s="51">
        <f t="shared" si="63"/>
        <v>3009</v>
      </c>
    </row>
    <row r="494" spans="1:31">
      <c r="A494" s="60" t="str">
        <f t="shared" si="57"/>
        <v>K1221COdk.blue</v>
      </c>
      <c r="B494" s="60" t="str">
        <f t="shared" si="58"/>
        <v>03-009-16</v>
      </c>
      <c r="C494" s="72" t="s">
        <v>1907</v>
      </c>
      <c r="D494" s="72" t="s">
        <v>1908</v>
      </c>
      <c r="E494" s="72" t="s">
        <v>1030</v>
      </c>
      <c r="F494" s="73">
        <v>61</v>
      </c>
      <c r="G494" s="73" t="s">
        <v>1900</v>
      </c>
      <c r="H494" s="72" t="s">
        <v>55</v>
      </c>
      <c r="I494" s="72" t="s">
        <v>1843</v>
      </c>
      <c r="J494" s="72" t="s">
        <v>320</v>
      </c>
      <c r="K494" s="72" t="s">
        <v>382</v>
      </c>
      <c r="L494" s="72" t="s">
        <v>988</v>
      </c>
      <c r="M494" s="72" t="s">
        <v>388</v>
      </c>
      <c r="N494" s="72" t="s">
        <v>44</v>
      </c>
      <c r="O494" s="72" t="s">
        <v>386</v>
      </c>
      <c r="P494" s="72" t="s">
        <v>973</v>
      </c>
      <c r="Q494" s="72" t="s">
        <v>1848</v>
      </c>
      <c r="R494" s="72" t="s">
        <v>71</v>
      </c>
      <c r="V494" s="60" t="str">
        <f t="shared" si="59"/>
        <v>K1221COтемно-синий</v>
      </c>
      <c r="W494" s="60" t="str">
        <f t="shared" si="56"/>
        <v>K1221CO</v>
      </c>
      <c r="X494" s="60" t="str">
        <f t="shared" si="60"/>
        <v>Herringbone 507</v>
      </c>
      <c r="AC494" s="51">
        <f t="shared" si="61"/>
        <v>3</v>
      </c>
      <c r="AD494" s="44">
        <f t="shared" si="62"/>
        <v>9</v>
      </c>
      <c r="AE494" s="51">
        <f t="shared" si="63"/>
        <v>3009</v>
      </c>
    </row>
    <row r="495" spans="1:31">
      <c r="A495" s="60" t="str">
        <f t="shared" si="57"/>
        <v>K1221COdk.blue</v>
      </c>
      <c r="B495" s="60" t="str">
        <f t="shared" si="58"/>
        <v>03-009-16</v>
      </c>
      <c r="C495" s="72" t="s">
        <v>1909</v>
      </c>
      <c r="D495" s="72" t="s">
        <v>1908</v>
      </c>
      <c r="E495" s="72" t="s">
        <v>976</v>
      </c>
      <c r="F495" s="73">
        <v>59</v>
      </c>
      <c r="G495" s="73" t="s">
        <v>1900</v>
      </c>
      <c r="H495" s="72" t="s">
        <v>55</v>
      </c>
      <c r="I495" s="72" t="s">
        <v>1843</v>
      </c>
      <c r="J495" s="72" t="s">
        <v>320</v>
      </c>
      <c r="K495" s="72" t="s">
        <v>382</v>
      </c>
      <c r="L495" s="72" t="s">
        <v>988</v>
      </c>
      <c r="M495" s="72" t="s">
        <v>388</v>
      </c>
      <c r="N495" s="72" t="s">
        <v>44</v>
      </c>
      <c r="O495" s="72" t="s">
        <v>386</v>
      </c>
      <c r="P495" s="72" t="s">
        <v>973</v>
      </c>
      <c r="Q495" s="72" t="s">
        <v>1848</v>
      </c>
      <c r="R495" s="72" t="s">
        <v>71</v>
      </c>
      <c r="V495" s="60" t="str">
        <f t="shared" si="59"/>
        <v>K1221COтемно-синий</v>
      </c>
      <c r="W495" s="60" t="str">
        <f t="shared" si="56"/>
        <v>K1221CO</v>
      </c>
      <c r="X495" s="60" t="str">
        <f t="shared" si="60"/>
        <v>Herringbone 507</v>
      </c>
      <c r="AC495" s="51">
        <f t="shared" si="61"/>
        <v>3</v>
      </c>
      <c r="AD495" s="44">
        <f t="shared" si="62"/>
        <v>9</v>
      </c>
      <c r="AE495" s="51">
        <f t="shared" si="63"/>
        <v>3009</v>
      </c>
    </row>
    <row r="496" spans="1:31">
      <c r="A496" s="60" t="str">
        <f t="shared" si="57"/>
        <v>K1221COdk.blue</v>
      </c>
      <c r="B496" s="60" t="str">
        <f t="shared" si="58"/>
        <v>03-009-16</v>
      </c>
      <c r="C496" s="72" t="s">
        <v>1910</v>
      </c>
      <c r="D496" s="72" t="s">
        <v>1908</v>
      </c>
      <c r="E496" s="72" t="s">
        <v>969</v>
      </c>
      <c r="F496" s="73">
        <v>57</v>
      </c>
      <c r="G496" s="73" t="s">
        <v>1900</v>
      </c>
      <c r="H496" s="72" t="s">
        <v>55</v>
      </c>
      <c r="I496" s="72" t="s">
        <v>1843</v>
      </c>
      <c r="J496" s="72" t="s">
        <v>320</v>
      </c>
      <c r="K496" s="72" t="s">
        <v>382</v>
      </c>
      <c r="L496" s="72" t="s">
        <v>988</v>
      </c>
      <c r="M496" s="72" t="s">
        <v>388</v>
      </c>
      <c r="N496" s="72" t="s">
        <v>44</v>
      </c>
      <c r="O496" s="72" t="s">
        <v>386</v>
      </c>
      <c r="P496" s="72" t="s">
        <v>973</v>
      </c>
      <c r="Q496" s="72" t="s">
        <v>1848</v>
      </c>
      <c r="R496" s="72" t="s">
        <v>71</v>
      </c>
      <c r="V496" s="60" t="str">
        <f t="shared" si="59"/>
        <v>K1221COтемно-синий</v>
      </c>
      <c r="W496" s="60" t="str">
        <f t="shared" si="56"/>
        <v>K1221CO</v>
      </c>
      <c r="X496" s="60" t="str">
        <f t="shared" si="60"/>
        <v>Herringbone 507</v>
      </c>
      <c r="AC496" s="51">
        <f t="shared" si="61"/>
        <v>3</v>
      </c>
      <c r="AD496" s="44">
        <f t="shared" si="62"/>
        <v>9</v>
      </c>
      <c r="AE496" s="51">
        <f t="shared" si="63"/>
        <v>3009</v>
      </c>
    </row>
    <row r="497" spans="1:31">
      <c r="A497" s="60" t="str">
        <f t="shared" si="57"/>
        <v>K1901STblack</v>
      </c>
      <c r="B497" s="60" t="str">
        <f t="shared" si="58"/>
        <v>03-010-09</v>
      </c>
      <c r="C497" s="72" t="s">
        <v>1911</v>
      </c>
      <c r="D497" s="72" t="s">
        <v>1912</v>
      </c>
      <c r="E497" s="72" t="s">
        <v>909</v>
      </c>
      <c r="F497" s="73">
        <v>0</v>
      </c>
      <c r="G497" s="73" t="s">
        <v>1734</v>
      </c>
      <c r="H497" s="72" t="s">
        <v>53</v>
      </c>
      <c r="I497" s="72" t="s">
        <v>1221</v>
      </c>
      <c r="J497" s="72" t="s">
        <v>340</v>
      </c>
      <c r="K497" s="72" t="s">
        <v>382</v>
      </c>
      <c r="L497" s="72" t="s">
        <v>972</v>
      </c>
      <c r="M497" s="72" t="s">
        <v>389</v>
      </c>
      <c r="O497" s="72" t="s">
        <v>386</v>
      </c>
      <c r="P497" s="72" t="s">
        <v>973</v>
      </c>
      <c r="Q497" s="72" t="s">
        <v>1005</v>
      </c>
      <c r="R497" s="72" t="s">
        <v>53</v>
      </c>
      <c r="V497" s="60" t="str">
        <f t="shared" si="59"/>
        <v>K1901STчерный</v>
      </c>
      <c r="W497" s="60" t="str">
        <f t="shared" si="56"/>
        <v>K1901ST</v>
      </c>
      <c r="X497" s="60" t="str">
        <f t="shared" si="60"/>
        <v>Cuff Beanie</v>
      </c>
      <c r="AC497" s="51">
        <f t="shared" si="61"/>
        <v>3</v>
      </c>
      <c r="AD497" s="44">
        <f t="shared" si="62"/>
        <v>10</v>
      </c>
      <c r="AE497" s="51">
        <f t="shared" si="63"/>
        <v>3010</v>
      </c>
    </row>
    <row r="498" spans="1:31">
      <c r="A498" s="60" t="str">
        <f t="shared" si="57"/>
        <v>K3016STblack</v>
      </c>
      <c r="B498" s="60" t="str">
        <f t="shared" si="58"/>
        <v>03-011-09</v>
      </c>
      <c r="C498" s="72" t="s">
        <v>1913</v>
      </c>
      <c r="D498" s="72" t="s">
        <v>1914</v>
      </c>
      <c r="E498" s="72" t="s">
        <v>1032</v>
      </c>
      <c r="F498" s="73">
        <v>55</v>
      </c>
      <c r="G498" s="73" t="s">
        <v>1675</v>
      </c>
      <c r="H498" s="72" t="s">
        <v>53</v>
      </c>
      <c r="I498" s="72" t="s">
        <v>1676</v>
      </c>
      <c r="J498" s="72" t="s">
        <v>320</v>
      </c>
      <c r="K498" s="72" t="s">
        <v>382</v>
      </c>
      <c r="L498" s="72" t="s">
        <v>972</v>
      </c>
      <c r="M498" s="72" t="s">
        <v>388</v>
      </c>
      <c r="N498" s="72" t="s">
        <v>44</v>
      </c>
      <c r="O498" s="72" t="s">
        <v>386</v>
      </c>
      <c r="P498" s="72" t="s">
        <v>973</v>
      </c>
      <c r="Q498" s="72" t="s">
        <v>1005</v>
      </c>
      <c r="R498" s="72" t="s">
        <v>53</v>
      </c>
      <c r="V498" s="60" t="str">
        <f t="shared" si="59"/>
        <v>K3016STчерный</v>
      </c>
      <c r="W498" s="60" t="str">
        <f t="shared" si="56"/>
        <v>K3016ST</v>
      </c>
      <c r="X498" s="60" t="str">
        <f t="shared" si="60"/>
        <v>Furgora 504</v>
      </c>
      <c r="AC498" s="51">
        <f t="shared" si="61"/>
        <v>3</v>
      </c>
      <c r="AD498" s="44">
        <f t="shared" si="62"/>
        <v>11</v>
      </c>
      <c r="AE498" s="51">
        <f t="shared" si="63"/>
        <v>3011</v>
      </c>
    </row>
    <row r="499" spans="1:31">
      <c r="A499" s="60" t="str">
        <f t="shared" si="57"/>
        <v>K3016STblack</v>
      </c>
      <c r="B499" s="60" t="str">
        <f t="shared" si="58"/>
        <v>03-011-09</v>
      </c>
      <c r="C499" s="72" t="s">
        <v>1915</v>
      </c>
      <c r="D499" s="72" t="s">
        <v>1914</v>
      </c>
      <c r="E499" s="72" t="s">
        <v>976</v>
      </c>
      <c r="F499" s="73">
        <v>59</v>
      </c>
      <c r="G499" s="73" t="s">
        <v>1675</v>
      </c>
      <c r="H499" s="72" t="s">
        <v>53</v>
      </c>
      <c r="I499" s="72" t="s">
        <v>1676</v>
      </c>
      <c r="J499" s="72" t="s">
        <v>320</v>
      </c>
      <c r="K499" s="72" t="s">
        <v>382</v>
      </c>
      <c r="L499" s="72" t="s">
        <v>972</v>
      </c>
      <c r="M499" s="72" t="s">
        <v>388</v>
      </c>
      <c r="N499" s="72" t="s">
        <v>44</v>
      </c>
      <c r="O499" s="72" t="s">
        <v>386</v>
      </c>
      <c r="P499" s="72" t="s">
        <v>973</v>
      </c>
      <c r="Q499" s="72" t="s">
        <v>1005</v>
      </c>
      <c r="R499" s="72" t="s">
        <v>53</v>
      </c>
      <c r="V499" s="60" t="str">
        <f t="shared" si="59"/>
        <v>K3016STчерный</v>
      </c>
      <c r="W499" s="60" t="str">
        <f t="shared" si="56"/>
        <v>K3016ST</v>
      </c>
      <c r="X499" s="60" t="str">
        <f t="shared" si="60"/>
        <v>Furgora 504</v>
      </c>
      <c r="AC499" s="51">
        <f t="shared" si="61"/>
        <v>3</v>
      </c>
      <c r="AD499" s="44">
        <f t="shared" si="62"/>
        <v>11</v>
      </c>
      <c r="AE499" s="51">
        <f t="shared" si="63"/>
        <v>3011</v>
      </c>
    </row>
    <row r="500" spans="1:31">
      <c r="A500" s="60" t="str">
        <f t="shared" si="57"/>
        <v>K3016STblack</v>
      </c>
      <c r="B500" s="60" t="str">
        <f t="shared" si="58"/>
        <v>03-011-09</v>
      </c>
      <c r="C500" s="72" t="s">
        <v>1916</v>
      </c>
      <c r="D500" s="72" t="s">
        <v>1914</v>
      </c>
      <c r="E500" s="72" t="s">
        <v>969</v>
      </c>
      <c r="F500" s="73">
        <v>57</v>
      </c>
      <c r="G500" s="73" t="s">
        <v>1675</v>
      </c>
      <c r="H500" s="72" t="s">
        <v>53</v>
      </c>
      <c r="I500" s="72" t="s">
        <v>1676</v>
      </c>
      <c r="J500" s="72" t="s">
        <v>320</v>
      </c>
      <c r="K500" s="72" t="s">
        <v>382</v>
      </c>
      <c r="L500" s="72" t="s">
        <v>972</v>
      </c>
      <c r="M500" s="72" t="s">
        <v>388</v>
      </c>
      <c r="N500" s="72" t="s">
        <v>44</v>
      </c>
      <c r="O500" s="72" t="s">
        <v>386</v>
      </c>
      <c r="P500" s="72" t="s">
        <v>973</v>
      </c>
      <c r="Q500" s="72" t="s">
        <v>1005</v>
      </c>
      <c r="R500" s="72" t="s">
        <v>53</v>
      </c>
      <c r="V500" s="60" t="str">
        <f t="shared" si="59"/>
        <v>K3016STчерный</v>
      </c>
      <c r="W500" s="60" t="str">
        <f t="shared" si="56"/>
        <v>K3016ST</v>
      </c>
      <c r="X500" s="60" t="str">
        <f t="shared" si="60"/>
        <v>Furgora 504</v>
      </c>
      <c r="AC500" s="51">
        <f t="shared" si="61"/>
        <v>3</v>
      </c>
      <c r="AD500" s="44">
        <f t="shared" si="62"/>
        <v>11</v>
      </c>
      <c r="AE500" s="51">
        <f t="shared" si="63"/>
        <v>3011</v>
      </c>
    </row>
    <row r="501" spans="1:31">
      <c r="A501" s="60" t="str">
        <f t="shared" si="57"/>
        <v>K3016STcream</v>
      </c>
      <c r="B501" s="60" t="str">
        <f t="shared" si="58"/>
        <v>03-011-17</v>
      </c>
      <c r="C501" s="72" t="s">
        <v>1917</v>
      </c>
      <c r="D501" s="72" t="s">
        <v>1918</v>
      </c>
      <c r="E501" s="72" t="s">
        <v>976</v>
      </c>
      <c r="F501" s="73">
        <v>59</v>
      </c>
      <c r="G501" s="73" t="s">
        <v>1675</v>
      </c>
      <c r="H501" s="72" t="s">
        <v>57</v>
      </c>
      <c r="I501" s="72" t="s">
        <v>1676</v>
      </c>
      <c r="J501" s="72" t="s">
        <v>320</v>
      </c>
      <c r="K501" s="72" t="s">
        <v>382</v>
      </c>
      <c r="L501" s="72" t="s">
        <v>972</v>
      </c>
      <c r="M501" s="72" t="s">
        <v>388</v>
      </c>
      <c r="N501" s="72" t="s">
        <v>44</v>
      </c>
      <c r="O501" s="72" t="s">
        <v>386</v>
      </c>
      <c r="P501" s="72" t="s">
        <v>973</v>
      </c>
      <c r="Q501" s="72" t="s">
        <v>1550</v>
      </c>
      <c r="R501" s="72" t="s">
        <v>57</v>
      </c>
      <c r="V501" s="60" t="str">
        <f t="shared" si="59"/>
        <v>K3016STбелый</v>
      </c>
      <c r="W501" s="60" t="str">
        <f t="shared" si="56"/>
        <v>K3016ST</v>
      </c>
      <c r="X501" s="60" t="str">
        <f t="shared" si="60"/>
        <v>Furgora 504</v>
      </c>
      <c r="AC501" s="51">
        <f t="shared" si="61"/>
        <v>3</v>
      </c>
      <c r="AD501" s="44">
        <f t="shared" si="62"/>
        <v>11</v>
      </c>
      <c r="AE501" s="51">
        <f t="shared" si="63"/>
        <v>3011</v>
      </c>
    </row>
    <row r="502" spans="1:31">
      <c r="A502" s="60" t="str">
        <f t="shared" si="57"/>
        <v>K3016STcream</v>
      </c>
      <c r="B502" s="60" t="str">
        <f t="shared" si="58"/>
        <v>03-011-17</v>
      </c>
      <c r="C502" s="72" t="s">
        <v>1919</v>
      </c>
      <c r="D502" s="72" t="s">
        <v>1918</v>
      </c>
      <c r="E502" s="72" t="s">
        <v>969</v>
      </c>
      <c r="F502" s="73">
        <v>57</v>
      </c>
      <c r="G502" s="73" t="s">
        <v>1675</v>
      </c>
      <c r="H502" s="72" t="s">
        <v>57</v>
      </c>
      <c r="I502" s="72" t="s">
        <v>1676</v>
      </c>
      <c r="J502" s="72" t="s">
        <v>320</v>
      </c>
      <c r="K502" s="72" t="s">
        <v>382</v>
      </c>
      <c r="L502" s="72" t="s">
        <v>972</v>
      </c>
      <c r="M502" s="72" t="s">
        <v>388</v>
      </c>
      <c r="N502" s="72" t="s">
        <v>44</v>
      </c>
      <c r="O502" s="72" t="s">
        <v>386</v>
      </c>
      <c r="P502" s="72" t="s">
        <v>973</v>
      </c>
      <c r="Q502" s="72" t="s">
        <v>1550</v>
      </c>
      <c r="R502" s="72" t="s">
        <v>57</v>
      </c>
      <c r="V502" s="60" t="str">
        <f t="shared" si="59"/>
        <v>K3016STбелый</v>
      </c>
      <c r="W502" s="60" t="str">
        <f t="shared" si="56"/>
        <v>K3016ST</v>
      </c>
      <c r="X502" s="60" t="str">
        <f t="shared" si="60"/>
        <v>Furgora 504</v>
      </c>
      <c r="AC502" s="51">
        <f t="shared" si="61"/>
        <v>3</v>
      </c>
      <c r="AD502" s="44">
        <f t="shared" si="62"/>
        <v>11</v>
      </c>
      <c r="AE502" s="51">
        <f t="shared" si="63"/>
        <v>3011</v>
      </c>
    </row>
    <row r="503" spans="1:31">
      <c r="A503" s="60" t="str">
        <f t="shared" si="57"/>
        <v>K3016STcream</v>
      </c>
      <c r="B503" s="60" t="str">
        <f t="shared" si="58"/>
        <v>03-011-17</v>
      </c>
      <c r="C503" s="72" t="s">
        <v>1920</v>
      </c>
      <c r="D503" s="72" t="s">
        <v>1918</v>
      </c>
      <c r="E503" s="72" t="s">
        <v>1032</v>
      </c>
      <c r="F503" s="73">
        <v>55</v>
      </c>
      <c r="G503" s="73" t="s">
        <v>1675</v>
      </c>
      <c r="H503" s="72" t="s">
        <v>57</v>
      </c>
      <c r="I503" s="72" t="s">
        <v>1676</v>
      </c>
      <c r="J503" s="72" t="s">
        <v>320</v>
      </c>
      <c r="K503" s="72" t="s">
        <v>382</v>
      </c>
      <c r="L503" s="72" t="s">
        <v>972</v>
      </c>
      <c r="M503" s="72" t="s">
        <v>388</v>
      </c>
      <c r="N503" s="72" t="s">
        <v>44</v>
      </c>
      <c r="O503" s="72" t="s">
        <v>386</v>
      </c>
      <c r="P503" s="72" t="s">
        <v>973</v>
      </c>
      <c r="Q503" s="72" t="s">
        <v>1550</v>
      </c>
      <c r="R503" s="72" t="s">
        <v>57</v>
      </c>
      <c r="V503" s="60" t="str">
        <f t="shared" si="59"/>
        <v>K3016STбелый</v>
      </c>
      <c r="W503" s="60" t="str">
        <f t="shared" si="56"/>
        <v>K3016ST</v>
      </c>
      <c r="X503" s="60" t="str">
        <f t="shared" si="60"/>
        <v>Furgora 504</v>
      </c>
      <c r="AC503" s="51">
        <f t="shared" si="61"/>
        <v>3</v>
      </c>
      <c r="AD503" s="44">
        <f t="shared" si="62"/>
        <v>11</v>
      </c>
      <c r="AE503" s="51">
        <f t="shared" si="63"/>
        <v>3011</v>
      </c>
    </row>
    <row r="504" spans="1:31">
      <c r="A504" s="60" t="str">
        <f t="shared" si="57"/>
        <v>K3016STslate grey</v>
      </c>
      <c r="B504" s="60" t="str">
        <f t="shared" si="58"/>
        <v>03-011-08</v>
      </c>
      <c r="C504" s="72" t="s">
        <v>1921</v>
      </c>
      <c r="D504" s="72" t="s">
        <v>1922</v>
      </c>
      <c r="E504" s="72" t="s">
        <v>969</v>
      </c>
      <c r="F504" s="73">
        <v>57</v>
      </c>
      <c r="G504" s="73" t="s">
        <v>1675</v>
      </c>
      <c r="H504" s="72" t="s">
        <v>83</v>
      </c>
      <c r="I504" s="72" t="s">
        <v>1676</v>
      </c>
      <c r="J504" s="72" t="s">
        <v>320</v>
      </c>
      <c r="K504" s="72" t="s">
        <v>382</v>
      </c>
      <c r="L504" s="72" t="s">
        <v>972</v>
      </c>
      <c r="M504" s="72" t="s">
        <v>388</v>
      </c>
      <c r="N504" s="72" t="s">
        <v>44</v>
      </c>
      <c r="O504" s="72" t="s">
        <v>386</v>
      </c>
      <c r="P504" s="72" t="s">
        <v>973</v>
      </c>
      <c r="Q504" s="72" t="s">
        <v>1923</v>
      </c>
      <c r="R504" s="72" t="s">
        <v>83</v>
      </c>
      <c r="V504" s="60" t="str">
        <f t="shared" si="59"/>
        <v>K3016STсерый</v>
      </c>
      <c r="W504" s="60" t="str">
        <f t="shared" si="56"/>
        <v>K3016ST</v>
      </c>
      <c r="X504" s="60" t="str">
        <f t="shared" si="60"/>
        <v>Furgora 504</v>
      </c>
      <c r="AC504" s="51">
        <f t="shared" si="61"/>
        <v>3</v>
      </c>
      <c r="AD504" s="44">
        <f t="shared" si="62"/>
        <v>11</v>
      </c>
      <c r="AE504" s="51">
        <f t="shared" si="63"/>
        <v>3011</v>
      </c>
    </row>
    <row r="505" spans="1:31">
      <c r="A505" s="60" t="str">
        <f t="shared" si="57"/>
        <v>K3017STblack</v>
      </c>
      <c r="B505" s="60" t="str">
        <f t="shared" si="58"/>
        <v>03-012-09</v>
      </c>
      <c r="C505" s="72" t="s">
        <v>1924</v>
      </c>
      <c r="D505" s="72" t="s">
        <v>1925</v>
      </c>
      <c r="E505" s="72" t="s">
        <v>1030</v>
      </c>
      <c r="F505" s="73">
        <v>61</v>
      </c>
      <c r="G505" s="73" t="s">
        <v>1582</v>
      </c>
      <c r="H505" s="72" t="s">
        <v>53</v>
      </c>
      <c r="I505" s="72" t="s">
        <v>1583</v>
      </c>
      <c r="J505" s="72" t="s">
        <v>325</v>
      </c>
      <c r="K505" s="72" t="s">
        <v>382</v>
      </c>
      <c r="L505" s="72" t="s">
        <v>1539</v>
      </c>
      <c r="M505" s="72" t="s">
        <v>388</v>
      </c>
      <c r="N505" s="72" t="s">
        <v>44</v>
      </c>
      <c r="O505" s="72" t="s">
        <v>539</v>
      </c>
      <c r="P505" s="72" t="s">
        <v>808</v>
      </c>
      <c r="Q505" s="72" t="s">
        <v>1005</v>
      </c>
      <c r="R505" s="72" t="s">
        <v>53</v>
      </c>
      <c r="V505" s="60" t="str">
        <f t="shared" si="59"/>
        <v>K3017STчерный</v>
      </c>
      <c r="W505" s="60" t="str">
        <f t="shared" si="56"/>
        <v>K3017ST</v>
      </c>
      <c r="X505" s="60" t="str">
        <f t="shared" si="60"/>
        <v>Furgora Casual</v>
      </c>
      <c r="AC505" s="51">
        <f t="shared" si="61"/>
        <v>3</v>
      </c>
      <c r="AD505" s="44">
        <f t="shared" si="62"/>
        <v>12</v>
      </c>
      <c r="AE505" s="51">
        <f t="shared" si="63"/>
        <v>3012</v>
      </c>
    </row>
    <row r="506" spans="1:31">
      <c r="A506" s="60" t="str">
        <f t="shared" si="57"/>
        <v>K3017STblack</v>
      </c>
      <c r="B506" s="60" t="str">
        <f t="shared" si="58"/>
        <v>03-012-09</v>
      </c>
      <c r="C506" s="72" t="s">
        <v>1926</v>
      </c>
      <c r="D506" s="72" t="s">
        <v>1925</v>
      </c>
      <c r="E506" s="72" t="s">
        <v>969</v>
      </c>
      <c r="F506" s="73">
        <v>57</v>
      </c>
      <c r="G506" s="73" t="s">
        <v>1582</v>
      </c>
      <c r="H506" s="72" t="s">
        <v>53</v>
      </c>
      <c r="I506" s="72" t="s">
        <v>1583</v>
      </c>
      <c r="J506" s="72" t="s">
        <v>325</v>
      </c>
      <c r="K506" s="72" t="s">
        <v>382</v>
      </c>
      <c r="L506" s="72" t="s">
        <v>1539</v>
      </c>
      <c r="M506" s="72" t="s">
        <v>388</v>
      </c>
      <c r="N506" s="72" t="s">
        <v>44</v>
      </c>
      <c r="O506" s="72" t="s">
        <v>539</v>
      </c>
      <c r="P506" s="72" t="s">
        <v>808</v>
      </c>
      <c r="Q506" s="72" t="s">
        <v>1005</v>
      </c>
      <c r="R506" s="72" t="s">
        <v>53</v>
      </c>
      <c r="V506" s="60" t="str">
        <f t="shared" si="59"/>
        <v>K3017STчерный</v>
      </c>
      <c r="W506" s="60" t="str">
        <f t="shared" si="56"/>
        <v>K3017ST</v>
      </c>
      <c r="X506" s="60" t="str">
        <f t="shared" si="60"/>
        <v>Furgora Casual</v>
      </c>
      <c r="AC506" s="51">
        <f t="shared" si="61"/>
        <v>3</v>
      </c>
      <c r="AD506" s="44">
        <f t="shared" si="62"/>
        <v>12</v>
      </c>
      <c r="AE506" s="51">
        <f t="shared" si="63"/>
        <v>3012</v>
      </c>
    </row>
    <row r="507" spans="1:31">
      <c r="A507" s="60" t="str">
        <f t="shared" si="57"/>
        <v>K3017STblack</v>
      </c>
      <c r="B507" s="60" t="str">
        <f t="shared" si="58"/>
        <v>03-012-09</v>
      </c>
      <c r="C507" s="72" t="s">
        <v>1927</v>
      </c>
      <c r="D507" s="72" t="s">
        <v>1925</v>
      </c>
      <c r="E507" s="72" t="s">
        <v>976</v>
      </c>
      <c r="F507" s="73">
        <v>59</v>
      </c>
      <c r="G507" s="73" t="s">
        <v>1582</v>
      </c>
      <c r="H507" s="72" t="s">
        <v>53</v>
      </c>
      <c r="I507" s="72" t="s">
        <v>1583</v>
      </c>
      <c r="J507" s="72" t="s">
        <v>325</v>
      </c>
      <c r="K507" s="72" t="s">
        <v>382</v>
      </c>
      <c r="L507" s="72" t="s">
        <v>1539</v>
      </c>
      <c r="M507" s="72" t="s">
        <v>388</v>
      </c>
      <c r="N507" s="72" t="s">
        <v>44</v>
      </c>
      <c r="O507" s="72" t="s">
        <v>539</v>
      </c>
      <c r="P507" s="72" t="s">
        <v>808</v>
      </c>
      <c r="Q507" s="72" t="s">
        <v>1005</v>
      </c>
      <c r="R507" s="72" t="s">
        <v>53</v>
      </c>
      <c r="V507" s="60" t="str">
        <f t="shared" si="59"/>
        <v>K3017STчерный</v>
      </c>
      <c r="W507" s="60" t="str">
        <f t="shared" si="56"/>
        <v>K3017ST</v>
      </c>
      <c r="X507" s="60" t="str">
        <f t="shared" si="60"/>
        <v>Furgora Casual</v>
      </c>
      <c r="AC507" s="51">
        <f t="shared" si="61"/>
        <v>3</v>
      </c>
      <c r="AD507" s="44">
        <f t="shared" si="62"/>
        <v>12</v>
      </c>
      <c r="AE507" s="51">
        <f t="shared" si="63"/>
        <v>3012</v>
      </c>
    </row>
    <row r="508" spans="1:31">
      <c r="A508" s="60" t="str">
        <f t="shared" si="57"/>
        <v>K3017STblack</v>
      </c>
      <c r="B508" s="60" t="str">
        <f t="shared" si="58"/>
        <v>03-012-09</v>
      </c>
      <c r="C508" s="72" t="s">
        <v>1928</v>
      </c>
      <c r="D508" s="72" t="s">
        <v>1925</v>
      </c>
      <c r="E508" s="72" t="s">
        <v>1032</v>
      </c>
      <c r="F508" s="73">
        <v>55</v>
      </c>
      <c r="G508" s="73" t="s">
        <v>1582</v>
      </c>
      <c r="H508" s="72" t="s">
        <v>53</v>
      </c>
      <c r="I508" s="72" t="s">
        <v>1583</v>
      </c>
      <c r="J508" s="72" t="s">
        <v>325</v>
      </c>
      <c r="K508" s="72" t="s">
        <v>382</v>
      </c>
      <c r="L508" s="72" t="s">
        <v>1539</v>
      </c>
      <c r="M508" s="72" t="s">
        <v>388</v>
      </c>
      <c r="N508" s="72" t="s">
        <v>44</v>
      </c>
      <c r="O508" s="72" t="s">
        <v>539</v>
      </c>
      <c r="P508" s="72" t="s">
        <v>808</v>
      </c>
      <c r="Q508" s="72" t="s">
        <v>1005</v>
      </c>
      <c r="R508" s="72" t="s">
        <v>53</v>
      </c>
      <c r="V508" s="60" t="str">
        <f t="shared" si="59"/>
        <v>K3017STчерный</v>
      </c>
      <c r="W508" s="60" t="str">
        <f t="shared" si="56"/>
        <v>K3017ST</v>
      </c>
      <c r="X508" s="60" t="str">
        <f t="shared" si="60"/>
        <v>Furgora Casual</v>
      </c>
      <c r="AC508" s="51">
        <f t="shared" si="61"/>
        <v>3</v>
      </c>
      <c r="AD508" s="44">
        <f t="shared" si="62"/>
        <v>12</v>
      </c>
      <c r="AE508" s="51">
        <f t="shared" si="63"/>
        <v>3012</v>
      </c>
    </row>
    <row r="509" spans="1:31">
      <c r="A509" s="60" t="str">
        <f t="shared" si="57"/>
        <v>K3017STcream</v>
      </c>
      <c r="B509" s="60" t="str">
        <f t="shared" si="58"/>
        <v>03-012-17</v>
      </c>
      <c r="C509" s="72" t="s">
        <v>1929</v>
      </c>
      <c r="D509" s="72" t="s">
        <v>1930</v>
      </c>
      <c r="E509" s="72" t="s">
        <v>976</v>
      </c>
      <c r="F509" s="73">
        <v>59</v>
      </c>
      <c r="G509" s="73" t="s">
        <v>1582</v>
      </c>
      <c r="H509" s="72" t="s">
        <v>57</v>
      </c>
      <c r="I509" s="72" t="s">
        <v>1676</v>
      </c>
      <c r="J509" s="72" t="s">
        <v>325</v>
      </c>
      <c r="K509" s="72" t="s">
        <v>382</v>
      </c>
      <c r="L509" s="72" t="s">
        <v>972</v>
      </c>
      <c r="M509" s="72" t="s">
        <v>388</v>
      </c>
      <c r="N509" s="72" t="s">
        <v>44</v>
      </c>
      <c r="O509" s="72" t="s">
        <v>386</v>
      </c>
      <c r="P509" s="72" t="s">
        <v>973</v>
      </c>
      <c r="Q509" s="72" t="s">
        <v>1550</v>
      </c>
      <c r="R509" s="72" t="s">
        <v>57</v>
      </c>
      <c r="V509" s="60" t="str">
        <f t="shared" si="59"/>
        <v>K3017STбелый</v>
      </c>
      <c r="W509" s="60" t="str">
        <f t="shared" si="56"/>
        <v>K3017ST</v>
      </c>
      <c r="X509" s="60" t="str">
        <f t="shared" si="60"/>
        <v>Furgora Casual</v>
      </c>
      <c r="AC509" s="51">
        <f t="shared" si="61"/>
        <v>3</v>
      </c>
      <c r="AD509" s="44">
        <f t="shared" si="62"/>
        <v>12</v>
      </c>
      <c r="AE509" s="51">
        <f t="shared" si="63"/>
        <v>3012</v>
      </c>
    </row>
    <row r="510" spans="1:31">
      <c r="A510" s="60" t="str">
        <f t="shared" si="57"/>
        <v>K3017STcream</v>
      </c>
      <c r="B510" s="60" t="str">
        <f t="shared" si="58"/>
        <v>03-012-17</v>
      </c>
      <c r="C510" s="72" t="s">
        <v>1931</v>
      </c>
      <c r="D510" s="72" t="s">
        <v>1930</v>
      </c>
      <c r="E510" s="72" t="s">
        <v>969</v>
      </c>
      <c r="F510" s="73">
        <v>57</v>
      </c>
      <c r="G510" s="73" t="s">
        <v>1582</v>
      </c>
      <c r="H510" s="72" t="s">
        <v>57</v>
      </c>
      <c r="I510" s="72" t="s">
        <v>1676</v>
      </c>
      <c r="J510" s="72" t="s">
        <v>325</v>
      </c>
      <c r="K510" s="72" t="s">
        <v>382</v>
      </c>
      <c r="L510" s="72" t="s">
        <v>972</v>
      </c>
      <c r="M510" s="72" t="s">
        <v>388</v>
      </c>
      <c r="N510" s="72" t="s">
        <v>44</v>
      </c>
      <c r="O510" s="72" t="s">
        <v>386</v>
      </c>
      <c r="P510" s="72" t="s">
        <v>973</v>
      </c>
      <c r="Q510" s="72" t="s">
        <v>1550</v>
      </c>
      <c r="R510" s="72" t="s">
        <v>57</v>
      </c>
      <c r="V510" s="60" t="str">
        <f t="shared" si="59"/>
        <v>K3017STбелый</v>
      </c>
      <c r="W510" s="60" t="str">
        <f t="shared" si="56"/>
        <v>K3017ST</v>
      </c>
      <c r="X510" s="60" t="str">
        <f t="shared" si="60"/>
        <v>Furgora Casual</v>
      </c>
      <c r="AC510" s="51">
        <f t="shared" si="61"/>
        <v>3</v>
      </c>
      <c r="AD510" s="44">
        <f t="shared" si="62"/>
        <v>12</v>
      </c>
      <c r="AE510" s="51">
        <f t="shared" si="63"/>
        <v>3012</v>
      </c>
    </row>
    <row r="511" spans="1:31">
      <c r="A511" s="60" t="str">
        <f t="shared" si="57"/>
        <v>K3017STcream</v>
      </c>
      <c r="B511" s="60" t="str">
        <f t="shared" si="58"/>
        <v>03-012-17</v>
      </c>
      <c r="C511" s="72" t="s">
        <v>1932</v>
      </c>
      <c r="D511" s="72" t="s">
        <v>1930</v>
      </c>
      <c r="E511" s="72" t="s">
        <v>1032</v>
      </c>
      <c r="F511" s="73">
        <v>55</v>
      </c>
      <c r="G511" s="73" t="s">
        <v>1582</v>
      </c>
      <c r="H511" s="72" t="s">
        <v>57</v>
      </c>
      <c r="I511" s="72" t="s">
        <v>1676</v>
      </c>
      <c r="J511" s="72" t="s">
        <v>325</v>
      </c>
      <c r="K511" s="72" t="s">
        <v>382</v>
      </c>
      <c r="L511" s="72" t="s">
        <v>972</v>
      </c>
      <c r="M511" s="72" t="s">
        <v>388</v>
      </c>
      <c r="N511" s="72" t="s">
        <v>44</v>
      </c>
      <c r="O511" s="72" t="s">
        <v>386</v>
      </c>
      <c r="P511" s="72" t="s">
        <v>973</v>
      </c>
      <c r="Q511" s="72" t="s">
        <v>1550</v>
      </c>
      <c r="R511" s="72" t="s">
        <v>57</v>
      </c>
      <c r="V511" s="60" t="str">
        <f t="shared" si="59"/>
        <v>K3017STбелый</v>
      </c>
      <c r="W511" s="60" t="str">
        <f t="shared" si="56"/>
        <v>K3017ST</v>
      </c>
      <c r="X511" s="60" t="str">
        <f t="shared" si="60"/>
        <v>Furgora Casual</v>
      </c>
      <c r="AC511" s="51">
        <f t="shared" si="61"/>
        <v>3</v>
      </c>
      <c r="AD511" s="44">
        <f t="shared" si="62"/>
        <v>12</v>
      </c>
      <c r="AE511" s="51">
        <f t="shared" si="63"/>
        <v>3012</v>
      </c>
    </row>
    <row r="512" spans="1:31">
      <c r="A512" s="60" t="str">
        <f t="shared" si="57"/>
        <v>K3017STscarlet</v>
      </c>
      <c r="B512" s="60" t="str">
        <f t="shared" si="58"/>
        <v>03-012-18</v>
      </c>
      <c r="C512" s="72" t="s">
        <v>1933</v>
      </c>
      <c r="D512" s="72" t="s">
        <v>1934</v>
      </c>
      <c r="E512" s="72" t="s">
        <v>1032</v>
      </c>
      <c r="F512" s="73">
        <v>55</v>
      </c>
      <c r="G512" s="73" t="s">
        <v>1582</v>
      </c>
      <c r="H512" s="72" t="s">
        <v>78</v>
      </c>
      <c r="I512" s="72" t="s">
        <v>1676</v>
      </c>
      <c r="J512" s="72" t="s">
        <v>325</v>
      </c>
      <c r="K512" s="72" t="s">
        <v>382</v>
      </c>
      <c r="L512" s="72" t="s">
        <v>972</v>
      </c>
      <c r="M512" s="72" t="s">
        <v>388</v>
      </c>
      <c r="N512" s="72" t="s">
        <v>44</v>
      </c>
      <c r="O512" s="72" t="s">
        <v>386</v>
      </c>
      <c r="P512" s="72" t="s">
        <v>973</v>
      </c>
      <c r="Q512" s="72" t="s">
        <v>1502</v>
      </c>
      <c r="R512" s="72" t="s">
        <v>78</v>
      </c>
      <c r="V512" s="60" t="str">
        <f t="shared" si="59"/>
        <v>K3017STкрасный</v>
      </c>
      <c r="W512" s="60" t="str">
        <f t="shared" si="56"/>
        <v>K3017ST</v>
      </c>
      <c r="X512" s="60" t="str">
        <f t="shared" si="60"/>
        <v>Furgora Casual</v>
      </c>
      <c r="AC512" s="51">
        <f t="shared" si="61"/>
        <v>3</v>
      </c>
      <c r="AD512" s="44">
        <f t="shared" si="62"/>
        <v>12</v>
      </c>
      <c r="AE512" s="51">
        <f t="shared" si="63"/>
        <v>3012</v>
      </c>
    </row>
    <row r="513" spans="1:31">
      <c r="A513" s="60" t="str">
        <f t="shared" si="57"/>
        <v>K3017STscarlet</v>
      </c>
      <c r="B513" s="60" t="str">
        <f t="shared" si="58"/>
        <v>03-012-18</v>
      </c>
      <c r="C513" s="72" t="s">
        <v>1935</v>
      </c>
      <c r="D513" s="72" t="s">
        <v>1934</v>
      </c>
      <c r="E513" s="72" t="s">
        <v>976</v>
      </c>
      <c r="F513" s="73">
        <v>59</v>
      </c>
      <c r="G513" s="73" t="s">
        <v>1582</v>
      </c>
      <c r="H513" s="72" t="s">
        <v>78</v>
      </c>
      <c r="I513" s="72" t="s">
        <v>1676</v>
      </c>
      <c r="J513" s="72" t="s">
        <v>325</v>
      </c>
      <c r="K513" s="72" t="s">
        <v>382</v>
      </c>
      <c r="L513" s="72" t="s">
        <v>972</v>
      </c>
      <c r="M513" s="72" t="s">
        <v>388</v>
      </c>
      <c r="N513" s="72" t="s">
        <v>44</v>
      </c>
      <c r="O513" s="72" t="s">
        <v>386</v>
      </c>
      <c r="P513" s="72" t="s">
        <v>973</v>
      </c>
      <c r="Q513" s="72" t="s">
        <v>1502</v>
      </c>
      <c r="R513" s="72" t="s">
        <v>78</v>
      </c>
      <c r="V513" s="60" t="str">
        <f t="shared" si="59"/>
        <v>K3017STкрасный</v>
      </c>
      <c r="W513" s="60" t="str">
        <f t="shared" si="56"/>
        <v>K3017ST</v>
      </c>
      <c r="X513" s="60" t="str">
        <f t="shared" si="60"/>
        <v>Furgora Casual</v>
      </c>
      <c r="AC513" s="51">
        <f t="shared" si="61"/>
        <v>3</v>
      </c>
      <c r="AD513" s="44">
        <f t="shared" si="62"/>
        <v>12</v>
      </c>
      <c r="AE513" s="51">
        <f t="shared" si="63"/>
        <v>3012</v>
      </c>
    </row>
    <row r="514" spans="1:31">
      <c r="A514" s="60" t="str">
        <f t="shared" si="57"/>
        <v>K3017STscarlet</v>
      </c>
      <c r="B514" s="60" t="str">
        <f t="shared" si="58"/>
        <v>03-012-18</v>
      </c>
      <c r="C514" s="72" t="s">
        <v>1936</v>
      </c>
      <c r="D514" s="72" t="s">
        <v>1934</v>
      </c>
      <c r="E514" s="72" t="s">
        <v>969</v>
      </c>
      <c r="F514" s="73">
        <v>57</v>
      </c>
      <c r="G514" s="73" t="s">
        <v>1582</v>
      </c>
      <c r="H514" s="72" t="s">
        <v>78</v>
      </c>
      <c r="I514" s="72" t="s">
        <v>1676</v>
      </c>
      <c r="J514" s="72" t="s">
        <v>325</v>
      </c>
      <c r="K514" s="72" t="s">
        <v>382</v>
      </c>
      <c r="L514" s="72" t="s">
        <v>972</v>
      </c>
      <c r="M514" s="72" t="s">
        <v>388</v>
      </c>
      <c r="N514" s="72" t="s">
        <v>44</v>
      </c>
      <c r="O514" s="72" t="s">
        <v>386</v>
      </c>
      <c r="P514" s="72" t="s">
        <v>973</v>
      </c>
      <c r="Q514" s="72" t="s">
        <v>1502</v>
      </c>
      <c r="R514" s="72" t="s">
        <v>78</v>
      </c>
      <c r="V514" s="60" t="str">
        <f t="shared" si="59"/>
        <v>K3017STкрасный</v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>K3017ST</v>
      </c>
      <c r="X514" s="60" t="str">
        <f t="shared" si="60"/>
        <v>Furgora Casual</v>
      </c>
      <c r="AC514" s="51">
        <f t="shared" si="61"/>
        <v>3</v>
      </c>
      <c r="AD514" s="44">
        <f t="shared" si="62"/>
        <v>12</v>
      </c>
      <c r="AE514" s="51">
        <f t="shared" si="63"/>
        <v>3012</v>
      </c>
    </row>
    <row r="515" spans="1:31">
      <c r="A515" s="60" t="str">
        <f t="shared" ref="A515:A578" si="65">IF(G515&amp;Q515&lt;&gt;"",W515&amp;Q515,"")</f>
        <v>K3017STslate grey</v>
      </c>
      <c r="B515" s="60" t="str">
        <f t="shared" ref="B515:B578" si="66">IF(C515&lt;&gt;"",LEFT(C515,9),"")</f>
        <v>03-012-08</v>
      </c>
      <c r="C515" s="72" t="s">
        <v>1937</v>
      </c>
      <c r="D515" s="72" t="s">
        <v>1938</v>
      </c>
      <c r="E515" s="72" t="s">
        <v>969</v>
      </c>
      <c r="F515" s="73">
        <v>57</v>
      </c>
      <c r="G515" s="73" t="s">
        <v>1582</v>
      </c>
      <c r="H515" s="72" t="s">
        <v>83</v>
      </c>
      <c r="I515" s="72" t="s">
        <v>1676</v>
      </c>
      <c r="J515" s="72" t="s">
        <v>325</v>
      </c>
      <c r="K515" s="72" t="s">
        <v>382</v>
      </c>
      <c r="L515" s="72" t="s">
        <v>972</v>
      </c>
      <c r="M515" s="72" t="s">
        <v>388</v>
      </c>
      <c r="N515" s="72" t="s">
        <v>44</v>
      </c>
      <c r="O515" s="72" t="s">
        <v>386</v>
      </c>
      <c r="P515" s="72" t="s">
        <v>973</v>
      </c>
      <c r="Q515" s="72" t="s">
        <v>1923</v>
      </c>
      <c r="R515" s="72" t="s">
        <v>83</v>
      </c>
      <c r="V515" s="60" t="str">
        <f t="shared" ref="V515:V578" si="67">W515&amp;H515</f>
        <v>K3017STсерый</v>
      </c>
      <c r="W515" s="60" t="str">
        <f t="shared" si="64"/>
        <v>K3017ST</v>
      </c>
      <c r="X515" s="60" t="str">
        <f t="shared" ref="X515:X578" si="68">IF(A515&lt;&gt;"",IFERROR(IF(FIND(" ",G515)&gt;=1,MID(G515,FIND(" ",G515)+1,LEN(G515)),""),""),"")</f>
        <v>Furgora Casual</v>
      </c>
      <c r="AC515" s="51">
        <f t="shared" ref="AC515:AC578" si="69">IFERROR(VALUE(MID($C515,1,2)),0)</f>
        <v>3</v>
      </c>
      <c r="AD515" s="44">
        <f t="shared" ref="AD515:AD578" si="70">IFERROR(VALUE(MID($C515,4,3)),0)</f>
        <v>12</v>
      </c>
      <c r="AE515" s="51">
        <f t="shared" ref="AE515:AE578" si="71">VALUE(RIGHT("00"&amp;AC515,2)&amp;RIGHT("000"&amp;AD515,3))</f>
        <v>3012</v>
      </c>
    </row>
    <row r="516" spans="1:31">
      <c r="A516" s="60" t="str">
        <f t="shared" si="65"/>
        <v>K3019STcream</v>
      </c>
      <c r="B516" s="60" t="str">
        <f t="shared" si="66"/>
        <v>03-013-17</v>
      </c>
      <c r="C516" s="72" t="s">
        <v>1939</v>
      </c>
      <c r="D516" s="72" t="s">
        <v>1940</v>
      </c>
      <c r="E516" s="72" t="s">
        <v>909</v>
      </c>
      <c r="F516" s="73">
        <v>0</v>
      </c>
      <c r="G516" s="73" t="s">
        <v>1425</v>
      </c>
      <c r="H516" s="72" t="s">
        <v>57</v>
      </c>
      <c r="I516" s="72" t="s">
        <v>1426</v>
      </c>
      <c r="J516" s="72" t="s">
        <v>340</v>
      </c>
      <c r="K516" s="72" t="s">
        <v>387</v>
      </c>
      <c r="L516" s="72" t="s">
        <v>972</v>
      </c>
      <c r="M516" s="72" t="s">
        <v>389</v>
      </c>
      <c r="N516" s="72" t="s">
        <v>44</v>
      </c>
      <c r="O516" s="72" t="s">
        <v>539</v>
      </c>
      <c r="P516" s="72" t="s">
        <v>973</v>
      </c>
      <c r="Q516" s="72" t="s">
        <v>1550</v>
      </c>
      <c r="R516" s="72" t="s">
        <v>57</v>
      </c>
      <c r="V516" s="60" t="str">
        <f t="shared" si="67"/>
        <v>K3019STбелый</v>
      </c>
      <c r="W516" s="60" t="str">
        <f t="shared" si="64"/>
        <v>K3019ST</v>
      </c>
      <c r="X516" s="60" t="str">
        <f t="shared" si="68"/>
        <v>Furgora Skull Cap</v>
      </c>
      <c r="AC516" s="51">
        <f t="shared" si="69"/>
        <v>3</v>
      </c>
      <c r="AD516" s="44">
        <f t="shared" si="70"/>
        <v>13</v>
      </c>
      <c r="AE516" s="51">
        <f t="shared" si="71"/>
        <v>3013</v>
      </c>
    </row>
    <row r="517" spans="1:31">
      <c r="A517" s="60" t="str">
        <f t="shared" si="65"/>
        <v>K3027STblack</v>
      </c>
      <c r="B517" s="60" t="str">
        <f t="shared" si="66"/>
        <v>03-014-09</v>
      </c>
      <c r="C517" s="72" t="s">
        <v>1941</v>
      </c>
      <c r="D517" s="72" t="s">
        <v>1942</v>
      </c>
      <c r="E517" s="72" t="s">
        <v>909</v>
      </c>
      <c r="F517" s="73">
        <v>0</v>
      </c>
      <c r="G517" s="73" t="s">
        <v>1669</v>
      </c>
      <c r="H517" s="72" t="s">
        <v>53</v>
      </c>
      <c r="I517" s="72" t="s">
        <v>1221</v>
      </c>
      <c r="J517" s="72" t="s">
        <v>340</v>
      </c>
      <c r="K517" s="72" t="s">
        <v>382</v>
      </c>
      <c r="L517" s="72" t="s">
        <v>972</v>
      </c>
      <c r="M517" s="72" t="s">
        <v>389</v>
      </c>
      <c r="O517" s="72" t="s">
        <v>386</v>
      </c>
      <c r="P517" s="72" t="s">
        <v>973</v>
      </c>
      <c r="Q517" s="72" t="s">
        <v>1005</v>
      </c>
      <c r="R517" s="72" t="s">
        <v>53</v>
      </c>
      <c r="V517" s="60" t="str">
        <f t="shared" si="67"/>
        <v>K3027STчерный</v>
      </c>
      <c r="W517" s="60" t="str">
        <f t="shared" si="64"/>
        <v>K3027ST</v>
      </c>
      <c r="X517" s="60" t="str">
        <f t="shared" si="68"/>
        <v>Eyelet Beanie</v>
      </c>
      <c r="AC517" s="51">
        <f t="shared" si="69"/>
        <v>3</v>
      </c>
      <c r="AD517" s="44">
        <f t="shared" si="70"/>
        <v>14</v>
      </c>
      <c r="AE517" s="51">
        <f t="shared" si="71"/>
        <v>3014</v>
      </c>
    </row>
    <row r="518" spans="1:31">
      <c r="A518" s="60" t="str">
        <f t="shared" si="65"/>
        <v>0264KGblack</v>
      </c>
      <c r="B518" s="60" t="str">
        <f t="shared" si="66"/>
        <v>03-003-09</v>
      </c>
      <c r="C518" s="72" t="s">
        <v>1943</v>
      </c>
      <c r="D518" s="72" t="s">
        <v>1944</v>
      </c>
      <c r="E518" s="72" t="s">
        <v>1032</v>
      </c>
      <c r="F518" s="73">
        <v>55</v>
      </c>
      <c r="G518" s="73" t="s">
        <v>1842</v>
      </c>
      <c r="H518" s="72" t="s">
        <v>53</v>
      </c>
      <c r="I518" s="72" t="s">
        <v>1843</v>
      </c>
      <c r="J518" s="72" t="s">
        <v>324</v>
      </c>
      <c r="K518" s="72" t="s">
        <v>382</v>
      </c>
      <c r="L518" s="72" t="s">
        <v>988</v>
      </c>
      <c r="M518" s="72" t="s">
        <v>388</v>
      </c>
      <c r="N518" s="72" t="s">
        <v>44</v>
      </c>
      <c r="O518" s="72" t="s">
        <v>386</v>
      </c>
      <c r="P518" s="72" t="s">
        <v>973</v>
      </c>
      <c r="Q518" s="72" t="s">
        <v>1005</v>
      </c>
      <c r="R518" s="72" t="s">
        <v>53</v>
      </c>
      <c r="V518" s="60" t="str">
        <f t="shared" si="67"/>
        <v>0264KGчерный</v>
      </c>
      <c r="W518" s="60" t="str">
        <f t="shared" si="64"/>
        <v>0264KG</v>
      </c>
      <c r="X518" s="60" t="str">
        <f t="shared" si="68"/>
        <v>Herringbone 504</v>
      </c>
      <c r="AC518" s="51">
        <f t="shared" si="69"/>
        <v>3</v>
      </c>
      <c r="AD518" s="44">
        <f t="shared" si="70"/>
        <v>3</v>
      </c>
      <c r="AE518" s="51">
        <f t="shared" si="71"/>
        <v>3003</v>
      </c>
    </row>
    <row r="519" spans="1:31">
      <c r="A519" s="60" t="str">
        <f t="shared" si="65"/>
        <v>0264KGblack</v>
      </c>
      <c r="B519" s="60" t="str">
        <f t="shared" si="66"/>
        <v>03-003-09</v>
      </c>
      <c r="C519" s="72" t="s">
        <v>1945</v>
      </c>
      <c r="D519" s="72" t="s">
        <v>1944</v>
      </c>
      <c r="E519" s="72" t="s">
        <v>1030</v>
      </c>
      <c r="F519" s="73">
        <v>61</v>
      </c>
      <c r="G519" s="73" t="s">
        <v>1842</v>
      </c>
      <c r="H519" s="72" t="s">
        <v>53</v>
      </c>
      <c r="I519" s="72" t="s">
        <v>1843</v>
      </c>
      <c r="J519" s="72" t="s">
        <v>324</v>
      </c>
      <c r="K519" s="72" t="s">
        <v>382</v>
      </c>
      <c r="L519" s="72" t="s">
        <v>988</v>
      </c>
      <c r="M519" s="72" t="s">
        <v>388</v>
      </c>
      <c r="N519" s="72" t="s">
        <v>44</v>
      </c>
      <c r="O519" s="72" t="s">
        <v>386</v>
      </c>
      <c r="P519" s="72" t="s">
        <v>973</v>
      </c>
      <c r="Q519" s="72" t="s">
        <v>1005</v>
      </c>
      <c r="R519" s="72" t="s">
        <v>53</v>
      </c>
      <c r="V519" s="60" t="str">
        <f t="shared" si="67"/>
        <v>0264KGчерный</v>
      </c>
      <c r="W519" s="60" t="str">
        <f t="shared" si="64"/>
        <v>0264KG</v>
      </c>
      <c r="X519" s="60" t="str">
        <f t="shared" si="68"/>
        <v>Herringbone 504</v>
      </c>
      <c r="AC519" s="51">
        <f t="shared" si="69"/>
        <v>3</v>
      </c>
      <c r="AD519" s="44">
        <f t="shared" si="70"/>
        <v>3</v>
      </c>
      <c r="AE519" s="51">
        <f t="shared" si="71"/>
        <v>3003</v>
      </c>
    </row>
    <row r="520" spans="1:31">
      <c r="A520" s="60" t="str">
        <f t="shared" si="65"/>
        <v>0264KGblack</v>
      </c>
      <c r="B520" s="60" t="str">
        <f t="shared" si="66"/>
        <v>03-003-09</v>
      </c>
      <c r="C520" s="72" t="s">
        <v>1946</v>
      </c>
      <c r="D520" s="72" t="s">
        <v>1944</v>
      </c>
      <c r="E520" s="72" t="s">
        <v>976</v>
      </c>
      <c r="F520" s="73">
        <v>59</v>
      </c>
      <c r="G520" s="73" t="s">
        <v>1842</v>
      </c>
      <c r="H520" s="72" t="s">
        <v>53</v>
      </c>
      <c r="I520" s="72" t="s">
        <v>1843</v>
      </c>
      <c r="J520" s="72" t="s">
        <v>324</v>
      </c>
      <c r="K520" s="72" t="s">
        <v>382</v>
      </c>
      <c r="L520" s="72" t="s">
        <v>988</v>
      </c>
      <c r="M520" s="72" t="s">
        <v>388</v>
      </c>
      <c r="N520" s="72" t="s">
        <v>44</v>
      </c>
      <c r="O520" s="72" t="s">
        <v>386</v>
      </c>
      <c r="P520" s="72" t="s">
        <v>973</v>
      </c>
      <c r="Q520" s="72" t="s">
        <v>1005</v>
      </c>
      <c r="R520" s="72" t="s">
        <v>53</v>
      </c>
      <c r="V520" s="60" t="str">
        <f t="shared" si="67"/>
        <v>0264KGчерный</v>
      </c>
      <c r="W520" s="60" t="str">
        <f t="shared" si="64"/>
        <v>0264KG</v>
      </c>
      <c r="X520" s="60" t="str">
        <f t="shared" si="68"/>
        <v>Herringbone 504</v>
      </c>
      <c r="AC520" s="51">
        <f t="shared" si="69"/>
        <v>3</v>
      </c>
      <c r="AD520" s="44">
        <f t="shared" si="70"/>
        <v>3</v>
      </c>
      <c r="AE520" s="51">
        <f t="shared" si="71"/>
        <v>3003</v>
      </c>
    </row>
    <row r="521" spans="1:31">
      <c r="A521" s="60" t="str">
        <f t="shared" si="65"/>
        <v>0264KGblack</v>
      </c>
      <c r="B521" s="60" t="str">
        <f t="shared" si="66"/>
        <v>03-003-09</v>
      </c>
      <c r="C521" s="72" t="s">
        <v>1947</v>
      </c>
      <c r="D521" s="72" t="s">
        <v>1944</v>
      </c>
      <c r="E521" s="72" t="s">
        <v>969</v>
      </c>
      <c r="F521" s="73">
        <v>57</v>
      </c>
      <c r="G521" s="73" t="s">
        <v>1842</v>
      </c>
      <c r="H521" s="72" t="s">
        <v>53</v>
      </c>
      <c r="I521" s="72" t="s">
        <v>1843</v>
      </c>
      <c r="J521" s="72" t="s">
        <v>324</v>
      </c>
      <c r="K521" s="72" t="s">
        <v>382</v>
      </c>
      <c r="L521" s="72" t="s">
        <v>988</v>
      </c>
      <c r="M521" s="72" t="s">
        <v>388</v>
      </c>
      <c r="N521" s="72" t="s">
        <v>44</v>
      </c>
      <c r="O521" s="72" t="s">
        <v>386</v>
      </c>
      <c r="P521" s="72" t="s">
        <v>973</v>
      </c>
      <c r="Q521" s="72" t="s">
        <v>1005</v>
      </c>
      <c r="R521" s="72" t="s">
        <v>53</v>
      </c>
      <c r="V521" s="60" t="str">
        <f t="shared" si="67"/>
        <v>0264KGчерный</v>
      </c>
      <c r="W521" s="60" t="str">
        <f t="shared" si="64"/>
        <v>0264KG</v>
      </c>
      <c r="X521" s="60" t="str">
        <f t="shared" si="68"/>
        <v>Herringbone 504</v>
      </c>
      <c r="AC521" s="51">
        <f t="shared" si="69"/>
        <v>3</v>
      </c>
      <c r="AD521" s="44">
        <f t="shared" si="70"/>
        <v>3</v>
      </c>
      <c r="AE521" s="51">
        <f t="shared" si="71"/>
        <v>3003</v>
      </c>
    </row>
    <row r="522" spans="1:31">
      <c r="A522" s="60" t="str">
        <f t="shared" si="65"/>
        <v>0258BCblack/gold</v>
      </c>
      <c r="B522" s="60" t="str">
        <f t="shared" si="66"/>
        <v>03-002-09</v>
      </c>
      <c r="C522" s="72" t="s">
        <v>1948</v>
      </c>
      <c r="D522" s="72" t="s">
        <v>1949</v>
      </c>
      <c r="E522" s="72" t="s">
        <v>1032</v>
      </c>
      <c r="F522" s="73">
        <v>55</v>
      </c>
      <c r="G522" s="73" t="s">
        <v>1118</v>
      </c>
      <c r="H522" s="72" t="s">
        <v>300</v>
      </c>
      <c r="I522" s="72" t="s">
        <v>1105</v>
      </c>
      <c r="J522" s="72" t="s">
        <v>320</v>
      </c>
      <c r="K522" s="72" t="s">
        <v>382</v>
      </c>
      <c r="L522" s="72" t="s">
        <v>988</v>
      </c>
      <c r="M522" s="72" t="s">
        <v>388</v>
      </c>
      <c r="N522" s="72" t="s">
        <v>44</v>
      </c>
      <c r="O522" s="72" t="s">
        <v>539</v>
      </c>
      <c r="P522" s="72" t="s">
        <v>808</v>
      </c>
      <c r="Q522" s="72" t="s">
        <v>1884</v>
      </c>
      <c r="R522" s="72" t="s">
        <v>53</v>
      </c>
      <c r="V522" s="60" t="str">
        <f t="shared" si="67"/>
        <v>0258BCчерный / золотой</v>
      </c>
      <c r="W522" s="60" t="str">
        <f t="shared" si="64"/>
        <v>0258BC</v>
      </c>
      <c r="X522" s="60" t="str">
        <f t="shared" si="68"/>
        <v>Wool 504</v>
      </c>
      <c r="AC522" s="51">
        <f t="shared" si="69"/>
        <v>3</v>
      </c>
      <c r="AD522" s="44">
        <f t="shared" si="70"/>
        <v>2</v>
      </c>
      <c r="AE522" s="51">
        <f t="shared" si="71"/>
        <v>3002</v>
      </c>
    </row>
    <row r="523" spans="1:31">
      <c r="A523" s="60" t="str">
        <f t="shared" si="65"/>
        <v>0258BCblack/gold</v>
      </c>
      <c r="B523" s="60" t="str">
        <f t="shared" si="66"/>
        <v>03-002-09</v>
      </c>
      <c r="C523" s="72" t="s">
        <v>1950</v>
      </c>
      <c r="D523" s="72" t="s">
        <v>1949</v>
      </c>
      <c r="E523" s="72" t="s">
        <v>976</v>
      </c>
      <c r="F523" s="73">
        <v>59</v>
      </c>
      <c r="G523" s="73" t="s">
        <v>1118</v>
      </c>
      <c r="H523" s="72" t="s">
        <v>300</v>
      </c>
      <c r="I523" s="72" t="s">
        <v>1105</v>
      </c>
      <c r="J523" s="72" t="s">
        <v>320</v>
      </c>
      <c r="K523" s="72" t="s">
        <v>382</v>
      </c>
      <c r="L523" s="72" t="s">
        <v>988</v>
      </c>
      <c r="M523" s="72" t="s">
        <v>388</v>
      </c>
      <c r="N523" s="72" t="s">
        <v>44</v>
      </c>
      <c r="O523" s="72" t="s">
        <v>539</v>
      </c>
      <c r="P523" s="72" t="s">
        <v>808</v>
      </c>
      <c r="Q523" s="72" t="s">
        <v>1884</v>
      </c>
      <c r="R523" s="72" t="s">
        <v>53</v>
      </c>
      <c r="V523" s="60" t="str">
        <f t="shared" si="67"/>
        <v>0258BCчерный / золотой</v>
      </c>
      <c r="W523" s="60" t="str">
        <f t="shared" si="64"/>
        <v>0258BC</v>
      </c>
      <c r="X523" s="60" t="str">
        <f t="shared" si="68"/>
        <v>Wool 504</v>
      </c>
      <c r="AC523" s="51">
        <f t="shared" si="69"/>
        <v>3</v>
      </c>
      <c r="AD523" s="44">
        <f t="shared" si="70"/>
        <v>2</v>
      </c>
      <c r="AE523" s="51">
        <f t="shared" si="71"/>
        <v>3002</v>
      </c>
    </row>
    <row r="524" spans="1:31">
      <c r="A524" s="60" t="str">
        <f t="shared" si="65"/>
        <v>0258BCblack/gold</v>
      </c>
      <c r="B524" s="60" t="str">
        <f t="shared" si="66"/>
        <v>03-002-09</v>
      </c>
      <c r="C524" s="72" t="s">
        <v>1951</v>
      </c>
      <c r="D524" s="72" t="s">
        <v>1949</v>
      </c>
      <c r="E524" s="72" t="s">
        <v>969</v>
      </c>
      <c r="F524" s="73">
        <v>57</v>
      </c>
      <c r="G524" s="73" t="s">
        <v>1118</v>
      </c>
      <c r="H524" s="72" t="s">
        <v>300</v>
      </c>
      <c r="I524" s="72" t="s">
        <v>1105</v>
      </c>
      <c r="J524" s="72" t="s">
        <v>320</v>
      </c>
      <c r="K524" s="72" t="s">
        <v>382</v>
      </c>
      <c r="L524" s="72" t="s">
        <v>988</v>
      </c>
      <c r="M524" s="72" t="s">
        <v>388</v>
      </c>
      <c r="N524" s="72" t="s">
        <v>44</v>
      </c>
      <c r="O524" s="72" t="s">
        <v>539</v>
      </c>
      <c r="P524" s="72" t="s">
        <v>808</v>
      </c>
      <c r="Q524" s="72" t="s">
        <v>1884</v>
      </c>
      <c r="R524" s="72" t="s">
        <v>53</v>
      </c>
      <c r="V524" s="60" t="str">
        <f t="shared" si="67"/>
        <v>0258BCчерный / золотой</v>
      </c>
      <c r="W524" s="60" t="str">
        <f t="shared" si="64"/>
        <v>0258BC</v>
      </c>
      <c r="X524" s="60" t="str">
        <f t="shared" si="68"/>
        <v>Wool 504</v>
      </c>
      <c r="AC524" s="51">
        <f t="shared" si="69"/>
        <v>3</v>
      </c>
      <c r="AD524" s="44">
        <f t="shared" si="70"/>
        <v>2</v>
      </c>
      <c r="AE524" s="51">
        <f t="shared" si="71"/>
        <v>3002</v>
      </c>
    </row>
    <row r="525" spans="1:31">
      <c r="A525" s="60" t="str">
        <f t="shared" si="65"/>
        <v>0258BCblack/gold</v>
      </c>
      <c r="B525" s="60" t="str">
        <f t="shared" si="66"/>
        <v>03-002-09</v>
      </c>
      <c r="C525" s="72" t="s">
        <v>1952</v>
      </c>
      <c r="D525" s="72" t="s">
        <v>1949</v>
      </c>
      <c r="E525" s="72" t="s">
        <v>1030</v>
      </c>
      <c r="F525" s="73">
        <v>61</v>
      </c>
      <c r="G525" s="73" t="s">
        <v>1118</v>
      </c>
      <c r="H525" s="72" t="s">
        <v>300</v>
      </c>
      <c r="I525" s="72" t="s">
        <v>1105</v>
      </c>
      <c r="J525" s="72" t="s">
        <v>320</v>
      </c>
      <c r="K525" s="72" t="s">
        <v>382</v>
      </c>
      <c r="L525" s="72" t="s">
        <v>988</v>
      </c>
      <c r="M525" s="72" t="s">
        <v>388</v>
      </c>
      <c r="N525" s="72" t="s">
        <v>44</v>
      </c>
      <c r="O525" s="72" t="s">
        <v>539</v>
      </c>
      <c r="P525" s="72" t="s">
        <v>808</v>
      </c>
      <c r="Q525" s="72" t="s">
        <v>1884</v>
      </c>
      <c r="R525" s="72" t="s">
        <v>53</v>
      </c>
      <c r="V525" s="60" t="str">
        <f t="shared" si="67"/>
        <v>0258BCчерный / золотой</v>
      </c>
      <c r="W525" s="60" t="str">
        <f t="shared" si="64"/>
        <v>0258BC</v>
      </c>
      <c r="X525" s="60" t="str">
        <f t="shared" si="68"/>
        <v>Wool 504</v>
      </c>
      <c r="AC525" s="51">
        <f t="shared" si="69"/>
        <v>3</v>
      </c>
      <c r="AD525" s="44">
        <f t="shared" si="70"/>
        <v>2</v>
      </c>
      <c r="AE525" s="51">
        <f t="shared" si="71"/>
        <v>3002</v>
      </c>
    </row>
    <row r="526" spans="1:31">
      <c r="A526" s="60" t="str">
        <f t="shared" si="65"/>
        <v>0290BCbiscuit</v>
      </c>
      <c r="B526" s="60" t="str">
        <f t="shared" si="66"/>
        <v>03-023-02</v>
      </c>
      <c r="C526" s="72" t="s">
        <v>1953</v>
      </c>
      <c r="D526" s="72" t="s">
        <v>1954</v>
      </c>
      <c r="E526" s="72" t="s">
        <v>969</v>
      </c>
      <c r="F526" s="73">
        <v>57</v>
      </c>
      <c r="G526" s="73" t="s">
        <v>1009</v>
      </c>
      <c r="H526" s="72" t="s">
        <v>63</v>
      </c>
      <c r="I526" s="72" t="s">
        <v>1010</v>
      </c>
      <c r="J526" s="72" t="s">
        <v>320</v>
      </c>
      <c r="K526" s="72" t="s">
        <v>382</v>
      </c>
      <c r="L526" s="72" t="s">
        <v>988</v>
      </c>
      <c r="M526" s="72" t="s">
        <v>384</v>
      </c>
      <c r="O526" s="72" t="s">
        <v>539</v>
      </c>
      <c r="P526" s="72" t="s">
        <v>973</v>
      </c>
      <c r="Q526" s="72" t="s">
        <v>1955</v>
      </c>
      <c r="R526" s="72" t="s">
        <v>63</v>
      </c>
      <c r="V526" s="60" t="str">
        <f t="shared" si="67"/>
        <v>0290BCбежевый</v>
      </c>
      <c r="W526" s="60" t="str">
        <f t="shared" si="64"/>
        <v>0290BC</v>
      </c>
      <c r="X526" s="60" t="str">
        <f t="shared" si="68"/>
        <v>Tropic 504 Ventair</v>
      </c>
      <c r="AC526" s="51">
        <f t="shared" si="69"/>
        <v>3</v>
      </c>
      <c r="AD526" s="44">
        <f t="shared" si="70"/>
        <v>23</v>
      </c>
      <c r="AE526" s="51">
        <f t="shared" si="71"/>
        <v>3023</v>
      </c>
    </row>
    <row r="527" spans="1:31">
      <c r="A527" s="60" t="str">
        <f t="shared" si="65"/>
        <v>0290BCbiscuit</v>
      </c>
      <c r="B527" s="60" t="str">
        <f t="shared" si="66"/>
        <v>03-023-02</v>
      </c>
      <c r="C527" s="72" t="s">
        <v>1956</v>
      </c>
      <c r="D527" s="72" t="s">
        <v>1954</v>
      </c>
      <c r="E527" s="72" t="s">
        <v>976</v>
      </c>
      <c r="F527" s="73">
        <v>59</v>
      </c>
      <c r="G527" s="73" t="s">
        <v>1009</v>
      </c>
      <c r="H527" s="72" t="s">
        <v>63</v>
      </c>
      <c r="I527" s="72" t="s">
        <v>1010</v>
      </c>
      <c r="J527" s="72" t="s">
        <v>320</v>
      </c>
      <c r="K527" s="72" t="s">
        <v>382</v>
      </c>
      <c r="L527" s="72" t="s">
        <v>988</v>
      </c>
      <c r="M527" s="72" t="s">
        <v>384</v>
      </c>
      <c r="O527" s="72" t="s">
        <v>539</v>
      </c>
      <c r="P527" s="72" t="s">
        <v>973</v>
      </c>
      <c r="Q527" s="72" t="s">
        <v>1955</v>
      </c>
      <c r="R527" s="72" t="s">
        <v>63</v>
      </c>
      <c r="V527" s="60" t="str">
        <f t="shared" si="67"/>
        <v>0290BCбежевый</v>
      </c>
      <c r="W527" s="60" t="str">
        <f t="shared" si="64"/>
        <v>0290BC</v>
      </c>
      <c r="X527" s="60" t="str">
        <f t="shared" si="68"/>
        <v>Tropic 504 Ventair</v>
      </c>
      <c r="AC527" s="51">
        <f t="shared" si="69"/>
        <v>3</v>
      </c>
      <c r="AD527" s="44">
        <f t="shared" si="70"/>
        <v>23</v>
      </c>
      <c r="AE527" s="51">
        <f t="shared" si="71"/>
        <v>3023</v>
      </c>
    </row>
    <row r="528" spans="1:31">
      <c r="A528" s="60" t="str">
        <f t="shared" si="65"/>
        <v>0290BCblack</v>
      </c>
      <c r="B528" s="60" t="str">
        <f t="shared" si="66"/>
        <v>03-023-09</v>
      </c>
      <c r="C528" s="72" t="s">
        <v>1957</v>
      </c>
      <c r="D528" s="72" t="s">
        <v>1958</v>
      </c>
      <c r="E528" s="72" t="s">
        <v>976</v>
      </c>
      <c r="F528" s="73">
        <v>59</v>
      </c>
      <c r="G528" s="73" t="s">
        <v>1009</v>
      </c>
      <c r="H528" s="72" t="s">
        <v>53</v>
      </c>
      <c r="I528" s="72" t="s">
        <v>997</v>
      </c>
      <c r="J528" s="72" t="s">
        <v>320</v>
      </c>
      <c r="K528" s="72" t="s">
        <v>382</v>
      </c>
      <c r="L528" s="72" t="s">
        <v>1004</v>
      </c>
      <c r="M528" s="72" t="s">
        <v>384</v>
      </c>
      <c r="O528" s="72" t="s">
        <v>386</v>
      </c>
      <c r="P528" s="72" t="s">
        <v>808</v>
      </c>
      <c r="Q528" s="72" t="s">
        <v>1005</v>
      </c>
      <c r="R528" s="72" t="s">
        <v>53</v>
      </c>
      <c r="V528" s="60" t="str">
        <f t="shared" si="67"/>
        <v>0290BCчерный</v>
      </c>
      <c r="W528" s="60" t="str">
        <f t="shared" si="64"/>
        <v>0290BC</v>
      </c>
      <c r="X528" s="60" t="str">
        <f t="shared" si="68"/>
        <v>Tropic 504 Ventair</v>
      </c>
      <c r="AC528" s="51">
        <f t="shared" si="69"/>
        <v>3</v>
      </c>
      <c r="AD528" s="44">
        <f t="shared" si="70"/>
        <v>23</v>
      </c>
      <c r="AE528" s="51">
        <f t="shared" si="71"/>
        <v>3023</v>
      </c>
    </row>
    <row r="529" spans="1:31">
      <c r="A529" s="60" t="str">
        <f t="shared" si="65"/>
        <v>0290BCblack</v>
      </c>
      <c r="B529" s="60" t="str">
        <f t="shared" si="66"/>
        <v>03-023-09</v>
      </c>
      <c r="C529" s="72" t="s">
        <v>1959</v>
      </c>
      <c r="D529" s="72" t="s">
        <v>1958</v>
      </c>
      <c r="E529" s="72" t="s">
        <v>969</v>
      </c>
      <c r="F529" s="73">
        <v>57</v>
      </c>
      <c r="G529" s="73" t="s">
        <v>1009</v>
      </c>
      <c r="H529" s="72" t="s">
        <v>53</v>
      </c>
      <c r="I529" s="72" t="s">
        <v>997</v>
      </c>
      <c r="J529" s="72" t="s">
        <v>320</v>
      </c>
      <c r="K529" s="72" t="s">
        <v>382</v>
      </c>
      <c r="L529" s="72" t="s">
        <v>1004</v>
      </c>
      <c r="M529" s="72" t="s">
        <v>384</v>
      </c>
      <c r="O529" s="72" t="s">
        <v>386</v>
      </c>
      <c r="P529" s="72" t="s">
        <v>808</v>
      </c>
      <c r="Q529" s="72" t="s">
        <v>1005</v>
      </c>
      <c r="R529" s="72" t="s">
        <v>53</v>
      </c>
      <c r="V529" s="60" t="str">
        <f t="shared" si="67"/>
        <v>0290BCчерный</v>
      </c>
      <c r="W529" s="60" t="str">
        <f t="shared" si="64"/>
        <v>0290BC</v>
      </c>
      <c r="X529" s="60" t="str">
        <f t="shared" si="68"/>
        <v>Tropic 504 Ventair</v>
      </c>
      <c r="AC529" s="51">
        <f t="shared" si="69"/>
        <v>3</v>
      </c>
      <c r="AD529" s="44">
        <f t="shared" si="70"/>
        <v>23</v>
      </c>
      <c r="AE529" s="51">
        <f t="shared" si="71"/>
        <v>3023</v>
      </c>
    </row>
    <row r="530" spans="1:31">
      <c r="A530" s="60" t="str">
        <f t="shared" si="65"/>
        <v>0290BCblack</v>
      </c>
      <c r="B530" s="60" t="str">
        <f t="shared" si="66"/>
        <v>03-023-09</v>
      </c>
      <c r="C530" s="72" t="s">
        <v>1960</v>
      </c>
      <c r="D530" s="72" t="s">
        <v>1958</v>
      </c>
      <c r="E530" s="72" t="s">
        <v>1030</v>
      </c>
      <c r="F530" s="73">
        <v>61</v>
      </c>
      <c r="G530" s="73" t="s">
        <v>1009</v>
      </c>
      <c r="H530" s="72" t="s">
        <v>53</v>
      </c>
      <c r="I530" s="72" t="s">
        <v>997</v>
      </c>
      <c r="J530" s="72" t="s">
        <v>320</v>
      </c>
      <c r="K530" s="72" t="s">
        <v>382</v>
      </c>
      <c r="L530" s="72" t="s">
        <v>1004</v>
      </c>
      <c r="M530" s="72" t="s">
        <v>384</v>
      </c>
      <c r="O530" s="72" t="s">
        <v>386</v>
      </c>
      <c r="P530" s="72" t="s">
        <v>808</v>
      </c>
      <c r="Q530" s="72" t="s">
        <v>1005</v>
      </c>
      <c r="R530" s="72" t="s">
        <v>53</v>
      </c>
      <c r="V530" s="60" t="str">
        <f t="shared" si="67"/>
        <v>0290BCчерный</v>
      </c>
      <c r="W530" s="60" t="str">
        <f t="shared" si="64"/>
        <v>0290BC</v>
      </c>
      <c r="X530" s="60" t="str">
        <f t="shared" si="68"/>
        <v>Tropic 504 Ventair</v>
      </c>
      <c r="AC530" s="51">
        <f t="shared" si="69"/>
        <v>3</v>
      </c>
      <c r="AD530" s="44">
        <f t="shared" si="70"/>
        <v>23</v>
      </c>
      <c r="AE530" s="51">
        <f t="shared" si="71"/>
        <v>3023</v>
      </c>
    </row>
    <row r="531" spans="1:31">
      <c r="A531" s="60" t="str">
        <f t="shared" si="65"/>
        <v>0290BClight blue</v>
      </c>
      <c r="B531" s="60" t="str">
        <f t="shared" si="66"/>
        <v>03-023-19</v>
      </c>
      <c r="C531" s="72" t="s">
        <v>1961</v>
      </c>
      <c r="D531" s="72" t="s">
        <v>1962</v>
      </c>
      <c r="E531" s="72" t="s">
        <v>976</v>
      </c>
      <c r="F531" s="73">
        <v>59</v>
      </c>
      <c r="G531" s="73" t="s">
        <v>1009</v>
      </c>
      <c r="H531" s="72" t="s">
        <v>91</v>
      </c>
      <c r="I531" s="72" t="s">
        <v>997</v>
      </c>
      <c r="J531" s="72" t="s">
        <v>320</v>
      </c>
      <c r="K531" s="72" t="s">
        <v>382</v>
      </c>
      <c r="L531" s="72" t="s">
        <v>988</v>
      </c>
      <c r="M531" s="72" t="s">
        <v>384</v>
      </c>
      <c r="O531" s="72" t="s">
        <v>539</v>
      </c>
      <c r="P531" s="72" t="s">
        <v>973</v>
      </c>
      <c r="Q531" s="72" t="s">
        <v>1963</v>
      </c>
      <c r="R531" s="72" t="s">
        <v>91</v>
      </c>
      <c r="V531" s="60" t="str">
        <f t="shared" si="67"/>
        <v>0290BCголубой</v>
      </c>
      <c r="W531" s="60" t="str">
        <f t="shared" si="64"/>
        <v>0290BC</v>
      </c>
      <c r="X531" s="60" t="str">
        <f t="shared" si="68"/>
        <v>Tropic 504 Ventair</v>
      </c>
      <c r="AC531" s="51">
        <f t="shared" si="69"/>
        <v>3</v>
      </c>
      <c r="AD531" s="44">
        <f t="shared" si="70"/>
        <v>23</v>
      </c>
      <c r="AE531" s="51">
        <f t="shared" si="71"/>
        <v>3023</v>
      </c>
    </row>
    <row r="532" spans="1:31">
      <c r="A532" s="60" t="str">
        <f t="shared" si="65"/>
        <v>0290BClight blue</v>
      </c>
      <c r="B532" s="60" t="str">
        <f t="shared" si="66"/>
        <v>03-023-19</v>
      </c>
      <c r="C532" s="72" t="s">
        <v>1964</v>
      </c>
      <c r="D532" s="72" t="s">
        <v>1962</v>
      </c>
      <c r="E532" s="72" t="s">
        <v>969</v>
      </c>
      <c r="F532" s="73">
        <v>57</v>
      </c>
      <c r="G532" s="73" t="s">
        <v>1009</v>
      </c>
      <c r="H532" s="72" t="s">
        <v>91</v>
      </c>
      <c r="I532" s="72" t="s">
        <v>997</v>
      </c>
      <c r="J532" s="72" t="s">
        <v>320</v>
      </c>
      <c r="K532" s="72" t="s">
        <v>382</v>
      </c>
      <c r="L532" s="72" t="s">
        <v>988</v>
      </c>
      <c r="M532" s="72" t="s">
        <v>384</v>
      </c>
      <c r="O532" s="72" t="s">
        <v>539</v>
      </c>
      <c r="P532" s="72" t="s">
        <v>973</v>
      </c>
      <c r="Q532" s="72" t="s">
        <v>1963</v>
      </c>
      <c r="R532" s="72" t="s">
        <v>91</v>
      </c>
      <c r="V532" s="60" t="str">
        <f t="shared" si="67"/>
        <v>0290BCголубой</v>
      </c>
      <c r="W532" s="60" t="str">
        <f t="shared" si="64"/>
        <v>0290BC</v>
      </c>
      <c r="X532" s="60" t="str">
        <f t="shared" si="68"/>
        <v>Tropic 504 Ventair</v>
      </c>
      <c r="AC532" s="51">
        <f t="shared" si="69"/>
        <v>3</v>
      </c>
      <c r="AD532" s="44">
        <f t="shared" si="70"/>
        <v>23</v>
      </c>
      <c r="AE532" s="51">
        <f t="shared" si="71"/>
        <v>3023</v>
      </c>
    </row>
    <row r="533" spans="1:31">
      <c r="A533" s="60" t="str">
        <f t="shared" si="65"/>
        <v>0290BClight blue</v>
      </c>
      <c r="B533" s="60" t="str">
        <f t="shared" si="66"/>
        <v>03-023-19</v>
      </c>
      <c r="C533" s="72" t="s">
        <v>1965</v>
      </c>
      <c r="D533" s="72" t="s">
        <v>1962</v>
      </c>
      <c r="E533" s="72" t="s">
        <v>1030</v>
      </c>
      <c r="F533" s="73">
        <v>61</v>
      </c>
      <c r="G533" s="73" t="s">
        <v>1009</v>
      </c>
      <c r="H533" s="72" t="s">
        <v>91</v>
      </c>
      <c r="I533" s="72" t="s">
        <v>997</v>
      </c>
      <c r="J533" s="72" t="s">
        <v>320</v>
      </c>
      <c r="K533" s="72" t="s">
        <v>382</v>
      </c>
      <c r="L533" s="72" t="s">
        <v>988</v>
      </c>
      <c r="M533" s="72" t="s">
        <v>384</v>
      </c>
      <c r="O533" s="72" t="s">
        <v>539</v>
      </c>
      <c r="P533" s="72" t="s">
        <v>973</v>
      </c>
      <c r="Q533" s="72" t="s">
        <v>1963</v>
      </c>
      <c r="R533" s="72" t="s">
        <v>91</v>
      </c>
      <c r="V533" s="60" t="str">
        <f t="shared" si="67"/>
        <v>0290BCголубой</v>
      </c>
      <c r="W533" s="60" t="str">
        <f t="shared" si="64"/>
        <v>0290BC</v>
      </c>
      <c r="X533" s="60" t="str">
        <f t="shared" si="68"/>
        <v>Tropic 504 Ventair</v>
      </c>
      <c r="AC533" s="51">
        <f t="shared" si="69"/>
        <v>3</v>
      </c>
      <c r="AD533" s="44">
        <f t="shared" si="70"/>
        <v>23</v>
      </c>
      <c r="AE533" s="51">
        <f t="shared" si="71"/>
        <v>3023</v>
      </c>
    </row>
    <row r="534" spans="1:31">
      <c r="A534" s="60" t="str">
        <f t="shared" si="65"/>
        <v>0290BCnavy</v>
      </c>
      <c r="B534" s="60" t="str">
        <f t="shared" si="66"/>
        <v>03-023-16</v>
      </c>
      <c r="C534" s="72" t="s">
        <v>1966</v>
      </c>
      <c r="D534" s="72" t="s">
        <v>1967</v>
      </c>
      <c r="E534" s="72" t="s">
        <v>969</v>
      </c>
      <c r="F534" s="73">
        <v>57</v>
      </c>
      <c r="G534" s="73" t="s">
        <v>1009</v>
      </c>
      <c r="H534" s="72" t="s">
        <v>55</v>
      </c>
      <c r="I534" s="72" t="s">
        <v>997</v>
      </c>
      <c r="J534" s="72" t="s">
        <v>320</v>
      </c>
      <c r="K534" s="72" t="s">
        <v>382</v>
      </c>
      <c r="L534" s="72" t="s">
        <v>1004</v>
      </c>
      <c r="M534" s="72" t="s">
        <v>384</v>
      </c>
      <c r="O534" s="72" t="s">
        <v>386</v>
      </c>
      <c r="P534" s="72" t="s">
        <v>808</v>
      </c>
      <c r="Q534" s="72" t="s">
        <v>1017</v>
      </c>
      <c r="R534" s="72" t="s">
        <v>71</v>
      </c>
      <c r="V534" s="60" t="str">
        <f t="shared" si="67"/>
        <v>0290BCтемно-синий</v>
      </c>
      <c r="W534" s="60" t="str">
        <f t="shared" si="64"/>
        <v>0290BC</v>
      </c>
      <c r="X534" s="60" t="str">
        <f t="shared" si="68"/>
        <v>Tropic 504 Ventair</v>
      </c>
      <c r="AC534" s="51">
        <f t="shared" si="69"/>
        <v>3</v>
      </c>
      <c r="AD534" s="44">
        <f t="shared" si="70"/>
        <v>23</v>
      </c>
      <c r="AE534" s="51">
        <f t="shared" si="71"/>
        <v>3023</v>
      </c>
    </row>
    <row r="535" spans="1:31">
      <c r="A535" s="60" t="str">
        <f t="shared" si="65"/>
        <v>0290BCnavy</v>
      </c>
      <c r="B535" s="60" t="str">
        <f t="shared" si="66"/>
        <v>03-023-16</v>
      </c>
      <c r="C535" s="72" t="s">
        <v>1968</v>
      </c>
      <c r="D535" s="72" t="s">
        <v>1967</v>
      </c>
      <c r="E535" s="72" t="s">
        <v>976</v>
      </c>
      <c r="F535" s="73">
        <v>59</v>
      </c>
      <c r="G535" s="73" t="s">
        <v>1009</v>
      </c>
      <c r="H535" s="72" t="s">
        <v>55</v>
      </c>
      <c r="I535" s="72" t="s">
        <v>997</v>
      </c>
      <c r="J535" s="72" t="s">
        <v>320</v>
      </c>
      <c r="K535" s="72" t="s">
        <v>382</v>
      </c>
      <c r="L535" s="72" t="s">
        <v>1004</v>
      </c>
      <c r="M535" s="72" t="s">
        <v>384</v>
      </c>
      <c r="O535" s="72" t="s">
        <v>386</v>
      </c>
      <c r="P535" s="72" t="s">
        <v>808</v>
      </c>
      <c r="Q535" s="72" t="s">
        <v>1017</v>
      </c>
      <c r="R535" s="72" t="s">
        <v>71</v>
      </c>
      <c r="V535" s="60" t="str">
        <f t="shared" si="67"/>
        <v>0290BCтемно-синий</v>
      </c>
      <c r="W535" s="60" t="str">
        <f t="shared" si="64"/>
        <v>0290BC</v>
      </c>
      <c r="X535" s="60" t="str">
        <f t="shared" si="68"/>
        <v>Tropic 504 Ventair</v>
      </c>
      <c r="AC535" s="51">
        <f t="shared" si="69"/>
        <v>3</v>
      </c>
      <c r="AD535" s="44">
        <f t="shared" si="70"/>
        <v>23</v>
      </c>
      <c r="AE535" s="51">
        <f t="shared" si="71"/>
        <v>3023</v>
      </c>
    </row>
    <row r="536" spans="1:31">
      <c r="A536" s="60" t="str">
        <f t="shared" si="65"/>
        <v>0290BCnavy</v>
      </c>
      <c r="B536" s="60" t="str">
        <f t="shared" si="66"/>
        <v>03-023-16</v>
      </c>
      <c r="C536" s="72" t="s">
        <v>1969</v>
      </c>
      <c r="D536" s="72" t="s">
        <v>1967</v>
      </c>
      <c r="E536" s="72" t="s">
        <v>1030</v>
      </c>
      <c r="F536" s="73">
        <v>61</v>
      </c>
      <c r="G536" s="73" t="s">
        <v>1009</v>
      </c>
      <c r="H536" s="72" t="s">
        <v>55</v>
      </c>
      <c r="I536" s="72" t="s">
        <v>997</v>
      </c>
      <c r="J536" s="72" t="s">
        <v>320</v>
      </c>
      <c r="K536" s="72" t="s">
        <v>382</v>
      </c>
      <c r="L536" s="72" t="s">
        <v>1004</v>
      </c>
      <c r="M536" s="72" t="s">
        <v>384</v>
      </c>
      <c r="O536" s="72" t="s">
        <v>386</v>
      </c>
      <c r="P536" s="72" t="s">
        <v>808</v>
      </c>
      <c r="Q536" s="72" t="s">
        <v>1017</v>
      </c>
      <c r="R536" s="72" t="s">
        <v>71</v>
      </c>
      <c r="V536" s="60" t="str">
        <f t="shared" si="67"/>
        <v>0290BCтемно-синий</v>
      </c>
      <c r="W536" s="60" t="str">
        <f t="shared" si="64"/>
        <v>0290BC</v>
      </c>
      <c r="X536" s="60" t="str">
        <f t="shared" si="68"/>
        <v>Tropic 504 Ventair</v>
      </c>
      <c r="AC536" s="51">
        <f t="shared" si="69"/>
        <v>3</v>
      </c>
      <c r="AD536" s="44">
        <f t="shared" si="70"/>
        <v>23</v>
      </c>
      <c r="AE536" s="51">
        <f t="shared" si="71"/>
        <v>3023</v>
      </c>
    </row>
    <row r="537" spans="1:31">
      <c r="A537" s="60" t="str">
        <f t="shared" si="65"/>
        <v>0290BCwhite</v>
      </c>
      <c r="B537" s="60" t="str">
        <f t="shared" si="66"/>
        <v>03-023-17</v>
      </c>
      <c r="C537" s="72" t="s">
        <v>1970</v>
      </c>
      <c r="D537" s="72" t="s">
        <v>1971</v>
      </c>
      <c r="E537" s="72" t="s">
        <v>976</v>
      </c>
      <c r="F537" s="73">
        <v>59</v>
      </c>
      <c r="G537" s="73" t="s">
        <v>1009</v>
      </c>
      <c r="H537" s="72" t="s">
        <v>57</v>
      </c>
      <c r="I537" s="72" t="s">
        <v>912</v>
      </c>
      <c r="J537" s="72" t="s">
        <v>320</v>
      </c>
      <c r="K537" s="72" t="s">
        <v>382</v>
      </c>
      <c r="L537" s="72" t="s">
        <v>988</v>
      </c>
      <c r="M537" s="72" t="s">
        <v>384</v>
      </c>
      <c r="O537" s="72" t="s">
        <v>539</v>
      </c>
      <c r="P537" s="72" t="s">
        <v>973</v>
      </c>
      <c r="Q537" s="72" t="s">
        <v>989</v>
      </c>
      <c r="R537" s="72" t="s">
        <v>57</v>
      </c>
      <c r="V537" s="60" t="str">
        <f t="shared" si="67"/>
        <v>0290BCбелый</v>
      </c>
      <c r="W537" s="60" t="str">
        <f t="shared" si="64"/>
        <v>0290BC</v>
      </c>
      <c r="X537" s="60" t="str">
        <f t="shared" si="68"/>
        <v>Tropic 504 Ventair</v>
      </c>
      <c r="AC537" s="51">
        <f t="shared" si="69"/>
        <v>3</v>
      </c>
      <c r="AD537" s="44">
        <f t="shared" si="70"/>
        <v>23</v>
      </c>
      <c r="AE537" s="51">
        <f t="shared" si="71"/>
        <v>3023</v>
      </c>
    </row>
    <row r="538" spans="1:31">
      <c r="A538" s="60" t="str">
        <f t="shared" si="65"/>
        <v>0290BCwhite</v>
      </c>
      <c r="B538" s="60" t="str">
        <f t="shared" si="66"/>
        <v>03-023-17</v>
      </c>
      <c r="C538" s="72" t="s">
        <v>1972</v>
      </c>
      <c r="D538" s="72" t="s">
        <v>1971</v>
      </c>
      <c r="E538" s="72" t="s">
        <v>969</v>
      </c>
      <c r="F538" s="73">
        <v>57</v>
      </c>
      <c r="G538" s="73" t="s">
        <v>1009</v>
      </c>
      <c r="H538" s="72" t="s">
        <v>57</v>
      </c>
      <c r="I538" s="72" t="s">
        <v>912</v>
      </c>
      <c r="J538" s="72" t="s">
        <v>320</v>
      </c>
      <c r="K538" s="72" t="s">
        <v>382</v>
      </c>
      <c r="L538" s="72" t="s">
        <v>988</v>
      </c>
      <c r="M538" s="72" t="s">
        <v>384</v>
      </c>
      <c r="O538" s="72" t="s">
        <v>539</v>
      </c>
      <c r="P538" s="72" t="s">
        <v>973</v>
      </c>
      <c r="Q538" s="72" t="s">
        <v>989</v>
      </c>
      <c r="R538" s="72" t="s">
        <v>57</v>
      </c>
      <c r="V538" s="60" t="str">
        <f t="shared" si="67"/>
        <v>0290BCбелый</v>
      </c>
      <c r="W538" s="60" t="str">
        <f t="shared" si="64"/>
        <v>0290BC</v>
      </c>
      <c r="X538" s="60" t="str">
        <f t="shared" si="68"/>
        <v>Tropic 504 Ventair</v>
      </c>
      <c r="AC538" s="51">
        <f t="shared" si="69"/>
        <v>3</v>
      </c>
      <c r="AD538" s="44">
        <f t="shared" si="70"/>
        <v>23</v>
      </c>
      <c r="AE538" s="51">
        <f t="shared" si="71"/>
        <v>3023</v>
      </c>
    </row>
    <row r="539" spans="1:31">
      <c r="A539" s="60" t="str">
        <f t="shared" si="65"/>
        <v>0397BCblack</v>
      </c>
      <c r="B539" s="60" t="str">
        <f t="shared" si="66"/>
        <v>03-024-09</v>
      </c>
      <c r="C539" s="72" t="s">
        <v>1973</v>
      </c>
      <c r="D539" s="72" t="s">
        <v>1974</v>
      </c>
      <c r="E539" s="72" t="s">
        <v>976</v>
      </c>
      <c r="F539" s="73">
        <v>59</v>
      </c>
      <c r="G539" s="73" t="s">
        <v>970</v>
      </c>
      <c r="H539" s="72" t="s">
        <v>53</v>
      </c>
      <c r="I539" s="72" t="s">
        <v>971</v>
      </c>
      <c r="J539" s="72" t="s">
        <v>325</v>
      </c>
      <c r="K539" s="72" t="s">
        <v>382</v>
      </c>
      <c r="L539" s="72" t="s">
        <v>972</v>
      </c>
      <c r="M539" s="72" t="s">
        <v>384</v>
      </c>
      <c r="O539" s="72" t="s">
        <v>539</v>
      </c>
      <c r="P539" s="72" t="s">
        <v>973</v>
      </c>
      <c r="Q539" s="72" t="s">
        <v>1005</v>
      </c>
      <c r="R539" s="72" t="s">
        <v>53</v>
      </c>
      <c r="V539" s="60" t="str">
        <f t="shared" si="67"/>
        <v>0397BCчерный</v>
      </c>
      <c r="W539" s="60" t="str">
        <f t="shared" si="64"/>
        <v>0397BC</v>
      </c>
      <c r="X539" s="60" t="str">
        <f t="shared" si="68"/>
        <v>Bermuda Casual</v>
      </c>
      <c r="AC539" s="51">
        <f t="shared" si="69"/>
        <v>3</v>
      </c>
      <c r="AD539" s="44">
        <f t="shared" si="70"/>
        <v>24</v>
      </c>
      <c r="AE539" s="51">
        <f t="shared" si="71"/>
        <v>3024</v>
      </c>
    </row>
    <row r="540" spans="1:31">
      <c r="A540" s="60" t="str">
        <f t="shared" si="65"/>
        <v>0397BCblack</v>
      </c>
      <c r="B540" s="60" t="str">
        <f t="shared" si="66"/>
        <v>03-024-09</v>
      </c>
      <c r="C540" s="72" t="s">
        <v>1975</v>
      </c>
      <c r="D540" s="72" t="s">
        <v>1974</v>
      </c>
      <c r="E540" s="72" t="s">
        <v>969</v>
      </c>
      <c r="F540" s="73">
        <v>57</v>
      </c>
      <c r="G540" s="73" t="s">
        <v>970</v>
      </c>
      <c r="H540" s="72" t="s">
        <v>53</v>
      </c>
      <c r="I540" s="72" t="s">
        <v>971</v>
      </c>
      <c r="J540" s="72" t="s">
        <v>325</v>
      </c>
      <c r="K540" s="72" t="s">
        <v>382</v>
      </c>
      <c r="L540" s="72" t="s">
        <v>972</v>
      </c>
      <c r="M540" s="72" t="s">
        <v>384</v>
      </c>
      <c r="O540" s="72" t="s">
        <v>539</v>
      </c>
      <c r="P540" s="72" t="s">
        <v>973</v>
      </c>
      <c r="Q540" s="72" t="s">
        <v>1005</v>
      </c>
      <c r="R540" s="72" t="s">
        <v>53</v>
      </c>
      <c r="V540" s="60" t="str">
        <f t="shared" si="67"/>
        <v>0397BCчерный</v>
      </c>
      <c r="W540" s="60" t="str">
        <f t="shared" si="64"/>
        <v>0397BC</v>
      </c>
      <c r="X540" s="60" t="str">
        <f t="shared" si="68"/>
        <v>Bermuda Casual</v>
      </c>
      <c r="AC540" s="51">
        <f t="shared" si="69"/>
        <v>3</v>
      </c>
      <c r="AD540" s="44">
        <f t="shared" si="70"/>
        <v>24</v>
      </c>
      <c r="AE540" s="51">
        <f t="shared" si="71"/>
        <v>3024</v>
      </c>
    </row>
    <row r="541" spans="1:31">
      <c r="A541" s="60" t="str">
        <f t="shared" si="65"/>
        <v>0397BCwhite</v>
      </c>
      <c r="B541" s="60" t="str">
        <f t="shared" si="66"/>
        <v>03-024-17</v>
      </c>
      <c r="C541" s="72" t="s">
        <v>1976</v>
      </c>
      <c r="D541" s="72" t="s">
        <v>1977</v>
      </c>
      <c r="E541" s="72" t="s">
        <v>976</v>
      </c>
      <c r="F541" s="73">
        <v>59</v>
      </c>
      <c r="G541" s="73" t="s">
        <v>970</v>
      </c>
      <c r="H541" s="72" t="s">
        <v>57</v>
      </c>
      <c r="I541" s="72" t="s">
        <v>971</v>
      </c>
      <c r="J541" s="72" t="s">
        <v>325</v>
      </c>
      <c r="K541" s="72" t="s">
        <v>382</v>
      </c>
      <c r="L541" s="72" t="s">
        <v>972</v>
      </c>
      <c r="M541" s="72" t="s">
        <v>384</v>
      </c>
      <c r="O541" s="72" t="s">
        <v>539</v>
      </c>
      <c r="P541" s="72" t="s">
        <v>973</v>
      </c>
      <c r="Q541" s="72" t="s">
        <v>989</v>
      </c>
      <c r="R541" s="72" t="s">
        <v>57</v>
      </c>
      <c r="V541" s="60" t="str">
        <f t="shared" si="67"/>
        <v>0397BCбелый</v>
      </c>
      <c r="W541" s="60" t="str">
        <f t="shared" si="64"/>
        <v>0397BC</v>
      </c>
      <c r="X541" s="60" t="str">
        <f t="shared" si="68"/>
        <v>Bermuda Casual</v>
      </c>
      <c r="AC541" s="51">
        <f t="shared" si="69"/>
        <v>3</v>
      </c>
      <c r="AD541" s="44">
        <f t="shared" si="70"/>
        <v>24</v>
      </c>
      <c r="AE541" s="51">
        <f t="shared" si="71"/>
        <v>3024</v>
      </c>
    </row>
    <row r="542" spans="1:31">
      <c r="A542" s="60" t="str">
        <f t="shared" si="65"/>
        <v>0397BCwhite</v>
      </c>
      <c r="B542" s="60" t="str">
        <f t="shared" si="66"/>
        <v>03-024-17</v>
      </c>
      <c r="C542" s="72" t="s">
        <v>1978</v>
      </c>
      <c r="D542" s="72" t="s">
        <v>1977</v>
      </c>
      <c r="E542" s="72" t="s">
        <v>969</v>
      </c>
      <c r="F542" s="73">
        <v>57</v>
      </c>
      <c r="G542" s="73" t="s">
        <v>970</v>
      </c>
      <c r="H542" s="72" t="s">
        <v>57</v>
      </c>
      <c r="I542" s="72" t="s">
        <v>971</v>
      </c>
      <c r="J542" s="72" t="s">
        <v>325</v>
      </c>
      <c r="K542" s="72" t="s">
        <v>382</v>
      </c>
      <c r="L542" s="72" t="s">
        <v>972</v>
      </c>
      <c r="M542" s="72" t="s">
        <v>384</v>
      </c>
      <c r="O542" s="72" t="s">
        <v>539</v>
      </c>
      <c r="P542" s="72" t="s">
        <v>973</v>
      </c>
      <c r="Q542" s="72" t="s">
        <v>989</v>
      </c>
      <c r="R542" s="72" t="s">
        <v>57</v>
      </c>
      <c r="V542" s="60" t="str">
        <f t="shared" si="67"/>
        <v>0397BCбелый</v>
      </c>
      <c r="W542" s="60" t="str">
        <f t="shared" si="64"/>
        <v>0397BC</v>
      </c>
      <c r="X542" s="60" t="str">
        <f t="shared" si="68"/>
        <v>Bermuda Casual</v>
      </c>
      <c r="AC542" s="51">
        <f t="shared" si="69"/>
        <v>3</v>
      </c>
      <c r="AD542" s="44">
        <f t="shared" si="70"/>
        <v>24</v>
      </c>
      <c r="AE542" s="51">
        <f t="shared" si="71"/>
        <v>3024</v>
      </c>
    </row>
    <row r="543" spans="1:31">
      <c r="A543" s="60" t="str">
        <f t="shared" si="65"/>
        <v>1456BCblack</v>
      </c>
      <c r="B543" s="60" t="str">
        <f t="shared" si="66"/>
        <v>03-025-09</v>
      </c>
      <c r="C543" s="72" t="s">
        <v>1979</v>
      </c>
      <c r="D543" s="72" t="s">
        <v>1980</v>
      </c>
      <c r="E543" s="72" t="s">
        <v>976</v>
      </c>
      <c r="F543" s="73">
        <v>59</v>
      </c>
      <c r="G543" s="73" t="s">
        <v>1015</v>
      </c>
      <c r="H543" s="72" t="s">
        <v>53</v>
      </c>
      <c r="I543" s="72" t="s">
        <v>1016</v>
      </c>
      <c r="J543" s="72" t="s">
        <v>327</v>
      </c>
      <c r="K543" s="72" t="s">
        <v>382</v>
      </c>
      <c r="L543" s="72" t="s">
        <v>1004</v>
      </c>
      <c r="M543" s="72" t="s">
        <v>384</v>
      </c>
      <c r="O543" s="72" t="s">
        <v>539</v>
      </c>
      <c r="P543" s="72" t="s">
        <v>808</v>
      </c>
      <c r="Q543" s="72" t="s">
        <v>1005</v>
      </c>
      <c r="R543" s="72" t="s">
        <v>53</v>
      </c>
      <c r="V543" s="60" t="str">
        <f t="shared" si="67"/>
        <v>1456BCчерный</v>
      </c>
      <c r="W543" s="60" t="str">
        <f t="shared" si="64"/>
        <v>1456BC</v>
      </c>
      <c r="X543" s="60" t="str">
        <f t="shared" si="68"/>
        <v>Tropic Ventair Spacecap</v>
      </c>
      <c r="AC543" s="51">
        <f t="shared" si="69"/>
        <v>3</v>
      </c>
      <c r="AD543" s="44">
        <f t="shared" si="70"/>
        <v>25</v>
      </c>
      <c r="AE543" s="51">
        <f t="shared" si="71"/>
        <v>3025</v>
      </c>
    </row>
    <row r="544" spans="1:31">
      <c r="A544" s="60" t="str">
        <f t="shared" si="65"/>
        <v>1456BCblack</v>
      </c>
      <c r="B544" s="60" t="str">
        <f t="shared" si="66"/>
        <v>03-025-09</v>
      </c>
      <c r="C544" s="72" t="s">
        <v>1981</v>
      </c>
      <c r="D544" s="72" t="s">
        <v>1980</v>
      </c>
      <c r="E544" s="72" t="s">
        <v>969</v>
      </c>
      <c r="F544" s="73">
        <v>57</v>
      </c>
      <c r="G544" s="73" t="s">
        <v>1015</v>
      </c>
      <c r="H544" s="72" t="s">
        <v>53</v>
      </c>
      <c r="I544" s="72" t="s">
        <v>1016</v>
      </c>
      <c r="J544" s="72" t="s">
        <v>327</v>
      </c>
      <c r="K544" s="72" t="s">
        <v>382</v>
      </c>
      <c r="L544" s="72" t="s">
        <v>1004</v>
      </c>
      <c r="M544" s="72" t="s">
        <v>384</v>
      </c>
      <c r="O544" s="72" t="s">
        <v>539</v>
      </c>
      <c r="P544" s="72" t="s">
        <v>808</v>
      </c>
      <c r="Q544" s="72" t="s">
        <v>1005</v>
      </c>
      <c r="R544" s="72" t="s">
        <v>53</v>
      </c>
      <c r="V544" s="60" t="str">
        <f t="shared" si="67"/>
        <v>1456BCчерный</v>
      </c>
      <c r="W544" s="60" t="str">
        <f t="shared" si="64"/>
        <v>1456BC</v>
      </c>
      <c r="X544" s="60" t="str">
        <f t="shared" si="68"/>
        <v>Tropic Ventair Spacecap</v>
      </c>
      <c r="AC544" s="51">
        <f t="shared" si="69"/>
        <v>3</v>
      </c>
      <c r="AD544" s="44">
        <f t="shared" si="70"/>
        <v>25</v>
      </c>
      <c r="AE544" s="51">
        <f t="shared" si="71"/>
        <v>3025</v>
      </c>
    </row>
    <row r="545" spans="1:31">
      <c r="A545" s="60" t="str">
        <f t="shared" si="65"/>
        <v>5128BCflannel</v>
      </c>
      <c r="B545" s="60" t="str">
        <f t="shared" si="66"/>
        <v>03-026-08</v>
      </c>
      <c r="C545" s="72" t="s">
        <v>1982</v>
      </c>
      <c r="D545" s="72" t="s">
        <v>1983</v>
      </c>
      <c r="E545" s="72" t="s">
        <v>1058</v>
      </c>
      <c r="F545" s="73">
        <v>60</v>
      </c>
      <c r="G545" s="73" t="s">
        <v>1506</v>
      </c>
      <c r="H545" s="72" t="s">
        <v>83</v>
      </c>
      <c r="I545" s="72" t="s">
        <v>1393</v>
      </c>
      <c r="J545" s="72" t="s">
        <v>327</v>
      </c>
      <c r="K545" s="72" t="s">
        <v>382</v>
      </c>
      <c r="L545" s="72" t="s">
        <v>981</v>
      </c>
      <c r="M545" s="72" t="s">
        <v>384</v>
      </c>
      <c r="O545" s="72" t="s">
        <v>533</v>
      </c>
      <c r="P545" s="72" t="s">
        <v>973</v>
      </c>
      <c r="Q545" s="72" t="s">
        <v>1119</v>
      </c>
      <c r="R545" s="72" t="s">
        <v>83</v>
      </c>
      <c r="V545" s="60" t="str">
        <f t="shared" si="67"/>
        <v>5128BCсерый</v>
      </c>
      <c r="W545" s="60" t="str">
        <f t="shared" si="64"/>
        <v>5128BC</v>
      </c>
      <c r="X545" s="60" t="str">
        <f t="shared" si="68"/>
        <v>3D Flexfit Baseball</v>
      </c>
      <c r="AC545" s="51">
        <f t="shared" si="69"/>
        <v>3</v>
      </c>
      <c r="AD545" s="44">
        <f t="shared" si="70"/>
        <v>26</v>
      </c>
      <c r="AE545" s="51">
        <f t="shared" si="71"/>
        <v>3026</v>
      </c>
    </row>
    <row r="546" spans="1:31">
      <c r="A546" s="60" t="str">
        <f t="shared" si="65"/>
        <v>5128BCflannel</v>
      </c>
      <c r="B546" s="60" t="str">
        <f t="shared" si="66"/>
        <v>03-026-08</v>
      </c>
      <c r="C546" s="72" t="s">
        <v>1984</v>
      </c>
      <c r="D546" s="72" t="s">
        <v>1983</v>
      </c>
      <c r="E546" s="72" t="s">
        <v>1053</v>
      </c>
      <c r="F546" s="73">
        <v>56</v>
      </c>
      <c r="G546" s="73" t="s">
        <v>1506</v>
      </c>
      <c r="H546" s="72" t="s">
        <v>83</v>
      </c>
      <c r="I546" s="72" t="s">
        <v>1393</v>
      </c>
      <c r="J546" s="72" t="s">
        <v>327</v>
      </c>
      <c r="K546" s="72" t="s">
        <v>382</v>
      </c>
      <c r="L546" s="72" t="s">
        <v>981</v>
      </c>
      <c r="M546" s="72" t="s">
        <v>384</v>
      </c>
      <c r="O546" s="72" t="s">
        <v>533</v>
      </c>
      <c r="P546" s="72" t="s">
        <v>973</v>
      </c>
      <c r="Q546" s="72" t="s">
        <v>1119</v>
      </c>
      <c r="R546" s="72" t="s">
        <v>83</v>
      </c>
      <c r="V546" s="60" t="str">
        <f t="shared" si="67"/>
        <v>5128BCсерый</v>
      </c>
      <c r="W546" s="60" t="str">
        <f t="shared" si="64"/>
        <v>5128BC</v>
      </c>
      <c r="X546" s="60" t="str">
        <f t="shared" si="68"/>
        <v>3D Flexfit Baseball</v>
      </c>
      <c r="AC546" s="51">
        <f t="shared" si="69"/>
        <v>3</v>
      </c>
      <c r="AD546" s="44">
        <f t="shared" si="70"/>
        <v>26</v>
      </c>
      <c r="AE546" s="51">
        <f t="shared" si="71"/>
        <v>3026</v>
      </c>
    </row>
    <row r="547" spans="1:31">
      <c r="A547" s="60" t="str">
        <f t="shared" si="65"/>
        <v>6736BCblack</v>
      </c>
      <c r="B547" s="60" t="str">
        <f t="shared" si="66"/>
        <v>03-027-09</v>
      </c>
      <c r="C547" s="72" t="s">
        <v>1985</v>
      </c>
      <c r="D547" s="72" t="s">
        <v>1986</v>
      </c>
      <c r="E547" s="72" t="s">
        <v>976</v>
      </c>
      <c r="F547" s="73">
        <v>59</v>
      </c>
      <c r="G547" s="73" t="s">
        <v>1660</v>
      </c>
      <c r="H547" s="72" t="s">
        <v>53</v>
      </c>
      <c r="I547" s="72" t="s">
        <v>1661</v>
      </c>
      <c r="J547" s="72" t="s">
        <v>320</v>
      </c>
      <c r="K547" s="72" t="s">
        <v>382</v>
      </c>
      <c r="L547" s="72" t="s">
        <v>988</v>
      </c>
      <c r="M547" s="72" t="s">
        <v>384</v>
      </c>
      <c r="O547" s="72" t="s">
        <v>539</v>
      </c>
      <c r="P547" s="72" t="s">
        <v>973</v>
      </c>
      <c r="Q547" s="72" t="s">
        <v>1005</v>
      </c>
      <c r="R547" s="72" t="s">
        <v>53</v>
      </c>
      <c r="V547" s="60" t="str">
        <f t="shared" si="67"/>
        <v>6736BCчерный</v>
      </c>
      <c r="W547" s="60" t="str">
        <f t="shared" si="64"/>
        <v>6736BC</v>
      </c>
      <c r="X547" s="60" t="str">
        <f t="shared" si="68"/>
        <v>Bamboo 507</v>
      </c>
      <c r="AC547" s="51">
        <f t="shared" si="69"/>
        <v>3</v>
      </c>
      <c r="AD547" s="44">
        <f t="shared" si="70"/>
        <v>27</v>
      </c>
      <c r="AE547" s="51">
        <f t="shared" si="71"/>
        <v>3027</v>
      </c>
    </row>
    <row r="548" spans="1:31">
      <c r="A548" s="60" t="str">
        <f t="shared" si="65"/>
        <v>6736BCblack</v>
      </c>
      <c r="B548" s="60" t="str">
        <f t="shared" si="66"/>
        <v>03-027-09</v>
      </c>
      <c r="C548" s="72" t="s">
        <v>1987</v>
      </c>
      <c r="D548" s="72" t="s">
        <v>1986</v>
      </c>
      <c r="E548" s="72" t="s">
        <v>969</v>
      </c>
      <c r="F548" s="73">
        <v>57</v>
      </c>
      <c r="G548" s="73" t="s">
        <v>1660</v>
      </c>
      <c r="H548" s="72" t="s">
        <v>53</v>
      </c>
      <c r="I548" s="72" t="s">
        <v>1661</v>
      </c>
      <c r="J548" s="72" t="s">
        <v>320</v>
      </c>
      <c r="K548" s="72" t="s">
        <v>382</v>
      </c>
      <c r="L548" s="72" t="s">
        <v>988</v>
      </c>
      <c r="M548" s="72" t="s">
        <v>384</v>
      </c>
      <c r="O548" s="72" t="s">
        <v>539</v>
      </c>
      <c r="P548" s="72" t="s">
        <v>973</v>
      </c>
      <c r="Q548" s="72" t="s">
        <v>1005</v>
      </c>
      <c r="R548" s="72" t="s">
        <v>53</v>
      </c>
      <c r="V548" s="60" t="str">
        <f t="shared" si="67"/>
        <v>6736BCчерный</v>
      </c>
      <c r="W548" s="60" t="str">
        <f t="shared" si="64"/>
        <v>6736BC</v>
      </c>
      <c r="X548" s="60" t="str">
        <f t="shared" si="68"/>
        <v>Bamboo 507</v>
      </c>
      <c r="AC548" s="51">
        <f t="shared" si="69"/>
        <v>3</v>
      </c>
      <c r="AD548" s="44">
        <f t="shared" si="70"/>
        <v>27</v>
      </c>
      <c r="AE548" s="51">
        <f t="shared" si="71"/>
        <v>3027</v>
      </c>
    </row>
    <row r="549" spans="1:31">
      <c r="A549" s="60" t="str">
        <f t="shared" si="65"/>
        <v>6736BCblack</v>
      </c>
      <c r="B549" s="60" t="str">
        <f t="shared" si="66"/>
        <v>03-027-09</v>
      </c>
      <c r="C549" s="72" t="s">
        <v>1988</v>
      </c>
      <c r="D549" s="72" t="s">
        <v>1986</v>
      </c>
      <c r="E549" s="72" t="s">
        <v>1030</v>
      </c>
      <c r="F549" s="73">
        <v>61</v>
      </c>
      <c r="G549" s="73" t="s">
        <v>1660</v>
      </c>
      <c r="H549" s="72" t="s">
        <v>53</v>
      </c>
      <c r="I549" s="72" t="s">
        <v>1661</v>
      </c>
      <c r="J549" s="72" t="s">
        <v>320</v>
      </c>
      <c r="K549" s="72" t="s">
        <v>382</v>
      </c>
      <c r="L549" s="72" t="s">
        <v>988</v>
      </c>
      <c r="M549" s="72" t="s">
        <v>384</v>
      </c>
      <c r="O549" s="72" t="s">
        <v>539</v>
      </c>
      <c r="P549" s="72" t="s">
        <v>973</v>
      </c>
      <c r="Q549" s="72" t="s">
        <v>1005</v>
      </c>
      <c r="R549" s="72" t="s">
        <v>53</v>
      </c>
      <c r="V549" s="60" t="str">
        <f t="shared" si="67"/>
        <v>6736BCчерный</v>
      </c>
      <c r="W549" s="60" t="str">
        <f t="shared" si="64"/>
        <v>6736BC</v>
      </c>
      <c r="X549" s="60" t="str">
        <f t="shared" si="68"/>
        <v>Bamboo 507</v>
      </c>
      <c r="AC549" s="51">
        <f t="shared" si="69"/>
        <v>3</v>
      </c>
      <c r="AD549" s="44">
        <f t="shared" si="70"/>
        <v>27</v>
      </c>
      <c r="AE549" s="51">
        <f t="shared" si="71"/>
        <v>3027</v>
      </c>
    </row>
    <row r="550" spans="1:31">
      <c r="A550" s="60" t="str">
        <f t="shared" si="65"/>
        <v>6736BCnavy</v>
      </c>
      <c r="B550" s="60" t="str">
        <f t="shared" si="66"/>
        <v>03-027-16</v>
      </c>
      <c r="C550" s="72" t="s">
        <v>1989</v>
      </c>
      <c r="D550" s="72" t="s">
        <v>1990</v>
      </c>
      <c r="E550" s="72" t="s">
        <v>976</v>
      </c>
      <c r="F550" s="73">
        <v>59</v>
      </c>
      <c r="G550" s="73" t="s">
        <v>1660</v>
      </c>
      <c r="H550" s="72" t="s">
        <v>55</v>
      </c>
      <c r="I550" s="72" t="s">
        <v>1661</v>
      </c>
      <c r="J550" s="72" t="s">
        <v>320</v>
      </c>
      <c r="K550" s="72" t="s">
        <v>382</v>
      </c>
      <c r="L550" s="72" t="s">
        <v>988</v>
      </c>
      <c r="M550" s="72" t="s">
        <v>384</v>
      </c>
      <c r="O550" s="72" t="s">
        <v>539</v>
      </c>
      <c r="P550" s="72" t="s">
        <v>973</v>
      </c>
      <c r="Q550" s="72" t="s">
        <v>1017</v>
      </c>
      <c r="R550" s="72" t="s">
        <v>71</v>
      </c>
      <c r="V550" s="60" t="str">
        <f t="shared" si="67"/>
        <v>6736BCтемно-синий</v>
      </c>
      <c r="W550" s="60" t="str">
        <f t="shared" si="64"/>
        <v>6736BC</v>
      </c>
      <c r="X550" s="60" t="str">
        <f t="shared" si="68"/>
        <v>Bamboo 507</v>
      </c>
      <c r="AC550" s="51">
        <f t="shared" si="69"/>
        <v>3</v>
      </c>
      <c r="AD550" s="44">
        <f t="shared" si="70"/>
        <v>27</v>
      </c>
      <c r="AE550" s="51">
        <f t="shared" si="71"/>
        <v>3027</v>
      </c>
    </row>
    <row r="551" spans="1:31">
      <c r="A551" s="60" t="str">
        <f t="shared" si="65"/>
        <v>6736BCnavy</v>
      </c>
      <c r="B551" s="60" t="str">
        <f t="shared" si="66"/>
        <v>03-027-16</v>
      </c>
      <c r="C551" s="72" t="s">
        <v>1991</v>
      </c>
      <c r="D551" s="72" t="s">
        <v>1990</v>
      </c>
      <c r="E551" s="72" t="s">
        <v>969</v>
      </c>
      <c r="F551" s="73">
        <v>57</v>
      </c>
      <c r="G551" s="73" t="s">
        <v>1660</v>
      </c>
      <c r="H551" s="72" t="s">
        <v>55</v>
      </c>
      <c r="I551" s="72" t="s">
        <v>1661</v>
      </c>
      <c r="J551" s="72" t="s">
        <v>320</v>
      </c>
      <c r="K551" s="72" t="s">
        <v>382</v>
      </c>
      <c r="L551" s="72" t="s">
        <v>988</v>
      </c>
      <c r="M551" s="72" t="s">
        <v>384</v>
      </c>
      <c r="O551" s="72" t="s">
        <v>539</v>
      </c>
      <c r="P551" s="72" t="s">
        <v>973</v>
      </c>
      <c r="Q551" s="72" t="s">
        <v>1017</v>
      </c>
      <c r="R551" s="72" t="s">
        <v>71</v>
      </c>
      <c r="V551" s="60" t="str">
        <f t="shared" si="67"/>
        <v>6736BCтемно-синий</v>
      </c>
      <c r="W551" s="60" t="str">
        <f t="shared" si="64"/>
        <v>6736BC</v>
      </c>
      <c r="X551" s="60" t="str">
        <f t="shared" si="68"/>
        <v>Bamboo 507</v>
      </c>
      <c r="AC551" s="51">
        <f t="shared" si="69"/>
        <v>3</v>
      </c>
      <c r="AD551" s="44">
        <f t="shared" si="70"/>
        <v>27</v>
      </c>
      <c r="AE551" s="51">
        <f t="shared" si="71"/>
        <v>3027</v>
      </c>
    </row>
    <row r="552" spans="1:31">
      <c r="A552" s="60" t="str">
        <f t="shared" si="65"/>
        <v>6915BCbeige</v>
      </c>
      <c r="B552" s="60" t="str">
        <f t="shared" si="66"/>
        <v>03-028-02</v>
      </c>
      <c r="C552" s="72" t="s">
        <v>1992</v>
      </c>
      <c r="D552" s="72" t="s">
        <v>1993</v>
      </c>
      <c r="E552" s="72" t="s">
        <v>976</v>
      </c>
      <c r="F552" s="73">
        <v>59</v>
      </c>
      <c r="G552" s="73" t="s">
        <v>1994</v>
      </c>
      <c r="H552" s="72" t="s">
        <v>63</v>
      </c>
      <c r="I552" s="72" t="s">
        <v>1010</v>
      </c>
      <c r="J552" s="72" t="s">
        <v>320</v>
      </c>
      <c r="K552" s="72" t="s">
        <v>382</v>
      </c>
      <c r="L552" s="72" t="s">
        <v>988</v>
      </c>
      <c r="M552" s="72" t="s">
        <v>384</v>
      </c>
      <c r="O552" s="72" t="s">
        <v>386</v>
      </c>
      <c r="P552" s="72" t="s">
        <v>973</v>
      </c>
      <c r="Q552" s="72" t="s">
        <v>1085</v>
      </c>
      <c r="R552" s="72" t="s">
        <v>63</v>
      </c>
      <c r="V552" s="60" t="str">
        <f t="shared" si="67"/>
        <v>6915BCбежевый</v>
      </c>
      <c r="W552" s="60" t="str">
        <f t="shared" si="64"/>
        <v>6915BC</v>
      </c>
      <c r="X552" s="60" t="str">
        <f t="shared" si="68"/>
        <v>Tropic 507</v>
      </c>
      <c r="AC552" s="51">
        <f t="shared" si="69"/>
        <v>3</v>
      </c>
      <c r="AD552" s="44">
        <f t="shared" si="70"/>
        <v>28</v>
      </c>
      <c r="AE552" s="51">
        <f t="shared" si="71"/>
        <v>3028</v>
      </c>
    </row>
    <row r="553" spans="1:31">
      <c r="A553" s="60" t="str">
        <f t="shared" si="65"/>
        <v>6915BCbeige</v>
      </c>
      <c r="B553" s="60" t="str">
        <f t="shared" si="66"/>
        <v>03-028-02</v>
      </c>
      <c r="C553" s="72" t="s">
        <v>1995</v>
      </c>
      <c r="D553" s="72" t="s">
        <v>1993</v>
      </c>
      <c r="E553" s="72" t="s">
        <v>969</v>
      </c>
      <c r="F553" s="73">
        <v>57</v>
      </c>
      <c r="G553" s="73" t="s">
        <v>1994</v>
      </c>
      <c r="H553" s="72" t="s">
        <v>63</v>
      </c>
      <c r="I553" s="72" t="s">
        <v>1010</v>
      </c>
      <c r="J553" s="72" t="s">
        <v>320</v>
      </c>
      <c r="K553" s="72" t="s">
        <v>382</v>
      </c>
      <c r="L553" s="72" t="s">
        <v>988</v>
      </c>
      <c r="M553" s="72" t="s">
        <v>384</v>
      </c>
      <c r="O553" s="72" t="s">
        <v>386</v>
      </c>
      <c r="P553" s="72" t="s">
        <v>973</v>
      </c>
      <c r="Q553" s="72" t="s">
        <v>1085</v>
      </c>
      <c r="R553" s="72" t="s">
        <v>63</v>
      </c>
      <c r="V553" s="60" t="str">
        <f t="shared" si="67"/>
        <v>6915BCбежевый</v>
      </c>
      <c r="W553" s="60" t="str">
        <f t="shared" si="64"/>
        <v>6915BC</v>
      </c>
      <c r="X553" s="60" t="str">
        <f t="shared" si="68"/>
        <v>Tropic 507</v>
      </c>
      <c r="AC553" s="51">
        <f t="shared" si="69"/>
        <v>3</v>
      </c>
      <c r="AD553" s="44">
        <f t="shared" si="70"/>
        <v>28</v>
      </c>
      <c r="AE553" s="51">
        <f t="shared" si="71"/>
        <v>3028</v>
      </c>
    </row>
    <row r="554" spans="1:31">
      <c r="A554" s="60" t="str">
        <f t="shared" si="65"/>
        <v>6915BCblack</v>
      </c>
      <c r="B554" s="60" t="str">
        <f t="shared" si="66"/>
        <v>03-028-09</v>
      </c>
      <c r="C554" s="72" t="s">
        <v>1996</v>
      </c>
      <c r="D554" s="72" t="s">
        <v>1997</v>
      </c>
      <c r="E554" s="72" t="s">
        <v>976</v>
      </c>
      <c r="F554" s="73">
        <v>59</v>
      </c>
      <c r="G554" s="73" t="s">
        <v>1994</v>
      </c>
      <c r="H554" s="72" t="s">
        <v>53</v>
      </c>
      <c r="I554" s="72" t="s">
        <v>1010</v>
      </c>
      <c r="J554" s="72" t="s">
        <v>320</v>
      </c>
      <c r="K554" s="72" t="s">
        <v>382</v>
      </c>
      <c r="L554" s="72" t="s">
        <v>988</v>
      </c>
      <c r="M554" s="72" t="s">
        <v>384</v>
      </c>
      <c r="O554" s="72" t="s">
        <v>386</v>
      </c>
      <c r="P554" s="72" t="s">
        <v>973</v>
      </c>
      <c r="Q554" s="72" t="s">
        <v>1005</v>
      </c>
      <c r="R554" s="72" t="s">
        <v>53</v>
      </c>
      <c r="V554" s="60" t="str">
        <f t="shared" si="67"/>
        <v>6915BCчерный</v>
      </c>
      <c r="W554" s="60" t="str">
        <f t="shared" si="64"/>
        <v>6915BC</v>
      </c>
      <c r="X554" s="60" t="str">
        <f t="shared" si="68"/>
        <v>Tropic 507</v>
      </c>
      <c r="AC554" s="51">
        <f t="shared" si="69"/>
        <v>3</v>
      </c>
      <c r="AD554" s="44">
        <f t="shared" si="70"/>
        <v>28</v>
      </c>
      <c r="AE554" s="51">
        <f t="shared" si="71"/>
        <v>3028</v>
      </c>
    </row>
    <row r="555" spans="1:31">
      <c r="A555" s="60" t="str">
        <f t="shared" si="65"/>
        <v>6915BCblack</v>
      </c>
      <c r="B555" s="60" t="str">
        <f t="shared" si="66"/>
        <v>03-028-09</v>
      </c>
      <c r="C555" s="72" t="s">
        <v>1998</v>
      </c>
      <c r="D555" s="72" t="s">
        <v>1997</v>
      </c>
      <c r="E555" s="72" t="s">
        <v>969</v>
      </c>
      <c r="F555" s="73">
        <v>57</v>
      </c>
      <c r="G555" s="73" t="s">
        <v>1994</v>
      </c>
      <c r="H555" s="72" t="s">
        <v>53</v>
      </c>
      <c r="I555" s="72" t="s">
        <v>1010</v>
      </c>
      <c r="J555" s="72" t="s">
        <v>320</v>
      </c>
      <c r="K555" s="72" t="s">
        <v>382</v>
      </c>
      <c r="L555" s="72" t="s">
        <v>988</v>
      </c>
      <c r="M555" s="72" t="s">
        <v>384</v>
      </c>
      <c r="O555" s="72" t="s">
        <v>386</v>
      </c>
      <c r="P555" s="72" t="s">
        <v>973</v>
      </c>
      <c r="Q555" s="72" t="s">
        <v>1005</v>
      </c>
      <c r="R555" s="72" t="s">
        <v>53</v>
      </c>
      <c r="V555" s="60" t="str">
        <f t="shared" si="67"/>
        <v>6915BCчерный</v>
      </c>
      <c r="W555" s="60" t="str">
        <f t="shared" si="64"/>
        <v>6915BC</v>
      </c>
      <c r="X555" s="60" t="str">
        <f t="shared" si="68"/>
        <v>Tropic 507</v>
      </c>
      <c r="AC555" s="51">
        <f t="shared" si="69"/>
        <v>3</v>
      </c>
      <c r="AD555" s="44">
        <f t="shared" si="70"/>
        <v>28</v>
      </c>
      <c r="AE555" s="51">
        <f t="shared" si="71"/>
        <v>3028</v>
      </c>
    </row>
    <row r="556" spans="1:31">
      <c r="A556" s="60" t="str">
        <f t="shared" si="65"/>
        <v>6915BCblack</v>
      </c>
      <c r="B556" s="60" t="str">
        <f t="shared" si="66"/>
        <v>03-028-09</v>
      </c>
      <c r="C556" s="72" t="s">
        <v>1999</v>
      </c>
      <c r="D556" s="72" t="s">
        <v>1997</v>
      </c>
      <c r="E556" s="72" t="s">
        <v>1030</v>
      </c>
      <c r="F556" s="73">
        <v>61</v>
      </c>
      <c r="G556" s="73" t="s">
        <v>1994</v>
      </c>
      <c r="H556" s="72" t="s">
        <v>53</v>
      </c>
      <c r="I556" s="72" t="s">
        <v>1010</v>
      </c>
      <c r="J556" s="72" t="s">
        <v>320</v>
      </c>
      <c r="K556" s="72" t="s">
        <v>382</v>
      </c>
      <c r="L556" s="72" t="s">
        <v>988</v>
      </c>
      <c r="M556" s="72" t="s">
        <v>384</v>
      </c>
      <c r="O556" s="72" t="s">
        <v>386</v>
      </c>
      <c r="P556" s="72" t="s">
        <v>973</v>
      </c>
      <c r="Q556" s="72" t="s">
        <v>1005</v>
      </c>
      <c r="R556" s="72" t="s">
        <v>53</v>
      </c>
      <c r="V556" s="60" t="str">
        <f t="shared" si="67"/>
        <v>6915BCчерный</v>
      </c>
      <c r="W556" s="60" t="str">
        <f t="shared" si="64"/>
        <v>6915BC</v>
      </c>
      <c r="X556" s="60" t="str">
        <f t="shared" si="68"/>
        <v>Tropic 507</v>
      </c>
      <c r="AC556" s="51">
        <f t="shared" si="69"/>
        <v>3</v>
      </c>
      <c r="AD556" s="44">
        <f t="shared" si="70"/>
        <v>28</v>
      </c>
      <c r="AE556" s="51">
        <f t="shared" si="71"/>
        <v>3028</v>
      </c>
    </row>
    <row r="557" spans="1:31">
      <c r="A557" s="60" t="str">
        <f t="shared" si="65"/>
        <v>6915BCnavy</v>
      </c>
      <c r="B557" s="60" t="str">
        <f t="shared" si="66"/>
        <v>03-028-16</v>
      </c>
      <c r="C557" s="72" t="s">
        <v>2000</v>
      </c>
      <c r="D557" s="72" t="s">
        <v>2001</v>
      </c>
      <c r="E557" s="72" t="s">
        <v>969</v>
      </c>
      <c r="F557" s="73">
        <v>57</v>
      </c>
      <c r="G557" s="73" t="s">
        <v>1994</v>
      </c>
      <c r="H557" s="72" t="s">
        <v>55</v>
      </c>
      <c r="I557" s="72" t="s">
        <v>1016</v>
      </c>
      <c r="J557" s="72" t="s">
        <v>320</v>
      </c>
      <c r="K557" s="72" t="s">
        <v>382</v>
      </c>
      <c r="L557" s="72" t="s">
        <v>988</v>
      </c>
      <c r="M557" s="72" t="s">
        <v>384</v>
      </c>
      <c r="O557" s="72" t="s">
        <v>539</v>
      </c>
      <c r="P557" s="72" t="s">
        <v>973</v>
      </c>
      <c r="Q557" s="72" t="s">
        <v>1017</v>
      </c>
      <c r="R557" s="72" t="s">
        <v>71</v>
      </c>
      <c r="V557" s="60" t="str">
        <f t="shared" si="67"/>
        <v>6915BCтемно-синий</v>
      </c>
      <c r="W557" s="60" t="str">
        <f t="shared" si="64"/>
        <v>6915BC</v>
      </c>
      <c r="X557" s="60" t="str">
        <f t="shared" si="68"/>
        <v>Tropic 507</v>
      </c>
      <c r="AC557" s="51">
        <f t="shared" si="69"/>
        <v>3</v>
      </c>
      <c r="AD557" s="44">
        <f t="shared" si="70"/>
        <v>28</v>
      </c>
      <c r="AE557" s="51">
        <f t="shared" si="71"/>
        <v>3028</v>
      </c>
    </row>
    <row r="558" spans="1:31">
      <c r="A558" s="60" t="str">
        <f t="shared" si="65"/>
        <v>6915BCnavy</v>
      </c>
      <c r="B558" s="60" t="str">
        <f t="shared" si="66"/>
        <v>03-028-16</v>
      </c>
      <c r="C558" s="72" t="s">
        <v>2002</v>
      </c>
      <c r="D558" s="72" t="s">
        <v>2001</v>
      </c>
      <c r="E558" s="72" t="s">
        <v>976</v>
      </c>
      <c r="F558" s="73">
        <v>59</v>
      </c>
      <c r="G558" s="73" t="s">
        <v>1994</v>
      </c>
      <c r="H558" s="72" t="s">
        <v>55</v>
      </c>
      <c r="I558" s="72" t="s">
        <v>1016</v>
      </c>
      <c r="J558" s="72" t="s">
        <v>320</v>
      </c>
      <c r="K558" s="72" t="s">
        <v>382</v>
      </c>
      <c r="L558" s="72" t="s">
        <v>988</v>
      </c>
      <c r="M558" s="72" t="s">
        <v>384</v>
      </c>
      <c r="O558" s="72" t="s">
        <v>539</v>
      </c>
      <c r="P558" s="72" t="s">
        <v>973</v>
      </c>
      <c r="Q558" s="72" t="s">
        <v>1017</v>
      </c>
      <c r="R558" s="72" t="s">
        <v>71</v>
      </c>
      <c r="V558" s="60" t="str">
        <f t="shared" si="67"/>
        <v>6915BCтемно-синий</v>
      </c>
      <c r="W558" s="60" t="str">
        <f t="shared" si="64"/>
        <v>6915BC</v>
      </c>
      <c r="X558" s="60" t="str">
        <f t="shared" si="68"/>
        <v>Tropic 507</v>
      </c>
      <c r="AC558" s="51">
        <f t="shared" si="69"/>
        <v>3</v>
      </c>
      <c r="AD558" s="44">
        <f t="shared" si="70"/>
        <v>28</v>
      </c>
      <c r="AE558" s="51">
        <f t="shared" si="71"/>
        <v>3028</v>
      </c>
    </row>
    <row r="559" spans="1:31">
      <c r="A559" s="60" t="str">
        <f t="shared" si="65"/>
        <v>K1373FAAblack/orange</v>
      </c>
      <c r="B559" s="60" t="str">
        <f t="shared" si="66"/>
        <v>03-029-00</v>
      </c>
      <c r="C559" s="72" t="s">
        <v>2003</v>
      </c>
      <c r="D559" s="72" t="s">
        <v>2004</v>
      </c>
      <c r="E559" s="72" t="s">
        <v>909</v>
      </c>
      <c r="F559" s="73">
        <v>0</v>
      </c>
      <c r="G559" s="73" t="s">
        <v>2005</v>
      </c>
      <c r="H559" s="72" t="s">
        <v>306</v>
      </c>
      <c r="I559" s="72" t="s">
        <v>1393</v>
      </c>
      <c r="J559" s="72" t="s">
        <v>783</v>
      </c>
      <c r="K559" s="72" t="s">
        <v>382</v>
      </c>
      <c r="L559" s="72" t="s">
        <v>981</v>
      </c>
      <c r="M559" s="72" t="s">
        <v>384</v>
      </c>
      <c r="O559" s="72" t="s">
        <v>533</v>
      </c>
      <c r="P559" s="72" t="s">
        <v>973</v>
      </c>
      <c r="Q559" s="72" t="s">
        <v>2006</v>
      </c>
      <c r="R559" s="72" t="s">
        <v>53</v>
      </c>
      <c r="V559" s="60" t="str">
        <f t="shared" si="67"/>
        <v>K1373FAAчерный / оранжевый</v>
      </c>
      <c r="W559" s="60" t="str">
        <f t="shared" si="64"/>
        <v>K1373FAA</v>
      </c>
      <c r="X559" s="60" t="str">
        <f t="shared" si="68"/>
        <v>Championship Links</v>
      </c>
      <c r="AC559" s="51">
        <f t="shared" si="69"/>
        <v>3</v>
      </c>
      <c r="AD559" s="44">
        <f t="shared" si="70"/>
        <v>29</v>
      </c>
      <c r="AE559" s="51">
        <f t="shared" si="71"/>
        <v>3029</v>
      </c>
    </row>
    <row r="560" spans="1:31">
      <c r="A560" s="60" t="str">
        <f t="shared" si="65"/>
        <v>K1373FAAgrey/navy</v>
      </c>
      <c r="B560" s="60" t="str">
        <f t="shared" si="66"/>
        <v>03-029-26</v>
      </c>
      <c r="C560" s="72" t="s">
        <v>2007</v>
      </c>
      <c r="D560" s="72" t="s">
        <v>2008</v>
      </c>
      <c r="E560" s="72" t="s">
        <v>909</v>
      </c>
      <c r="F560" s="73">
        <v>0</v>
      </c>
      <c r="G560" s="73" t="s">
        <v>2005</v>
      </c>
      <c r="H560" s="72" t="s">
        <v>245</v>
      </c>
      <c r="I560" s="72" t="s">
        <v>1393</v>
      </c>
      <c r="J560" s="72" t="s">
        <v>783</v>
      </c>
      <c r="K560" s="72" t="s">
        <v>382</v>
      </c>
      <c r="L560" s="72" t="s">
        <v>981</v>
      </c>
      <c r="M560" s="72" t="s">
        <v>384</v>
      </c>
      <c r="O560" s="72" t="s">
        <v>533</v>
      </c>
      <c r="P560" s="72" t="s">
        <v>973</v>
      </c>
      <c r="Q560" s="72" t="s">
        <v>2009</v>
      </c>
      <c r="R560" s="72" t="s">
        <v>83</v>
      </c>
      <c r="V560" s="60" t="str">
        <f t="shared" si="67"/>
        <v>K1373FAAсерый / синий</v>
      </c>
      <c r="W560" s="60" t="str">
        <f t="shared" si="64"/>
        <v>K1373FAA</v>
      </c>
      <c r="X560" s="60" t="str">
        <f t="shared" si="68"/>
        <v>Championship Links</v>
      </c>
      <c r="AC560" s="51">
        <f t="shared" si="69"/>
        <v>3</v>
      </c>
      <c r="AD560" s="44">
        <f t="shared" si="70"/>
        <v>29</v>
      </c>
      <c r="AE560" s="51">
        <f t="shared" si="71"/>
        <v>3029</v>
      </c>
    </row>
    <row r="561" spans="1:31">
      <c r="A561" s="60" t="str">
        <f t="shared" si="65"/>
        <v>K1373FAAnavy/red</v>
      </c>
      <c r="B561" s="60" t="str">
        <f t="shared" si="66"/>
        <v>03-029-21</v>
      </c>
      <c r="C561" s="72" t="s">
        <v>2010</v>
      </c>
      <c r="D561" s="72" t="s">
        <v>2011</v>
      </c>
      <c r="E561" s="72" t="s">
        <v>909</v>
      </c>
      <c r="F561" s="73">
        <v>0</v>
      </c>
      <c r="G561" s="73" t="s">
        <v>2005</v>
      </c>
      <c r="H561" s="72" t="s">
        <v>252</v>
      </c>
      <c r="I561" s="72" t="s">
        <v>1393</v>
      </c>
      <c r="J561" s="72" t="s">
        <v>783</v>
      </c>
      <c r="K561" s="72" t="s">
        <v>382</v>
      </c>
      <c r="L561" s="72" t="s">
        <v>981</v>
      </c>
      <c r="M561" s="72" t="s">
        <v>384</v>
      </c>
      <c r="O561" s="72" t="s">
        <v>533</v>
      </c>
      <c r="P561" s="72" t="s">
        <v>973</v>
      </c>
      <c r="Q561" s="72" t="s">
        <v>2012</v>
      </c>
      <c r="R561" s="72" t="s">
        <v>71</v>
      </c>
      <c r="V561" s="60" t="str">
        <f t="shared" si="67"/>
        <v>K1373FAAсиний / красный</v>
      </c>
      <c r="W561" s="60" t="str">
        <f t="shared" si="64"/>
        <v>K1373FAA</v>
      </c>
      <c r="X561" s="60" t="str">
        <f t="shared" si="68"/>
        <v>Championship Links</v>
      </c>
      <c r="AC561" s="51">
        <f t="shared" si="69"/>
        <v>3</v>
      </c>
      <c r="AD561" s="44">
        <f t="shared" si="70"/>
        <v>29</v>
      </c>
      <c r="AE561" s="51">
        <f t="shared" si="71"/>
        <v>3029</v>
      </c>
    </row>
    <row r="562" spans="1:31">
      <c r="A562" s="60" t="str">
        <f t="shared" si="65"/>
        <v>K3050STblack</v>
      </c>
      <c r="B562" s="60" t="str">
        <f t="shared" si="66"/>
        <v>03-030-09</v>
      </c>
      <c r="C562" s="72" t="s">
        <v>2013</v>
      </c>
      <c r="D562" s="72" t="s">
        <v>2014</v>
      </c>
      <c r="E562" s="72" t="s">
        <v>969</v>
      </c>
      <c r="F562" s="73">
        <v>57</v>
      </c>
      <c r="G562" s="73" t="s">
        <v>1656</v>
      </c>
      <c r="H562" s="72" t="s">
        <v>53</v>
      </c>
      <c r="I562" s="72" t="s">
        <v>971</v>
      </c>
      <c r="J562" s="72" t="s">
        <v>325</v>
      </c>
      <c r="K562" s="72" t="s">
        <v>382</v>
      </c>
      <c r="L562" s="72" t="s">
        <v>972</v>
      </c>
      <c r="M562" s="72" t="s">
        <v>384</v>
      </c>
      <c r="O562" s="72" t="s">
        <v>539</v>
      </c>
      <c r="P562" s="72" t="s">
        <v>808</v>
      </c>
      <c r="Q562" s="72" t="s">
        <v>1005</v>
      </c>
      <c r="R562" s="72" t="s">
        <v>53</v>
      </c>
      <c r="V562" s="60" t="str">
        <f t="shared" si="67"/>
        <v>K3050STчерный</v>
      </c>
      <c r="W562" s="60" t="str">
        <f t="shared" si="64"/>
        <v>K3050ST</v>
      </c>
      <c r="X562" s="60" t="str">
        <f t="shared" si="68"/>
        <v>Bermuda Bucket</v>
      </c>
      <c r="AC562" s="51">
        <f t="shared" si="69"/>
        <v>3</v>
      </c>
      <c r="AD562" s="44">
        <f t="shared" si="70"/>
        <v>30</v>
      </c>
      <c r="AE562" s="51">
        <f t="shared" si="71"/>
        <v>3030</v>
      </c>
    </row>
    <row r="563" spans="1:31">
      <c r="A563" s="60" t="str">
        <f t="shared" si="65"/>
        <v>K3050STblack</v>
      </c>
      <c r="B563" s="60" t="str">
        <f t="shared" si="66"/>
        <v>03-030-09</v>
      </c>
      <c r="C563" s="72" t="s">
        <v>2015</v>
      </c>
      <c r="D563" s="72" t="s">
        <v>2014</v>
      </c>
      <c r="E563" s="72" t="s">
        <v>976</v>
      </c>
      <c r="F563" s="73">
        <v>59</v>
      </c>
      <c r="G563" s="73" t="s">
        <v>1656</v>
      </c>
      <c r="H563" s="72" t="s">
        <v>53</v>
      </c>
      <c r="I563" s="72" t="s">
        <v>971</v>
      </c>
      <c r="J563" s="72" t="s">
        <v>325</v>
      </c>
      <c r="K563" s="72" t="s">
        <v>382</v>
      </c>
      <c r="L563" s="72" t="s">
        <v>972</v>
      </c>
      <c r="M563" s="72" t="s">
        <v>384</v>
      </c>
      <c r="O563" s="72" t="s">
        <v>539</v>
      </c>
      <c r="P563" s="72" t="s">
        <v>808</v>
      </c>
      <c r="Q563" s="72" t="s">
        <v>1005</v>
      </c>
      <c r="R563" s="72" t="s">
        <v>53</v>
      </c>
      <c r="V563" s="60" t="str">
        <f t="shared" si="67"/>
        <v>K3050STчерный</v>
      </c>
      <c r="W563" s="60" t="str">
        <f t="shared" si="64"/>
        <v>K3050ST</v>
      </c>
      <c r="X563" s="60" t="str">
        <f t="shared" si="68"/>
        <v>Bermuda Bucket</v>
      </c>
      <c r="AC563" s="51">
        <f t="shared" si="69"/>
        <v>3</v>
      </c>
      <c r="AD563" s="44">
        <f t="shared" si="70"/>
        <v>30</v>
      </c>
      <c r="AE563" s="51">
        <f t="shared" si="71"/>
        <v>3030</v>
      </c>
    </row>
    <row r="564" spans="1:31">
      <c r="A564" s="60" t="str">
        <f t="shared" si="65"/>
        <v>K3050STscarlet</v>
      </c>
      <c r="B564" s="60" t="str">
        <f t="shared" si="66"/>
        <v>03-030-18</v>
      </c>
      <c r="C564" s="72" t="s">
        <v>2016</v>
      </c>
      <c r="D564" s="72" t="s">
        <v>2017</v>
      </c>
      <c r="E564" s="72" t="s">
        <v>976</v>
      </c>
      <c r="F564" s="73">
        <v>59</v>
      </c>
      <c r="G564" s="73" t="s">
        <v>1656</v>
      </c>
      <c r="H564" s="72" t="s">
        <v>78</v>
      </c>
      <c r="I564" s="72" t="s">
        <v>2018</v>
      </c>
      <c r="J564" s="72" t="s">
        <v>325</v>
      </c>
      <c r="K564" s="72" t="s">
        <v>382</v>
      </c>
      <c r="L564" s="72" t="s">
        <v>972</v>
      </c>
      <c r="M564" s="72" t="s">
        <v>384</v>
      </c>
      <c r="O564" s="72" t="s">
        <v>539</v>
      </c>
      <c r="P564" s="72" t="s">
        <v>973</v>
      </c>
      <c r="Q564" s="72" t="s">
        <v>1502</v>
      </c>
      <c r="R564" s="72" t="s">
        <v>78</v>
      </c>
      <c r="V564" s="60" t="str">
        <f t="shared" si="67"/>
        <v>K3050STкрасный</v>
      </c>
      <c r="W564" s="60" t="str">
        <f t="shared" si="64"/>
        <v>K3050ST</v>
      </c>
      <c r="X564" s="60" t="str">
        <f t="shared" si="68"/>
        <v>Bermuda Bucket</v>
      </c>
      <c r="AC564" s="51">
        <f t="shared" si="69"/>
        <v>3</v>
      </c>
      <c r="AD564" s="44">
        <f t="shared" si="70"/>
        <v>30</v>
      </c>
      <c r="AE564" s="51">
        <f t="shared" si="71"/>
        <v>3030</v>
      </c>
    </row>
    <row r="565" spans="1:31">
      <c r="A565" s="60" t="str">
        <f t="shared" si="65"/>
        <v>K3050STscarlet</v>
      </c>
      <c r="B565" s="60" t="str">
        <f t="shared" si="66"/>
        <v>03-030-18</v>
      </c>
      <c r="C565" s="72" t="s">
        <v>2019</v>
      </c>
      <c r="D565" s="72" t="s">
        <v>2017</v>
      </c>
      <c r="E565" s="72" t="s">
        <v>969</v>
      </c>
      <c r="F565" s="73">
        <v>57</v>
      </c>
      <c r="G565" s="73" t="s">
        <v>1656</v>
      </c>
      <c r="H565" s="72" t="s">
        <v>78</v>
      </c>
      <c r="I565" s="72" t="s">
        <v>2018</v>
      </c>
      <c r="J565" s="72" t="s">
        <v>325</v>
      </c>
      <c r="K565" s="72" t="s">
        <v>382</v>
      </c>
      <c r="L565" s="72" t="s">
        <v>972</v>
      </c>
      <c r="M565" s="72" t="s">
        <v>384</v>
      </c>
      <c r="O565" s="72" t="s">
        <v>539</v>
      </c>
      <c r="P565" s="72" t="s">
        <v>973</v>
      </c>
      <c r="Q565" s="72" t="s">
        <v>1502</v>
      </c>
      <c r="R565" s="72" t="s">
        <v>78</v>
      </c>
      <c r="V565" s="60" t="str">
        <f t="shared" si="67"/>
        <v>K3050STкрасный</v>
      </c>
      <c r="W565" s="60" t="str">
        <f t="shared" si="64"/>
        <v>K3050ST</v>
      </c>
      <c r="X565" s="60" t="str">
        <f t="shared" si="68"/>
        <v>Bermuda Bucket</v>
      </c>
      <c r="AC565" s="51">
        <f t="shared" si="69"/>
        <v>3</v>
      </c>
      <c r="AD565" s="44">
        <f t="shared" si="70"/>
        <v>30</v>
      </c>
      <c r="AE565" s="51">
        <f t="shared" si="71"/>
        <v>3030</v>
      </c>
    </row>
    <row r="566" spans="1:31">
      <c r="A566" s="60" t="str">
        <f t="shared" si="65"/>
        <v>K3050STwhite</v>
      </c>
      <c r="B566" s="60" t="str">
        <f t="shared" si="66"/>
        <v>03-030-17</v>
      </c>
      <c r="C566" s="72" t="s">
        <v>2020</v>
      </c>
      <c r="D566" s="72" t="s">
        <v>2021</v>
      </c>
      <c r="E566" s="72" t="s">
        <v>976</v>
      </c>
      <c r="F566" s="73">
        <v>59</v>
      </c>
      <c r="G566" s="73" t="s">
        <v>1656</v>
      </c>
      <c r="H566" s="72" t="s">
        <v>57</v>
      </c>
      <c r="I566" s="72" t="s">
        <v>2018</v>
      </c>
      <c r="J566" s="72" t="s">
        <v>325</v>
      </c>
      <c r="K566" s="72" t="s">
        <v>382</v>
      </c>
      <c r="L566" s="72" t="s">
        <v>972</v>
      </c>
      <c r="M566" s="72" t="s">
        <v>384</v>
      </c>
      <c r="O566" s="72" t="s">
        <v>539</v>
      </c>
      <c r="P566" s="72" t="s">
        <v>973</v>
      </c>
      <c r="Q566" s="72" t="s">
        <v>989</v>
      </c>
      <c r="R566" s="72" t="s">
        <v>57</v>
      </c>
      <c r="V566" s="60" t="str">
        <f t="shared" si="67"/>
        <v>K3050STбелый</v>
      </c>
      <c r="W566" s="60" t="str">
        <f t="shared" si="64"/>
        <v>K3050ST</v>
      </c>
      <c r="X566" s="60" t="str">
        <f t="shared" si="68"/>
        <v>Bermuda Bucket</v>
      </c>
      <c r="AC566" s="51">
        <f t="shared" si="69"/>
        <v>3</v>
      </c>
      <c r="AD566" s="44">
        <f t="shared" si="70"/>
        <v>30</v>
      </c>
      <c r="AE566" s="51">
        <f t="shared" si="71"/>
        <v>3030</v>
      </c>
    </row>
    <row r="567" spans="1:31">
      <c r="A567" s="60" t="str">
        <f t="shared" si="65"/>
        <v>K3050STwhite</v>
      </c>
      <c r="B567" s="60" t="str">
        <f t="shared" si="66"/>
        <v>03-030-17</v>
      </c>
      <c r="C567" s="72" t="s">
        <v>2022</v>
      </c>
      <c r="D567" s="72" t="s">
        <v>2021</v>
      </c>
      <c r="E567" s="72" t="s">
        <v>969</v>
      </c>
      <c r="F567" s="73">
        <v>57</v>
      </c>
      <c r="G567" s="73" t="s">
        <v>1656</v>
      </c>
      <c r="H567" s="72" t="s">
        <v>57</v>
      </c>
      <c r="I567" s="72" t="s">
        <v>2018</v>
      </c>
      <c r="J567" s="72" t="s">
        <v>325</v>
      </c>
      <c r="K567" s="72" t="s">
        <v>382</v>
      </c>
      <c r="L567" s="72" t="s">
        <v>972</v>
      </c>
      <c r="M567" s="72" t="s">
        <v>384</v>
      </c>
      <c r="O567" s="72" t="s">
        <v>539</v>
      </c>
      <c r="P567" s="72" t="s">
        <v>973</v>
      </c>
      <c r="Q567" s="72" t="s">
        <v>989</v>
      </c>
      <c r="R567" s="72" t="s">
        <v>57</v>
      </c>
      <c r="V567" s="60" t="str">
        <f t="shared" si="67"/>
        <v>K3050STбелый</v>
      </c>
      <c r="W567" s="60" t="str">
        <f t="shared" si="64"/>
        <v>K3050ST</v>
      </c>
      <c r="X567" s="60" t="str">
        <f t="shared" si="68"/>
        <v>Bermuda Bucket</v>
      </c>
      <c r="AC567" s="51">
        <f t="shared" si="69"/>
        <v>3</v>
      </c>
      <c r="AD567" s="44">
        <f t="shared" si="70"/>
        <v>30</v>
      </c>
      <c r="AE567" s="51">
        <f t="shared" si="71"/>
        <v>3030</v>
      </c>
    </row>
    <row r="568" spans="1:31">
      <c r="A568" s="60" t="str">
        <f t="shared" si="65"/>
        <v>K3075STscarlet</v>
      </c>
      <c r="B568" s="60" t="str">
        <f t="shared" si="66"/>
        <v>03-031-18</v>
      </c>
      <c r="C568" s="72" t="s">
        <v>2023</v>
      </c>
      <c r="D568" s="72" t="s">
        <v>2024</v>
      </c>
      <c r="E568" s="72" t="s">
        <v>969</v>
      </c>
      <c r="F568" s="73">
        <v>57</v>
      </c>
      <c r="G568" s="73" t="s">
        <v>2025</v>
      </c>
      <c r="H568" s="72" t="s">
        <v>78</v>
      </c>
      <c r="I568" s="72" t="s">
        <v>2018</v>
      </c>
      <c r="J568" s="72" t="s">
        <v>320</v>
      </c>
      <c r="K568" s="72" t="s">
        <v>382</v>
      </c>
      <c r="L568" s="72" t="s">
        <v>972</v>
      </c>
      <c r="M568" s="72" t="s">
        <v>384</v>
      </c>
      <c r="O568" s="72" t="s">
        <v>539</v>
      </c>
      <c r="P568" s="72" t="s">
        <v>973</v>
      </c>
      <c r="Q568" s="72" t="s">
        <v>1502</v>
      </c>
      <c r="R568" s="72" t="s">
        <v>78</v>
      </c>
      <c r="V568" s="60" t="str">
        <f t="shared" si="67"/>
        <v>K3075STкрасный</v>
      </c>
      <c r="W568" s="60" t="str">
        <f t="shared" si="64"/>
        <v>K3075ST</v>
      </c>
      <c r="X568" s="60" t="str">
        <f t="shared" si="68"/>
        <v>Bermuda 504</v>
      </c>
      <c r="AC568" s="51">
        <f t="shared" si="69"/>
        <v>3</v>
      </c>
      <c r="AD568" s="44">
        <f t="shared" si="70"/>
        <v>31</v>
      </c>
      <c r="AE568" s="51">
        <f t="shared" si="71"/>
        <v>3031</v>
      </c>
    </row>
    <row r="569" spans="1:31">
      <c r="A569" s="60" t="str">
        <f t="shared" si="65"/>
        <v>K3075STscarlet</v>
      </c>
      <c r="B569" s="60" t="str">
        <f t="shared" si="66"/>
        <v>03-031-18</v>
      </c>
      <c r="C569" s="72" t="s">
        <v>2026</v>
      </c>
      <c r="D569" s="72" t="s">
        <v>2024</v>
      </c>
      <c r="E569" s="72" t="s">
        <v>1032</v>
      </c>
      <c r="F569" s="73">
        <v>55</v>
      </c>
      <c r="G569" s="73" t="s">
        <v>2025</v>
      </c>
      <c r="H569" s="72" t="s">
        <v>78</v>
      </c>
      <c r="I569" s="72" t="s">
        <v>2018</v>
      </c>
      <c r="J569" s="72" t="s">
        <v>320</v>
      </c>
      <c r="K569" s="72" t="s">
        <v>382</v>
      </c>
      <c r="L569" s="72" t="s">
        <v>972</v>
      </c>
      <c r="M569" s="72" t="s">
        <v>384</v>
      </c>
      <c r="O569" s="72" t="s">
        <v>539</v>
      </c>
      <c r="P569" s="72" t="s">
        <v>973</v>
      </c>
      <c r="Q569" s="72" t="s">
        <v>1502</v>
      </c>
      <c r="R569" s="72" t="s">
        <v>78</v>
      </c>
      <c r="V569" s="60" t="str">
        <f t="shared" si="67"/>
        <v>K3075STкрасный</v>
      </c>
      <c r="W569" s="60" t="str">
        <f t="shared" si="64"/>
        <v>K3075ST</v>
      </c>
      <c r="X569" s="60" t="str">
        <f t="shared" si="68"/>
        <v>Bermuda 504</v>
      </c>
      <c r="AC569" s="51">
        <f t="shared" si="69"/>
        <v>3</v>
      </c>
      <c r="AD569" s="44">
        <f t="shared" si="70"/>
        <v>31</v>
      </c>
      <c r="AE569" s="51">
        <f t="shared" si="71"/>
        <v>3031</v>
      </c>
    </row>
    <row r="570" spans="1:31">
      <c r="A570" s="60" t="str">
        <f t="shared" si="65"/>
        <v>K3075STwhite</v>
      </c>
      <c r="B570" s="60" t="str">
        <f t="shared" si="66"/>
        <v>03-031-17</v>
      </c>
      <c r="C570" s="72" t="s">
        <v>2027</v>
      </c>
      <c r="D570" s="72" t="s">
        <v>2028</v>
      </c>
      <c r="E570" s="72" t="s">
        <v>969</v>
      </c>
      <c r="F570" s="73">
        <v>57</v>
      </c>
      <c r="G570" s="73" t="s">
        <v>2025</v>
      </c>
      <c r="H570" s="72" t="s">
        <v>57</v>
      </c>
      <c r="I570" s="72" t="s">
        <v>2018</v>
      </c>
      <c r="J570" s="72" t="s">
        <v>320</v>
      </c>
      <c r="K570" s="72" t="s">
        <v>382</v>
      </c>
      <c r="L570" s="72" t="s">
        <v>972</v>
      </c>
      <c r="M570" s="72" t="s">
        <v>384</v>
      </c>
      <c r="O570" s="72" t="s">
        <v>539</v>
      </c>
      <c r="P570" s="72" t="s">
        <v>973</v>
      </c>
      <c r="Q570" s="72" t="s">
        <v>989</v>
      </c>
      <c r="R570" s="72" t="s">
        <v>57</v>
      </c>
      <c r="V570" s="60" t="str">
        <f t="shared" si="67"/>
        <v>K3075STбелый</v>
      </c>
      <c r="W570" s="60" t="str">
        <f t="shared" si="64"/>
        <v>K3075ST</v>
      </c>
      <c r="X570" s="60" t="str">
        <f t="shared" si="68"/>
        <v>Bermuda 504</v>
      </c>
      <c r="AC570" s="51">
        <f t="shared" si="69"/>
        <v>3</v>
      </c>
      <c r="AD570" s="44">
        <f t="shared" si="70"/>
        <v>31</v>
      </c>
      <c r="AE570" s="51">
        <f t="shared" si="71"/>
        <v>3031</v>
      </c>
    </row>
    <row r="571" spans="1:31">
      <c r="A571" s="60" t="str">
        <f t="shared" si="65"/>
        <v>K3075STwhite</v>
      </c>
      <c r="B571" s="60" t="str">
        <f t="shared" si="66"/>
        <v>03-031-17</v>
      </c>
      <c r="C571" s="72" t="s">
        <v>2029</v>
      </c>
      <c r="D571" s="72" t="s">
        <v>2028</v>
      </c>
      <c r="E571" s="72" t="s">
        <v>1032</v>
      </c>
      <c r="F571" s="73">
        <v>55</v>
      </c>
      <c r="G571" s="73" t="s">
        <v>2025</v>
      </c>
      <c r="H571" s="72" t="s">
        <v>57</v>
      </c>
      <c r="I571" s="72" t="s">
        <v>2018</v>
      </c>
      <c r="J571" s="72" t="s">
        <v>320</v>
      </c>
      <c r="K571" s="72" t="s">
        <v>382</v>
      </c>
      <c r="L571" s="72" t="s">
        <v>972</v>
      </c>
      <c r="M571" s="72" t="s">
        <v>384</v>
      </c>
      <c r="O571" s="72" t="s">
        <v>539</v>
      </c>
      <c r="P571" s="72" t="s">
        <v>973</v>
      </c>
      <c r="Q571" s="72" t="s">
        <v>989</v>
      </c>
      <c r="R571" s="72" t="s">
        <v>57</v>
      </c>
      <c r="V571" s="60" t="str">
        <f t="shared" si="67"/>
        <v>K3075STбелый</v>
      </c>
      <c r="W571" s="60" t="str">
        <f t="shared" si="64"/>
        <v>K3075ST</v>
      </c>
      <c r="X571" s="60" t="str">
        <f t="shared" si="68"/>
        <v>Bermuda 504</v>
      </c>
      <c r="AC571" s="51">
        <f t="shared" si="69"/>
        <v>3</v>
      </c>
      <c r="AD571" s="44">
        <f t="shared" si="70"/>
        <v>31</v>
      </c>
      <c r="AE571" s="51">
        <f t="shared" si="71"/>
        <v>3031</v>
      </c>
    </row>
    <row r="572" spans="1:31">
      <c r="A572" s="60" t="str">
        <f t="shared" si="65"/>
        <v>K3132HTblack</v>
      </c>
      <c r="B572" s="60" t="str">
        <f t="shared" si="66"/>
        <v>03-032-09</v>
      </c>
      <c r="C572" s="72" t="s">
        <v>2030</v>
      </c>
      <c r="D572" s="72" t="s">
        <v>2031</v>
      </c>
      <c r="E572" s="72" t="s">
        <v>976</v>
      </c>
      <c r="F572" s="73">
        <v>59</v>
      </c>
      <c r="G572" s="73" t="s">
        <v>2032</v>
      </c>
      <c r="H572" s="72" t="s">
        <v>53</v>
      </c>
      <c r="I572" s="72" t="s">
        <v>1042</v>
      </c>
      <c r="J572" s="72" t="s">
        <v>320</v>
      </c>
      <c r="K572" s="72" t="s">
        <v>382</v>
      </c>
      <c r="L572" s="72" t="s">
        <v>988</v>
      </c>
      <c r="M572" s="72" t="s">
        <v>384</v>
      </c>
      <c r="O572" s="72" t="s">
        <v>386</v>
      </c>
      <c r="P572" s="72" t="s">
        <v>973</v>
      </c>
      <c r="Q572" s="72" t="s">
        <v>1005</v>
      </c>
      <c r="R572" s="72" t="s">
        <v>53</v>
      </c>
      <c r="V572" s="60" t="str">
        <f t="shared" si="67"/>
        <v>K3132HTчерный</v>
      </c>
      <c r="W572" s="60" t="str">
        <f t="shared" si="64"/>
        <v>K3132HT</v>
      </c>
      <c r="X572" s="60" t="str">
        <f t="shared" si="68"/>
        <v>Path Stripe 504</v>
      </c>
      <c r="AC572" s="51">
        <f t="shared" si="69"/>
        <v>3</v>
      </c>
      <c r="AD572" s="44">
        <f t="shared" si="70"/>
        <v>32</v>
      </c>
      <c r="AE572" s="51">
        <f t="shared" si="71"/>
        <v>3032</v>
      </c>
    </row>
    <row r="573" spans="1:31">
      <c r="A573" s="60" t="str">
        <f t="shared" si="65"/>
        <v>K3132HTnavy</v>
      </c>
      <c r="B573" s="60" t="str">
        <f t="shared" si="66"/>
        <v>03-032-16</v>
      </c>
      <c r="C573" s="72" t="s">
        <v>2033</v>
      </c>
      <c r="D573" s="72" t="s">
        <v>2034</v>
      </c>
      <c r="E573" s="72" t="s">
        <v>976</v>
      </c>
      <c r="F573" s="73">
        <v>59</v>
      </c>
      <c r="G573" s="73" t="s">
        <v>2032</v>
      </c>
      <c r="H573" s="72" t="s">
        <v>55</v>
      </c>
      <c r="I573" s="72" t="s">
        <v>1042</v>
      </c>
      <c r="J573" s="72" t="s">
        <v>320</v>
      </c>
      <c r="K573" s="72" t="s">
        <v>382</v>
      </c>
      <c r="L573" s="72" t="s">
        <v>988</v>
      </c>
      <c r="M573" s="72" t="s">
        <v>384</v>
      </c>
      <c r="O573" s="72" t="s">
        <v>386</v>
      </c>
      <c r="P573" s="72" t="s">
        <v>973</v>
      </c>
      <c r="Q573" s="72" t="s">
        <v>1017</v>
      </c>
      <c r="R573" s="72" t="s">
        <v>71</v>
      </c>
      <c r="V573" s="60" t="str">
        <f t="shared" si="67"/>
        <v>K3132HTтемно-синий</v>
      </c>
      <c r="W573" s="60" t="str">
        <f t="shared" si="64"/>
        <v>K3132HT</v>
      </c>
      <c r="X573" s="60" t="str">
        <f t="shared" si="68"/>
        <v>Path Stripe 504</v>
      </c>
      <c r="AC573" s="51">
        <f t="shared" si="69"/>
        <v>3</v>
      </c>
      <c r="AD573" s="44">
        <f t="shared" si="70"/>
        <v>32</v>
      </c>
      <c r="AE573" s="51">
        <f t="shared" si="71"/>
        <v>3032</v>
      </c>
    </row>
    <row r="574" spans="1:31">
      <c r="A574" s="60" t="str">
        <f t="shared" si="65"/>
        <v>K3132HTnavy</v>
      </c>
      <c r="B574" s="60" t="str">
        <f t="shared" si="66"/>
        <v>03-032-16</v>
      </c>
      <c r="C574" s="72" t="s">
        <v>2035</v>
      </c>
      <c r="D574" s="72" t="s">
        <v>2034</v>
      </c>
      <c r="E574" s="72" t="s">
        <v>969</v>
      </c>
      <c r="F574" s="73">
        <v>57</v>
      </c>
      <c r="G574" s="73" t="s">
        <v>2032</v>
      </c>
      <c r="H574" s="72" t="s">
        <v>55</v>
      </c>
      <c r="I574" s="72" t="s">
        <v>1042</v>
      </c>
      <c r="J574" s="72" t="s">
        <v>320</v>
      </c>
      <c r="K574" s="72" t="s">
        <v>382</v>
      </c>
      <c r="L574" s="72" t="s">
        <v>988</v>
      </c>
      <c r="M574" s="72" t="s">
        <v>384</v>
      </c>
      <c r="O574" s="72" t="s">
        <v>386</v>
      </c>
      <c r="P574" s="72" t="s">
        <v>973</v>
      </c>
      <c r="Q574" s="72" t="s">
        <v>1017</v>
      </c>
      <c r="R574" s="72" t="s">
        <v>71</v>
      </c>
      <c r="V574" s="60" t="str">
        <f t="shared" si="67"/>
        <v>K3132HTтемно-синий</v>
      </c>
      <c r="W574" s="60" t="str">
        <f t="shared" si="64"/>
        <v>K3132HT</v>
      </c>
      <c r="X574" s="60" t="str">
        <f t="shared" si="68"/>
        <v>Path Stripe 504</v>
      </c>
      <c r="AC574" s="51">
        <f t="shared" si="69"/>
        <v>3</v>
      </c>
      <c r="AD574" s="44">
        <f t="shared" si="70"/>
        <v>32</v>
      </c>
      <c r="AE574" s="51">
        <f t="shared" si="71"/>
        <v>3032</v>
      </c>
    </row>
    <row r="575" spans="1:31">
      <c r="A575" s="60" t="str">
        <f t="shared" si="65"/>
        <v>K3134HTnavy</v>
      </c>
      <c r="B575" s="60" t="str">
        <f t="shared" si="66"/>
        <v>03-033-16</v>
      </c>
      <c r="C575" s="72" t="s">
        <v>2036</v>
      </c>
      <c r="D575" s="72" t="s">
        <v>2037</v>
      </c>
      <c r="E575" s="72" t="s">
        <v>969</v>
      </c>
      <c r="F575" s="73">
        <v>57</v>
      </c>
      <c r="G575" s="73" t="s">
        <v>986</v>
      </c>
      <c r="H575" s="72" t="s">
        <v>55</v>
      </c>
      <c r="I575" s="72" t="s">
        <v>2038</v>
      </c>
      <c r="J575" s="72" t="s">
        <v>320</v>
      </c>
      <c r="K575" s="72" t="s">
        <v>382</v>
      </c>
      <c r="L575" s="72" t="s">
        <v>988</v>
      </c>
      <c r="M575" s="72" t="s">
        <v>384</v>
      </c>
      <c r="O575" s="72" t="s">
        <v>386</v>
      </c>
      <c r="P575" s="72" t="s">
        <v>973</v>
      </c>
      <c r="Q575" s="72" t="s">
        <v>1017</v>
      </c>
      <c r="R575" s="72" t="s">
        <v>71</v>
      </c>
      <c r="V575" s="60" t="str">
        <f t="shared" si="67"/>
        <v>K3134HTтемно-синий</v>
      </c>
      <c r="W575" s="60" t="str">
        <f t="shared" si="64"/>
        <v>K3134HT</v>
      </c>
      <c r="X575" s="60" t="str">
        <f t="shared" si="68"/>
        <v>Cut Up 507</v>
      </c>
      <c r="AC575" s="51">
        <f t="shared" si="69"/>
        <v>3</v>
      </c>
      <c r="AD575" s="44">
        <f t="shared" si="70"/>
        <v>33</v>
      </c>
      <c r="AE575" s="51">
        <f t="shared" si="71"/>
        <v>3033</v>
      </c>
    </row>
    <row r="576" spans="1:31">
      <c r="A576" s="60" t="str">
        <f t="shared" si="65"/>
        <v>K3139HTindigo wash</v>
      </c>
      <c r="B576" s="60" t="str">
        <f t="shared" si="66"/>
        <v>03-034-06</v>
      </c>
      <c r="C576" s="72" t="s">
        <v>2039</v>
      </c>
      <c r="D576" s="72" t="s">
        <v>2040</v>
      </c>
      <c r="E576" s="72" t="s">
        <v>969</v>
      </c>
      <c r="F576" s="73">
        <v>57</v>
      </c>
      <c r="G576" s="73" t="s">
        <v>2041</v>
      </c>
      <c r="H576" s="72" t="s">
        <v>71</v>
      </c>
      <c r="I576" s="72" t="s">
        <v>2042</v>
      </c>
      <c r="J576" s="72" t="s">
        <v>348</v>
      </c>
      <c r="K576" s="72" t="s">
        <v>382</v>
      </c>
      <c r="L576" s="72" t="s">
        <v>988</v>
      </c>
      <c r="M576" s="72" t="s">
        <v>384</v>
      </c>
      <c r="N576" s="72" t="s">
        <v>43</v>
      </c>
      <c r="O576" s="72" t="s">
        <v>386</v>
      </c>
      <c r="P576" s="72" t="s">
        <v>973</v>
      </c>
      <c r="Q576" s="72" t="s">
        <v>1098</v>
      </c>
      <c r="R576" s="72" t="s">
        <v>71</v>
      </c>
      <c r="V576" s="60" t="str">
        <f t="shared" si="67"/>
        <v>K3139HTсиний</v>
      </c>
      <c r="W576" s="60" t="str">
        <f t="shared" si="64"/>
        <v>K3139HT</v>
      </c>
      <c r="X576" s="60" t="str">
        <f t="shared" si="68"/>
        <v>Indigo Enfield</v>
      </c>
      <c r="AC576" s="51">
        <f t="shared" si="69"/>
        <v>3</v>
      </c>
      <c r="AD576" s="44">
        <f t="shared" si="70"/>
        <v>34</v>
      </c>
      <c r="AE576" s="51">
        <f t="shared" si="71"/>
        <v>3034</v>
      </c>
    </row>
    <row r="577" spans="1:31">
      <c r="A577" s="60" t="str">
        <f t="shared" si="65"/>
        <v>K3140STblack/white</v>
      </c>
      <c r="B577" s="60" t="str">
        <f t="shared" si="66"/>
        <v>03-035-48</v>
      </c>
      <c r="C577" s="72" t="s">
        <v>2043</v>
      </c>
      <c r="D577" s="72" t="s">
        <v>2044</v>
      </c>
      <c r="E577" s="72" t="s">
        <v>976</v>
      </c>
      <c r="F577" s="73">
        <v>59</v>
      </c>
      <c r="G577" s="73" t="s">
        <v>2045</v>
      </c>
      <c r="H577" s="72" t="s">
        <v>293</v>
      </c>
      <c r="I577" s="72" t="s">
        <v>997</v>
      </c>
      <c r="J577" s="72" t="s">
        <v>327</v>
      </c>
      <c r="K577" s="72" t="s">
        <v>382</v>
      </c>
      <c r="L577" s="72" t="s">
        <v>972</v>
      </c>
      <c r="M577" s="72" t="s">
        <v>384</v>
      </c>
      <c r="O577" s="72" t="s">
        <v>539</v>
      </c>
      <c r="P577" s="72" t="s">
        <v>973</v>
      </c>
      <c r="Q577" s="72" t="s">
        <v>2046</v>
      </c>
      <c r="R577" s="72" t="s">
        <v>53</v>
      </c>
      <c r="V577" s="60" t="str">
        <f t="shared" si="67"/>
        <v>K3140STчерный / белый</v>
      </c>
      <c r="W577" s="60" t="str">
        <f t="shared" si="64"/>
        <v>K3140ST</v>
      </c>
      <c r="X577" s="60" t="str">
        <f t="shared" si="68"/>
        <v>Phonation Spacecap</v>
      </c>
      <c r="AC577" s="51">
        <f t="shared" si="69"/>
        <v>3</v>
      </c>
      <c r="AD577" s="44">
        <f t="shared" si="70"/>
        <v>35</v>
      </c>
      <c r="AE577" s="51">
        <f t="shared" si="71"/>
        <v>3035</v>
      </c>
    </row>
    <row r="578" spans="1:31">
      <c r="A578" s="60" t="str">
        <f t="shared" si="65"/>
        <v>K4105SPblack/grey/white</v>
      </c>
      <c r="B578" s="60" t="str">
        <f t="shared" si="66"/>
        <v>03-036-48</v>
      </c>
      <c r="C578" s="72" t="s">
        <v>2047</v>
      </c>
      <c r="D578" s="72" t="s">
        <v>2048</v>
      </c>
      <c r="E578" s="72" t="s">
        <v>969</v>
      </c>
      <c r="F578" s="73">
        <v>57</v>
      </c>
      <c r="G578" s="73" t="s">
        <v>979</v>
      </c>
      <c r="H578" s="72" t="s">
        <v>293</v>
      </c>
      <c r="I578" s="72" t="s">
        <v>980</v>
      </c>
      <c r="J578" s="72" t="s">
        <v>325</v>
      </c>
      <c r="K578" s="72" t="s">
        <v>382</v>
      </c>
      <c r="L578" s="72" t="s">
        <v>981</v>
      </c>
      <c r="M578" s="72" t="s">
        <v>384</v>
      </c>
      <c r="O578" s="72" t="s">
        <v>386</v>
      </c>
      <c r="P578" s="72" t="s">
        <v>973</v>
      </c>
      <c r="Q578" s="72" t="s">
        <v>2049</v>
      </c>
      <c r="R578" s="72" t="s">
        <v>53</v>
      </c>
      <c r="V578" s="60" t="str">
        <f t="shared" si="67"/>
        <v>K4105SPчерный / белый</v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>K4105SP</v>
      </c>
      <c r="X578" s="60" t="str">
        <f t="shared" si="68"/>
        <v>Bold Stripe Bucket</v>
      </c>
      <c r="AC578" s="51">
        <f t="shared" si="69"/>
        <v>3</v>
      </c>
      <c r="AD578" s="44">
        <f t="shared" si="70"/>
        <v>36</v>
      </c>
      <c r="AE578" s="51">
        <f t="shared" si="71"/>
        <v>3036</v>
      </c>
    </row>
    <row r="579" spans="1:31">
      <c r="A579" s="60" t="str">
        <f t="shared" ref="A579:A642" si="73">IF(G579&amp;Q579&lt;&gt;"",W579&amp;Q579,"")</f>
        <v>K4105SPblack/grey/white</v>
      </c>
      <c r="B579" s="60" t="str">
        <f t="shared" ref="B579:B642" si="74">IF(C579&lt;&gt;"",LEFT(C579,9),"")</f>
        <v>03-036-48</v>
      </c>
      <c r="C579" s="72" t="s">
        <v>2050</v>
      </c>
      <c r="D579" s="72" t="s">
        <v>2048</v>
      </c>
      <c r="E579" s="72" t="s">
        <v>976</v>
      </c>
      <c r="F579" s="73">
        <v>59</v>
      </c>
      <c r="G579" s="73" t="s">
        <v>979</v>
      </c>
      <c r="H579" s="72" t="s">
        <v>293</v>
      </c>
      <c r="I579" s="72" t="s">
        <v>980</v>
      </c>
      <c r="J579" s="72" t="s">
        <v>325</v>
      </c>
      <c r="K579" s="72" t="s">
        <v>382</v>
      </c>
      <c r="L579" s="72" t="s">
        <v>981</v>
      </c>
      <c r="M579" s="72" t="s">
        <v>384</v>
      </c>
      <c r="O579" s="72" t="s">
        <v>386</v>
      </c>
      <c r="P579" s="72" t="s">
        <v>973</v>
      </c>
      <c r="Q579" s="72" t="s">
        <v>2049</v>
      </c>
      <c r="R579" s="72" t="s">
        <v>53</v>
      </c>
      <c r="V579" s="60" t="str">
        <f t="shared" ref="V579:V642" si="75">W579&amp;H579</f>
        <v>K4105SPчерный / белый</v>
      </c>
      <c r="W579" s="60" t="str">
        <f t="shared" si="72"/>
        <v>K4105SP</v>
      </c>
      <c r="X579" s="60" t="str">
        <f t="shared" ref="X579:X642" si="76">IF(A579&lt;&gt;"",IFERROR(IF(FIND(" ",G579)&gt;=1,MID(G579,FIND(" ",G579)+1,LEN(G579)),""),""),"")</f>
        <v>Bold Stripe Bucket</v>
      </c>
      <c r="AC579" s="51">
        <f t="shared" ref="AC579:AC642" si="77">IFERROR(VALUE(MID($C579,1,2)),0)</f>
        <v>3</v>
      </c>
      <c r="AD579" s="44">
        <f t="shared" ref="AD579:AD642" si="78">IFERROR(VALUE(MID($C579,4,3)),0)</f>
        <v>36</v>
      </c>
      <c r="AE579" s="51">
        <f t="shared" ref="AE579:AE642" si="79">VALUE(RIGHT("00"&amp;AC579,2)&amp;RIGHT("000"&amp;AD579,3))</f>
        <v>3036</v>
      </c>
    </row>
    <row r="580" spans="1:31">
      <c r="A580" s="60" t="str">
        <f t="shared" si="73"/>
        <v>K4155STgoldie</v>
      </c>
      <c r="B580" s="60" t="str">
        <f t="shared" si="74"/>
        <v>03-037-00</v>
      </c>
      <c r="C580" s="72" t="s">
        <v>2051</v>
      </c>
      <c r="D580" s="72" t="s">
        <v>2052</v>
      </c>
      <c r="E580" s="72" t="s">
        <v>1032</v>
      </c>
      <c r="F580" s="73">
        <v>55</v>
      </c>
      <c r="G580" s="73" t="s">
        <v>2053</v>
      </c>
      <c r="H580" s="72" t="s">
        <v>151</v>
      </c>
      <c r="I580" s="72" t="s">
        <v>912</v>
      </c>
      <c r="J580" s="72" t="s">
        <v>325</v>
      </c>
      <c r="K580" s="72" t="s">
        <v>382</v>
      </c>
      <c r="L580" s="72" t="s">
        <v>972</v>
      </c>
      <c r="M580" s="72" t="s">
        <v>384</v>
      </c>
      <c r="O580" s="72" t="s">
        <v>386</v>
      </c>
      <c r="P580" s="72" t="s">
        <v>973</v>
      </c>
      <c r="Q580" s="72" t="s">
        <v>974</v>
      </c>
      <c r="R580" s="72" t="s">
        <v>60</v>
      </c>
      <c r="V580" s="60" t="str">
        <f t="shared" si="75"/>
        <v>K4155STзеленый / желтый</v>
      </c>
      <c r="W580" s="60" t="str">
        <f t="shared" si="72"/>
        <v>K4155ST</v>
      </c>
      <c r="X580" s="60" t="str">
        <f t="shared" si="76"/>
        <v>1983 Hero Bucket</v>
      </c>
      <c r="AC580" s="51">
        <f t="shared" si="77"/>
        <v>3</v>
      </c>
      <c r="AD580" s="44">
        <f t="shared" si="78"/>
        <v>37</v>
      </c>
      <c r="AE580" s="51">
        <f t="shared" si="79"/>
        <v>3037</v>
      </c>
    </row>
    <row r="581" spans="1:31">
      <c r="A581" s="60" t="str">
        <f t="shared" si="73"/>
        <v>K4155STgoldie</v>
      </c>
      <c r="B581" s="60" t="str">
        <f t="shared" si="74"/>
        <v>03-037-00</v>
      </c>
      <c r="C581" s="72" t="s">
        <v>2054</v>
      </c>
      <c r="D581" s="72" t="s">
        <v>2052</v>
      </c>
      <c r="E581" s="72" t="s">
        <v>969</v>
      </c>
      <c r="F581" s="73">
        <v>57</v>
      </c>
      <c r="G581" s="73" t="s">
        <v>2053</v>
      </c>
      <c r="H581" s="72" t="s">
        <v>151</v>
      </c>
      <c r="I581" s="72" t="s">
        <v>912</v>
      </c>
      <c r="J581" s="72" t="s">
        <v>325</v>
      </c>
      <c r="K581" s="72" t="s">
        <v>382</v>
      </c>
      <c r="L581" s="72" t="s">
        <v>972</v>
      </c>
      <c r="M581" s="72" t="s">
        <v>384</v>
      </c>
      <c r="O581" s="72" t="s">
        <v>386</v>
      </c>
      <c r="P581" s="72" t="s">
        <v>973</v>
      </c>
      <c r="Q581" s="72" t="s">
        <v>974</v>
      </c>
      <c r="R581" s="72" t="s">
        <v>60</v>
      </c>
      <c r="V581" s="60" t="str">
        <f t="shared" si="75"/>
        <v>K4155STзеленый / желтый</v>
      </c>
      <c r="W581" s="60" t="str">
        <f t="shared" si="72"/>
        <v>K4155ST</v>
      </c>
      <c r="X581" s="60" t="str">
        <f t="shared" si="76"/>
        <v>1983 Hero Bucket</v>
      </c>
      <c r="AC581" s="51">
        <f t="shared" si="77"/>
        <v>3</v>
      </c>
      <c r="AD581" s="44">
        <f t="shared" si="78"/>
        <v>37</v>
      </c>
      <c r="AE581" s="51">
        <f t="shared" si="79"/>
        <v>3037</v>
      </c>
    </row>
    <row r="582" spans="1:31">
      <c r="A582" s="60" t="str">
        <f t="shared" si="73"/>
        <v>K4155STgoldie</v>
      </c>
      <c r="B582" s="60" t="str">
        <f t="shared" si="74"/>
        <v>03-037-00</v>
      </c>
      <c r="C582" s="72" t="s">
        <v>2055</v>
      </c>
      <c r="D582" s="72" t="s">
        <v>2052</v>
      </c>
      <c r="E582" s="72" t="s">
        <v>976</v>
      </c>
      <c r="F582" s="73">
        <v>59</v>
      </c>
      <c r="G582" s="73" t="s">
        <v>2053</v>
      </c>
      <c r="H582" s="72" t="s">
        <v>151</v>
      </c>
      <c r="I582" s="72" t="s">
        <v>912</v>
      </c>
      <c r="J582" s="72" t="s">
        <v>325</v>
      </c>
      <c r="K582" s="72" t="s">
        <v>382</v>
      </c>
      <c r="L582" s="72" t="s">
        <v>972</v>
      </c>
      <c r="M582" s="72" t="s">
        <v>384</v>
      </c>
      <c r="O582" s="72" t="s">
        <v>386</v>
      </c>
      <c r="P582" s="72" t="s">
        <v>973</v>
      </c>
      <c r="Q582" s="72" t="s">
        <v>974</v>
      </c>
      <c r="R582" s="72" t="s">
        <v>60</v>
      </c>
      <c r="V582" s="60" t="str">
        <f t="shared" si="75"/>
        <v>K4155STзеленый / желтый</v>
      </c>
      <c r="W582" s="60" t="str">
        <f t="shared" si="72"/>
        <v>K4155ST</v>
      </c>
      <c r="X582" s="60" t="str">
        <f t="shared" si="76"/>
        <v>1983 Hero Bucket</v>
      </c>
      <c r="AC582" s="51">
        <f t="shared" si="77"/>
        <v>3</v>
      </c>
      <c r="AD582" s="44">
        <f t="shared" si="78"/>
        <v>37</v>
      </c>
      <c r="AE582" s="51">
        <f t="shared" si="79"/>
        <v>3037</v>
      </c>
    </row>
    <row r="583" spans="1:31">
      <c r="A583" s="60" t="str">
        <f t="shared" si="73"/>
        <v>K4155STgoldie</v>
      </c>
      <c r="B583" s="60" t="str">
        <f t="shared" si="74"/>
        <v>03-037-00</v>
      </c>
      <c r="C583" s="72" t="s">
        <v>2056</v>
      </c>
      <c r="D583" s="72" t="s">
        <v>2052</v>
      </c>
      <c r="E583" s="72" t="s">
        <v>1030</v>
      </c>
      <c r="F583" s="73">
        <v>61</v>
      </c>
      <c r="G583" s="73" t="s">
        <v>2053</v>
      </c>
      <c r="H583" s="72" t="s">
        <v>151</v>
      </c>
      <c r="I583" s="72" t="s">
        <v>912</v>
      </c>
      <c r="J583" s="72" t="s">
        <v>325</v>
      </c>
      <c r="K583" s="72" t="s">
        <v>382</v>
      </c>
      <c r="L583" s="72" t="s">
        <v>972</v>
      </c>
      <c r="M583" s="72" t="s">
        <v>384</v>
      </c>
      <c r="O583" s="72" t="s">
        <v>386</v>
      </c>
      <c r="P583" s="72" t="s">
        <v>973</v>
      </c>
      <c r="Q583" s="72" t="s">
        <v>974</v>
      </c>
      <c r="R583" s="72" t="s">
        <v>60</v>
      </c>
      <c r="V583" s="60" t="str">
        <f t="shared" si="75"/>
        <v>K4155STзеленый / желтый</v>
      </c>
      <c r="W583" s="60" t="str">
        <f t="shared" si="72"/>
        <v>K4155ST</v>
      </c>
      <c r="X583" s="60" t="str">
        <f t="shared" si="76"/>
        <v>1983 Hero Bucket</v>
      </c>
      <c r="AC583" s="51">
        <f t="shared" si="77"/>
        <v>3</v>
      </c>
      <c r="AD583" s="44">
        <f t="shared" si="78"/>
        <v>37</v>
      </c>
      <c r="AE583" s="51">
        <f t="shared" si="79"/>
        <v>3037</v>
      </c>
    </row>
    <row r="584" spans="1:31">
      <c r="A584" s="60" t="str">
        <f t="shared" si="73"/>
        <v>K4155STnavy</v>
      </c>
      <c r="B584" s="60" t="str">
        <f t="shared" si="74"/>
        <v>03-037-21</v>
      </c>
      <c r="C584" s="72" t="s">
        <v>2057</v>
      </c>
      <c r="D584" s="72" t="s">
        <v>2058</v>
      </c>
      <c r="E584" s="72" t="s">
        <v>969</v>
      </c>
      <c r="F584" s="73">
        <v>57</v>
      </c>
      <c r="G584" s="73" t="s">
        <v>2053</v>
      </c>
      <c r="H584" s="72" t="s">
        <v>252</v>
      </c>
      <c r="I584" s="72" t="s">
        <v>912</v>
      </c>
      <c r="J584" s="72" t="s">
        <v>325</v>
      </c>
      <c r="K584" s="72" t="s">
        <v>382</v>
      </c>
      <c r="L584" s="72" t="s">
        <v>972</v>
      </c>
      <c r="M584" s="72" t="s">
        <v>384</v>
      </c>
      <c r="O584" s="72" t="s">
        <v>386</v>
      </c>
      <c r="P584" s="72" t="s">
        <v>973</v>
      </c>
      <c r="Q584" s="72" t="s">
        <v>1017</v>
      </c>
      <c r="R584" s="72" t="s">
        <v>71</v>
      </c>
      <c r="V584" s="60" t="str">
        <f t="shared" si="75"/>
        <v>K4155STсиний / красный</v>
      </c>
      <c r="W584" s="60" t="str">
        <f t="shared" si="72"/>
        <v>K4155ST</v>
      </c>
      <c r="X584" s="60" t="str">
        <f t="shared" si="76"/>
        <v>1983 Hero Bucket</v>
      </c>
      <c r="AC584" s="51">
        <f t="shared" si="77"/>
        <v>3</v>
      </c>
      <c r="AD584" s="44">
        <f t="shared" si="78"/>
        <v>37</v>
      </c>
      <c r="AE584" s="51">
        <f t="shared" si="79"/>
        <v>3037</v>
      </c>
    </row>
    <row r="585" spans="1:31">
      <c r="A585" s="60" t="str">
        <f t="shared" si="73"/>
        <v>K4155STnavy</v>
      </c>
      <c r="B585" s="60" t="str">
        <f t="shared" si="74"/>
        <v>03-037-21</v>
      </c>
      <c r="C585" s="72" t="s">
        <v>2059</v>
      </c>
      <c r="D585" s="72" t="s">
        <v>2058</v>
      </c>
      <c r="E585" s="72" t="s">
        <v>976</v>
      </c>
      <c r="F585" s="73">
        <v>59</v>
      </c>
      <c r="G585" s="73" t="s">
        <v>2053</v>
      </c>
      <c r="H585" s="72" t="s">
        <v>252</v>
      </c>
      <c r="I585" s="72" t="s">
        <v>912</v>
      </c>
      <c r="J585" s="72" t="s">
        <v>325</v>
      </c>
      <c r="K585" s="72" t="s">
        <v>382</v>
      </c>
      <c r="L585" s="72" t="s">
        <v>972</v>
      </c>
      <c r="M585" s="72" t="s">
        <v>384</v>
      </c>
      <c r="O585" s="72" t="s">
        <v>386</v>
      </c>
      <c r="P585" s="72" t="s">
        <v>973</v>
      </c>
      <c r="Q585" s="72" t="s">
        <v>1017</v>
      </c>
      <c r="R585" s="72" t="s">
        <v>71</v>
      </c>
      <c r="V585" s="60" t="str">
        <f t="shared" si="75"/>
        <v>K4155STсиний / красный</v>
      </c>
      <c r="W585" s="60" t="str">
        <f t="shared" si="72"/>
        <v>K4155ST</v>
      </c>
      <c r="X585" s="60" t="str">
        <f t="shared" si="76"/>
        <v>1983 Hero Bucket</v>
      </c>
      <c r="AC585" s="51">
        <f t="shared" si="77"/>
        <v>3</v>
      </c>
      <c r="AD585" s="44">
        <f t="shared" si="78"/>
        <v>37</v>
      </c>
      <c r="AE585" s="51">
        <f t="shared" si="79"/>
        <v>3037</v>
      </c>
    </row>
    <row r="586" spans="1:31">
      <c r="A586" s="60" t="str">
        <f t="shared" si="73"/>
        <v>K5165HTalgae</v>
      </c>
      <c r="B586" s="60" t="str">
        <f t="shared" si="74"/>
        <v>03-038-11</v>
      </c>
      <c r="C586" s="72" t="s">
        <v>2060</v>
      </c>
      <c r="D586" s="72" t="s">
        <v>2061</v>
      </c>
      <c r="E586" s="72" t="s">
        <v>909</v>
      </c>
      <c r="F586" s="73">
        <v>0</v>
      </c>
      <c r="G586" s="73" t="s">
        <v>1021</v>
      </c>
      <c r="H586" s="72" t="s">
        <v>60</v>
      </c>
      <c r="I586" s="72" t="s">
        <v>910</v>
      </c>
      <c r="J586" s="72" t="s">
        <v>327</v>
      </c>
      <c r="K586" s="72" t="s">
        <v>382</v>
      </c>
      <c r="L586" s="72" t="s">
        <v>988</v>
      </c>
      <c r="M586" s="72" t="s">
        <v>384</v>
      </c>
      <c r="N586" s="72" t="s">
        <v>43</v>
      </c>
      <c r="O586" s="72" t="s">
        <v>533</v>
      </c>
      <c r="P586" s="72" t="s">
        <v>973</v>
      </c>
      <c r="Q586" s="72" t="s">
        <v>1011</v>
      </c>
      <c r="R586" s="72" t="s">
        <v>60</v>
      </c>
      <c r="V586" s="60" t="str">
        <f t="shared" si="75"/>
        <v>K5165HTзеленый</v>
      </c>
      <c r="W586" s="60" t="str">
        <f t="shared" si="72"/>
        <v>K5165HT</v>
      </c>
      <c r="X586" s="60" t="str">
        <f t="shared" si="76"/>
        <v>Washed Baseball</v>
      </c>
      <c r="AC586" s="51">
        <f t="shared" si="77"/>
        <v>3</v>
      </c>
      <c r="AD586" s="44">
        <f t="shared" si="78"/>
        <v>38</v>
      </c>
      <c r="AE586" s="51">
        <f t="shared" si="79"/>
        <v>3038</v>
      </c>
    </row>
    <row r="587" spans="1:31">
      <c r="A587" s="60" t="str">
        <f t="shared" si="73"/>
        <v>K5165HTblack</v>
      </c>
      <c r="B587" s="60" t="str">
        <f t="shared" si="74"/>
        <v>03-038-09</v>
      </c>
      <c r="C587" s="72" t="s">
        <v>2062</v>
      </c>
      <c r="D587" s="72" t="s">
        <v>2063</v>
      </c>
      <c r="E587" s="72" t="s">
        <v>909</v>
      </c>
      <c r="F587" s="73">
        <v>0</v>
      </c>
      <c r="G587" s="73" t="s">
        <v>1021</v>
      </c>
      <c r="H587" s="72" t="s">
        <v>53</v>
      </c>
      <c r="I587" s="72" t="s">
        <v>910</v>
      </c>
      <c r="J587" s="72" t="s">
        <v>327</v>
      </c>
      <c r="K587" s="72" t="s">
        <v>382</v>
      </c>
      <c r="L587" s="72" t="s">
        <v>1004</v>
      </c>
      <c r="M587" s="72" t="s">
        <v>384</v>
      </c>
      <c r="N587" s="72" t="s">
        <v>43</v>
      </c>
      <c r="O587" s="72" t="s">
        <v>386</v>
      </c>
      <c r="P587" s="72" t="s">
        <v>808</v>
      </c>
      <c r="Q587" s="72" t="s">
        <v>1005</v>
      </c>
      <c r="R587" s="72" t="s">
        <v>53</v>
      </c>
      <c r="V587" s="60" t="str">
        <f t="shared" si="75"/>
        <v>K5165HTчерный</v>
      </c>
      <c r="W587" s="60" t="str">
        <f t="shared" si="72"/>
        <v>K5165HT</v>
      </c>
      <c r="X587" s="60" t="str">
        <f t="shared" si="76"/>
        <v>Washed Baseball</v>
      </c>
      <c r="AC587" s="51">
        <f t="shared" si="77"/>
        <v>3</v>
      </c>
      <c r="AD587" s="44">
        <f t="shared" si="78"/>
        <v>38</v>
      </c>
      <c r="AE587" s="51">
        <f t="shared" si="79"/>
        <v>3038</v>
      </c>
    </row>
    <row r="588" spans="1:31">
      <c r="A588" s="60" t="str">
        <f t="shared" si="73"/>
        <v>K5165HTkhaki</v>
      </c>
      <c r="B588" s="60" t="str">
        <f t="shared" si="74"/>
        <v>03-038-02</v>
      </c>
      <c r="C588" s="72" t="s">
        <v>2064</v>
      </c>
      <c r="D588" s="72" t="s">
        <v>2065</v>
      </c>
      <c r="E588" s="72" t="s">
        <v>909</v>
      </c>
      <c r="F588" s="73">
        <v>0</v>
      </c>
      <c r="G588" s="73" t="s">
        <v>1021</v>
      </c>
      <c r="H588" s="72" t="s">
        <v>63</v>
      </c>
      <c r="I588" s="72" t="s">
        <v>910</v>
      </c>
      <c r="J588" s="72" t="s">
        <v>327</v>
      </c>
      <c r="K588" s="72" t="s">
        <v>382</v>
      </c>
      <c r="L588" s="72" t="s">
        <v>988</v>
      </c>
      <c r="M588" s="72" t="s">
        <v>384</v>
      </c>
      <c r="N588" s="72" t="s">
        <v>43</v>
      </c>
      <c r="O588" s="72" t="s">
        <v>533</v>
      </c>
      <c r="P588" s="72" t="s">
        <v>973</v>
      </c>
      <c r="Q588" s="72" t="s">
        <v>2066</v>
      </c>
      <c r="R588" s="72" t="s">
        <v>63</v>
      </c>
      <c r="V588" s="60" t="str">
        <f t="shared" si="75"/>
        <v>K5165HTбежевый</v>
      </c>
      <c r="W588" s="60" t="str">
        <f t="shared" si="72"/>
        <v>K5165HT</v>
      </c>
      <c r="X588" s="60" t="str">
        <f t="shared" si="76"/>
        <v>Washed Baseball</v>
      </c>
      <c r="AC588" s="51">
        <f t="shared" si="77"/>
        <v>3</v>
      </c>
      <c r="AD588" s="44">
        <f t="shared" si="78"/>
        <v>38</v>
      </c>
      <c r="AE588" s="51">
        <f t="shared" si="79"/>
        <v>3038</v>
      </c>
    </row>
    <row r="589" spans="1:31">
      <c r="A589" s="60" t="str">
        <f t="shared" si="73"/>
        <v>K5165HTnavy</v>
      </c>
      <c r="B589" s="60" t="str">
        <f t="shared" si="74"/>
        <v>03-038-16</v>
      </c>
      <c r="C589" s="72" t="s">
        <v>2067</v>
      </c>
      <c r="D589" s="72" t="s">
        <v>2068</v>
      </c>
      <c r="E589" s="72" t="s">
        <v>909</v>
      </c>
      <c r="F589" s="73">
        <v>0</v>
      </c>
      <c r="G589" s="73" t="s">
        <v>1021</v>
      </c>
      <c r="H589" s="72" t="s">
        <v>55</v>
      </c>
      <c r="I589" s="72" t="s">
        <v>910</v>
      </c>
      <c r="J589" s="72" t="s">
        <v>327</v>
      </c>
      <c r="K589" s="72" t="s">
        <v>382</v>
      </c>
      <c r="L589" s="72" t="s">
        <v>1004</v>
      </c>
      <c r="M589" s="72" t="s">
        <v>384</v>
      </c>
      <c r="N589" s="72" t="s">
        <v>43</v>
      </c>
      <c r="O589" s="72" t="s">
        <v>533</v>
      </c>
      <c r="P589" s="72" t="s">
        <v>808</v>
      </c>
      <c r="Q589" s="72" t="s">
        <v>1017</v>
      </c>
      <c r="R589" s="72" t="s">
        <v>71</v>
      </c>
      <c r="V589" s="60" t="str">
        <f t="shared" si="75"/>
        <v>K5165HTтемно-синий</v>
      </c>
      <c r="W589" s="60" t="str">
        <f t="shared" si="72"/>
        <v>K5165HT</v>
      </c>
      <c r="X589" s="60" t="str">
        <f t="shared" si="76"/>
        <v>Washed Baseball</v>
      </c>
      <c r="AC589" s="51">
        <f t="shared" si="77"/>
        <v>3</v>
      </c>
      <c r="AD589" s="44">
        <f t="shared" si="78"/>
        <v>38</v>
      </c>
      <c r="AE589" s="51">
        <f t="shared" si="79"/>
        <v>3038</v>
      </c>
    </row>
    <row r="590" spans="1:31">
      <c r="A590" s="60" t="str">
        <f t="shared" si="73"/>
        <v>K5177HThoundstooth check</v>
      </c>
      <c r="B590" s="60" t="str">
        <f t="shared" si="74"/>
        <v>03-039-02</v>
      </c>
      <c r="C590" s="72" t="s">
        <v>2069</v>
      </c>
      <c r="D590" s="72" t="s">
        <v>2070</v>
      </c>
      <c r="E590" s="72" t="s">
        <v>1058</v>
      </c>
      <c r="F590" s="73">
        <v>60</v>
      </c>
      <c r="G590" s="73" t="s">
        <v>2071</v>
      </c>
      <c r="H590" s="72" t="s">
        <v>63</v>
      </c>
      <c r="I590" s="72" t="s">
        <v>1511</v>
      </c>
      <c r="J590" s="72" t="s">
        <v>320</v>
      </c>
      <c r="K590" s="72" t="s">
        <v>382</v>
      </c>
      <c r="L590" s="72" t="s">
        <v>988</v>
      </c>
      <c r="M590" s="72" t="s">
        <v>384</v>
      </c>
      <c r="N590" s="72" t="s">
        <v>43</v>
      </c>
      <c r="O590" s="72" t="s">
        <v>533</v>
      </c>
      <c r="P590" s="72" t="s">
        <v>973</v>
      </c>
      <c r="Q590" s="72" t="s">
        <v>2072</v>
      </c>
      <c r="R590" s="72" t="s">
        <v>63</v>
      </c>
      <c r="V590" s="60" t="str">
        <f t="shared" si="75"/>
        <v>K5177HTбежевый</v>
      </c>
      <c r="W590" s="60" t="str">
        <f t="shared" si="72"/>
        <v>K5177HT</v>
      </c>
      <c r="X590" s="60" t="str">
        <f t="shared" si="76"/>
        <v>Pattern Flexfit Cap</v>
      </c>
      <c r="AC590" s="51">
        <f t="shared" si="77"/>
        <v>3</v>
      </c>
      <c r="AD590" s="44">
        <f t="shared" si="78"/>
        <v>39</v>
      </c>
      <c r="AE590" s="51">
        <f t="shared" si="79"/>
        <v>3039</v>
      </c>
    </row>
    <row r="591" spans="1:31">
      <c r="A591" s="60" t="str">
        <f t="shared" si="73"/>
        <v>K5177HThoundstooth check</v>
      </c>
      <c r="B591" s="60" t="str">
        <f t="shared" si="74"/>
        <v>03-039-02</v>
      </c>
      <c r="C591" s="72" t="s">
        <v>2073</v>
      </c>
      <c r="D591" s="72" t="s">
        <v>2070</v>
      </c>
      <c r="E591" s="72" t="s">
        <v>1053</v>
      </c>
      <c r="F591" s="73">
        <v>56</v>
      </c>
      <c r="G591" s="73" t="s">
        <v>2071</v>
      </c>
      <c r="H591" s="72" t="s">
        <v>63</v>
      </c>
      <c r="I591" s="72" t="s">
        <v>1511</v>
      </c>
      <c r="J591" s="72" t="s">
        <v>320</v>
      </c>
      <c r="K591" s="72" t="s">
        <v>382</v>
      </c>
      <c r="L591" s="72" t="s">
        <v>988</v>
      </c>
      <c r="M591" s="72" t="s">
        <v>384</v>
      </c>
      <c r="N591" s="72" t="s">
        <v>43</v>
      </c>
      <c r="O591" s="72" t="s">
        <v>533</v>
      </c>
      <c r="P591" s="72" t="s">
        <v>973</v>
      </c>
      <c r="Q591" s="72" t="s">
        <v>2072</v>
      </c>
      <c r="R591" s="72" t="s">
        <v>63</v>
      </c>
      <c r="V591" s="60" t="str">
        <f t="shared" si="75"/>
        <v>K5177HTбежевый</v>
      </c>
      <c r="W591" s="60" t="str">
        <f t="shared" si="72"/>
        <v>K5177HT</v>
      </c>
      <c r="X591" s="60" t="str">
        <f t="shared" si="76"/>
        <v>Pattern Flexfit Cap</v>
      </c>
      <c r="AC591" s="51">
        <f t="shared" si="77"/>
        <v>3</v>
      </c>
      <c r="AD591" s="44">
        <f t="shared" si="78"/>
        <v>39</v>
      </c>
      <c r="AE591" s="51">
        <f t="shared" si="79"/>
        <v>3039</v>
      </c>
    </row>
    <row r="592" spans="1:31">
      <c r="A592" s="60" t="str">
        <f t="shared" si="73"/>
        <v>K5177HTprince plaid</v>
      </c>
      <c r="B592" s="60" t="str">
        <f t="shared" si="74"/>
        <v>03-039-19</v>
      </c>
      <c r="C592" s="72" t="s">
        <v>2074</v>
      </c>
      <c r="D592" s="72" t="s">
        <v>2075</v>
      </c>
      <c r="E592" s="72" t="s">
        <v>1058</v>
      </c>
      <c r="F592" s="73">
        <v>60</v>
      </c>
      <c r="G592" s="73" t="s">
        <v>2071</v>
      </c>
      <c r="H592" s="72" t="s">
        <v>91</v>
      </c>
      <c r="I592" s="72" t="s">
        <v>1511</v>
      </c>
      <c r="J592" s="72" t="s">
        <v>320</v>
      </c>
      <c r="K592" s="72" t="s">
        <v>382</v>
      </c>
      <c r="L592" s="72" t="s">
        <v>988</v>
      </c>
      <c r="M592" s="72" t="s">
        <v>384</v>
      </c>
      <c r="N592" s="72" t="s">
        <v>43</v>
      </c>
      <c r="O592" s="72" t="s">
        <v>533</v>
      </c>
      <c r="P592" s="72" t="s">
        <v>973</v>
      </c>
      <c r="Q592" s="72" t="s">
        <v>2076</v>
      </c>
      <c r="R592" s="72" t="s">
        <v>91</v>
      </c>
      <c r="V592" s="60" t="str">
        <f t="shared" si="75"/>
        <v>K5177HTголубой</v>
      </c>
      <c r="W592" s="60" t="str">
        <f t="shared" si="72"/>
        <v>K5177HT</v>
      </c>
      <c r="X592" s="60" t="str">
        <f t="shared" si="76"/>
        <v>Pattern Flexfit Cap</v>
      </c>
      <c r="AC592" s="51">
        <f t="shared" si="77"/>
        <v>3</v>
      </c>
      <c r="AD592" s="44">
        <f t="shared" si="78"/>
        <v>39</v>
      </c>
      <c r="AE592" s="51">
        <f t="shared" si="79"/>
        <v>3039</v>
      </c>
    </row>
    <row r="593" spans="1:31">
      <c r="A593" s="60" t="str">
        <f t="shared" si="73"/>
        <v>K5177HTprince plaid</v>
      </c>
      <c r="B593" s="60" t="str">
        <f t="shared" si="74"/>
        <v>03-039-19</v>
      </c>
      <c r="C593" s="72" t="s">
        <v>2077</v>
      </c>
      <c r="D593" s="72" t="s">
        <v>2075</v>
      </c>
      <c r="E593" s="72" t="s">
        <v>1053</v>
      </c>
      <c r="F593" s="73">
        <v>56</v>
      </c>
      <c r="G593" s="73" t="s">
        <v>2071</v>
      </c>
      <c r="H593" s="72" t="s">
        <v>91</v>
      </c>
      <c r="I593" s="72" t="s">
        <v>1511</v>
      </c>
      <c r="J593" s="72" t="s">
        <v>320</v>
      </c>
      <c r="K593" s="72" t="s">
        <v>382</v>
      </c>
      <c r="L593" s="72" t="s">
        <v>988</v>
      </c>
      <c r="M593" s="72" t="s">
        <v>384</v>
      </c>
      <c r="N593" s="72" t="s">
        <v>43</v>
      </c>
      <c r="O593" s="72" t="s">
        <v>533</v>
      </c>
      <c r="P593" s="72" t="s">
        <v>973</v>
      </c>
      <c r="Q593" s="72" t="s">
        <v>2076</v>
      </c>
      <c r="R593" s="72" t="s">
        <v>91</v>
      </c>
      <c r="V593" s="60" t="str">
        <f t="shared" si="75"/>
        <v>K5177HTголубой</v>
      </c>
      <c r="W593" s="60" t="str">
        <f t="shared" si="72"/>
        <v>K5177HT</v>
      </c>
      <c r="X593" s="60" t="str">
        <f t="shared" si="76"/>
        <v>Pattern Flexfit Cap</v>
      </c>
      <c r="AC593" s="51">
        <f t="shared" si="77"/>
        <v>3</v>
      </c>
      <c r="AD593" s="44">
        <f t="shared" si="78"/>
        <v>39</v>
      </c>
      <c r="AE593" s="51">
        <f t="shared" si="79"/>
        <v>3039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4" t="str">
        <f t="shared" si="752"/>
        <v/>
      </c>
      <c r="C5999" s="85"/>
      <c r="D5999" s="85"/>
      <c r="E5999" s="85"/>
      <c r="F5999" s="86"/>
      <c r="G5999" s="86"/>
      <c r="H5999" s="85"/>
      <c r="I5999" s="85"/>
      <c r="J5999" s="85"/>
      <c r="K5999" s="85"/>
      <c r="L5999" s="85"/>
      <c r="M5999" s="85"/>
      <c r="N5999" s="85"/>
      <c r="O5999" s="85"/>
      <c r="P5999" s="85"/>
      <c r="Q5999" s="85"/>
      <c r="R5999" s="85"/>
      <c r="S5999" s="85"/>
      <c r="T5999" s="85"/>
      <c r="U5999" s="85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4" t="str">
        <f t="shared" si="752"/>
        <v/>
      </c>
      <c r="C6000" s="85"/>
      <c r="D6000" s="85"/>
      <c r="E6000" s="85"/>
      <c r="F6000" s="86"/>
      <c r="G6000" s="86"/>
      <c r="H6000" s="85"/>
      <c r="I6000" s="85"/>
      <c r="J6000" s="85"/>
      <c r="K6000" s="85"/>
      <c r="L6000" s="85"/>
      <c r="M6000" s="85"/>
      <c r="N6000" s="85"/>
      <c r="O6000" s="85"/>
      <c r="P6000" s="85"/>
      <c r="Q6000" s="85"/>
      <c r="R6000" s="85"/>
      <c r="S6000" s="85"/>
      <c r="T6000" s="85"/>
      <c r="U6000" s="85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38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38" s="88" customFormat="1">
      <c r="A6002" s="60" t="str">
        <f t="shared" si="753"/>
        <v/>
      </c>
      <c r="B6002" s="84" t="str">
        <f t="shared" si="754"/>
        <v/>
      </c>
      <c r="C6002" s="74"/>
      <c r="D6002" s="74"/>
      <c r="E6002" s="74"/>
      <c r="F6002" s="75"/>
      <c r="G6002" s="75"/>
      <c r="H6002" s="74"/>
      <c r="I6002" s="74"/>
      <c r="J6002" s="74"/>
      <c r="K6002" s="74"/>
      <c r="L6002" s="74"/>
      <c r="M6002" s="74"/>
      <c r="N6002" s="74"/>
      <c r="O6002" s="74"/>
      <c r="P6002" s="74"/>
      <c r="Q6002" s="74"/>
      <c r="R6002" s="74"/>
      <c r="S6002" s="74"/>
      <c r="T6002" s="74"/>
      <c r="U6002" s="74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6"/>
      <c r="Z6002" s="76"/>
      <c r="AA6002" s="76"/>
      <c r="AB6002" s="76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6"/>
      <c r="AG6002" s="76"/>
      <c r="AH6002" s="76"/>
      <c r="AI6002" s="87"/>
      <c r="AJ6002" s="87"/>
      <c r="AK6002" s="76"/>
      <c r="AL6002" s="76"/>
    </row>
    <row r="6003" spans="1:38">
      <c r="A6003" s="60" t="str">
        <f t="shared" si="753"/>
        <v/>
      </c>
      <c r="B6003" s="84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38">
      <c r="A6004" s="60" t="str">
        <f t="shared" si="753"/>
        <v/>
      </c>
      <c r="B6004" s="84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38">
      <c r="A6005" s="60" t="str">
        <f t="shared" si="753"/>
        <v/>
      </c>
      <c r="B6005" s="84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38">
      <c r="A6006" s="60" t="str">
        <f t="shared" si="753"/>
        <v/>
      </c>
      <c r="B6006" s="84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38">
      <c r="A6007" s="60" t="str">
        <f t="shared" si="753"/>
        <v/>
      </c>
      <c r="B6007" s="84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38">
      <c r="A6008" s="60" t="str">
        <f t="shared" si="753"/>
        <v/>
      </c>
      <c r="B6008" s="84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38">
      <c r="A6009" s="60" t="str">
        <f t="shared" si="753"/>
        <v/>
      </c>
      <c r="B6009" s="84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38">
      <c r="A6010" s="60" t="str">
        <f t="shared" si="753"/>
        <v/>
      </c>
      <c r="B6010" s="84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38">
      <c r="A6011" s="60" t="str">
        <f t="shared" si="753"/>
        <v/>
      </c>
      <c r="B6011" s="84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38">
      <c r="A6012" s="60" t="str">
        <f t="shared" si="753"/>
        <v/>
      </c>
      <c r="B6012" s="84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38">
      <c r="A6013" s="60" t="str">
        <f t="shared" si="753"/>
        <v/>
      </c>
      <c r="B6013" s="84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38">
      <c r="A6014" s="60" t="str">
        <f t="shared" si="753"/>
        <v/>
      </c>
      <c r="B6014" s="84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38">
      <c r="A6015" s="60" t="str">
        <f t="shared" si="753"/>
        <v/>
      </c>
      <c r="B6015" s="84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38">
      <c r="A6016" s="60" t="str">
        <f t="shared" si="753"/>
        <v/>
      </c>
      <c r="B6016" s="84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4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4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4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4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4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4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4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4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4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4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4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4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4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4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4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4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4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4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4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4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4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4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4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4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4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4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4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4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4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4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4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4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4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4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4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4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4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4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4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4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4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4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4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4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4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4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4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4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4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4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4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4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4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4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4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4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4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4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4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4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4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4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4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4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4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4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4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4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4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4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4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4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4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4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4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4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4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4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4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4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4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4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4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4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4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4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4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4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4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4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4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4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4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4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4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4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4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4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4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4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4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4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4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4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4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4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4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4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4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4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4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4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4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4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4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4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4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4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4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4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4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4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4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4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4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4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4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4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4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4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4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4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4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4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4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4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4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4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4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4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4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4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4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4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4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4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4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4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4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4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4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4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4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4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4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4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4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4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4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4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4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4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4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4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4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4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4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4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4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4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4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4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4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4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4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4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4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4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4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4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4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4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4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4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4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4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4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4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4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4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4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4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4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4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4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4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4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4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4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4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4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4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4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4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4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4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4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4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4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4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4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4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4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4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4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4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4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4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4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4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4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4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4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4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4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4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4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4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4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4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4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4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4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4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4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4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4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4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4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4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4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4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4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4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4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4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4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4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4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4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4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4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4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4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4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4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4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4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4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4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4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4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4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4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4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4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4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4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4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4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4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4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4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4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4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4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4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4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4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4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4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4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4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4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4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4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4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4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4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4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4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4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4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4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4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4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4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4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4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4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4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4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4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4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4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4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4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4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4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4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4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4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4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4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4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4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4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4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4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4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4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4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4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4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4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4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4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4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4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4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4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4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4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4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4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4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4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4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4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4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4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4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4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4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4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4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4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4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4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4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4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4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4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4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4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4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4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4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4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4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4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4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4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4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4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4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4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4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4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4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4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4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4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4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4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4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4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4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4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4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4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4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4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4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4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4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4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4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4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4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4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4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4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4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4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4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4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4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4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4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4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4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4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4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4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4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4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4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4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4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4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4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4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4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4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4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4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4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4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4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4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4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4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4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4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4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4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4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4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4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4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4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4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4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4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4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4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4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4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4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4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4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4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4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4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4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4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4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4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4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4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4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4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4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4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4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4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4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4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4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4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4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4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4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4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4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4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4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4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4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4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4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4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4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4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4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4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4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4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4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4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4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4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4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4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4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4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4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4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4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4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4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4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4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4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4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4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4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4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4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4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4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4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4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4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4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4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4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4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4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4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4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4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4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4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4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4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4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4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4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4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4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4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4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4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4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4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4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4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4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4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4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4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4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4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4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4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4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4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4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4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4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4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4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4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4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4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4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4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4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4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4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4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4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4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4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4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4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4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4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4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4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4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4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4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4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4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4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4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4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4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4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4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4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4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4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4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4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4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4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4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4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4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4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4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4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4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4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4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4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4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4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4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4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4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4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4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4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4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4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4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4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4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4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4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4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4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4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4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4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4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4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4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4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4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4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4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4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4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4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4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4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4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4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4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4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4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4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4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4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4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4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4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4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4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4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4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4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4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4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4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4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4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4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4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4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4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4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4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4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4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4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4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4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4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4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4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4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4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4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4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4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4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4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4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4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4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4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4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4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4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4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4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4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4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4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4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4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4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4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4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4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4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4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4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4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4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4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4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4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4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4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4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4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4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4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4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4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4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4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4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4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4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4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4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4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4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4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4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4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4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4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4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4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4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4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4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4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4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4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4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4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4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4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4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4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4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4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4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4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4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4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4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4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4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4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4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4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4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4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4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4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4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4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4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4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4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4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4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4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4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4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4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4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4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4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4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4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4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4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4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4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4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4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4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4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4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4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4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4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4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4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4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4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4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4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4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4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4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4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4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4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4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4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4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4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4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4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4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4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4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4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4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4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4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4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4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4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4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4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4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4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4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4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4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4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4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4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4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4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4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4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4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4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4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4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4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4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4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4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4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4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4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4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4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4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4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4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4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4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4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4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4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4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4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4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4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4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4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4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4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4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4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4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4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4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4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4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4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4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4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4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4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4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4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4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4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4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4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4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4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4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4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4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4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4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4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4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4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4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4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4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4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4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4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4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4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4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4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4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4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4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4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4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4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4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4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4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4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4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4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4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4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4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4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4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4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4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4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4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4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4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4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4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4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4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4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4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4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4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4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4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4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4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4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4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4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4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4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4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4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4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4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4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4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4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4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4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4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4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4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4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4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4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4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4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4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4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4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4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4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4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4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4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4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4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4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4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4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4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4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4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4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4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4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4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4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4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4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4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4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4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4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4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4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4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4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4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4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4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4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4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4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4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4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4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4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4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4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4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4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4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4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4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4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4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4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4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4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4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4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4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4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4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4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4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4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4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4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4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4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4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4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4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4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4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4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4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4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4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4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4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4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4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4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4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4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4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4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4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4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4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4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4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4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4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4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4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4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4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4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4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4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4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4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4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4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4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4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4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4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4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4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4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4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4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4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4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4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4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4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4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4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4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4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4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4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4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4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4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4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4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4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4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4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4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4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4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4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4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4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4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4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4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4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4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4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4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4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4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4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4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4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4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4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4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4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4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4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4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4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4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4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4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4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4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4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4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4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4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4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4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4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4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4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4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4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4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4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4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4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4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4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4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4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4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4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4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4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4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4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4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4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4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4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4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4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4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4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4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4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4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4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4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4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4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4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4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4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4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4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4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4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4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4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4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4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4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4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4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4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4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4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4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4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4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4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4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4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4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4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4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4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4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4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4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4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4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4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4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4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4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4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4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4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4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4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4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4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4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4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4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4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4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4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4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4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4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4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4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4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4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4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4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4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4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4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4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4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4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4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4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4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4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4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4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4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4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4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4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4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4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4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4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4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4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4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4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4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4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4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4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4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4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4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4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4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4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4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4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4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4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4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4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4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4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4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4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4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4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4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4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4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4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4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4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4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4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4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4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4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4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4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4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4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4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4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4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4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4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4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4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4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4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4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4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4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4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4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4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4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4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4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4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4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4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4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4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4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4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4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4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4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4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4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4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4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4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4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4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4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4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4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4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4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4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4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4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4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4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4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4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4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4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4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4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4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4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4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4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4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4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4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4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4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4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4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4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4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4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4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4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4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4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4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4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4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4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4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4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4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4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4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4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4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4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4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4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4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4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4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4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4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4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4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4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4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4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4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4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4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4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4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4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4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4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4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4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4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4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4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4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4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4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4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4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4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4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4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4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4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4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4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4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4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4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4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4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4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4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4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4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4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4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4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4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4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4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4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4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4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4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4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4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4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4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4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4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4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4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4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4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4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4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4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4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4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4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4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4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4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4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4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4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4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4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4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4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4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4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4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4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4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4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4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4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4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4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4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4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4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4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4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4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4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4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4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4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4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4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4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4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4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4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4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4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4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4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4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4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4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4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4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4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4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4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4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4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4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4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4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4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4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4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4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4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4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4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4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4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4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4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4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4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4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4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4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4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4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4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4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4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4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4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4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4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4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4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4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4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4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4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4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4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4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4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4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4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4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4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4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4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4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4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4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4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4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4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4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4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4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4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4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4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4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4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4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4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4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4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4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4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4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4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4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4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4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4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4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4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4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4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4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4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4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4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4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4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4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4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4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4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4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4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4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4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4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4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4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4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4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4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4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4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4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4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4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4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4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4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4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4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4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4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4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4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4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4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4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4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4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4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4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4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4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4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4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4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4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4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4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4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4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4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4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4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4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4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4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4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4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4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4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4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4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4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4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4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4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4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4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4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4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4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4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4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4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4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4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4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4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4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4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4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4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4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4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4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4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4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4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4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4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4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4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4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4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4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4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4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4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4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4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4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4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4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4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4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4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4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4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4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4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4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4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4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4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4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4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4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4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4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4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4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4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4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4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4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4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4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4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4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4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4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4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4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4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4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4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4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4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4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4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4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4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4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4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4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4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4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4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4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4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4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4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4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4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4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4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4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4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4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4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4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4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4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4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4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4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4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4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4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4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4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4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4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4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4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4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4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4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4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4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4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4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4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4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4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4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4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4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4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4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4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4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4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4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4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4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4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4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4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4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4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4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4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4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4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4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4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4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4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4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4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4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4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4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4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4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4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4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4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4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4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4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4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4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4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4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4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4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4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4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4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4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4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4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4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4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4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4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4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4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4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4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4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4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4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4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4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4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4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4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4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4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4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4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4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4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4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4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4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4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4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4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4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4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4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4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4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4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4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4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4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4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4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4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4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4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4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4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4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4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4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4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4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4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4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4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4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4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4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4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4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4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4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4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4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4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4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4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4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4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4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4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4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4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4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4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4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4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4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4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4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4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4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4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4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4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4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4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4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4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4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4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4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4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4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4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4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4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4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4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4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4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4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4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4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4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4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4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4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4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4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4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4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4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4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4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4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4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4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4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4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4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4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4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4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4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4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4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4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4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4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4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4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4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4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4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4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4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4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4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4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4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4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4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4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4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4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4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4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4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4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4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4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4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4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4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4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4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4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4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4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4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4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4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4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4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4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4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4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4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4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4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4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4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4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4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4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4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4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4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4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4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4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4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4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4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4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4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4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4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4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4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4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4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4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4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4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4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4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4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4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4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4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4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4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4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4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4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4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4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4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4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4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4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4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4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4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4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4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4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4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4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4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4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4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4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4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4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4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4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4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4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4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4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4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4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4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4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4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4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4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4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4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4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4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4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4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4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4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4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4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4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4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4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4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4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4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4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4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4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4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4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4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4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4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4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4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4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4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4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4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4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4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4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4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4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4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4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4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4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4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4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4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4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4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4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4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4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4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4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4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4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4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4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4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4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4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4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4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4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4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4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4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4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4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4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4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4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4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4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4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4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4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4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4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4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4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4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4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4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4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4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4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4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4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4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4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4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4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4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4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4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4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4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4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4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4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4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4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4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4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4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4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4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4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4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4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4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4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4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4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4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4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4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4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4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4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4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4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4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4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4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4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4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4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4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4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4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4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4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4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4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4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4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4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4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4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4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4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4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4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4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4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4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4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4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4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4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4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4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4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4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4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4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4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4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4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4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4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4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4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4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4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4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4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4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4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4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4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4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4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4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4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4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4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4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4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4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4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4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4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4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4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4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4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4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4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4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4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4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4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4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4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4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4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4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4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4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4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4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4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4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4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4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4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4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4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4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4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4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4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4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4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4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4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4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4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4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4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4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4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4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4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4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4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4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4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4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4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4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4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4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4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4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4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4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4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4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4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4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4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4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4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4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4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4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4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4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4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4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4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4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4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4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4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4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4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4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4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4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4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4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4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4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4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4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4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4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4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4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4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4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4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4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4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4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4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4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4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4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4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4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4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4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4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4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4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4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4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4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4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4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4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4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4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4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4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4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4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4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4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4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4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4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4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4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4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4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4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4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4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4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4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4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4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4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4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4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4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4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4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4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4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4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4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4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4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4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4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4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4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4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4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4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4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4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4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4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4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4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4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4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4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4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4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4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4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4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4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4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4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4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4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4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4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4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4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4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4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4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4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4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4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4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4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4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4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4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4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4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4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4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4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4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4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4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4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4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4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4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4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4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4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4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4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4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4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4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4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4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4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4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4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4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4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4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4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4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4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4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4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4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4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4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4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4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4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4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4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4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4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4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4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4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4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4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4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4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4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4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4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4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4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4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4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4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4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4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4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4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4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4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4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4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4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4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4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4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4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4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4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4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4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4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4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4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4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4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4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4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4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4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4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4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4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4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4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4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4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4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4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4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4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4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4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4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4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4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4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4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4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4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4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4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4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4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4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4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4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4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4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4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4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4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4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4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4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4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4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4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4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4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4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4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4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4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4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4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4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4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4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4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4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4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4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4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4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4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4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4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4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4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4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4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4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4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4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4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4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4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4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4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4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4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4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4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4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4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4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4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4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4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4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4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4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4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4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4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4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4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4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4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4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4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4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4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4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4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4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4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4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4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4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4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4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4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4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4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4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4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4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4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4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4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4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4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4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4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4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4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4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4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4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4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4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4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4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4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4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4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4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4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4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4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4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4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4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4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4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4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4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4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4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4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4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4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4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4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4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4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4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4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4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4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4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4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4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4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4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4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4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4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4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4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4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4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4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4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4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4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4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4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4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4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4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4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4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4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4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4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4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4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4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4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4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4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4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4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4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4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4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4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4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4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4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4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4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4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4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4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4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4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4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4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4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4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4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4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4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4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4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4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4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4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4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4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4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4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4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4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4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4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4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4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4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4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4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4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4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4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4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4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4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4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4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4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4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4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4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4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4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4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4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4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4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4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4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4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4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4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4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4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4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4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4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4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4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4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4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4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4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4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4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4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4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4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4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4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4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4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4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4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4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4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4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4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4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4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4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4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4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4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4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4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4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4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4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4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4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4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4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4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4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4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4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4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4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4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4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4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4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4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4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4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4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4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4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4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4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4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4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4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4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4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4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4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4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4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4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4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4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4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4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4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4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4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4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4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4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4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4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4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4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4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4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4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4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4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4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4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4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4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4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4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4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4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4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4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4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4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4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4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4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4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4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4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4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4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4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4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4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4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4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4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4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4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4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4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4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4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4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4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4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4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4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4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4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4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4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4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4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4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4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4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4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4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4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4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4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4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4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4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4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4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4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4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4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4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4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4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4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4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4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4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4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4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4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4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4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4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4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4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4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4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4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4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4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4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4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4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4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4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4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4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4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4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4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4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4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4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4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4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4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4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4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4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4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4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4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4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4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4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4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4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4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4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4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4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4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4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4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4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4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4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4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4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4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4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4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4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4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4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4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4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4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4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4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4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4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4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4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4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4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4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4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4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4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4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4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4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4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4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4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4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4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4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4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4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4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4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4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4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4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4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4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4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4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4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4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4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4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4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4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4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4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4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4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4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4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4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4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4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4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4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4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4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4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4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4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4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4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4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4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4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4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4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4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4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4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4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4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4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4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4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4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4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4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4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4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4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4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4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4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4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4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4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4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4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4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4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4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4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4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4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4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4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4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4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4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4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4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4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4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4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4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4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4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4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4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4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4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4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4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4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4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4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4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4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4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4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4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4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4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4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4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4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4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4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4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4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4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4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4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4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4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4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4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4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4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4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4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4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4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4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4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4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4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4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4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4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4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4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4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4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4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4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4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4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4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4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4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4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4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4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4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4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4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4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4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4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4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4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4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4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4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4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4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4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4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4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4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4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4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4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4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4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4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4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4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4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4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4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4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4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4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4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4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4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4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4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4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4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4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4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4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4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4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4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4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4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4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4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4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4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4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4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4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4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4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4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4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4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4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4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4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4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4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4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4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4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4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4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4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4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4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4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4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4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4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4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4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4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4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4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4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4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4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4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4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4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4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4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4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4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4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4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4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4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4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4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4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4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4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4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4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4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4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4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4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4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4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4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4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4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4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4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4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4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4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4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4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4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4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4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4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4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4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4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4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4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4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4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4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4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4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4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4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4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4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4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4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4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4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4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4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4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4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4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4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4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4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4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4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4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4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4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4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4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4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4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4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4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4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4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4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4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4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4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4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4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4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4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4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4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4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4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4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4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4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4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4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4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4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4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4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4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4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4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4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4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4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4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4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4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4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4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4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4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4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4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4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4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4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4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4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4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4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4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4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4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4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4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4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4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4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4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4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4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4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4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4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4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4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4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4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4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4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4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4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4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4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4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4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4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4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4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4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4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4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4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4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4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4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4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4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4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4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4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4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4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4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4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4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4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4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4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4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4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4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4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4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4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4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4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4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4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4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4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4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4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4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4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4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4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4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4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4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4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4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4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4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4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4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4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4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4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4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4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4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4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4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4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4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4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4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4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4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4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4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4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4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4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4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4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4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4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4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4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4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4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4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4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4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4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4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4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4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4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4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4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4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4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4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4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4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4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4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4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4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4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4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4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4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4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4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4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4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4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4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4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4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4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4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4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4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4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4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4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4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4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4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4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4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4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4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4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4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4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4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4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4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4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4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4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4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4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4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4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4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4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4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4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4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4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4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4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4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4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4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4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4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4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4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4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4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4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4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4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4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4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4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4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4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4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4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4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4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4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4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4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4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4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4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4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4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4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4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4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4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4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4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4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4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4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4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4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4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4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4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4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4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4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4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4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4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4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4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4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4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4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4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4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4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4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4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4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4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4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4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4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4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4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4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4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4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4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4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4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4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4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4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4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4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4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4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4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4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4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4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4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4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4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4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4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4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4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4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4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4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4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4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4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4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4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4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4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4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4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4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4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4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4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4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4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4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4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4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4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4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4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4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4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4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4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4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4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4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4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4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4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4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4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4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4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4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4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4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4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4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4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4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4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4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4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4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4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4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4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4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4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4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4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4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4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4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4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4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4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4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4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4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4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4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4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4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4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4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4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4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4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4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4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4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4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4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4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4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4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4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4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4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4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4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4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4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4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4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4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4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4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4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4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4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4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4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4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4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4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4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4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4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4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4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4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4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4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4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4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4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4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4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4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4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4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4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4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4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4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4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4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4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4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4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4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4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4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4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4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4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4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4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4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4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4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4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4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4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4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4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4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4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4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4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4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4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4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4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4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4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4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4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4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4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4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4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4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4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4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4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4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4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4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4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4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4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4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4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4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4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4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4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4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4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4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4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4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4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4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4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4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4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4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4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4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4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4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4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4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4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4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4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4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4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4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4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4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4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4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4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4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4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4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4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4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4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4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4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4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4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4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4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4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4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4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4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4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4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4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4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4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4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4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4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4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4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4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4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4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4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4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4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4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4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4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4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4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4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4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4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4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4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4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4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4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4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4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4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4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4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4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4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4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4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4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4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4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4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4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4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4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4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4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4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4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4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4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4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4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4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4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4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4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4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4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4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4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4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4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4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4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4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4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4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4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4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4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4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4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4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4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4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4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4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4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4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4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4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4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4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4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4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4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4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4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4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4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4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4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4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4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4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4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4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4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4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4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4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4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4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4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4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4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4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4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4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4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4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4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4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4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4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4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4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4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4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4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4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4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4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4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4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4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4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4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4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4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4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4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4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4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4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4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4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4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4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4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4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4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4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4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4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4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4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4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4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4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4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4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4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4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4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4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4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4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4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4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4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4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4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4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4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4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4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4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4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4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4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4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4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4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4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4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4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4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4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4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4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4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4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4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4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4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4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4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4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4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4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4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4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4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4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4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4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4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4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4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4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4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4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4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4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4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4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4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4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4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4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4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4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4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4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4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4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4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4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4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4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4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4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4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4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dataValidations disablePrompts="1"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P593"/>
  <sheetViews>
    <sheetView workbookViewId="0">
      <selection sqref="A1:P593"/>
    </sheetView>
  </sheetViews>
  <sheetFormatPr defaultRowHeight="15"/>
  <sheetData>
    <row r="1" spans="1:16">
      <c r="A1" s="140" t="s">
        <v>366</v>
      </c>
      <c r="B1" s="140" t="s">
        <v>367</v>
      </c>
      <c r="C1" s="140" t="s">
        <v>368</v>
      </c>
      <c r="D1" s="140" t="s">
        <v>369</v>
      </c>
      <c r="E1" s="140" t="s">
        <v>370</v>
      </c>
      <c r="F1" s="140" t="s">
        <v>371</v>
      </c>
      <c r="G1" s="140" t="s">
        <v>372</v>
      </c>
      <c r="H1" s="140" t="s">
        <v>373</v>
      </c>
      <c r="I1" s="140" t="s">
        <v>374</v>
      </c>
      <c r="J1" s="140" t="s">
        <v>375</v>
      </c>
      <c r="K1" s="140" t="s">
        <v>376</v>
      </c>
      <c r="L1" s="140" t="s">
        <v>378</v>
      </c>
      <c r="M1" s="140" t="s">
        <v>379</v>
      </c>
      <c r="N1" s="140" t="s">
        <v>380</v>
      </c>
      <c r="O1" s="140" t="s">
        <v>381</v>
      </c>
      <c r="P1" s="140" t="s">
        <v>377</v>
      </c>
    </row>
    <row r="2" spans="1:16">
      <c r="A2" s="141" t="s">
        <v>967</v>
      </c>
      <c r="B2" s="141" t="s">
        <v>968</v>
      </c>
      <c r="C2" s="141" t="s">
        <v>969</v>
      </c>
      <c r="D2" s="172">
        <v>57</v>
      </c>
      <c r="E2" s="141" t="s">
        <v>970</v>
      </c>
      <c r="F2" s="141" t="s">
        <v>157</v>
      </c>
      <c r="G2" s="141" t="s">
        <v>971</v>
      </c>
      <c r="H2" s="141" t="s">
        <v>325</v>
      </c>
      <c r="I2" s="141" t="s">
        <v>382</v>
      </c>
      <c r="J2" s="141" t="s">
        <v>972</v>
      </c>
      <c r="K2" s="141" t="s">
        <v>384</v>
      </c>
      <c r="L2" s="141" t="s">
        <v>539</v>
      </c>
      <c r="M2" s="141" t="s">
        <v>973</v>
      </c>
      <c r="N2" s="141" t="s">
        <v>974</v>
      </c>
      <c r="O2" s="141" t="s">
        <v>65</v>
      </c>
      <c r="P2" s="141"/>
    </row>
    <row r="3" spans="1:16">
      <c r="A3" s="141" t="s">
        <v>975</v>
      </c>
      <c r="B3" s="141" t="s">
        <v>968</v>
      </c>
      <c r="C3" s="141" t="s">
        <v>976</v>
      </c>
      <c r="D3" s="172">
        <v>59</v>
      </c>
      <c r="E3" s="141" t="s">
        <v>970</v>
      </c>
      <c r="F3" s="141" t="s">
        <v>157</v>
      </c>
      <c r="G3" s="141" t="s">
        <v>971</v>
      </c>
      <c r="H3" s="141" t="s">
        <v>325</v>
      </c>
      <c r="I3" s="141" t="s">
        <v>382</v>
      </c>
      <c r="J3" s="141" t="s">
        <v>972</v>
      </c>
      <c r="K3" s="141" t="s">
        <v>384</v>
      </c>
      <c r="L3" s="141" t="s">
        <v>539</v>
      </c>
      <c r="M3" s="141" t="s">
        <v>973</v>
      </c>
      <c r="N3" s="141" t="s">
        <v>974</v>
      </c>
      <c r="O3" s="141" t="s">
        <v>65</v>
      </c>
      <c r="P3" s="141"/>
    </row>
    <row r="4" spans="1:16">
      <c r="A4" s="141" t="s">
        <v>977</v>
      </c>
      <c r="B4" s="141" t="s">
        <v>978</v>
      </c>
      <c r="C4" s="141" t="s">
        <v>969</v>
      </c>
      <c r="D4" s="172">
        <v>57</v>
      </c>
      <c r="E4" s="141" t="s">
        <v>979</v>
      </c>
      <c r="F4" s="141" t="s">
        <v>252</v>
      </c>
      <c r="G4" s="141" t="s">
        <v>980</v>
      </c>
      <c r="H4" s="141" t="s">
        <v>325</v>
      </c>
      <c r="I4" s="141" t="s">
        <v>382</v>
      </c>
      <c r="J4" s="141" t="s">
        <v>981</v>
      </c>
      <c r="K4" s="141" t="s">
        <v>384</v>
      </c>
      <c r="L4" s="141" t="s">
        <v>386</v>
      </c>
      <c r="M4" s="141" t="s">
        <v>973</v>
      </c>
      <c r="N4" s="141" t="s">
        <v>982</v>
      </c>
      <c r="O4" s="141" t="s">
        <v>71</v>
      </c>
      <c r="P4" s="141"/>
    </row>
    <row r="5" spans="1:16">
      <c r="A5" s="141" t="s">
        <v>983</v>
      </c>
      <c r="B5" s="141" t="s">
        <v>978</v>
      </c>
      <c r="C5" s="141" t="s">
        <v>976</v>
      </c>
      <c r="D5" s="172">
        <v>59</v>
      </c>
      <c r="E5" s="141" t="s">
        <v>979</v>
      </c>
      <c r="F5" s="141" t="s">
        <v>252</v>
      </c>
      <c r="G5" s="141" t="s">
        <v>980</v>
      </c>
      <c r="H5" s="141" t="s">
        <v>325</v>
      </c>
      <c r="I5" s="141" t="s">
        <v>382</v>
      </c>
      <c r="J5" s="141" t="s">
        <v>981</v>
      </c>
      <c r="K5" s="141" t="s">
        <v>384</v>
      </c>
      <c r="L5" s="141" t="s">
        <v>386</v>
      </c>
      <c r="M5" s="141" t="s">
        <v>973</v>
      </c>
      <c r="N5" s="141" t="s">
        <v>982</v>
      </c>
      <c r="O5" s="141" t="s">
        <v>71</v>
      </c>
      <c r="P5" s="141"/>
    </row>
    <row r="6" spans="1:16">
      <c r="A6" s="141" t="s">
        <v>984</v>
      </c>
      <c r="B6" s="141" t="s">
        <v>985</v>
      </c>
      <c r="C6" s="141" t="s">
        <v>976</v>
      </c>
      <c r="D6" s="172">
        <v>59</v>
      </c>
      <c r="E6" s="141" t="s">
        <v>986</v>
      </c>
      <c r="F6" s="141" t="s">
        <v>109</v>
      </c>
      <c r="G6" s="141" t="s">
        <v>987</v>
      </c>
      <c r="H6" s="141" t="s">
        <v>320</v>
      </c>
      <c r="I6" s="141" t="s">
        <v>382</v>
      </c>
      <c r="J6" s="141" t="s">
        <v>988</v>
      </c>
      <c r="K6" s="141" t="s">
        <v>384</v>
      </c>
      <c r="L6" s="141" t="s">
        <v>386</v>
      </c>
      <c r="M6" s="141" t="s">
        <v>973</v>
      </c>
      <c r="N6" s="141" t="s">
        <v>989</v>
      </c>
      <c r="O6" s="141" t="s">
        <v>57</v>
      </c>
      <c r="P6" s="141"/>
    </row>
    <row r="7" spans="1:16">
      <c r="A7" s="141" t="s">
        <v>990</v>
      </c>
      <c r="B7" s="141" t="s">
        <v>991</v>
      </c>
      <c r="C7" s="141" t="s">
        <v>976</v>
      </c>
      <c r="D7" s="172">
        <v>59</v>
      </c>
      <c r="E7" s="141" t="s">
        <v>992</v>
      </c>
      <c r="F7" s="141" t="s">
        <v>57</v>
      </c>
      <c r="G7" s="141" t="s">
        <v>910</v>
      </c>
      <c r="H7" s="141" t="s">
        <v>325</v>
      </c>
      <c r="I7" s="141" t="s">
        <v>382</v>
      </c>
      <c r="J7" s="141" t="s">
        <v>972</v>
      </c>
      <c r="K7" s="141" t="s">
        <v>384</v>
      </c>
      <c r="L7" s="141" t="s">
        <v>386</v>
      </c>
      <c r="M7" s="141" t="s">
        <v>973</v>
      </c>
      <c r="N7" s="141" t="s">
        <v>989</v>
      </c>
      <c r="O7" s="141" t="s">
        <v>57</v>
      </c>
      <c r="P7" s="141"/>
    </row>
    <row r="8" spans="1:16">
      <c r="A8" s="141" t="s">
        <v>993</v>
      </c>
      <c r="B8" s="141" t="s">
        <v>991</v>
      </c>
      <c r="C8" s="141" t="s">
        <v>969</v>
      </c>
      <c r="D8" s="172">
        <v>57</v>
      </c>
      <c r="E8" s="141" t="s">
        <v>992</v>
      </c>
      <c r="F8" s="141" t="s">
        <v>57</v>
      </c>
      <c r="G8" s="141" t="s">
        <v>910</v>
      </c>
      <c r="H8" s="141" t="s">
        <v>325</v>
      </c>
      <c r="I8" s="141" t="s">
        <v>382</v>
      </c>
      <c r="J8" s="141" t="s">
        <v>972</v>
      </c>
      <c r="K8" s="141" t="s">
        <v>384</v>
      </c>
      <c r="L8" s="141" t="s">
        <v>386</v>
      </c>
      <c r="M8" s="141" t="s">
        <v>973</v>
      </c>
      <c r="N8" s="141" t="s">
        <v>989</v>
      </c>
      <c r="O8" s="141" t="s">
        <v>57</v>
      </c>
      <c r="P8" s="141"/>
    </row>
    <row r="9" spans="1:16">
      <c r="A9" s="141" t="s">
        <v>994</v>
      </c>
      <c r="B9" s="141" t="s">
        <v>995</v>
      </c>
      <c r="C9" s="141" t="s">
        <v>969</v>
      </c>
      <c r="D9" s="172">
        <v>57</v>
      </c>
      <c r="E9" s="141" t="s">
        <v>996</v>
      </c>
      <c r="F9" s="141" t="s">
        <v>175</v>
      </c>
      <c r="G9" s="141" t="s">
        <v>997</v>
      </c>
      <c r="H9" s="141" t="s">
        <v>320</v>
      </c>
      <c r="I9" s="141" t="s">
        <v>382</v>
      </c>
      <c r="J9" s="141" t="s">
        <v>988</v>
      </c>
      <c r="K9" s="141" t="s">
        <v>384</v>
      </c>
      <c r="L9" s="141" t="s">
        <v>539</v>
      </c>
      <c r="M9" s="141" t="s">
        <v>973</v>
      </c>
      <c r="N9" s="141" t="s">
        <v>998</v>
      </c>
      <c r="O9" s="141" t="s">
        <v>86</v>
      </c>
      <c r="P9" s="141"/>
    </row>
    <row r="10" spans="1:16">
      <c r="A10" s="141" t="s">
        <v>999</v>
      </c>
      <c r="B10" s="141" t="s">
        <v>995</v>
      </c>
      <c r="C10" s="141" t="s">
        <v>976</v>
      </c>
      <c r="D10" s="172">
        <v>59</v>
      </c>
      <c r="E10" s="141" t="s">
        <v>996</v>
      </c>
      <c r="F10" s="141" t="s">
        <v>175</v>
      </c>
      <c r="G10" s="141" t="s">
        <v>997</v>
      </c>
      <c r="H10" s="141" t="s">
        <v>320</v>
      </c>
      <c r="I10" s="141" t="s">
        <v>382</v>
      </c>
      <c r="J10" s="141" t="s">
        <v>988</v>
      </c>
      <c r="K10" s="141" t="s">
        <v>384</v>
      </c>
      <c r="L10" s="141" t="s">
        <v>539</v>
      </c>
      <c r="M10" s="141" t="s">
        <v>973</v>
      </c>
      <c r="N10" s="141" t="s">
        <v>998</v>
      </c>
      <c r="O10" s="141" t="s">
        <v>86</v>
      </c>
      <c r="P10" s="141"/>
    </row>
    <row r="11" spans="1:16">
      <c r="A11" s="141" t="s">
        <v>1000</v>
      </c>
      <c r="B11" s="141" t="s">
        <v>1001</v>
      </c>
      <c r="C11" s="141" t="s">
        <v>976</v>
      </c>
      <c r="D11" s="172">
        <v>59</v>
      </c>
      <c r="E11" s="141" t="s">
        <v>1002</v>
      </c>
      <c r="F11" s="141" t="s">
        <v>53</v>
      </c>
      <c r="G11" s="141" t="s">
        <v>1003</v>
      </c>
      <c r="H11" s="141" t="s">
        <v>348</v>
      </c>
      <c r="I11" s="141" t="s">
        <v>382</v>
      </c>
      <c r="J11" s="141" t="s">
        <v>1004</v>
      </c>
      <c r="K11" s="141" t="s">
        <v>384</v>
      </c>
      <c r="L11" s="141" t="s">
        <v>539</v>
      </c>
      <c r="M11" s="141" t="s">
        <v>808</v>
      </c>
      <c r="N11" s="141" t="s">
        <v>1005</v>
      </c>
      <c r="O11" s="141" t="s">
        <v>53</v>
      </c>
      <c r="P11" s="141"/>
    </row>
    <row r="12" spans="1:16">
      <c r="A12" s="141" t="s">
        <v>1006</v>
      </c>
      <c r="B12" s="141" t="s">
        <v>1001</v>
      </c>
      <c r="C12" s="141" t="s">
        <v>969</v>
      </c>
      <c r="D12" s="172">
        <v>57</v>
      </c>
      <c r="E12" s="141" t="s">
        <v>1002</v>
      </c>
      <c r="F12" s="141" t="s">
        <v>53</v>
      </c>
      <c r="G12" s="141" t="s">
        <v>1003</v>
      </c>
      <c r="H12" s="141" t="s">
        <v>348</v>
      </c>
      <c r="I12" s="141" t="s">
        <v>382</v>
      </c>
      <c r="J12" s="141" t="s">
        <v>1004</v>
      </c>
      <c r="K12" s="141" t="s">
        <v>384</v>
      </c>
      <c r="L12" s="141" t="s">
        <v>539</v>
      </c>
      <c r="M12" s="141" t="s">
        <v>808</v>
      </c>
      <c r="N12" s="141" t="s">
        <v>1005</v>
      </c>
      <c r="O12" s="141" t="s">
        <v>53</v>
      </c>
      <c r="P12" s="141"/>
    </row>
    <row r="13" spans="1:16">
      <c r="A13" s="141" t="s">
        <v>1007</v>
      </c>
      <c r="B13" s="141" t="s">
        <v>1008</v>
      </c>
      <c r="C13" s="141" t="s">
        <v>976</v>
      </c>
      <c r="D13" s="172">
        <v>59</v>
      </c>
      <c r="E13" s="141" t="s">
        <v>1009</v>
      </c>
      <c r="F13" s="141" t="s">
        <v>60</v>
      </c>
      <c r="G13" s="141" t="s">
        <v>1010</v>
      </c>
      <c r="H13" s="141" t="s">
        <v>320</v>
      </c>
      <c r="I13" s="141" t="s">
        <v>382</v>
      </c>
      <c r="J13" s="141" t="s">
        <v>988</v>
      </c>
      <c r="K13" s="141" t="s">
        <v>384</v>
      </c>
      <c r="L13" s="141" t="s">
        <v>539</v>
      </c>
      <c r="M13" s="141" t="s">
        <v>973</v>
      </c>
      <c r="N13" s="141" t="s">
        <v>1011</v>
      </c>
      <c r="O13" s="141" t="s">
        <v>60</v>
      </c>
      <c r="P13" s="141"/>
    </row>
    <row r="14" spans="1:16">
      <c r="A14" s="141" t="s">
        <v>1012</v>
      </c>
      <c r="B14" s="141" t="s">
        <v>1008</v>
      </c>
      <c r="C14" s="141" t="s">
        <v>969</v>
      </c>
      <c r="D14" s="172">
        <v>57</v>
      </c>
      <c r="E14" s="141" t="s">
        <v>1009</v>
      </c>
      <c r="F14" s="141" t="s">
        <v>60</v>
      </c>
      <c r="G14" s="141" t="s">
        <v>1010</v>
      </c>
      <c r="H14" s="141" t="s">
        <v>320</v>
      </c>
      <c r="I14" s="141" t="s">
        <v>382</v>
      </c>
      <c r="J14" s="141" t="s">
        <v>988</v>
      </c>
      <c r="K14" s="141" t="s">
        <v>384</v>
      </c>
      <c r="L14" s="141" t="s">
        <v>539</v>
      </c>
      <c r="M14" s="141" t="s">
        <v>973</v>
      </c>
      <c r="N14" s="141" t="s">
        <v>1011</v>
      </c>
      <c r="O14" s="141" t="s">
        <v>60</v>
      </c>
      <c r="P14" s="141"/>
    </row>
    <row r="15" spans="1:16">
      <c r="A15" s="141" t="s">
        <v>1013</v>
      </c>
      <c r="B15" s="141" t="s">
        <v>1014</v>
      </c>
      <c r="C15" s="141" t="s">
        <v>976</v>
      </c>
      <c r="D15" s="172">
        <v>59</v>
      </c>
      <c r="E15" s="141" t="s">
        <v>1015</v>
      </c>
      <c r="F15" s="141" t="s">
        <v>55</v>
      </c>
      <c r="G15" s="141" t="s">
        <v>1016</v>
      </c>
      <c r="H15" s="141" t="s">
        <v>327</v>
      </c>
      <c r="I15" s="141" t="s">
        <v>382</v>
      </c>
      <c r="J15" s="141" t="s">
        <v>988</v>
      </c>
      <c r="K15" s="141" t="s">
        <v>384</v>
      </c>
      <c r="L15" s="141" t="s">
        <v>386</v>
      </c>
      <c r="M15" s="141" t="s">
        <v>973</v>
      </c>
      <c r="N15" s="141" t="s">
        <v>1017</v>
      </c>
      <c r="O15" s="141" t="s">
        <v>71</v>
      </c>
      <c r="P15" s="141"/>
    </row>
    <row r="16" spans="1:16">
      <c r="A16" s="141" t="s">
        <v>1018</v>
      </c>
      <c r="B16" s="141" t="s">
        <v>1014</v>
      </c>
      <c r="C16" s="141" t="s">
        <v>969</v>
      </c>
      <c r="D16" s="172">
        <v>57</v>
      </c>
      <c r="E16" s="141" t="s">
        <v>1015</v>
      </c>
      <c r="F16" s="141" t="s">
        <v>55</v>
      </c>
      <c r="G16" s="141" t="s">
        <v>1016</v>
      </c>
      <c r="H16" s="141" t="s">
        <v>327</v>
      </c>
      <c r="I16" s="141" t="s">
        <v>382</v>
      </c>
      <c r="J16" s="141" t="s">
        <v>988</v>
      </c>
      <c r="K16" s="141" t="s">
        <v>384</v>
      </c>
      <c r="L16" s="141" t="s">
        <v>386</v>
      </c>
      <c r="M16" s="141" t="s">
        <v>973</v>
      </c>
      <c r="N16" s="141" t="s">
        <v>1017</v>
      </c>
      <c r="O16" s="141" t="s">
        <v>71</v>
      </c>
      <c r="P16" s="141"/>
    </row>
    <row r="17" spans="1:16">
      <c r="A17" s="141" t="s">
        <v>1019</v>
      </c>
      <c r="B17" s="141" t="s">
        <v>1020</v>
      </c>
      <c r="C17" s="141" t="s">
        <v>909</v>
      </c>
      <c r="D17" s="142">
        <v>0</v>
      </c>
      <c r="E17" s="141" t="s">
        <v>1021</v>
      </c>
      <c r="F17" s="141" t="s">
        <v>71</v>
      </c>
      <c r="G17" s="141" t="s">
        <v>910</v>
      </c>
      <c r="H17" s="141" t="s">
        <v>327</v>
      </c>
      <c r="I17" s="141" t="s">
        <v>382</v>
      </c>
      <c r="J17" s="141" t="s">
        <v>988</v>
      </c>
      <c r="K17" s="141" t="s">
        <v>384</v>
      </c>
      <c r="L17" s="141" t="s">
        <v>533</v>
      </c>
      <c r="M17" s="141" t="s">
        <v>973</v>
      </c>
      <c r="N17" s="141" t="s">
        <v>1022</v>
      </c>
      <c r="O17" s="141" t="s">
        <v>71</v>
      </c>
      <c r="P17" s="141" t="s">
        <v>43</v>
      </c>
    </row>
    <row r="18" spans="1:16">
      <c r="A18" s="141" t="s">
        <v>1023</v>
      </c>
      <c r="B18" s="141" t="s">
        <v>1024</v>
      </c>
      <c r="C18" s="141" t="s">
        <v>909</v>
      </c>
      <c r="D18" s="142">
        <v>0</v>
      </c>
      <c r="E18" s="141" t="s">
        <v>1021</v>
      </c>
      <c r="F18" s="141" t="s">
        <v>57</v>
      </c>
      <c r="G18" s="141" t="s">
        <v>910</v>
      </c>
      <c r="H18" s="141" t="s">
        <v>327</v>
      </c>
      <c r="I18" s="141" t="s">
        <v>382</v>
      </c>
      <c r="J18" s="141" t="s">
        <v>1004</v>
      </c>
      <c r="K18" s="141" t="s">
        <v>384</v>
      </c>
      <c r="L18" s="141" t="s">
        <v>533</v>
      </c>
      <c r="M18" s="141" t="s">
        <v>808</v>
      </c>
      <c r="N18" s="141" t="s">
        <v>989</v>
      </c>
      <c r="O18" s="141" t="s">
        <v>57</v>
      </c>
      <c r="P18" s="141" t="s">
        <v>43</v>
      </c>
    </row>
    <row r="19" spans="1:16">
      <c r="A19" s="141" t="s">
        <v>1025</v>
      </c>
      <c r="B19" s="141" t="s">
        <v>1026</v>
      </c>
      <c r="C19" s="141" t="s">
        <v>976</v>
      </c>
      <c r="D19" s="172">
        <v>59</v>
      </c>
      <c r="E19" s="141" t="s">
        <v>1027</v>
      </c>
      <c r="F19" s="141" t="s">
        <v>53</v>
      </c>
      <c r="G19" s="141" t="s">
        <v>997</v>
      </c>
      <c r="H19" s="141" t="s">
        <v>320</v>
      </c>
      <c r="I19" s="141" t="s">
        <v>382</v>
      </c>
      <c r="J19" s="141" t="s">
        <v>1004</v>
      </c>
      <c r="K19" s="141" t="s">
        <v>384</v>
      </c>
      <c r="L19" s="141" t="s">
        <v>386</v>
      </c>
      <c r="M19" s="141" t="s">
        <v>808</v>
      </c>
      <c r="N19" s="141" t="s">
        <v>1005</v>
      </c>
      <c r="O19" s="141" t="s">
        <v>53</v>
      </c>
      <c r="P19" s="141"/>
    </row>
    <row r="20" spans="1:16">
      <c r="A20" s="141" t="s">
        <v>1028</v>
      </c>
      <c r="B20" s="141" t="s">
        <v>1026</v>
      </c>
      <c r="C20" s="141" t="s">
        <v>969</v>
      </c>
      <c r="D20" s="172">
        <v>57</v>
      </c>
      <c r="E20" s="141" t="s">
        <v>1027</v>
      </c>
      <c r="F20" s="141" t="s">
        <v>53</v>
      </c>
      <c r="G20" s="141" t="s">
        <v>997</v>
      </c>
      <c r="H20" s="141" t="s">
        <v>320</v>
      </c>
      <c r="I20" s="141" t="s">
        <v>382</v>
      </c>
      <c r="J20" s="141" t="s">
        <v>1004</v>
      </c>
      <c r="K20" s="141" t="s">
        <v>384</v>
      </c>
      <c r="L20" s="141" t="s">
        <v>386</v>
      </c>
      <c r="M20" s="141" t="s">
        <v>808</v>
      </c>
      <c r="N20" s="141" t="s">
        <v>1005</v>
      </c>
      <c r="O20" s="141" t="s">
        <v>53</v>
      </c>
      <c r="P20" s="141"/>
    </row>
    <row r="21" spans="1:16">
      <c r="A21" s="141" t="s">
        <v>1029</v>
      </c>
      <c r="B21" s="141" t="s">
        <v>1026</v>
      </c>
      <c r="C21" s="141" t="s">
        <v>1030</v>
      </c>
      <c r="D21" s="172">
        <v>61</v>
      </c>
      <c r="E21" s="141" t="s">
        <v>1027</v>
      </c>
      <c r="F21" s="141" t="s">
        <v>53</v>
      </c>
      <c r="G21" s="141" t="s">
        <v>997</v>
      </c>
      <c r="H21" s="141" t="s">
        <v>320</v>
      </c>
      <c r="I21" s="141" t="s">
        <v>382</v>
      </c>
      <c r="J21" s="141" t="s">
        <v>1004</v>
      </c>
      <c r="K21" s="141" t="s">
        <v>384</v>
      </c>
      <c r="L21" s="141" t="s">
        <v>386</v>
      </c>
      <c r="M21" s="141" t="s">
        <v>808</v>
      </c>
      <c r="N21" s="141" t="s">
        <v>1005</v>
      </c>
      <c r="O21" s="141" t="s">
        <v>53</v>
      </c>
      <c r="P21" s="141"/>
    </row>
    <row r="22" spans="1:16">
      <c r="A22" s="141" t="s">
        <v>1031</v>
      </c>
      <c r="B22" s="141" t="s">
        <v>1026</v>
      </c>
      <c r="C22" s="141" t="s">
        <v>1032</v>
      </c>
      <c r="D22" s="172">
        <v>55</v>
      </c>
      <c r="E22" s="141" t="s">
        <v>1027</v>
      </c>
      <c r="F22" s="141" t="s">
        <v>53</v>
      </c>
      <c r="G22" s="141" t="s">
        <v>997</v>
      </c>
      <c r="H22" s="141" t="s">
        <v>320</v>
      </c>
      <c r="I22" s="141" t="s">
        <v>382</v>
      </c>
      <c r="J22" s="141" t="s">
        <v>1004</v>
      </c>
      <c r="K22" s="141" t="s">
        <v>384</v>
      </c>
      <c r="L22" s="141" t="s">
        <v>386</v>
      </c>
      <c r="M22" s="141" t="s">
        <v>808</v>
      </c>
      <c r="N22" s="141" t="s">
        <v>1005</v>
      </c>
      <c r="O22" s="141" t="s">
        <v>53</v>
      </c>
      <c r="P22" s="141"/>
    </row>
    <row r="23" spans="1:16">
      <c r="A23" s="141" t="s">
        <v>1033</v>
      </c>
      <c r="B23" s="141" t="s">
        <v>1034</v>
      </c>
      <c r="C23" s="141" t="s">
        <v>1032</v>
      </c>
      <c r="D23" s="172">
        <v>55</v>
      </c>
      <c r="E23" s="141" t="s">
        <v>1035</v>
      </c>
      <c r="F23" s="141" t="s">
        <v>53</v>
      </c>
      <c r="G23" s="141" t="s">
        <v>1003</v>
      </c>
      <c r="H23" s="141" t="s">
        <v>334</v>
      </c>
      <c r="I23" s="141" t="s">
        <v>382</v>
      </c>
      <c r="J23" s="141" t="s">
        <v>1004</v>
      </c>
      <c r="K23" s="141" t="s">
        <v>384</v>
      </c>
      <c r="L23" s="141" t="s">
        <v>539</v>
      </c>
      <c r="M23" s="141" t="s">
        <v>808</v>
      </c>
      <c r="N23" s="141" t="s">
        <v>1005</v>
      </c>
      <c r="O23" s="141" t="s">
        <v>53</v>
      </c>
      <c r="P23" s="141"/>
    </row>
    <row r="24" spans="1:16">
      <c r="A24" s="141" t="s">
        <v>1036</v>
      </c>
      <c r="B24" s="141" t="s">
        <v>1034</v>
      </c>
      <c r="C24" s="141" t="s">
        <v>969</v>
      </c>
      <c r="D24" s="172">
        <v>57</v>
      </c>
      <c r="E24" s="141" t="s">
        <v>1035</v>
      </c>
      <c r="F24" s="141" t="s">
        <v>53</v>
      </c>
      <c r="G24" s="141" t="s">
        <v>1003</v>
      </c>
      <c r="H24" s="141" t="s">
        <v>334</v>
      </c>
      <c r="I24" s="141" t="s">
        <v>382</v>
      </c>
      <c r="J24" s="141" t="s">
        <v>1004</v>
      </c>
      <c r="K24" s="141" t="s">
        <v>384</v>
      </c>
      <c r="L24" s="141" t="s">
        <v>539</v>
      </c>
      <c r="M24" s="141" t="s">
        <v>808</v>
      </c>
      <c r="N24" s="141" t="s">
        <v>1005</v>
      </c>
      <c r="O24" s="141" t="s">
        <v>53</v>
      </c>
      <c r="P24" s="141"/>
    </row>
    <row r="25" spans="1:16">
      <c r="A25" s="141" t="s">
        <v>1037</v>
      </c>
      <c r="B25" s="141" t="s">
        <v>1034</v>
      </c>
      <c r="C25" s="141" t="s">
        <v>976</v>
      </c>
      <c r="D25" s="172">
        <v>59</v>
      </c>
      <c r="E25" s="141" t="s">
        <v>1035</v>
      </c>
      <c r="F25" s="141" t="s">
        <v>53</v>
      </c>
      <c r="G25" s="141" t="s">
        <v>1003</v>
      </c>
      <c r="H25" s="141" t="s">
        <v>334</v>
      </c>
      <c r="I25" s="141" t="s">
        <v>382</v>
      </c>
      <c r="J25" s="141" t="s">
        <v>1004</v>
      </c>
      <c r="K25" s="141" t="s">
        <v>384</v>
      </c>
      <c r="L25" s="141" t="s">
        <v>539</v>
      </c>
      <c r="M25" s="141" t="s">
        <v>808</v>
      </c>
      <c r="N25" s="141" t="s">
        <v>1005</v>
      </c>
      <c r="O25" s="141" t="s">
        <v>53</v>
      </c>
      <c r="P25" s="141"/>
    </row>
    <row r="26" spans="1:16">
      <c r="A26" s="141" t="s">
        <v>1038</v>
      </c>
      <c r="B26" s="141" t="s">
        <v>1034</v>
      </c>
      <c r="C26" s="141" t="s">
        <v>1030</v>
      </c>
      <c r="D26" s="172">
        <v>61</v>
      </c>
      <c r="E26" s="141" t="s">
        <v>1035</v>
      </c>
      <c r="F26" s="141" t="s">
        <v>53</v>
      </c>
      <c r="G26" s="141" t="s">
        <v>1003</v>
      </c>
      <c r="H26" s="141" t="s">
        <v>334</v>
      </c>
      <c r="I26" s="141" t="s">
        <v>382</v>
      </c>
      <c r="J26" s="141" t="s">
        <v>1004</v>
      </c>
      <c r="K26" s="141" t="s">
        <v>384</v>
      </c>
      <c r="L26" s="141" t="s">
        <v>539</v>
      </c>
      <c r="M26" s="141" t="s">
        <v>808</v>
      </c>
      <c r="N26" s="141" t="s">
        <v>1005</v>
      </c>
      <c r="O26" s="141" t="s">
        <v>53</v>
      </c>
      <c r="P26" s="141"/>
    </row>
    <row r="27" spans="1:16">
      <c r="A27" s="141" t="s">
        <v>1039</v>
      </c>
      <c r="B27" s="141" t="s">
        <v>1040</v>
      </c>
      <c r="C27" s="141" t="s">
        <v>969</v>
      </c>
      <c r="D27" s="172">
        <v>57</v>
      </c>
      <c r="E27" s="141" t="s">
        <v>1041</v>
      </c>
      <c r="F27" s="141" t="s">
        <v>55</v>
      </c>
      <c r="G27" s="141" t="s">
        <v>1042</v>
      </c>
      <c r="H27" s="141" t="s">
        <v>320</v>
      </c>
      <c r="I27" s="141" t="s">
        <v>382</v>
      </c>
      <c r="J27" s="141" t="s">
        <v>988</v>
      </c>
      <c r="K27" s="141" t="s">
        <v>384</v>
      </c>
      <c r="L27" s="141" t="s">
        <v>539</v>
      </c>
      <c r="M27" s="141" t="s">
        <v>973</v>
      </c>
      <c r="N27" s="141" t="s">
        <v>1017</v>
      </c>
      <c r="O27" s="141" t="s">
        <v>71</v>
      </c>
      <c r="P27" s="141"/>
    </row>
    <row r="28" spans="1:16">
      <c r="A28" s="141" t="s">
        <v>1043</v>
      </c>
      <c r="B28" s="141" t="s">
        <v>1040</v>
      </c>
      <c r="C28" s="141" t="s">
        <v>976</v>
      </c>
      <c r="D28" s="172">
        <v>59</v>
      </c>
      <c r="E28" s="141" t="s">
        <v>1041</v>
      </c>
      <c r="F28" s="141" t="s">
        <v>55</v>
      </c>
      <c r="G28" s="141" t="s">
        <v>1042</v>
      </c>
      <c r="H28" s="141" t="s">
        <v>320</v>
      </c>
      <c r="I28" s="141" t="s">
        <v>382</v>
      </c>
      <c r="J28" s="141" t="s">
        <v>988</v>
      </c>
      <c r="K28" s="141" t="s">
        <v>384</v>
      </c>
      <c r="L28" s="141" t="s">
        <v>539</v>
      </c>
      <c r="M28" s="141" t="s">
        <v>973</v>
      </c>
      <c r="N28" s="141" t="s">
        <v>1017</v>
      </c>
      <c r="O28" s="141" t="s">
        <v>71</v>
      </c>
      <c r="P28" s="141"/>
    </row>
    <row r="29" spans="1:16">
      <c r="A29" s="141" t="s">
        <v>1044</v>
      </c>
      <c r="B29" s="141" t="s">
        <v>1045</v>
      </c>
      <c r="C29" s="141" t="s">
        <v>909</v>
      </c>
      <c r="D29" s="142">
        <v>0</v>
      </c>
      <c r="E29" s="141" t="s">
        <v>1046</v>
      </c>
      <c r="F29" s="141" t="s">
        <v>57</v>
      </c>
      <c r="G29" s="141" t="s">
        <v>910</v>
      </c>
      <c r="H29" s="141" t="s">
        <v>327</v>
      </c>
      <c r="I29" s="141" t="s">
        <v>382</v>
      </c>
      <c r="J29" s="141" t="s">
        <v>988</v>
      </c>
      <c r="K29" s="141" t="s">
        <v>384</v>
      </c>
      <c r="L29" s="141" t="s">
        <v>386</v>
      </c>
      <c r="M29" s="141" t="s">
        <v>973</v>
      </c>
      <c r="N29" s="141" t="s">
        <v>989</v>
      </c>
      <c r="O29" s="141" t="s">
        <v>57</v>
      </c>
      <c r="P29" s="141" t="s">
        <v>43</v>
      </c>
    </row>
    <row r="30" spans="1:16">
      <c r="A30" s="141" t="s">
        <v>1047</v>
      </c>
      <c r="B30" s="141" t="s">
        <v>1048</v>
      </c>
      <c r="C30" s="141" t="s">
        <v>909</v>
      </c>
      <c r="D30" s="142">
        <v>0</v>
      </c>
      <c r="E30" s="141" t="s">
        <v>1046</v>
      </c>
      <c r="F30" s="141" t="s">
        <v>55</v>
      </c>
      <c r="G30" s="141" t="s">
        <v>910</v>
      </c>
      <c r="H30" s="141" t="s">
        <v>327</v>
      </c>
      <c r="I30" s="141" t="s">
        <v>382</v>
      </c>
      <c r="J30" s="141" t="s">
        <v>988</v>
      </c>
      <c r="K30" s="141" t="s">
        <v>384</v>
      </c>
      <c r="L30" s="141" t="s">
        <v>386</v>
      </c>
      <c r="M30" s="141" t="s">
        <v>973</v>
      </c>
      <c r="N30" s="141" t="s">
        <v>1017</v>
      </c>
      <c r="O30" s="141" t="s">
        <v>71</v>
      </c>
      <c r="P30" s="141" t="s">
        <v>43</v>
      </c>
    </row>
    <row r="31" spans="1:16">
      <c r="A31" s="141" t="s">
        <v>1049</v>
      </c>
      <c r="B31" s="141" t="s">
        <v>1050</v>
      </c>
      <c r="C31" s="141" t="s">
        <v>909</v>
      </c>
      <c r="D31" s="142">
        <v>0</v>
      </c>
      <c r="E31" s="141" t="s">
        <v>1046</v>
      </c>
      <c r="F31" s="141" t="s">
        <v>53</v>
      </c>
      <c r="G31" s="141" t="s">
        <v>910</v>
      </c>
      <c r="H31" s="141" t="s">
        <v>327</v>
      </c>
      <c r="I31" s="141" t="s">
        <v>382</v>
      </c>
      <c r="J31" s="141" t="s">
        <v>981</v>
      </c>
      <c r="K31" s="141" t="s">
        <v>384</v>
      </c>
      <c r="L31" s="141" t="s">
        <v>386</v>
      </c>
      <c r="M31" s="141" t="s">
        <v>808</v>
      </c>
      <c r="N31" s="141" t="s">
        <v>1005</v>
      </c>
      <c r="O31" s="141" t="s">
        <v>53</v>
      </c>
      <c r="P31" s="141" t="s">
        <v>43</v>
      </c>
    </row>
    <row r="32" spans="1:16">
      <c r="A32" s="141" t="s">
        <v>1051</v>
      </c>
      <c r="B32" s="141" t="s">
        <v>1052</v>
      </c>
      <c r="C32" s="141" t="s">
        <v>1053</v>
      </c>
      <c r="D32" s="172">
        <v>56</v>
      </c>
      <c r="E32" s="141" t="s">
        <v>1054</v>
      </c>
      <c r="F32" s="141" t="s">
        <v>158</v>
      </c>
      <c r="G32" s="141" t="s">
        <v>1055</v>
      </c>
      <c r="H32" s="141" t="s">
        <v>327</v>
      </c>
      <c r="I32" s="141" t="s">
        <v>382</v>
      </c>
      <c r="J32" s="141" t="s">
        <v>981</v>
      </c>
      <c r="K32" s="141" t="s">
        <v>384</v>
      </c>
      <c r="L32" s="141" t="s">
        <v>533</v>
      </c>
      <c r="M32" s="141" t="s">
        <v>808</v>
      </c>
      <c r="N32" s="141" t="s">
        <v>1056</v>
      </c>
      <c r="O32" s="141" t="s">
        <v>195</v>
      </c>
      <c r="P32" s="141"/>
    </row>
    <row r="33" spans="1:16">
      <c r="A33" s="141" t="s">
        <v>1057</v>
      </c>
      <c r="B33" s="141" t="s">
        <v>1052</v>
      </c>
      <c r="C33" s="141" t="s">
        <v>1058</v>
      </c>
      <c r="D33" s="172">
        <v>60</v>
      </c>
      <c r="E33" s="141" t="s">
        <v>1054</v>
      </c>
      <c r="F33" s="141" t="s">
        <v>158</v>
      </c>
      <c r="G33" s="141" t="s">
        <v>1055</v>
      </c>
      <c r="H33" s="141" t="s">
        <v>327</v>
      </c>
      <c r="I33" s="141" t="s">
        <v>382</v>
      </c>
      <c r="J33" s="141" t="s">
        <v>981</v>
      </c>
      <c r="K33" s="141" t="s">
        <v>384</v>
      </c>
      <c r="L33" s="141" t="s">
        <v>533</v>
      </c>
      <c r="M33" s="141" t="s">
        <v>808</v>
      </c>
      <c r="N33" s="141" t="s">
        <v>1056</v>
      </c>
      <c r="O33" s="141" t="s">
        <v>195</v>
      </c>
      <c r="P33" s="141"/>
    </row>
    <row r="34" spans="1:16">
      <c r="A34" s="141" t="s">
        <v>1059</v>
      </c>
      <c r="B34" s="141" t="s">
        <v>1060</v>
      </c>
      <c r="C34" s="141" t="s">
        <v>1053</v>
      </c>
      <c r="D34" s="172">
        <v>56</v>
      </c>
      <c r="E34" s="141" t="s">
        <v>1061</v>
      </c>
      <c r="F34" s="141" t="s">
        <v>158</v>
      </c>
      <c r="G34" s="141" t="s">
        <v>1055</v>
      </c>
      <c r="H34" s="141" t="s">
        <v>320</v>
      </c>
      <c r="I34" s="141" t="s">
        <v>382</v>
      </c>
      <c r="J34" s="141" t="s">
        <v>988</v>
      </c>
      <c r="K34" s="141" t="s">
        <v>384</v>
      </c>
      <c r="L34" s="141" t="s">
        <v>533</v>
      </c>
      <c r="M34" s="141" t="s">
        <v>973</v>
      </c>
      <c r="N34" s="141" t="s">
        <v>1056</v>
      </c>
      <c r="O34" s="141" t="s">
        <v>60</v>
      </c>
      <c r="P34" s="141"/>
    </row>
    <row r="35" spans="1:16">
      <c r="A35" s="141" t="s">
        <v>1062</v>
      </c>
      <c r="B35" s="141" t="s">
        <v>1060</v>
      </c>
      <c r="C35" s="141" t="s">
        <v>1058</v>
      </c>
      <c r="D35" s="172">
        <v>60</v>
      </c>
      <c r="E35" s="141" t="s">
        <v>1061</v>
      </c>
      <c r="F35" s="141" t="s">
        <v>158</v>
      </c>
      <c r="G35" s="141" t="s">
        <v>1055</v>
      </c>
      <c r="H35" s="141" t="s">
        <v>320</v>
      </c>
      <c r="I35" s="141" t="s">
        <v>382</v>
      </c>
      <c r="J35" s="141" t="s">
        <v>988</v>
      </c>
      <c r="K35" s="141" t="s">
        <v>384</v>
      </c>
      <c r="L35" s="141" t="s">
        <v>533</v>
      </c>
      <c r="M35" s="141" t="s">
        <v>973</v>
      </c>
      <c r="N35" s="141" t="s">
        <v>1056</v>
      </c>
      <c r="O35" s="141" t="s">
        <v>60</v>
      </c>
      <c r="P35" s="141"/>
    </row>
    <row r="36" spans="1:16">
      <c r="A36" s="141" t="s">
        <v>1063</v>
      </c>
      <c r="B36" s="141" t="s">
        <v>1064</v>
      </c>
      <c r="C36" s="141" t="s">
        <v>1032</v>
      </c>
      <c r="D36" s="172">
        <v>55</v>
      </c>
      <c r="E36" s="141" t="s">
        <v>1065</v>
      </c>
      <c r="F36" s="141" t="s">
        <v>53</v>
      </c>
      <c r="G36" s="141" t="s">
        <v>1066</v>
      </c>
      <c r="H36" s="141" t="s">
        <v>334</v>
      </c>
      <c r="I36" s="141" t="s">
        <v>382</v>
      </c>
      <c r="J36" s="141" t="s">
        <v>988</v>
      </c>
      <c r="K36" s="141" t="s">
        <v>384</v>
      </c>
      <c r="L36" s="141" t="s">
        <v>539</v>
      </c>
      <c r="M36" s="141" t="s">
        <v>973</v>
      </c>
      <c r="N36" s="141" t="s">
        <v>1005</v>
      </c>
      <c r="O36" s="141" t="s">
        <v>53</v>
      </c>
      <c r="P36" s="141"/>
    </row>
    <row r="37" spans="1:16">
      <c r="A37" s="141" t="s">
        <v>1067</v>
      </c>
      <c r="B37" s="141" t="s">
        <v>1064</v>
      </c>
      <c r="C37" s="141" t="s">
        <v>969</v>
      </c>
      <c r="D37" s="172">
        <v>57</v>
      </c>
      <c r="E37" s="141" t="s">
        <v>1065</v>
      </c>
      <c r="F37" s="141" t="s">
        <v>53</v>
      </c>
      <c r="G37" s="141" t="s">
        <v>1066</v>
      </c>
      <c r="H37" s="141" t="s">
        <v>334</v>
      </c>
      <c r="I37" s="141" t="s">
        <v>382</v>
      </c>
      <c r="J37" s="141" t="s">
        <v>988</v>
      </c>
      <c r="K37" s="141" t="s">
        <v>384</v>
      </c>
      <c r="L37" s="141" t="s">
        <v>539</v>
      </c>
      <c r="M37" s="141" t="s">
        <v>973</v>
      </c>
      <c r="N37" s="141" t="s">
        <v>1005</v>
      </c>
      <c r="O37" s="141" t="s">
        <v>53</v>
      </c>
      <c r="P37" s="141"/>
    </row>
    <row r="38" spans="1:16">
      <c r="A38" s="141" t="s">
        <v>1068</v>
      </c>
      <c r="B38" s="141" t="s">
        <v>1064</v>
      </c>
      <c r="C38" s="141" t="s">
        <v>976</v>
      </c>
      <c r="D38" s="172">
        <v>59</v>
      </c>
      <c r="E38" s="141" t="s">
        <v>1065</v>
      </c>
      <c r="F38" s="141" t="s">
        <v>53</v>
      </c>
      <c r="G38" s="141" t="s">
        <v>1066</v>
      </c>
      <c r="H38" s="141" t="s">
        <v>334</v>
      </c>
      <c r="I38" s="141" t="s">
        <v>382</v>
      </c>
      <c r="J38" s="141" t="s">
        <v>988</v>
      </c>
      <c r="K38" s="141" t="s">
        <v>384</v>
      </c>
      <c r="L38" s="141" t="s">
        <v>539</v>
      </c>
      <c r="M38" s="141" t="s">
        <v>973</v>
      </c>
      <c r="N38" s="141" t="s">
        <v>1005</v>
      </c>
      <c r="O38" s="141" t="s">
        <v>53</v>
      </c>
      <c r="P38" s="141"/>
    </row>
    <row r="39" spans="1:16">
      <c r="A39" s="141" t="s">
        <v>1069</v>
      </c>
      <c r="B39" s="141" t="s">
        <v>1064</v>
      </c>
      <c r="C39" s="141" t="s">
        <v>1030</v>
      </c>
      <c r="D39" s="172">
        <v>61</v>
      </c>
      <c r="E39" s="141" t="s">
        <v>1065</v>
      </c>
      <c r="F39" s="141" t="s">
        <v>53</v>
      </c>
      <c r="G39" s="141" t="s">
        <v>1066</v>
      </c>
      <c r="H39" s="141" t="s">
        <v>334</v>
      </c>
      <c r="I39" s="141" t="s">
        <v>382</v>
      </c>
      <c r="J39" s="141" t="s">
        <v>988</v>
      </c>
      <c r="K39" s="141" t="s">
        <v>384</v>
      </c>
      <c r="L39" s="141" t="s">
        <v>539</v>
      </c>
      <c r="M39" s="141" t="s">
        <v>973</v>
      </c>
      <c r="N39" s="141" t="s">
        <v>1005</v>
      </c>
      <c r="O39" s="141" t="s">
        <v>53</v>
      </c>
      <c r="P39" s="141"/>
    </row>
    <row r="40" spans="1:16">
      <c r="A40" s="141" t="s">
        <v>1070</v>
      </c>
      <c r="B40" s="141" t="s">
        <v>1071</v>
      </c>
      <c r="C40" s="141" t="s">
        <v>1032</v>
      </c>
      <c r="D40" s="172">
        <v>55</v>
      </c>
      <c r="E40" s="141" t="s">
        <v>1072</v>
      </c>
      <c r="F40" s="141" t="s">
        <v>53</v>
      </c>
      <c r="G40" s="141" t="s">
        <v>1073</v>
      </c>
      <c r="H40" s="141" t="s">
        <v>334</v>
      </c>
      <c r="I40" s="141" t="s">
        <v>382</v>
      </c>
      <c r="J40" s="141" t="s">
        <v>1004</v>
      </c>
      <c r="K40" s="141" t="s">
        <v>384</v>
      </c>
      <c r="L40" s="141" t="s">
        <v>539</v>
      </c>
      <c r="M40" s="141" t="s">
        <v>808</v>
      </c>
      <c r="N40" s="141" t="s">
        <v>1005</v>
      </c>
      <c r="O40" s="141" t="s">
        <v>53</v>
      </c>
      <c r="P40" s="141"/>
    </row>
    <row r="41" spans="1:16">
      <c r="A41" s="141" t="s">
        <v>1074</v>
      </c>
      <c r="B41" s="141" t="s">
        <v>1071</v>
      </c>
      <c r="C41" s="141" t="s">
        <v>969</v>
      </c>
      <c r="D41" s="172">
        <v>57</v>
      </c>
      <c r="E41" s="141" t="s">
        <v>1072</v>
      </c>
      <c r="F41" s="141" t="s">
        <v>53</v>
      </c>
      <c r="G41" s="141" t="s">
        <v>1073</v>
      </c>
      <c r="H41" s="141" t="s">
        <v>334</v>
      </c>
      <c r="I41" s="141" t="s">
        <v>382</v>
      </c>
      <c r="J41" s="141" t="s">
        <v>1004</v>
      </c>
      <c r="K41" s="141" t="s">
        <v>384</v>
      </c>
      <c r="L41" s="141" t="s">
        <v>539</v>
      </c>
      <c r="M41" s="141" t="s">
        <v>808</v>
      </c>
      <c r="N41" s="141" t="s">
        <v>1005</v>
      </c>
      <c r="O41" s="141" t="s">
        <v>53</v>
      </c>
      <c r="P41" s="141"/>
    </row>
    <row r="42" spans="1:16">
      <c r="A42" s="141" t="s">
        <v>1075</v>
      </c>
      <c r="B42" s="141" t="s">
        <v>1071</v>
      </c>
      <c r="C42" s="141" t="s">
        <v>976</v>
      </c>
      <c r="D42" s="172">
        <v>59</v>
      </c>
      <c r="E42" s="141" t="s">
        <v>1072</v>
      </c>
      <c r="F42" s="141" t="s">
        <v>53</v>
      </c>
      <c r="G42" s="141" t="s">
        <v>1073</v>
      </c>
      <c r="H42" s="141" t="s">
        <v>334</v>
      </c>
      <c r="I42" s="141" t="s">
        <v>382</v>
      </c>
      <c r="J42" s="141" t="s">
        <v>1004</v>
      </c>
      <c r="K42" s="141" t="s">
        <v>384</v>
      </c>
      <c r="L42" s="141" t="s">
        <v>539</v>
      </c>
      <c r="M42" s="141" t="s">
        <v>808</v>
      </c>
      <c r="N42" s="141" t="s">
        <v>1005</v>
      </c>
      <c r="O42" s="141" t="s">
        <v>53</v>
      </c>
      <c r="P42" s="141"/>
    </row>
    <row r="43" spans="1:16">
      <c r="A43" s="141" t="s">
        <v>1076</v>
      </c>
      <c r="B43" s="141" t="s">
        <v>1071</v>
      </c>
      <c r="C43" s="141" t="s">
        <v>1030</v>
      </c>
      <c r="D43" s="172">
        <v>61</v>
      </c>
      <c r="E43" s="141" t="s">
        <v>1072</v>
      </c>
      <c r="F43" s="141" t="s">
        <v>53</v>
      </c>
      <c r="G43" s="141" t="s">
        <v>1073</v>
      </c>
      <c r="H43" s="141" t="s">
        <v>334</v>
      </c>
      <c r="I43" s="141" t="s">
        <v>382</v>
      </c>
      <c r="J43" s="141" t="s">
        <v>1004</v>
      </c>
      <c r="K43" s="141" t="s">
        <v>384</v>
      </c>
      <c r="L43" s="141" t="s">
        <v>539</v>
      </c>
      <c r="M43" s="141" t="s">
        <v>808</v>
      </c>
      <c r="N43" s="141" t="s">
        <v>1005</v>
      </c>
      <c r="O43" s="141" t="s">
        <v>53</v>
      </c>
      <c r="P43" s="141"/>
    </row>
    <row r="44" spans="1:16">
      <c r="A44" s="141" t="s">
        <v>1077</v>
      </c>
      <c r="B44" s="141" t="s">
        <v>1078</v>
      </c>
      <c r="C44" s="141" t="s">
        <v>969</v>
      </c>
      <c r="D44" s="172">
        <v>57</v>
      </c>
      <c r="E44" s="141" t="s">
        <v>1079</v>
      </c>
      <c r="F44" s="141" t="s">
        <v>53</v>
      </c>
      <c r="G44" s="141" t="s">
        <v>910</v>
      </c>
      <c r="H44" s="141" t="s">
        <v>325</v>
      </c>
      <c r="I44" s="141" t="s">
        <v>382</v>
      </c>
      <c r="J44" s="141" t="s">
        <v>972</v>
      </c>
      <c r="K44" s="141" t="s">
        <v>384</v>
      </c>
      <c r="L44" s="141" t="s">
        <v>386</v>
      </c>
      <c r="M44" s="141" t="s">
        <v>973</v>
      </c>
      <c r="N44" s="141" t="s">
        <v>1005</v>
      </c>
      <c r="O44" s="141" t="s">
        <v>53</v>
      </c>
      <c r="P44" s="141" t="s">
        <v>43</v>
      </c>
    </row>
    <row r="45" spans="1:16">
      <c r="A45" s="141" t="s">
        <v>1080</v>
      </c>
      <c r="B45" s="141" t="s">
        <v>1078</v>
      </c>
      <c r="C45" s="141" t="s">
        <v>976</v>
      </c>
      <c r="D45" s="172">
        <v>59</v>
      </c>
      <c r="E45" s="141" t="s">
        <v>1079</v>
      </c>
      <c r="F45" s="141" t="s">
        <v>53</v>
      </c>
      <c r="G45" s="141" t="s">
        <v>910</v>
      </c>
      <c r="H45" s="141" t="s">
        <v>325</v>
      </c>
      <c r="I45" s="141" t="s">
        <v>382</v>
      </c>
      <c r="J45" s="141" t="s">
        <v>972</v>
      </c>
      <c r="K45" s="141" t="s">
        <v>384</v>
      </c>
      <c r="L45" s="141" t="s">
        <v>386</v>
      </c>
      <c r="M45" s="141" t="s">
        <v>973</v>
      </c>
      <c r="N45" s="141" t="s">
        <v>1005</v>
      </c>
      <c r="O45" s="141" t="s">
        <v>53</v>
      </c>
      <c r="P45" s="141" t="s">
        <v>43</v>
      </c>
    </row>
    <row r="46" spans="1:16">
      <c r="A46" s="141" t="s">
        <v>1081</v>
      </c>
      <c r="B46" s="141" t="s">
        <v>1082</v>
      </c>
      <c r="C46" s="141" t="s">
        <v>1032</v>
      </c>
      <c r="D46" s="172">
        <v>55</v>
      </c>
      <c r="E46" s="141" t="s">
        <v>1083</v>
      </c>
      <c r="F46" s="141" t="s">
        <v>63</v>
      </c>
      <c r="G46" s="141" t="s">
        <v>1084</v>
      </c>
      <c r="H46" s="141" t="s">
        <v>318</v>
      </c>
      <c r="I46" s="141" t="s">
        <v>382</v>
      </c>
      <c r="J46" s="141" t="s">
        <v>988</v>
      </c>
      <c r="K46" s="141" t="s">
        <v>388</v>
      </c>
      <c r="L46" s="141" t="s">
        <v>539</v>
      </c>
      <c r="M46" s="141" t="s">
        <v>973</v>
      </c>
      <c r="N46" s="141" t="s">
        <v>1085</v>
      </c>
      <c r="O46" s="141" t="s">
        <v>63</v>
      </c>
      <c r="P46" s="141"/>
    </row>
    <row r="47" spans="1:16">
      <c r="A47" s="141" t="s">
        <v>1086</v>
      </c>
      <c r="B47" s="141" t="s">
        <v>1082</v>
      </c>
      <c r="C47" s="141" t="s">
        <v>969</v>
      </c>
      <c r="D47" s="172">
        <v>57</v>
      </c>
      <c r="E47" s="141" t="s">
        <v>1083</v>
      </c>
      <c r="F47" s="141" t="s">
        <v>63</v>
      </c>
      <c r="G47" s="141" t="s">
        <v>1084</v>
      </c>
      <c r="H47" s="141" t="s">
        <v>318</v>
      </c>
      <c r="I47" s="141" t="s">
        <v>382</v>
      </c>
      <c r="J47" s="141" t="s">
        <v>988</v>
      </c>
      <c r="K47" s="141" t="s">
        <v>388</v>
      </c>
      <c r="L47" s="141" t="s">
        <v>539</v>
      </c>
      <c r="M47" s="141" t="s">
        <v>973</v>
      </c>
      <c r="N47" s="141" t="s">
        <v>1085</v>
      </c>
      <c r="O47" s="141" t="s">
        <v>63</v>
      </c>
      <c r="P47" s="141"/>
    </row>
    <row r="48" spans="1:16">
      <c r="A48" s="141" t="s">
        <v>1087</v>
      </c>
      <c r="B48" s="141" t="s">
        <v>1082</v>
      </c>
      <c r="C48" s="141" t="s">
        <v>976</v>
      </c>
      <c r="D48" s="172">
        <v>59</v>
      </c>
      <c r="E48" s="141" t="s">
        <v>1083</v>
      </c>
      <c r="F48" s="141" t="s">
        <v>63</v>
      </c>
      <c r="G48" s="141" t="s">
        <v>1084</v>
      </c>
      <c r="H48" s="141" t="s">
        <v>318</v>
      </c>
      <c r="I48" s="141" t="s">
        <v>382</v>
      </c>
      <c r="J48" s="141" t="s">
        <v>988</v>
      </c>
      <c r="K48" s="141" t="s">
        <v>388</v>
      </c>
      <c r="L48" s="141" t="s">
        <v>539</v>
      </c>
      <c r="M48" s="141" t="s">
        <v>973</v>
      </c>
      <c r="N48" s="141" t="s">
        <v>1085</v>
      </c>
      <c r="O48" s="141" t="s">
        <v>63</v>
      </c>
      <c r="P48" s="141"/>
    </row>
    <row r="49" spans="1:16">
      <c r="A49" s="141" t="s">
        <v>1088</v>
      </c>
      <c r="B49" s="141" t="s">
        <v>1082</v>
      </c>
      <c r="C49" s="141" t="s">
        <v>1030</v>
      </c>
      <c r="D49" s="172">
        <v>61</v>
      </c>
      <c r="E49" s="141" t="s">
        <v>1083</v>
      </c>
      <c r="F49" s="141" t="s">
        <v>63</v>
      </c>
      <c r="G49" s="141" t="s">
        <v>1084</v>
      </c>
      <c r="H49" s="141" t="s">
        <v>318</v>
      </c>
      <c r="I49" s="141" t="s">
        <v>382</v>
      </c>
      <c r="J49" s="141" t="s">
        <v>988</v>
      </c>
      <c r="K49" s="141" t="s">
        <v>388</v>
      </c>
      <c r="L49" s="141" t="s">
        <v>539</v>
      </c>
      <c r="M49" s="141" t="s">
        <v>973</v>
      </c>
      <c r="N49" s="141" t="s">
        <v>1085</v>
      </c>
      <c r="O49" s="141" t="s">
        <v>63</v>
      </c>
      <c r="P49" s="141"/>
    </row>
    <row r="50" spans="1:16">
      <c r="A50" s="141" t="s">
        <v>1089</v>
      </c>
      <c r="B50" s="141" t="s">
        <v>1090</v>
      </c>
      <c r="C50" s="141" t="s">
        <v>969</v>
      </c>
      <c r="D50" s="172">
        <v>57</v>
      </c>
      <c r="E50" s="141" t="s">
        <v>1091</v>
      </c>
      <c r="F50" s="141" t="s">
        <v>55</v>
      </c>
      <c r="G50" s="141" t="s">
        <v>910</v>
      </c>
      <c r="H50" s="141" t="s">
        <v>325</v>
      </c>
      <c r="I50" s="141" t="s">
        <v>382</v>
      </c>
      <c r="J50" s="141" t="s">
        <v>972</v>
      </c>
      <c r="K50" s="141" t="s">
        <v>384</v>
      </c>
      <c r="L50" s="141" t="s">
        <v>386</v>
      </c>
      <c r="M50" s="141" t="s">
        <v>973</v>
      </c>
      <c r="N50" s="141" t="s">
        <v>1092</v>
      </c>
      <c r="O50" s="141" t="s">
        <v>71</v>
      </c>
      <c r="P50" s="141" t="s">
        <v>43</v>
      </c>
    </row>
    <row r="51" spans="1:16">
      <c r="A51" s="141" t="s">
        <v>1093</v>
      </c>
      <c r="B51" s="141" t="s">
        <v>1090</v>
      </c>
      <c r="C51" s="141" t="s">
        <v>976</v>
      </c>
      <c r="D51" s="172">
        <v>59</v>
      </c>
      <c r="E51" s="141" t="s">
        <v>1091</v>
      </c>
      <c r="F51" s="141" t="s">
        <v>55</v>
      </c>
      <c r="G51" s="141" t="s">
        <v>910</v>
      </c>
      <c r="H51" s="141" t="s">
        <v>325</v>
      </c>
      <c r="I51" s="141" t="s">
        <v>382</v>
      </c>
      <c r="J51" s="141" t="s">
        <v>972</v>
      </c>
      <c r="K51" s="141" t="s">
        <v>384</v>
      </c>
      <c r="L51" s="141" t="s">
        <v>386</v>
      </c>
      <c r="M51" s="141" t="s">
        <v>973</v>
      </c>
      <c r="N51" s="141" t="s">
        <v>1092</v>
      </c>
      <c r="O51" s="141" t="s">
        <v>71</v>
      </c>
      <c r="P51" s="141" t="s">
        <v>43</v>
      </c>
    </row>
    <row r="52" spans="1:16">
      <c r="A52" s="141" t="s">
        <v>1094</v>
      </c>
      <c r="B52" s="141" t="s">
        <v>1095</v>
      </c>
      <c r="C52" s="141" t="s">
        <v>1032</v>
      </c>
      <c r="D52" s="172">
        <v>55</v>
      </c>
      <c r="E52" s="141" t="s">
        <v>1096</v>
      </c>
      <c r="F52" s="141" t="s">
        <v>91</v>
      </c>
      <c r="G52" s="141" t="s">
        <v>1097</v>
      </c>
      <c r="H52" s="141" t="s">
        <v>320</v>
      </c>
      <c r="I52" s="141" t="s">
        <v>382</v>
      </c>
      <c r="J52" s="141" t="s">
        <v>981</v>
      </c>
      <c r="K52" s="141" t="s">
        <v>384</v>
      </c>
      <c r="L52" s="141" t="s">
        <v>386</v>
      </c>
      <c r="M52" s="141" t="s">
        <v>808</v>
      </c>
      <c r="N52" s="141" t="s">
        <v>1098</v>
      </c>
      <c r="O52" s="141" t="s">
        <v>91</v>
      </c>
      <c r="P52" s="141" t="s">
        <v>43</v>
      </c>
    </row>
    <row r="53" spans="1:16">
      <c r="A53" s="141" t="s">
        <v>1099</v>
      </c>
      <c r="B53" s="141" t="s">
        <v>1095</v>
      </c>
      <c r="C53" s="141" t="s">
        <v>969</v>
      </c>
      <c r="D53" s="172">
        <v>57</v>
      </c>
      <c r="E53" s="141" t="s">
        <v>1096</v>
      </c>
      <c r="F53" s="141" t="s">
        <v>91</v>
      </c>
      <c r="G53" s="141" t="s">
        <v>1097</v>
      </c>
      <c r="H53" s="141" t="s">
        <v>320</v>
      </c>
      <c r="I53" s="141" t="s">
        <v>382</v>
      </c>
      <c r="J53" s="141" t="s">
        <v>981</v>
      </c>
      <c r="K53" s="141" t="s">
        <v>384</v>
      </c>
      <c r="L53" s="141" t="s">
        <v>386</v>
      </c>
      <c r="M53" s="141" t="s">
        <v>808</v>
      </c>
      <c r="N53" s="141" t="s">
        <v>1098</v>
      </c>
      <c r="O53" s="141" t="s">
        <v>91</v>
      </c>
      <c r="P53" s="141" t="s">
        <v>43</v>
      </c>
    </row>
    <row r="54" spans="1:16">
      <c r="A54" s="141" t="s">
        <v>1100</v>
      </c>
      <c r="B54" s="141" t="s">
        <v>1095</v>
      </c>
      <c r="C54" s="141" t="s">
        <v>976</v>
      </c>
      <c r="D54" s="172">
        <v>59</v>
      </c>
      <c r="E54" s="141" t="s">
        <v>1096</v>
      </c>
      <c r="F54" s="141" t="s">
        <v>91</v>
      </c>
      <c r="G54" s="141" t="s">
        <v>1097</v>
      </c>
      <c r="H54" s="141" t="s">
        <v>320</v>
      </c>
      <c r="I54" s="141" t="s">
        <v>382</v>
      </c>
      <c r="J54" s="141" t="s">
        <v>981</v>
      </c>
      <c r="K54" s="141" t="s">
        <v>384</v>
      </c>
      <c r="L54" s="141" t="s">
        <v>386</v>
      </c>
      <c r="M54" s="141" t="s">
        <v>808</v>
      </c>
      <c r="N54" s="141" t="s">
        <v>1098</v>
      </c>
      <c r="O54" s="141" t="s">
        <v>91</v>
      </c>
      <c r="P54" s="141" t="s">
        <v>43</v>
      </c>
    </row>
    <row r="55" spans="1:16">
      <c r="A55" s="141" t="s">
        <v>1101</v>
      </c>
      <c r="B55" s="141" t="s">
        <v>1095</v>
      </c>
      <c r="C55" s="141" t="s">
        <v>1030</v>
      </c>
      <c r="D55" s="172">
        <v>61</v>
      </c>
      <c r="E55" s="141" t="s">
        <v>1096</v>
      </c>
      <c r="F55" s="141" t="s">
        <v>91</v>
      </c>
      <c r="G55" s="141" t="s">
        <v>1097</v>
      </c>
      <c r="H55" s="141" t="s">
        <v>320</v>
      </c>
      <c r="I55" s="141" t="s">
        <v>382</v>
      </c>
      <c r="J55" s="141" t="s">
        <v>981</v>
      </c>
      <c r="K55" s="141" t="s">
        <v>384</v>
      </c>
      <c r="L55" s="141" t="s">
        <v>386</v>
      </c>
      <c r="M55" s="141" t="s">
        <v>808</v>
      </c>
      <c r="N55" s="141" t="s">
        <v>1098</v>
      </c>
      <c r="O55" s="141" t="s">
        <v>91</v>
      </c>
      <c r="P55" s="141" t="s">
        <v>43</v>
      </c>
    </row>
    <row r="56" spans="1:16">
      <c r="A56" s="141" t="s">
        <v>1102</v>
      </c>
      <c r="B56" s="141" t="s">
        <v>1103</v>
      </c>
      <c r="C56" s="141" t="s">
        <v>1032</v>
      </c>
      <c r="D56" s="172">
        <v>55</v>
      </c>
      <c r="E56" s="141" t="s">
        <v>1104</v>
      </c>
      <c r="F56" s="141" t="s">
        <v>55</v>
      </c>
      <c r="G56" s="141" t="s">
        <v>1105</v>
      </c>
      <c r="H56" s="141" t="s">
        <v>334</v>
      </c>
      <c r="I56" s="141" t="s">
        <v>382</v>
      </c>
      <c r="J56" s="141" t="s">
        <v>988</v>
      </c>
      <c r="K56" s="141" t="s">
        <v>388</v>
      </c>
      <c r="L56" s="141" t="s">
        <v>386</v>
      </c>
      <c r="M56" s="141" t="s">
        <v>808</v>
      </c>
      <c r="N56" s="141" t="s">
        <v>1106</v>
      </c>
      <c r="O56" s="141" t="s">
        <v>71</v>
      </c>
      <c r="P56" s="141" t="s">
        <v>44</v>
      </c>
    </row>
    <row r="57" spans="1:16">
      <c r="A57" s="141" t="s">
        <v>1107</v>
      </c>
      <c r="B57" s="141" t="s">
        <v>1103</v>
      </c>
      <c r="C57" s="141" t="s">
        <v>969</v>
      </c>
      <c r="D57" s="172">
        <v>57</v>
      </c>
      <c r="E57" s="141" t="s">
        <v>1104</v>
      </c>
      <c r="F57" s="141" t="s">
        <v>55</v>
      </c>
      <c r="G57" s="141" t="s">
        <v>1105</v>
      </c>
      <c r="H57" s="141" t="s">
        <v>334</v>
      </c>
      <c r="I57" s="141" t="s">
        <v>382</v>
      </c>
      <c r="J57" s="141" t="s">
        <v>988</v>
      </c>
      <c r="K57" s="141" t="s">
        <v>388</v>
      </c>
      <c r="L57" s="141" t="s">
        <v>386</v>
      </c>
      <c r="M57" s="141" t="s">
        <v>808</v>
      </c>
      <c r="N57" s="141" t="s">
        <v>1106</v>
      </c>
      <c r="O57" s="141" t="s">
        <v>71</v>
      </c>
      <c r="P57" s="141" t="s">
        <v>44</v>
      </c>
    </row>
    <row r="58" spans="1:16">
      <c r="A58" s="141" t="s">
        <v>1108</v>
      </c>
      <c r="B58" s="141" t="s">
        <v>1103</v>
      </c>
      <c r="C58" s="141" t="s">
        <v>976</v>
      </c>
      <c r="D58" s="172">
        <v>59</v>
      </c>
      <c r="E58" s="141" t="s">
        <v>1104</v>
      </c>
      <c r="F58" s="141" t="s">
        <v>55</v>
      </c>
      <c r="G58" s="141" t="s">
        <v>1105</v>
      </c>
      <c r="H58" s="141" t="s">
        <v>334</v>
      </c>
      <c r="I58" s="141" t="s">
        <v>382</v>
      </c>
      <c r="J58" s="141" t="s">
        <v>988</v>
      </c>
      <c r="K58" s="141" t="s">
        <v>388</v>
      </c>
      <c r="L58" s="141" t="s">
        <v>386</v>
      </c>
      <c r="M58" s="141" t="s">
        <v>808</v>
      </c>
      <c r="N58" s="141" t="s">
        <v>1106</v>
      </c>
      <c r="O58" s="141" t="s">
        <v>71</v>
      </c>
      <c r="P58" s="141" t="s">
        <v>44</v>
      </c>
    </row>
    <row r="59" spans="1:16">
      <c r="A59" s="141" t="s">
        <v>1109</v>
      </c>
      <c r="B59" s="141" t="s">
        <v>1103</v>
      </c>
      <c r="C59" s="141" t="s">
        <v>1030</v>
      </c>
      <c r="D59" s="172">
        <v>61</v>
      </c>
      <c r="E59" s="141" t="s">
        <v>1104</v>
      </c>
      <c r="F59" s="141" t="s">
        <v>55</v>
      </c>
      <c r="G59" s="141" t="s">
        <v>1105</v>
      </c>
      <c r="H59" s="141" t="s">
        <v>334</v>
      </c>
      <c r="I59" s="141" t="s">
        <v>382</v>
      </c>
      <c r="J59" s="141" t="s">
        <v>988</v>
      </c>
      <c r="K59" s="141" t="s">
        <v>388</v>
      </c>
      <c r="L59" s="141" t="s">
        <v>386</v>
      </c>
      <c r="M59" s="141" t="s">
        <v>808</v>
      </c>
      <c r="N59" s="141" t="s">
        <v>1106</v>
      </c>
      <c r="O59" s="141" t="s">
        <v>71</v>
      </c>
      <c r="P59" s="141" t="s">
        <v>44</v>
      </c>
    </row>
    <row r="60" spans="1:16">
      <c r="A60" s="141" t="s">
        <v>1110</v>
      </c>
      <c r="B60" s="141" t="s">
        <v>1111</v>
      </c>
      <c r="C60" s="141" t="s">
        <v>976</v>
      </c>
      <c r="D60" s="172">
        <v>59</v>
      </c>
      <c r="E60" s="141" t="s">
        <v>1104</v>
      </c>
      <c r="F60" s="141" t="s">
        <v>60</v>
      </c>
      <c r="G60" s="141" t="s">
        <v>1105</v>
      </c>
      <c r="H60" s="141" t="s">
        <v>334</v>
      </c>
      <c r="I60" s="141" t="s">
        <v>382</v>
      </c>
      <c r="J60" s="141" t="s">
        <v>988</v>
      </c>
      <c r="K60" s="141" t="s">
        <v>388</v>
      </c>
      <c r="L60" s="141" t="s">
        <v>386</v>
      </c>
      <c r="M60" s="141" t="s">
        <v>973</v>
      </c>
      <c r="N60" s="141" t="s">
        <v>1112</v>
      </c>
      <c r="O60" s="141" t="s">
        <v>60</v>
      </c>
      <c r="P60" s="141" t="s">
        <v>44</v>
      </c>
    </row>
    <row r="61" spans="1:16">
      <c r="A61" s="141" t="s">
        <v>1113</v>
      </c>
      <c r="B61" s="141" t="s">
        <v>1111</v>
      </c>
      <c r="C61" s="141" t="s">
        <v>969</v>
      </c>
      <c r="D61" s="172">
        <v>57</v>
      </c>
      <c r="E61" s="141" t="s">
        <v>1104</v>
      </c>
      <c r="F61" s="141" t="s">
        <v>60</v>
      </c>
      <c r="G61" s="141" t="s">
        <v>1105</v>
      </c>
      <c r="H61" s="141" t="s">
        <v>334</v>
      </c>
      <c r="I61" s="141" t="s">
        <v>382</v>
      </c>
      <c r="J61" s="141" t="s">
        <v>988</v>
      </c>
      <c r="K61" s="141" t="s">
        <v>388</v>
      </c>
      <c r="L61" s="141" t="s">
        <v>386</v>
      </c>
      <c r="M61" s="141" t="s">
        <v>973</v>
      </c>
      <c r="N61" s="141" t="s">
        <v>1112</v>
      </c>
      <c r="O61" s="141" t="s">
        <v>60</v>
      </c>
      <c r="P61" s="141" t="s">
        <v>44</v>
      </c>
    </row>
    <row r="62" spans="1:16">
      <c r="A62" s="141" t="s">
        <v>1114</v>
      </c>
      <c r="B62" s="141" t="s">
        <v>1111</v>
      </c>
      <c r="C62" s="141" t="s">
        <v>1032</v>
      </c>
      <c r="D62" s="172">
        <v>55</v>
      </c>
      <c r="E62" s="141" t="s">
        <v>1104</v>
      </c>
      <c r="F62" s="141" t="s">
        <v>60</v>
      </c>
      <c r="G62" s="141" t="s">
        <v>1105</v>
      </c>
      <c r="H62" s="141" t="s">
        <v>334</v>
      </c>
      <c r="I62" s="141" t="s">
        <v>382</v>
      </c>
      <c r="J62" s="141" t="s">
        <v>988</v>
      </c>
      <c r="K62" s="141" t="s">
        <v>388</v>
      </c>
      <c r="L62" s="141" t="s">
        <v>386</v>
      </c>
      <c r="M62" s="141" t="s">
        <v>973</v>
      </c>
      <c r="N62" s="141" t="s">
        <v>1112</v>
      </c>
      <c r="O62" s="141" t="s">
        <v>60</v>
      </c>
      <c r="P62" s="141" t="s">
        <v>44</v>
      </c>
    </row>
    <row r="63" spans="1:16">
      <c r="A63" s="141" t="s">
        <v>1115</v>
      </c>
      <c r="B63" s="141" t="s">
        <v>1111</v>
      </c>
      <c r="C63" s="141" t="s">
        <v>1030</v>
      </c>
      <c r="D63" s="172">
        <v>61</v>
      </c>
      <c r="E63" s="141" t="s">
        <v>1104</v>
      </c>
      <c r="F63" s="141" t="s">
        <v>60</v>
      </c>
      <c r="G63" s="141" t="s">
        <v>1105</v>
      </c>
      <c r="H63" s="141" t="s">
        <v>334</v>
      </c>
      <c r="I63" s="141" t="s">
        <v>382</v>
      </c>
      <c r="J63" s="141" t="s">
        <v>988</v>
      </c>
      <c r="K63" s="141" t="s">
        <v>388</v>
      </c>
      <c r="L63" s="141" t="s">
        <v>386</v>
      </c>
      <c r="M63" s="141" t="s">
        <v>973</v>
      </c>
      <c r="N63" s="141" t="s">
        <v>1112</v>
      </c>
      <c r="O63" s="141" t="s">
        <v>60</v>
      </c>
      <c r="P63" s="141" t="s">
        <v>44</v>
      </c>
    </row>
    <row r="64" spans="1:16">
      <c r="A64" s="141" t="s">
        <v>1116</v>
      </c>
      <c r="B64" s="141" t="s">
        <v>1117</v>
      </c>
      <c r="C64" s="141" t="s">
        <v>1032</v>
      </c>
      <c r="D64" s="172">
        <v>55</v>
      </c>
      <c r="E64" s="141" t="s">
        <v>1118</v>
      </c>
      <c r="F64" s="141" t="s">
        <v>83</v>
      </c>
      <c r="G64" s="141" t="s">
        <v>1105</v>
      </c>
      <c r="H64" s="141" t="s">
        <v>320</v>
      </c>
      <c r="I64" s="141" t="s">
        <v>382</v>
      </c>
      <c r="J64" s="141" t="s">
        <v>988</v>
      </c>
      <c r="K64" s="141" t="s">
        <v>388</v>
      </c>
      <c r="L64" s="141" t="s">
        <v>539</v>
      </c>
      <c r="M64" s="141" t="s">
        <v>973</v>
      </c>
      <c r="N64" s="141" t="s">
        <v>1119</v>
      </c>
      <c r="O64" s="141" t="s">
        <v>83</v>
      </c>
      <c r="P64" s="141" t="s">
        <v>44</v>
      </c>
    </row>
    <row r="65" spans="1:16">
      <c r="A65" s="141" t="s">
        <v>1120</v>
      </c>
      <c r="B65" s="141" t="s">
        <v>1117</v>
      </c>
      <c r="C65" s="141" t="s">
        <v>969</v>
      </c>
      <c r="D65" s="172">
        <v>57</v>
      </c>
      <c r="E65" s="141" t="s">
        <v>1118</v>
      </c>
      <c r="F65" s="141" t="s">
        <v>83</v>
      </c>
      <c r="G65" s="141" t="s">
        <v>1105</v>
      </c>
      <c r="H65" s="141" t="s">
        <v>320</v>
      </c>
      <c r="I65" s="141" t="s">
        <v>382</v>
      </c>
      <c r="J65" s="141" t="s">
        <v>988</v>
      </c>
      <c r="K65" s="141" t="s">
        <v>388</v>
      </c>
      <c r="L65" s="141" t="s">
        <v>539</v>
      </c>
      <c r="M65" s="141" t="s">
        <v>973</v>
      </c>
      <c r="N65" s="141" t="s">
        <v>1119</v>
      </c>
      <c r="O65" s="141" t="s">
        <v>83</v>
      </c>
      <c r="P65" s="141" t="s">
        <v>44</v>
      </c>
    </row>
    <row r="66" spans="1:16">
      <c r="A66" s="141" t="s">
        <v>1121</v>
      </c>
      <c r="B66" s="141" t="s">
        <v>1117</v>
      </c>
      <c r="C66" s="141" t="s">
        <v>976</v>
      </c>
      <c r="D66" s="172">
        <v>59</v>
      </c>
      <c r="E66" s="141" t="s">
        <v>1118</v>
      </c>
      <c r="F66" s="141" t="s">
        <v>83</v>
      </c>
      <c r="G66" s="141" t="s">
        <v>1105</v>
      </c>
      <c r="H66" s="141" t="s">
        <v>320</v>
      </c>
      <c r="I66" s="141" t="s">
        <v>382</v>
      </c>
      <c r="J66" s="141" t="s">
        <v>988</v>
      </c>
      <c r="K66" s="141" t="s">
        <v>388</v>
      </c>
      <c r="L66" s="141" t="s">
        <v>539</v>
      </c>
      <c r="M66" s="141" t="s">
        <v>973</v>
      </c>
      <c r="N66" s="141" t="s">
        <v>1119</v>
      </c>
      <c r="O66" s="141" t="s">
        <v>83</v>
      </c>
      <c r="P66" s="141" t="s">
        <v>44</v>
      </c>
    </row>
    <row r="67" spans="1:16">
      <c r="A67" s="141" t="s">
        <v>1122</v>
      </c>
      <c r="B67" s="141" t="s">
        <v>1117</v>
      </c>
      <c r="C67" s="141" t="s">
        <v>1030</v>
      </c>
      <c r="D67" s="172">
        <v>61</v>
      </c>
      <c r="E67" s="141" t="s">
        <v>1118</v>
      </c>
      <c r="F67" s="141" t="s">
        <v>83</v>
      </c>
      <c r="G67" s="141" t="s">
        <v>1105</v>
      </c>
      <c r="H67" s="141" t="s">
        <v>320</v>
      </c>
      <c r="I67" s="141" t="s">
        <v>382</v>
      </c>
      <c r="J67" s="141" t="s">
        <v>988</v>
      </c>
      <c r="K67" s="141" t="s">
        <v>388</v>
      </c>
      <c r="L67" s="141" t="s">
        <v>539</v>
      </c>
      <c r="M67" s="141" t="s">
        <v>973</v>
      </c>
      <c r="N67" s="141" t="s">
        <v>1119</v>
      </c>
      <c r="O67" s="141" t="s">
        <v>83</v>
      </c>
      <c r="P67" s="141" t="s">
        <v>44</v>
      </c>
    </row>
    <row r="68" spans="1:16">
      <c r="A68" s="141" t="s">
        <v>1123</v>
      </c>
      <c r="B68" s="141" t="s">
        <v>1124</v>
      </c>
      <c r="C68" s="141" t="s">
        <v>1032</v>
      </c>
      <c r="D68" s="172">
        <v>55</v>
      </c>
      <c r="E68" s="141" t="s">
        <v>1118</v>
      </c>
      <c r="F68" s="141" t="s">
        <v>71</v>
      </c>
      <c r="G68" s="141" t="s">
        <v>1105</v>
      </c>
      <c r="H68" s="141" t="s">
        <v>320</v>
      </c>
      <c r="I68" s="141" t="s">
        <v>382</v>
      </c>
      <c r="J68" s="141" t="s">
        <v>988</v>
      </c>
      <c r="K68" s="141" t="s">
        <v>388</v>
      </c>
      <c r="L68" s="141" t="s">
        <v>386</v>
      </c>
      <c r="M68" s="141" t="s">
        <v>973</v>
      </c>
      <c r="N68" s="141" t="s">
        <v>1125</v>
      </c>
      <c r="O68" s="141" t="s">
        <v>71</v>
      </c>
      <c r="P68" s="141" t="s">
        <v>44</v>
      </c>
    </row>
    <row r="69" spans="1:16">
      <c r="A69" s="141" t="s">
        <v>1126</v>
      </c>
      <c r="B69" s="141" t="s">
        <v>1124</v>
      </c>
      <c r="C69" s="141" t="s">
        <v>969</v>
      </c>
      <c r="D69" s="172">
        <v>57</v>
      </c>
      <c r="E69" s="141" t="s">
        <v>1118</v>
      </c>
      <c r="F69" s="141" t="s">
        <v>71</v>
      </c>
      <c r="G69" s="141" t="s">
        <v>1105</v>
      </c>
      <c r="H69" s="141" t="s">
        <v>320</v>
      </c>
      <c r="I69" s="141" t="s">
        <v>382</v>
      </c>
      <c r="J69" s="141" t="s">
        <v>988</v>
      </c>
      <c r="K69" s="141" t="s">
        <v>388</v>
      </c>
      <c r="L69" s="141" t="s">
        <v>386</v>
      </c>
      <c r="M69" s="141" t="s">
        <v>973</v>
      </c>
      <c r="N69" s="141" t="s">
        <v>1125</v>
      </c>
      <c r="O69" s="141" t="s">
        <v>71</v>
      </c>
      <c r="P69" s="141" t="s">
        <v>44</v>
      </c>
    </row>
    <row r="70" spans="1:16">
      <c r="A70" s="141" t="s">
        <v>1127</v>
      </c>
      <c r="B70" s="141" t="s">
        <v>1124</v>
      </c>
      <c r="C70" s="141" t="s">
        <v>976</v>
      </c>
      <c r="D70" s="172">
        <v>59</v>
      </c>
      <c r="E70" s="141" t="s">
        <v>1118</v>
      </c>
      <c r="F70" s="141" t="s">
        <v>71</v>
      </c>
      <c r="G70" s="141" t="s">
        <v>1105</v>
      </c>
      <c r="H70" s="141" t="s">
        <v>320</v>
      </c>
      <c r="I70" s="141" t="s">
        <v>382</v>
      </c>
      <c r="J70" s="141" t="s">
        <v>988</v>
      </c>
      <c r="K70" s="141" t="s">
        <v>388</v>
      </c>
      <c r="L70" s="141" t="s">
        <v>386</v>
      </c>
      <c r="M70" s="141" t="s">
        <v>973</v>
      </c>
      <c r="N70" s="141" t="s">
        <v>1125</v>
      </c>
      <c r="O70" s="141" t="s">
        <v>71</v>
      </c>
      <c r="P70" s="141" t="s">
        <v>44</v>
      </c>
    </row>
    <row r="71" spans="1:16">
      <c r="A71" s="141" t="s">
        <v>1128</v>
      </c>
      <c r="B71" s="141" t="s">
        <v>1124</v>
      </c>
      <c r="C71" s="141" t="s">
        <v>1030</v>
      </c>
      <c r="D71" s="172">
        <v>61</v>
      </c>
      <c r="E71" s="141" t="s">
        <v>1118</v>
      </c>
      <c r="F71" s="141" t="s">
        <v>71</v>
      </c>
      <c r="G71" s="141" t="s">
        <v>1105</v>
      </c>
      <c r="H71" s="141" t="s">
        <v>320</v>
      </c>
      <c r="I71" s="141" t="s">
        <v>382</v>
      </c>
      <c r="J71" s="141" t="s">
        <v>988</v>
      </c>
      <c r="K71" s="141" t="s">
        <v>388</v>
      </c>
      <c r="L71" s="141" t="s">
        <v>386</v>
      </c>
      <c r="M71" s="141" t="s">
        <v>973</v>
      </c>
      <c r="N71" s="141" t="s">
        <v>1125</v>
      </c>
      <c r="O71" s="141" t="s">
        <v>71</v>
      </c>
      <c r="P71" s="141" t="s">
        <v>44</v>
      </c>
    </row>
    <row r="72" spans="1:16">
      <c r="A72" s="141" t="s">
        <v>1129</v>
      </c>
      <c r="B72" s="141" t="s">
        <v>1130</v>
      </c>
      <c r="C72" s="141" t="s">
        <v>969</v>
      </c>
      <c r="D72" s="172">
        <v>57</v>
      </c>
      <c r="E72" s="141" t="s">
        <v>1131</v>
      </c>
      <c r="F72" s="141" t="s">
        <v>71</v>
      </c>
      <c r="G72" s="141" t="s">
        <v>1132</v>
      </c>
      <c r="H72" s="141" t="s">
        <v>320</v>
      </c>
      <c r="I72" s="141" t="s">
        <v>382</v>
      </c>
      <c r="J72" s="141" t="s">
        <v>988</v>
      </c>
      <c r="K72" s="141" t="s">
        <v>388</v>
      </c>
      <c r="L72" s="141" t="s">
        <v>539</v>
      </c>
      <c r="M72" s="141" t="s">
        <v>973</v>
      </c>
      <c r="N72" s="141" t="s">
        <v>1125</v>
      </c>
      <c r="O72" s="141" t="s">
        <v>71</v>
      </c>
      <c r="P72" s="141" t="s">
        <v>44</v>
      </c>
    </row>
    <row r="73" spans="1:16">
      <c r="A73" s="141" t="s">
        <v>1133</v>
      </c>
      <c r="B73" s="141" t="s">
        <v>1130</v>
      </c>
      <c r="C73" s="141" t="s">
        <v>976</v>
      </c>
      <c r="D73" s="172">
        <v>59</v>
      </c>
      <c r="E73" s="141" t="s">
        <v>1131</v>
      </c>
      <c r="F73" s="141" t="s">
        <v>71</v>
      </c>
      <c r="G73" s="141" t="s">
        <v>1132</v>
      </c>
      <c r="H73" s="141" t="s">
        <v>320</v>
      </c>
      <c r="I73" s="141" t="s">
        <v>382</v>
      </c>
      <c r="J73" s="141" t="s">
        <v>988</v>
      </c>
      <c r="K73" s="141" t="s">
        <v>388</v>
      </c>
      <c r="L73" s="141" t="s">
        <v>539</v>
      </c>
      <c r="M73" s="141" t="s">
        <v>973</v>
      </c>
      <c r="N73" s="141" t="s">
        <v>1125</v>
      </c>
      <c r="O73" s="141" t="s">
        <v>71</v>
      </c>
      <c r="P73" s="141" t="s">
        <v>44</v>
      </c>
    </row>
    <row r="74" spans="1:16">
      <c r="A74" s="141" t="s">
        <v>1134</v>
      </c>
      <c r="B74" s="141" t="s">
        <v>1135</v>
      </c>
      <c r="C74" s="141" t="s">
        <v>1032</v>
      </c>
      <c r="D74" s="172">
        <v>55</v>
      </c>
      <c r="E74" s="141" t="s">
        <v>1131</v>
      </c>
      <c r="F74" s="141" t="s">
        <v>161</v>
      </c>
      <c r="G74" s="141" t="s">
        <v>1132</v>
      </c>
      <c r="H74" s="141" t="s">
        <v>320</v>
      </c>
      <c r="I74" s="141" t="s">
        <v>382</v>
      </c>
      <c r="J74" s="141" t="s">
        <v>988</v>
      </c>
      <c r="K74" s="141" t="s">
        <v>388</v>
      </c>
      <c r="L74" s="141" t="s">
        <v>539</v>
      </c>
      <c r="M74" s="141" t="s">
        <v>973</v>
      </c>
      <c r="N74" s="141" t="s">
        <v>1136</v>
      </c>
      <c r="O74" s="141" t="s">
        <v>86</v>
      </c>
      <c r="P74" s="141" t="s">
        <v>44</v>
      </c>
    </row>
    <row r="75" spans="1:16">
      <c r="A75" s="141" t="s">
        <v>1137</v>
      </c>
      <c r="B75" s="141" t="s">
        <v>1135</v>
      </c>
      <c r="C75" s="141" t="s">
        <v>969</v>
      </c>
      <c r="D75" s="172">
        <v>57</v>
      </c>
      <c r="E75" s="141" t="s">
        <v>1131</v>
      </c>
      <c r="F75" s="141" t="s">
        <v>161</v>
      </c>
      <c r="G75" s="141" t="s">
        <v>1132</v>
      </c>
      <c r="H75" s="141" t="s">
        <v>320</v>
      </c>
      <c r="I75" s="141" t="s">
        <v>382</v>
      </c>
      <c r="J75" s="141" t="s">
        <v>988</v>
      </c>
      <c r="K75" s="141" t="s">
        <v>388</v>
      </c>
      <c r="L75" s="141" t="s">
        <v>539</v>
      </c>
      <c r="M75" s="141" t="s">
        <v>973</v>
      </c>
      <c r="N75" s="141" t="s">
        <v>1136</v>
      </c>
      <c r="O75" s="141" t="s">
        <v>86</v>
      </c>
      <c r="P75" s="141" t="s">
        <v>44</v>
      </c>
    </row>
    <row r="76" spans="1:16">
      <c r="A76" s="141" t="s">
        <v>1138</v>
      </c>
      <c r="B76" s="141" t="s">
        <v>1135</v>
      </c>
      <c r="C76" s="141" t="s">
        <v>976</v>
      </c>
      <c r="D76" s="172">
        <v>59</v>
      </c>
      <c r="E76" s="141" t="s">
        <v>1131</v>
      </c>
      <c r="F76" s="141" t="s">
        <v>161</v>
      </c>
      <c r="G76" s="141" t="s">
        <v>1132</v>
      </c>
      <c r="H76" s="141" t="s">
        <v>320</v>
      </c>
      <c r="I76" s="141" t="s">
        <v>382</v>
      </c>
      <c r="J76" s="141" t="s">
        <v>988</v>
      </c>
      <c r="K76" s="141" t="s">
        <v>388</v>
      </c>
      <c r="L76" s="141" t="s">
        <v>539</v>
      </c>
      <c r="M76" s="141" t="s">
        <v>973</v>
      </c>
      <c r="N76" s="141" t="s">
        <v>1136</v>
      </c>
      <c r="O76" s="141" t="s">
        <v>86</v>
      </c>
      <c r="P76" s="141" t="s">
        <v>44</v>
      </c>
    </row>
    <row r="77" spans="1:16">
      <c r="A77" s="141" t="s">
        <v>1139</v>
      </c>
      <c r="B77" s="141" t="s">
        <v>1135</v>
      </c>
      <c r="C77" s="141" t="s">
        <v>1030</v>
      </c>
      <c r="D77" s="172">
        <v>61</v>
      </c>
      <c r="E77" s="141" t="s">
        <v>1131</v>
      </c>
      <c r="F77" s="141" t="s">
        <v>161</v>
      </c>
      <c r="G77" s="141" t="s">
        <v>1132</v>
      </c>
      <c r="H77" s="141" t="s">
        <v>320</v>
      </c>
      <c r="I77" s="141" t="s">
        <v>382</v>
      </c>
      <c r="J77" s="141" t="s">
        <v>988</v>
      </c>
      <c r="K77" s="141" t="s">
        <v>388</v>
      </c>
      <c r="L77" s="141" t="s">
        <v>539</v>
      </c>
      <c r="M77" s="141" t="s">
        <v>973</v>
      </c>
      <c r="N77" s="141" t="s">
        <v>1136</v>
      </c>
      <c r="O77" s="141" t="s">
        <v>86</v>
      </c>
      <c r="P77" s="141" t="s">
        <v>44</v>
      </c>
    </row>
    <row r="78" spans="1:16">
      <c r="A78" s="141" t="s">
        <v>1140</v>
      </c>
      <c r="B78" s="141" t="s">
        <v>1141</v>
      </c>
      <c r="C78" s="141" t="s">
        <v>1032</v>
      </c>
      <c r="D78" s="172">
        <v>55</v>
      </c>
      <c r="E78" s="141" t="s">
        <v>1142</v>
      </c>
      <c r="F78" s="141" t="s">
        <v>53</v>
      </c>
      <c r="G78" s="141" t="s">
        <v>1132</v>
      </c>
      <c r="H78" s="141" t="s">
        <v>348</v>
      </c>
      <c r="I78" s="141" t="s">
        <v>382</v>
      </c>
      <c r="J78" s="141" t="s">
        <v>988</v>
      </c>
      <c r="K78" s="141" t="s">
        <v>388</v>
      </c>
      <c r="L78" s="141" t="s">
        <v>539</v>
      </c>
      <c r="M78" s="141" t="s">
        <v>973</v>
      </c>
      <c r="N78" s="141" t="s">
        <v>1005</v>
      </c>
      <c r="O78" s="141" t="s">
        <v>53</v>
      </c>
      <c r="P78" s="141" t="s">
        <v>44</v>
      </c>
    </row>
    <row r="79" spans="1:16">
      <c r="A79" s="141" t="s">
        <v>1143</v>
      </c>
      <c r="B79" s="141" t="s">
        <v>1141</v>
      </c>
      <c r="C79" s="141" t="s">
        <v>969</v>
      </c>
      <c r="D79" s="172">
        <v>57</v>
      </c>
      <c r="E79" s="141" t="s">
        <v>1142</v>
      </c>
      <c r="F79" s="141" t="s">
        <v>53</v>
      </c>
      <c r="G79" s="141" t="s">
        <v>1132</v>
      </c>
      <c r="H79" s="141" t="s">
        <v>348</v>
      </c>
      <c r="I79" s="141" t="s">
        <v>382</v>
      </c>
      <c r="J79" s="141" t="s">
        <v>988</v>
      </c>
      <c r="K79" s="141" t="s">
        <v>388</v>
      </c>
      <c r="L79" s="141" t="s">
        <v>539</v>
      </c>
      <c r="M79" s="141" t="s">
        <v>973</v>
      </c>
      <c r="N79" s="141" t="s">
        <v>1005</v>
      </c>
      <c r="O79" s="141" t="s">
        <v>53</v>
      </c>
      <c r="P79" s="141" t="s">
        <v>44</v>
      </c>
    </row>
    <row r="80" spans="1:16">
      <c r="A80" s="141" t="s">
        <v>1144</v>
      </c>
      <c r="B80" s="141" t="s">
        <v>1141</v>
      </c>
      <c r="C80" s="141" t="s">
        <v>976</v>
      </c>
      <c r="D80" s="172">
        <v>59</v>
      </c>
      <c r="E80" s="141" t="s">
        <v>1142</v>
      </c>
      <c r="F80" s="141" t="s">
        <v>53</v>
      </c>
      <c r="G80" s="141" t="s">
        <v>1132</v>
      </c>
      <c r="H80" s="141" t="s">
        <v>348</v>
      </c>
      <c r="I80" s="141" t="s">
        <v>382</v>
      </c>
      <c r="J80" s="141" t="s">
        <v>988</v>
      </c>
      <c r="K80" s="141" t="s">
        <v>388</v>
      </c>
      <c r="L80" s="141" t="s">
        <v>539</v>
      </c>
      <c r="M80" s="141" t="s">
        <v>973</v>
      </c>
      <c r="N80" s="141" t="s">
        <v>1005</v>
      </c>
      <c r="O80" s="141" t="s">
        <v>53</v>
      </c>
      <c r="P80" s="141" t="s">
        <v>44</v>
      </c>
    </row>
    <row r="81" spans="1:16">
      <c r="A81" s="141" t="s">
        <v>1145</v>
      </c>
      <c r="B81" s="141" t="s">
        <v>1141</v>
      </c>
      <c r="C81" s="141" t="s">
        <v>1030</v>
      </c>
      <c r="D81" s="172">
        <v>61</v>
      </c>
      <c r="E81" s="141" t="s">
        <v>1142</v>
      </c>
      <c r="F81" s="141" t="s">
        <v>53</v>
      </c>
      <c r="G81" s="141" t="s">
        <v>1132</v>
      </c>
      <c r="H81" s="141" t="s">
        <v>348</v>
      </c>
      <c r="I81" s="141" t="s">
        <v>382</v>
      </c>
      <c r="J81" s="141" t="s">
        <v>988</v>
      </c>
      <c r="K81" s="141" t="s">
        <v>388</v>
      </c>
      <c r="L81" s="141" t="s">
        <v>539</v>
      </c>
      <c r="M81" s="141" t="s">
        <v>973</v>
      </c>
      <c r="N81" s="141" t="s">
        <v>1005</v>
      </c>
      <c r="O81" s="141" t="s">
        <v>53</v>
      </c>
      <c r="P81" s="141" t="s">
        <v>44</v>
      </c>
    </row>
    <row r="82" spans="1:16">
      <c r="A82" s="141" t="s">
        <v>1146</v>
      </c>
      <c r="B82" s="141" t="s">
        <v>1147</v>
      </c>
      <c r="C82" s="141" t="s">
        <v>969</v>
      </c>
      <c r="D82" s="172">
        <v>57</v>
      </c>
      <c r="E82" s="141" t="s">
        <v>1142</v>
      </c>
      <c r="F82" s="141" t="s">
        <v>277</v>
      </c>
      <c r="G82" s="141" t="s">
        <v>1132</v>
      </c>
      <c r="H82" s="141" t="s">
        <v>348</v>
      </c>
      <c r="I82" s="141" t="s">
        <v>382</v>
      </c>
      <c r="J82" s="141" t="s">
        <v>988</v>
      </c>
      <c r="K82" s="141" t="s">
        <v>388</v>
      </c>
      <c r="L82" s="141" t="s">
        <v>539</v>
      </c>
      <c r="M82" s="141" t="s">
        <v>973</v>
      </c>
      <c r="N82" s="141" t="s">
        <v>1148</v>
      </c>
      <c r="O82" s="141" t="s">
        <v>83</v>
      </c>
      <c r="P82" s="141" t="s">
        <v>44</v>
      </c>
    </row>
    <row r="83" spans="1:16">
      <c r="A83" s="141" t="s">
        <v>1149</v>
      </c>
      <c r="B83" s="141" t="s">
        <v>1147</v>
      </c>
      <c r="C83" s="141" t="s">
        <v>976</v>
      </c>
      <c r="D83" s="172">
        <v>59</v>
      </c>
      <c r="E83" s="141" t="s">
        <v>1142</v>
      </c>
      <c r="F83" s="141" t="s">
        <v>277</v>
      </c>
      <c r="G83" s="141" t="s">
        <v>1132</v>
      </c>
      <c r="H83" s="141" t="s">
        <v>348</v>
      </c>
      <c r="I83" s="141" t="s">
        <v>382</v>
      </c>
      <c r="J83" s="141" t="s">
        <v>988</v>
      </c>
      <c r="K83" s="141" t="s">
        <v>388</v>
      </c>
      <c r="L83" s="141" t="s">
        <v>539</v>
      </c>
      <c r="M83" s="141" t="s">
        <v>973</v>
      </c>
      <c r="N83" s="141" t="s">
        <v>1148</v>
      </c>
      <c r="O83" s="141" t="s">
        <v>83</v>
      </c>
      <c r="P83" s="141" t="s">
        <v>44</v>
      </c>
    </row>
    <row r="84" spans="1:16">
      <c r="A84" s="141" t="s">
        <v>1150</v>
      </c>
      <c r="B84" s="141" t="s">
        <v>1151</v>
      </c>
      <c r="C84" s="141" t="s">
        <v>1032</v>
      </c>
      <c r="D84" s="172">
        <v>55</v>
      </c>
      <c r="E84" s="141" t="s">
        <v>1152</v>
      </c>
      <c r="F84" s="141" t="s">
        <v>83</v>
      </c>
      <c r="G84" s="141" t="s">
        <v>1132</v>
      </c>
      <c r="H84" s="141" t="s">
        <v>318</v>
      </c>
      <c r="I84" s="141" t="s">
        <v>382</v>
      </c>
      <c r="J84" s="141" t="s">
        <v>988</v>
      </c>
      <c r="K84" s="141" t="s">
        <v>388</v>
      </c>
      <c r="L84" s="141" t="s">
        <v>539</v>
      </c>
      <c r="M84" s="141" t="s">
        <v>973</v>
      </c>
      <c r="N84" s="141" t="s">
        <v>1119</v>
      </c>
      <c r="O84" s="141" t="s">
        <v>83</v>
      </c>
      <c r="P84" s="141" t="s">
        <v>44</v>
      </c>
    </row>
    <row r="85" spans="1:16">
      <c r="A85" s="141" t="s">
        <v>1153</v>
      </c>
      <c r="B85" s="141" t="s">
        <v>1151</v>
      </c>
      <c r="C85" s="141" t="s">
        <v>969</v>
      </c>
      <c r="D85" s="172">
        <v>57</v>
      </c>
      <c r="E85" s="141" t="s">
        <v>1152</v>
      </c>
      <c r="F85" s="141" t="s">
        <v>83</v>
      </c>
      <c r="G85" s="141" t="s">
        <v>1132</v>
      </c>
      <c r="H85" s="141" t="s">
        <v>318</v>
      </c>
      <c r="I85" s="141" t="s">
        <v>382</v>
      </c>
      <c r="J85" s="141" t="s">
        <v>988</v>
      </c>
      <c r="K85" s="141" t="s">
        <v>388</v>
      </c>
      <c r="L85" s="141" t="s">
        <v>539</v>
      </c>
      <c r="M85" s="141" t="s">
        <v>973</v>
      </c>
      <c r="N85" s="141" t="s">
        <v>1119</v>
      </c>
      <c r="O85" s="141" t="s">
        <v>83</v>
      </c>
      <c r="P85" s="141" t="s">
        <v>44</v>
      </c>
    </row>
    <row r="86" spans="1:16">
      <c r="A86" s="141" t="s">
        <v>1154</v>
      </c>
      <c r="B86" s="141" t="s">
        <v>1151</v>
      </c>
      <c r="C86" s="141" t="s">
        <v>976</v>
      </c>
      <c r="D86" s="172">
        <v>59</v>
      </c>
      <c r="E86" s="141" t="s">
        <v>1152</v>
      </c>
      <c r="F86" s="141" t="s">
        <v>83</v>
      </c>
      <c r="G86" s="141" t="s">
        <v>1132</v>
      </c>
      <c r="H86" s="141" t="s">
        <v>318</v>
      </c>
      <c r="I86" s="141" t="s">
        <v>382</v>
      </c>
      <c r="J86" s="141" t="s">
        <v>988</v>
      </c>
      <c r="K86" s="141" t="s">
        <v>388</v>
      </c>
      <c r="L86" s="141" t="s">
        <v>539</v>
      </c>
      <c r="M86" s="141" t="s">
        <v>973</v>
      </c>
      <c r="N86" s="141" t="s">
        <v>1119</v>
      </c>
      <c r="O86" s="141" t="s">
        <v>83</v>
      </c>
      <c r="P86" s="141" t="s">
        <v>44</v>
      </c>
    </row>
    <row r="87" spans="1:16">
      <c r="A87" s="141" t="s">
        <v>1155</v>
      </c>
      <c r="B87" s="141" t="s">
        <v>1151</v>
      </c>
      <c r="C87" s="141" t="s">
        <v>1030</v>
      </c>
      <c r="D87" s="172">
        <v>61</v>
      </c>
      <c r="E87" s="141" t="s">
        <v>1152</v>
      </c>
      <c r="F87" s="141" t="s">
        <v>83</v>
      </c>
      <c r="G87" s="141" t="s">
        <v>1132</v>
      </c>
      <c r="H87" s="141" t="s">
        <v>318</v>
      </c>
      <c r="I87" s="141" t="s">
        <v>382</v>
      </c>
      <c r="J87" s="141" t="s">
        <v>988</v>
      </c>
      <c r="K87" s="141" t="s">
        <v>388</v>
      </c>
      <c r="L87" s="141" t="s">
        <v>539</v>
      </c>
      <c r="M87" s="141" t="s">
        <v>973</v>
      </c>
      <c r="N87" s="141" t="s">
        <v>1119</v>
      </c>
      <c r="O87" s="141" t="s">
        <v>83</v>
      </c>
      <c r="P87" s="141" t="s">
        <v>44</v>
      </c>
    </row>
    <row r="88" spans="1:16">
      <c r="A88" s="141" t="s">
        <v>1156</v>
      </c>
      <c r="B88" s="141" t="s">
        <v>1157</v>
      </c>
      <c r="C88" s="141" t="s">
        <v>969</v>
      </c>
      <c r="D88" s="172">
        <v>57</v>
      </c>
      <c r="E88" s="141" t="s">
        <v>1158</v>
      </c>
      <c r="F88" s="141" t="s">
        <v>245</v>
      </c>
      <c r="G88" s="141" t="s">
        <v>1159</v>
      </c>
      <c r="H88" s="141" t="s">
        <v>324</v>
      </c>
      <c r="I88" s="141" t="s">
        <v>382</v>
      </c>
      <c r="J88" s="141" t="s">
        <v>988</v>
      </c>
      <c r="K88" s="141" t="s">
        <v>388</v>
      </c>
      <c r="L88" s="141" t="s">
        <v>539</v>
      </c>
      <c r="M88" s="141" t="s">
        <v>973</v>
      </c>
      <c r="N88" s="141" t="s">
        <v>1160</v>
      </c>
      <c r="O88" s="141" t="s">
        <v>83</v>
      </c>
      <c r="P88" s="141" t="s">
        <v>44</v>
      </c>
    </row>
    <row r="89" spans="1:16">
      <c r="A89" s="141" t="s">
        <v>1161</v>
      </c>
      <c r="B89" s="141" t="s">
        <v>1157</v>
      </c>
      <c r="C89" s="141" t="s">
        <v>976</v>
      </c>
      <c r="D89" s="172">
        <v>59</v>
      </c>
      <c r="E89" s="141" t="s">
        <v>1158</v>
      </c>
      <c r="F89" s="141" t="s">
        <v>245</v>
      </c>
      <c r="G89" s="141" t="s">
        <v>1159</v>
      </c>
      <c r="H89" s="141" t="s">
        <v>324</v>
      </c>
      <c r="I89" s="141" t="s">
        <v>382</v>
      </c>
      <c r="J89" s="141" t="s">
        <v>988</v>
      </c>
      <c r="K89" s="141" t="s">
        <v>388</v>
      </c>
      <c r="L89" s="141" t="s">
        <v>539</v>
      </c>
      <c r="M89" s="141" t="s">
        <v>973</v>
      </c>
      <c r="N89" s="141" t="s">
        <v>1160</v>
      </c>
      <c r="O89" s="141" t="s">
        <v>83</v>
      </c>
      <c r="P89" s="141" t="s">
        <v>44</v>
      </c>
    </row>
    <row r="90" spans="1:16">
      <c r="A90" s="141" t="s">
        <v>1162</v>
      </c>
      <c r="B90" s="141" t="s">
        <v>1163</v>
      </c>
      <c r="C90" s="141" t="s">
        <v>969</v>
      </c>
      <c r="D90" s="172">
        <v>57</v>
      </c>
      <c r="E90" s="141" t="s">
        <v>1164</v>
      </c>
      <c r="F90" s="141" t="s">
        <v>277</v>
      </c>
      <c r="G90" s="141" t="s">
        <v>1165</v>
      </c>
      <c r="H90" s="141" t="s">
        <v>336</v>
      </c>
      <c r="I90" s="141" t="s">
        <v>382</v>
      </c>
      <c r="J90" s="141" t="s">
        <v>988</v>
      </c>
      <c r="K90" s="141" t="s">
        <v>389</v>
      </c>
      <c r="L90" s="141" t="s">
        <v>386</v>
      </c>
      <c r="M90" s="141" t="s">
        <v>973</v>
      </c>
      <c r="N90" s="141" t="s">
        <v>1148</v>
      </c>
      <c r="O90" s="141" t="s">
        <v>83</v>
      </c>
      <c r="P90" s="141" t="s">
        <v>44</v>
      </c>
    </row>
    <row r="91" spans="1:16">
      <c r="A91" s="141" t="s">
        <v>1166</v>
      </c>
      <c r="B91" s="141" t="s">
        <v>1163</v>
      </c>
      <c r="C91" s="141" t="s">
        <v>976</v>
      </c>
      <c r="D91" s="172">
        <v>59</v>
      </c>
      <c r="E91" s="141" t="s">
        <v>1164</v>
      </c>
      <c r="F91" s="141" t="s">
        <v>277</v>
      </c>
      <c r="G91" s="141" t="s">
        <v>1165</v>
      </c>
      <c r="H91" s="141" t="s">
        <v>336</v>
      </c>
      <c r="I91" s="141" t="s">
        <v>382</v>
      </c>
      <c r="J91" s="141" t="s">
        <v>988</v>
      </c>
      <c r="K91" s="141" t="s">
        <v>389</v>
      </c>
      <c r="L91" s="141" t="s">
        <v>386</v>
      </c>
      <c r="M91" s="141" t="s">
        <v>973</v>
      </c>
      <c r="N91" s="141" t="s">
        <v>1148</v>
      </c>
      <c r="O91" s="141" t="s">
        <v>83</v>
      </c>
      <c r="P91" s="141" t="s">
        <v>44</v>
      </c>
    </row>
    <row r="92" spans="1:16">
      <c r="A92" s="141" t="s">
        <v>1167</v>
      </c>
      <c r="B92" s="141" t="s">
        <v>1168</v>
      </c>
      <c r="C92" s="141" t="s">
        <v>1053</v>
      </c>
      <c r="D92" s="172">
        <v>56</v>
      </c>
      <c r="E92" s="141" t="s">
        <v>1169</v>
      </c>
      <c r="F92" s="141" t="s">
        <v>53</v>
      </c>
      <c r="G92" s="141" t="s">
        <v>1170</v>
      </c>
      <c r="H92" s="141" t="s">
        <v>327</v>
      </c>
      <c r="I92" s="141" t="s">
        <v>382</v>
      </c>
      <c r="J92" s="141" t="s">
        <v>988</v>
      </c>
      <c r="K92" s="141" t="s">
        <v>388</v>
      </c>
      <c r="L92" s="141" t="s">
        <v>533</v>
      </c>
      <c r="M92" s="141" t="s">
        <v>973</v>
      </c>
      <c r="N92" s="141" t="s">
        <v>1005</v>
      </c>
      <c r="O92" s="141" t="s">
        <v>53</v>
      </c>
      <c r="P92" s="141" t="s">
        <v>44</v>
      </c>
    </row>
    <row r="93" spans="1:16">
      <c r="A93" s="141" t="s">
        <v>1171</v>
      </c>
      <c r="B93" s="141" t="s">
        <v>1168</v>
      </c>
      <c r="C93" s="141" t="s">
        <v>1058</v>
      </c>
      <c r="D93" s="172">
        <v>60</v>
      </c>
      <c r="E93" s="141" t="s">
        <v>1169</v>
      </c>
      <c r="F93" s="141" t="s">
        <v>53</v>
      </c>
      <c r="G93" s="141" t="s">
        <v>1170</v>
      </c>
      <c r="H93" s="141" t="s">
        <v>327</v>
      </c>
      <c r="I93" s="141" t="s">
        <v>382</v>
      </c>
      <c r="J93" s="141" t="s">
        <v>988</v>
      </c>
      <c r="K93" s="141" t="s">
        <v>388</v>
      </c>
      <c r="L93" s="141" t="s">
        <v>533</v>
      </c>
      <c r="M93" s="141" t="s">
        <v>973</v>
      </c>
      <c r="N93" s="141" t="s">
        <v>1005</v>
      </c>
      <c r="O93" s="141" t="s">
        <v>53</v>
      </c>
      <c r="P93" s="141" t="s">
        <v>44</v>
      </c>
    </row>
    <row r="94" spans="1:16">
      <c r="A94" s="141" t="s">
        <v>1172</v>
      </c>
      <c r="B94" s="141" t="s">
        <v>1173</v>
      </c>
      <c r="C94" s="141" t="s">
        <v>1053</v>
      </c>
      <c r="D94" s="172">
        <v>56</v>
      </c>
      <c r="E94" s="141" t="s">
        <v>1169</v>
      </c>
      <c r="F94" s="141" t="s">
        <v>55</v>
      </c>
      <c r="G94" s="141" t="s">
        <v>1170</v>
      </c>
      <c r="H94" s="141" t="s">
        <v>327</v>
      </c>
      <c r="I94" s="141" t="s">
        <v>382</v>
      </c>
      <c r="J94" s="141" t="s">
        <v>988</v>
      </c>
      <c r="K94" s="141" t="s">
        <v>388</v>
      </c>
      <c r="L94" s="141" t="s">
        <v>533</v>
      </c>
      <c r="M94" s="141" t="s">
        <v>973</v>
      </c>
      <c r="N94" s="141" t="s">
        <v>1017</v>
      </c>
      <c r="O94" s="141" t="s">
        <v>71</v>
      </c>
      <c r="P94" s="141" t="s">
        <v>44</v>
      </c>
    </row>
    <row r="95" spans="1:16">
      <c r="A95" s="141" t="s">
        <v>1174</v>
      </c>
      <c r="B95" s="141" t="s">
        <v>1173</v>
      </c>
      <c r="C95" s="141" t="s">
        <v>1058</v>
      </c>
      <c r="D95" s="172">
        <v>60</v>
      </c>
      <c r="E95" s="141" t="s">
        <v>1169</v>
      </c>
      <c r="F95" s="141" t="s">
        <v>55</v>
      </c>
      <c r="G95" s="141" t="s">
        <v>1170</v>
      </c>
      <c r="H95" s="141" t="s">
        <v>327</v>
      </c>
      <c r="I95" s="141" t="s">
        <v>382</v>
      </c>
      <c r="J95" s="141" t="s">
        <v>988</v>
      </c>
      <c r="K95" s="141" t="s">
        <v>388</v>
      </c>
      <c r="L95" s="141" t="s">
        <v>533</v>
      </c>
      <c r="M95" s="141" t="s">
        <v>973</v>
      </c>
      <c r="N95" s="141" t="s">
        <v>1017</v>
      </c>
      <c r="O95" s="141" t="s">
        <v>71</v>
      </c>
      <c r="P95" s="141" t="s">
        <v>44</v>
      </c>
    </row>
    <row r="96" spans="1:16">
      <c r="A96" s="141" t="s">
        <v>1175</v>
      </c>
      <c r="B96" s="141" t="s">
        <v>1176</v>
      </c>
      <c r="C96" s="141" t="s">
        <v>1058</v>
      </c>
      <c r="D96" s="172">
        <v>60</v>
      </c>
      <c r="E96" s="141" t="s">
        <v>1177</v>
      </c>
      <c r="F96" s="141" t="s">
        <v>55</v>
      </c>
      <c r="G96" s="141" t="s">
        <v>1178</v>
      </c>
      <c r="H96" s="141" t="s">
        <v>327</v>
      </c>
      <c r="I96" s="141" t="s">
        <v>382</v>
      </c>
      <c r="J96" s="141" t="s">
        <v>988</v>
      </c>
      <c r="K96" s="141" t="s">
        <v>388</v>
      </c>
      <c r="L96" s="141" t="s">
        <v>533</v>
      </c>
      <c r="M96" s="141" t="s">
        <v>973</v>
      </c>
      <c r="N96" s="141" t="s">
        <v>1179</v>
      </c>
      <c r="O96" s="141" t="s">
        <v>71</v>
      </c>
      <c r="P96" s="141" t="s">
        <v>44</v>
      </c>
    </row>
    <row r="97" spans="1:16">
      <c r="A97" s="141" t="s">
        <v>1180</v>
      </c>
      <c r="B97" s="141" t="s">
        <v>1176</v>
      </c>
      <c r="C97" s="141" t="s">
        <v>1053</v>
      </c>
      <c r="D97" s="172">
        <v>56</v>
      </c>
      <c r="E97" s="141" t="s">
        <v>1177</v>
      </c>
      <c r="F97" s="141" t="s">
        <v>55</v>
      </c>
      <c r="G97" s="141" t="s">
        <v>1178</v>
      </c>
      <c r="H97" s="141" t="s">
        <v>327</v>
      </c>
      <c r="I97" s="141" t="s">
        <v>382</v>
      </c>
      <c r="J97" s="141" t="s">
        <v>988</v>
      </c>
      <c r="K97" s="141" t="s">
        <v>388</v>
      </c>
      <c r="L97" s="141" t="s">
        <v>533</v>
      </c>
      <c r="M97" s="141" t="s">
        <v>973</v>
      </c>
      <c r="N97" s="141" t="s">
        <v>1179</v>
      </c>
      <c r="O97" s="141" t="s">
        <v>71</v>
      </c>
      <c r="P97" s="141" t="s">
        <v>44</v>
      </c>
    </row>
    <row r="98" spans="1:16">
      <c r="A98" s="141" t="s">
        <v>1181</v>
      </c>
      <c r="B98" s="141" t="s">
        <v>1182</v>
      </c>
      <c r="C98" s="141" t="s">
        <v>1053</v>
      </c>
      <c r="D98" s="172">
        <v>56</v>
      </c>
      <c r="E98" s="141" t="s">
        <v>1177</v>
      </c>
      <c r="F98" s="141" t="s">
        <v>83</v>
      </c>
      <c r="G98" s="141" t="s">
        <v>1183</v>
      </c>
      <c r="H98" s="141" t="s">
        <v>327</v>
      </c>
      <c r="I98" s="141" t="s">
        <v>382</v>
      </c>
      <c r="J98" s="141" t="s">
        <v>988</v>
      </c>
      <c r="K98" s="141" t="s">
        <v>388</v>
      </c>
      <c r="L98" s="141" t="s">
        <v>533</v>
      </c>
      <c r="M98" s="141" t="s">
        <v>973</v>
      </c>
      <c r="N98" s="141" t="s">
        <v>1184</v>
      </c>
      <c r="O98" s="141" t="s">
        <v>83</v>
      </c>
      <c r="P98" s="141" t="s">
        <v>44</v>
      </c>
    </row>
    <row r="99" spans="1:16">
      <c r="A99" s="141" t="s">
        <v>1185</v>
      </c>
      <c r="B99" s="141" t="s">
        <v>1182</v>
      </c>
      <c r="C99" s="141" t="s">
        <v>1058</v>
      </c>
      <c r="D99" s="172">
        <v>60</v>
      </c>
      <c r="E99" s="141" t="s">
        <v>1177</v>
      </c>
      <c r="F99" s="141" t="s">
        <v>83</v>
      </c>
      <c r="G99" s="141" t="s">
        <v>1183</v>
      </c>
      <c r="H99" s="141" t="s">
        <v>327</v>
      </c>
      <c r="I99" s="141" t="s">
        <v>382</v>
      </c>
      <c r="J99" s="141" t="s">
        <v>988</v>
      </c>
      <c r="K99" s="141" t="s">
        <v>388</v>
      </c>
      <c r="L99" s="141" t="s">
        <v>533</v>
      </c>
      <c r="M99" s="141" t="s">
        <v>973</v>
      </c>
      <c r="N99" s="141" t="s">
        <v>1184</v>
      </c>
      <c r="O99" s="141" t="s">
        <v>83</v>
      </c>
      <c r="P99" s="141" t="s">
        <v>44</v>
      </c>
    </row>
    <row r="100" spans="1:16">
      <c r="A100" s="141" t="s">
        <v>1186</v>
      </c>
      <c r="B100" s="141" t="s">
        <v>1187</v>
      </c>
      <c r="C100" s="141" t="s">
        <v>1032</v>
      </c>
      <c r="D100" s="172">
        <v>55</v>
      </c>
      <c r="E100" s="141" t="s">
        <v>1104</v>
      </c>
      <c r="F100" s="141" t="s">
        <v>53</v>
      </c>
      <c r="G100" s="141" t="s">
        <v>1105</v>
      </c>
      <c r="H100" s="141" t="s">
        <v>334</v>
      </c>
      <c r="I100" s="141" t="s">
        <v>382</v>
      </c>
      <c r="J100" s="141" t="s">
        <v>988</v>
      </c>
      <c r="K100" s="141" t="s">
        <v>388</v>
      </c>
      <c r="L100" s="141" t="s">
        <v>386</v>
      </c>
      <c r="M100" s="141" t="s">
        <v>808</v>
      </c>
      <c r="N100" s="141" t="s">
        <v>1005</v>
      </c>
      <c r="O100" s="141" t="s">
        <v>53</v>
      </c>
      <c r="P100" s="141" t="s">
        <v>44</v>
      </c>
    </row>
    <row r="101" spans="1:16">
      <c r="A101" s="141" t="s">
        <v>1188</v>
      </c>
      <c r="B101" s="141" t="s">
        <v>1187</v>
      </c>
      <c r="C101" s="141" t="s">
        <v>969</v>
      </c>
      <c r="D101" s="172">
        <v>57</v>
      </c>
      <c r="E101" s="141" t="s">
        <v>1104</v>
      </c>
      <c r="F101" s="141" t="s">
        <v>53</v>
      </c>
      <c r="G101" s="141" t="s">
        <v>1105</v>
      </c>
      <c r="H101" s="141" t="s">
        <v>334</v>
      </c>
      <c r="I101" s="141" t="s">
        <v>382</v>
      </c>
      <c r="J101" s="141" t="s">
        <v>988</v>
      </c>
      <c r="K101" s="141" t="s">
        <v>388</v>
      </c>
      <c r="L101" s="141" t="s">
        <v>386</v>
      </c>
      <c r="M101" s="141" t="s">
        <v>808</v>
      </c>
      <c r="N101" s="141" t="s">
        <v>1005</v>
      </c>
      <c r="O101" s="141" t="s">
        <v>53</v>
      </c>
      <c r="P101" s="141" t="s">
        <v>44</v>
      </c>
    </row>
    <row r="102" spans="1:16">
      <c r="A102" s="141" t="s">
        <v>1189</v>
      </c>
      <c r="B102" s="141" t="s">
        <v>1187</v>
      </c>
      <c r="C102" s="141" t="s">
        <v>976</v>
      </c>
      <c r="D102" s="172">
        <v>59</v>
      </c>
      <c r="E102" s="141" t="s">
        <v>1104</v>
      </c>
      <c r="F102" s="141" t="s">
        <v>53</v>
      </c>
      <c r="G102" s="141" t="s">
        <v>1105</v>
      </c>
      <c r="H102" s="141" t="s">
        <v>334</v>
      </c>
      <c r="I102" s="141" t="s">
        <v>382</v>
      </c>
      <c r="J102" s="141" t="s">
        <v>988</v>
      </c>
      <c r="K102" s="141" t="s">
        <v>388</v>
      </c>
      <c r="L102" s="141" t="s">
        <v>386</v>
      </c>
      <c r="M102" s="141" t="s">
        <v>808</v>
      </c>
      <c r="N102" s="141" t="s">
        <v>1005</v>
      </c>
      <c r="O102" s="141" t="s">
        <v>53</v>
      </c>
      <c r="P102" s="141" t="s">
        <v>44</v>
      </c>
    </row>
    <row r="103" spans="1:16">
      <c r="A103" s="141" t="s">
        <v>1190</v>
      </c>
      <c r="B103" s="141" t="s">
        <v>1187</v>
      </c>
      <c r="C103" s="141" t="s">
        <v>1030</v>
      </c>
      <c r="D103" s="172">
        <v>61</v>
      </c>
      <c r="E103" s="141" t="s">
        <v>1104</v>
      </c>
      <c r="F103" s="141" t="s">
        <v>53</v>
      </c>
      <c r="G103" s="141" t="s">
        <v>1105</v>
      </c>
      <c r="H103" s="141" t="s">
        <v>334</v>
      </c>
      <c r="I103" s="141" t="s">
        <v>382</v>
      </c>
      <c r="J103" s="141" t="s">
        <v>988</v>
      </c>
      <c r="K103" s="141" t="s">
        <v>388</v>
      </c>
      <c r="L103" s="141" t="s">
        <v>386</v>
      </c>
      <c r="M103" s="141" t="s">
        <v>808</v>
      </c>
      <c r="N103" s="141" t="s">
        <v>1005</v>
      </c>
      <c r="O103" s="141" t="s">
        <v>53</v>
      </c>
      <c r="P103" s="141" t="s">
        <v>44</v>
      </c>
    </row>
    <row r="104" spans="1:16">
      <c r="A104" s="141" t="s">
        <v>1191</v>
      </c>
      <c r="B104" s="141" t="s">
        <v>1192</v>
      </c>
      <c r="C104" s="141" t="s">
        <v>1032</v>
      </c>
      <c r="D104" s="172">
        <v>55</v>
      </c>
      <c r="E104" s="141" t="s">
        <v>1193</v>
      </c>
      <c r="F104" s="141" t="s">
        <v>55</v>
      </c>
      <c r="G104" s="141" t="s">
        <v>1194</v>
      </c>
      <c r="H104" s="141" t="s">
        <v>348</v>
      </c>
      <c r="I104" s="141" t="s">
        <v>382</v>
      </c>
      <c r="J104" s="141" t="s">
        <v>988</v>
      </c>
      <c r="K104" s="141" t="s">
        <v>388</v>
      </c>
      <c r="L104" s="141" t="s">
        <v>539</v>
      </c>
      <c r="M104" s="141" t="s">
        <v>973</v>
      </c>
      <c r="N104" s="141" t="s">
        <v>1017</v>
      </c>
      <c r="O104" s="141" t="s">
        <v>71</v>
      </c>
      <c r="P104" s="141" t="s">
        <v>44</v>
      </c>
    </row>
    <row r="105" spans="1:16">
      <c r="A105" s="141" t="s">
        <v>1195</v>
      </c>
      <c r="B105" s="141" t="s">
        <v>1192</v>
      </c>
      <c r="C105" s="141" t="s">
        <v>976</v>
      </c>
      <c r="D105" s="172">
        <v>59</v>
      </c>
      <c r="E105" s="141" t="s">
        <v>1193</v>
      </c>
      <c r="F105" s="141" t="s">
        <v>55</v>
      </c>
      <c r="G105" s="141" t="s">
        <v>1194</v>
      </c>
      <c r="H105" s="141" t="s">
        <v>348</v>
      </c>
      <c r="I105" s="141" t="s">
        <v>382</v>
      </c>
      <c r="J105" s="141" t="s">
        <v>988</v>
      </c>
      <c r="K105" s="141" t="s">
        <v>388</v>
      </c>
      <c r="L105" s="141" t="s">
        <v>539</v>
      </c>
      <c r="M105" s="141" t="s">
        <v>973</v>
      </c>
      <c r="N105" s="141" t="s">
        <v>1017</v>
      </c>
      <c r="O105" s="141" t="s">
        <v>71</v>
      </c>
      <c r="P105" s="141" t="s">
        <v>44</v>
      </c>
    </row>
    <row r="106" spans="1:16">
      <c r="A106" s="141" t="s">
        <v>1196</v>
      </c>
      <c r="B106" s="141" t="s">
        <v>1192</v>
      </c>
      <c r="C106" s="141" t="s">
        <v>969</v>
      </c>
      <c r="D106" s="172">
        <v>57</v>
      </c>
      <c r="E106" s="141" t="s">
        <v>1193</v>
      </c>
      <c r="F106" s="141" t="s">
        <v>55</v>
      </c>
      <c r="G106" s="141" t="s">
        <v>1194</v>
      </c>
      <c r="H106" s="141" t="s">
        <v>348</v>
      </c>
      <c r="I106" s="141" t="s">
        <v>382</v>
      </c>
      <c r="J106" s="141" t="s">
        <v>988</v>
      </c>
      <c r="K106" s="141" t="s">
        <v>388</v>
      </c>
      <c r="L106" s="141" t="s">
        <v>539</v>
      </c>
      <c r="M106" s="141" t="s">
        <v>973</v>
      </c>
      <c r="N106" s="141" t="s">
        <v>1017</v>
      </c>
      <c r="O106" s="141" t="s">
        <v>71</v>
      </c>
      <c r="P106" s="141" t="s">
        <v>44</v>
      </c>
    </row>
    <row r="107" spans="1:16">
      <c r="A107" s="141" t="s">
        <v>1197</v>
      </c>
      <c r="B107" s="141" t="s">
        <v>1192</v>
      </c>
      <c r="C107" s="141" t="s">
        <v>1030</v>
      </c>
      <c r="D107" s="172">
        <v>61</v>
      </c>
      <c r="E107" s="141" t="s">
        <v>1193</v>
      </c>
      <c r="F107" s="141" t="s">
        <v>55</v>
      </c>
      <c r="G107" s="141" t="s">
        <v>1194</v>
      </c>
      <c r="H107" s="141" t="s">
        <v>348</v>
      </c>
      <c r="I107" s="141" t="s">
        <v>382</v>
      </c>
      <c r="J107" s="141" t="s">
        <v>988</v>
      </c>
      <c r="K107" s="141" t="s">
        <v>388</v>
      </c>
      <c r="L107" s="141" t="s">
        <v>539</v>
      </c>
      <c r="M107" s="141" t="s">
        <v>973</v>
      </c>
      <c r="N107" s="141" t="s">
        <v>1017</v>
      </c>
      <c r="O107" s="141" t="s">
        <v>71</v>
      </c>
      <c r="P107" s="141" t="s">
        <v>44</v>
      </c>
    </row>
    <row r="108" spans="1:16">
      <c r="A108" s="141" t="s">
        <v>1198</v>
      </c>
      <c r="B108" s="141" t="s">
        <v>1199</v>
      </c>
      <c r="C108" s="141" t="s">
        <v>1032</v>
      </c>
      <c r="D108" s="172">
        <v>55</v>
      </c>
      <c r="E108" s="141" t="s">
        <v>1152</v>
      </c>
      <c r="F108" s="141" t="s">
        <v>53</v>
      </c>
      <c r="G108" s="141" t="s">
        <v>1132</v>
      </c>
      <c r="H108" s="141" t="s">
        <v>318</v>
      </c>
      <c r="I108" s="141" t="s">
        <v>382</v>
      </c>
      <c r="J108" s="141" t="s">
        <v>988</v>
      </c>
      <c r="K108" s="141" t="s">
        <v>388</v>
      </c>
      <c r="L108" s="141" t="s">
        <v>539</v>
      </c>
      <c r="M108" s="141" t="s">
        <v>973</v>
      </c>
      <c r="N108" s="141" t="s">
        <v>1005</v>
      </c>
      <c r="O108" s="141" t="s">
        <v>53</v>
      </c>
      <c r="P108" s="141" t="s">
        <v>44</v>
      </c>
    </row>
    <row r="109" spans="1:16">
      <c r="A109" s="141" t="s">
        <v>1200</v>
      </c>
      <c r="B109" s="141" t="s">
        <v>1199</v>
      </c>
      <c r="C109" s="141" t="s">
        <v>969</v>
      </c>
      <c r="D109" s="172">
        <v>57</v>
      </c>
      <c r="E109" s="141" t="s">
        <v>1152</v>
      </c>
      <c r="F109" s="141" t="s">
        <v>53</v>
      </c>
      <c r="G109" s="141" t="s">
        <v>1132</v>
      </c>
      <c r="H109" s="141" t="s">
        <v>318</v>
      </c>
      <c r="I109" s="141" t="s">
        <v>382</v>
      </c>
      <c r="J109" s="141" t="s">
        <v>988</v>
      </c>
      <c r="K109" s="141" t="s">
        <v>388</v>
      </c>
      <c r="L109" s="141" t="s">
        <v>539</v>
      </c>
      <c r="M109" s="141" t="s">
        <v>973</v>
      </c>
      <c r="N109" s="141" t="s">
        <v>1005</v>
      </c>
      <c r="O109" s="141" t="s">
        <v>53</v>
      </c>
      <c r="P109" s="141" t="s">
        <v>44</v>
      </c>
    </row>
    <row r="110" spans="1:16">
      <c r="A110" s="141" t="s">
        <v>1201</v>
      </c>
      <c r="B110" s="141" t="s">
        <v>1199</v>
      </c>
      <c r="C110" s="141" t="s">
        <v>976</v>
      </c>
      <c r="D110" s="172">
        <v>59</v>
      </c>
      <c r="E110" s="141" t="s">
        <v>1152</v>
      </c>
      <c r="F110" s="141" t="s">
        <v>53</v>
      </c>
      <c r="G110" s="141" t="s">
        <v>1132</v>
      </c>
      <c r="H110" s="141" t="s">
        <v>318</v>
      </c>
      <c r="I110" s="141" t="s">
        <v>382</v>
      </c>
      <c r="J110" s="141" t="s">
        <v>988</v>
      </c>
      <c r="K110" s="141" t="s">
        <v>388</v>
      </c>
      <c r="L110" s="141" t="s">
        <v>539</v>
      </c>
      <c r="M110" s="141" t="s">
        <v>973</v>
      </c>
      <c r="N110" s="141" t="s">
        <v>1005</v>
      </c>
      <c r="O110" s="141" t="s">
        <v>53</v>
      </c>
      <c r="P110" s="141" t="s">
        <v>44</v>
      </c>
    </row>
    <row r="111" spans="1:16">
      <c r="A111" s="141" t="s">
        <v>1202</v>
      </c>
      <c r="B111" s="141" t="s">
        <v>1199</v>
      </c>
      <c r="C111" s="141" t="s">
        <v>1030</v>
      </c>
      <c r="D111" s="172">
        <v>61</v>
      </c>
      <c r="E111" s="141" t="s">
        <v>1152</v>
      </c>
      <c r="F111" s="141" t="s">
        <v>53</v>
      </c>
      <c r="G111" s="141" t="s">
        <v>1132</v>
      </c>
      <c r="H111" s="141" t="s">
        <v>318</v>
      </c>
      <c r="I111" s="141" t="s">
        <v>382</v>
      </c>
      <c r="J111" s="141" t="s">
        <v>988</v>
      </c>
      <c r="K111" s="141" t="s">
        <v>388</v>
      </c>
      <c r="L111" s="141" t="s">
        <v>539</v>
      </c>
      <c r="M111" s="141" t="s">
        <v>973</v>
      </c>
      <c r="N111" s="141" t="s">
        <v>1005</v>
      </c>
      <c r="O111" s="141" t="s">
        <v>53</v>
      </c>
      <c r="P111" s="141" t="s">
        <v>44</v>
      </c>
    </row>
    <row r="112" spans="1:16">
      <c r="A112" s="141" t="s">
        <v>1203</v>
      </c>
      <c r="B112" s="141" t="s">
        <v>1204</v>
      </c>
      <c r="C112" s="141" t="s">
        <v>1032</v>
      </c>
      <c r="D112" s="172">
        <v>55</v>
      </c>
      <c r="E112" s="141" t="s">
        <v>1152</v>
      </c>
      <c r="F112" s="141" t="s">
        <v>60</v>
      </c>
      <c r="G112" s="141" t="s">
        <v>1132</v>
      </c>
      <c r="H112" s="141" t="s">
        <v>318</v>
      </c>
      <c r="I112" s="141" t="s">
        <v>382</v>
      </c>
      <c r="J112" s="141" t="s">
        <v>988</v>
      </c>
      <c r="K112" s="141" t="s">
        <v>388</v>
      </c>
      <c r="L112" s="141" t="s">
        <v>539</v>
      </c>
      <c r="M112" s="141" t="s">
        <v>973</v>
      </c>
      <c r="N112" s="141" t="s">
        <v>1205</v>
      </c>
      <c r="O112" s="141" t="s">
        <v>60</v>
      </c>
      <c r="P112" s="141" t="s">
        <v>44</v>
      </c>
    </row>
    <row r="113" spans="1:16">
      <c r="A113" s="141" t="s">
        <v>1206</v>
      </c>
      <c r="B113" s="141" t="s">
        <v>1204</v>
      </c>
      <c r="C113" s="141" t="s">
        <v>969</v>
      </c>
      <c r="D113" s="172">
        <v>57</v>
      </c>
      <c r="E113" s="141" t="s">
        <v>1152</v>
      </c>
      <c r="F113" s="141" t="s">
        <v>60</v>
      </c>
      <c r="G113" s="141" t="s">
        <v>1132</v>
      </c>
      <c r="H113" s="141" t="s">
        <v>318</v>
      </c>
      <c r="I113" s="141" t="s">
        <v>382</v>
      </c>
      <c r="J113" s="141" t="s">
        <v>988</v>
      </c>
      <c r="K113" s="141" t="s">
        <v>388</v>
      </c>
      <c r="L113" s="141" t="s">
        <v>539</v>
      </c>
      <c r="M113" s="141" t="s">
        <v>973</v>
      </c>
      <c r="N113" s="141" t="s">
        <v>1205</v>
      </c>
      <c r="O113" s="141" t="s">
        <v>60</v>
      </c>
      <c r="P113" s="141" t="s">
        <v>44</v>
      </c>
    </row>
    <row r="114" spans="1:16">
      <c r="A114" s="141" t="s">
        <v>1207</v>
      </c>
      <c r="B114" s="141" t="s">
        <v>1204</v>
      </c>
      <c r="C114" s="141" t="s">
        <v>976</v>
      </c>
      <c r="D114" s="172">
        <v>59</v>
      </c>
      <c r="E114" s="141" t="s">
        <v>1152</v>
      </c>
      <c r="F114" s="141" t="s">
        <v>60</v>
      </c>
      <c r="G114" s="141" t="s">
        <v>1132</v>
      </c>
      <c r="H114" s="141" t="s">
        <v>318</v>
      </c>
      <c r="I114" s="141" t="s">
        <v>382</v>
      </c>
      <c r="J114" s="141" t="s">
        <v>988</v>
      </c>
      <c r="K114" s="141" t="s">
        <v>388</v>
      </c>
      <c r="L114" s="141" t="s">
        <v>539</v>
      </c>
      <c r="M114" s="141" t="s">
        <v>973</v>
      </c>
      <c r="N114" s="141" t="s">
        <v>1205</v>
      </c>
      <c r="O114" s="141" t="s">
        <v>60</v>
      </c>
      <c r="P114" s="141" t="s">
        <v>44</v>
      </c>
    </row>
    <row r="115" spans="1:16">
      <c r="A115" s="141" t="s">
        <v>1208</v>
      </c>
      <c r="B115" s="141" t="s">
        <v>1204</v>
      </c>
      <c r="C115" s="141" t="s">
        <v>1030</v>
      </c>
      <c r="D115" s="172">
        <v>61</v>
      </c>
      <c r="E115" s="141" t="s">
        <v>1152</v>
      </c>
      <c r="F115" s="141" t="s">
        <v>60</v>
      </c>
      <c r="G115" s="141" t="s">
        <v>1132</v>
      </c>
      <c r="H115" s="141" t="s">
        <v>318</v>
      </c>
      <c r="I115" s="141" t="s">
        <v>382</v>
      </c>
      <c r="J115" s="141" t="s">
        <v>988</v>
      </c>
      <c r="K115" s="141" t="s">
        <v>388</v>
      </c>
      <c r="L115" s="141" t="s">
        <v>539</v>
      </c>
      <c r="M115" s="141" t="s">
        <v>973</v>
      </c>
      <c r="N115" s="141" t="s">
        <v>1205</v>
      </c>
      <c r="O115" s="141" t="s">
        <v>60</v>
      </c>
      <c r="P115" s="141" t="s">
        <v>44</v>
      </c>
    </row>
    <row r="116" spans="1:16">
      <c r="A116" s="141" t="s">
        <v>1209</v>
      </c>
      <c r="B116" s="141" t="s">
        <v>1210</v>
      </c>
      <c r="C116" s="141" t="s">
        <v>969</v>
      </c>
      <c r="D116" s="172">
        <v>57</v>
      </c>
      <c r="E116" s="141" t="s">
        <v>1158</v>
      </c>
      <c r="F116" s="141" t="s">
        <v>301</v>
      </c>
      <c r="G116" s="141" t="s">
        <v>1159</v>
      </c>
      <c r="H116" s="141" t="s">
        <v>324</v>
      </c>
      <c r="I116" s="141" t="s">
        <v>382</v>
      </c>
      <c r="J116" s="141" t="s">
        <v>988</v>
      </c>
      <c r="K116" s="141" t="s">
        <v>388</v>
      </c>
      <c r="L116" s="141" t="s">
        <v>539</v>
      </c>
      <c r="M116" s="141" t="s">
        <v>973</v>
      </c>
      <c r="N116" s="141" t="s">
        <v>1211</v>
      </c>
      <c r="O116" s="141" t="s">
        <v>53</v>
      </c>
      <c r="P116" s="141" t="s">
        <v>44</v>
      </c>
    </row>
    <row r="117" spans="1:16">
      <c r="A117" s="141" t="s">
        <v>1212</v>
      </c>
      <c r="B117" s="141" t="s">
        <v>1210</v>
      </c>
      <c r="C117" s="141" t="s">
        <v>976</v>
      </c>
      <c r="D117" s="172">
        <v>59</v>
      </c>
      <c r="E117" s="141" t="s">
        <v>1158</v>
      </c>
      <c r="F117" s="141" t="s">
        <v>301</v>
      </c>
      <c r="G117" s="141" t="s">
        <v>1159</v>
      </c>
      <c r="H117" s="141" t="s">
        <v>324</v>
      </c>
      <c r="I117" s="141" t="s">
        <v>382</v>
      </c>
      <c r="J117" s="141" t="s">
        <v>988</v>
      </c>
      <c r="K117" s="141" t="s">
        <v>388</v>
      </c>
      <c r="L117" s="141" t="s">
        <v>539</v>
      </c>
      <c r="M117" s="141" t="s">
        <v>973</v>
      </c>
      <c r="N117" s="141" t="s">
        <v>1211</v>
      </c>
      <c r="O117" s="141" t="s">
        <v>53</v>
      </c>
      <c r="P117" s="141" t="s">
        <v>44</v>
      </c>
    </row>
    <row r="118" spans="1:16">
      <c r="A118" s="141" t="s">
        <v>1213</v>
      </c>
      <c r="B118" s="141" t="s">
        <v>1214</v>
      </c>
      <c r="C118" s="141" t="s">
        <v>909</v>
      </c>
      <c r="D118" s="142">
        <v>0</v>
      </c>
      <c r="E118" s="141" t="s">
        <v>1215</v>
      </c>
      <c r="F118" s="141" t="s">
        <v>53</v>
      </c>
      <c r="G118" s="141" t="s">
        <v>1105</v>
      </c>
      <c r="H118" s="141" t="s">
        <v>340</v>
      </c>
      <c r="I118" s="141" t="s">
        <v>390</v>
      </c>
      <c r="J118" s="141" t="s">
        <v>988</v>
      </c>
      <c r="K118" s="141" t="s">
        <v>389</v>
      </c>
      <c r="L118" s="141" t="s">
        <v>539</v>
      </c>
      <c r="M118" s="141" t="s">
        <v>973</v>
      </c>
      <c r="N118" s="141" t="s">
        <v>1005</v>
      </c>
      <c r="O118" s="141" t="s">
        <v>53</v>
      </c>
      <c r="P118" s="141" t="s">
        <v>44</v>
      </c>
    </row>
    <row r="119" spans="1:16">
      <c r="A119" s="141" t="s">
        <v>1216</v>
      </c>
      <c r="B119" s="141" t="s">
        <v>1217</v>
      </c>
      <c r="C119" s="141" t="s">
        <v>909</v>
      </c>
      <c r="D119" s="142">
        <v>0</v>
      </c>
      <c r="E119" s="141" t="s">
        <v>1215</v>
      </c>
      <c r="F119" s="141" t="s">
        <v>55</v>
      </c>
      <c r="G119" s="141" t="s">
        <v>1105</v>
      </c>
      <c r="H119" s="141" t="s">
        <v>340</v>
      </c>
      <c r="I119" s="141" t="s">
        <v>390</v>
      </c>
      <c r="J119" s="141" t="s">
        <v>988</v>
      </c>
      <c r="K119" s="141" t="s">
        <v>389</v>
      </c>
      <c r="L119" s="141" t="s">
        <v>539</v>
      </c>
      <c r="M119" s="141" t="s">
        <v>973</v>
      </c>
      <c r="N119" s="141" t="s">
        <v>1106</v>
      </c>
      <c r="O119" s="141" t="s">
        <v>71</v>
      </c>
      <c r="P119" s="141" t="s">
        <v>44</v>
      </c>
    </row>
    <row r="120" spans="1:16">
      <c r="A120" s="141" t="s">
        <v>1218</v>
      </c>
      <c r="B120" s="141" t="s">
        <v>1219</v>
      </c>
      <c r="C120" s="141" t="s">
        <v>909</v>
      </c>
      <c r="D120" s="142">
        <v>0</v>
      </c>
      <c r="E120" s="141" t="s">
        <v>1220</v>
      </c>
      <c r="F120" s="141" t="s">
        <v>53</v>
      </c>
      <c r="G120" s="141" t="s">
        <v>1221</v>
      </c>
      <c r="H120" s="141" t="s">
        <v>340</v>
      </c>
      <c r="I120" s="141" t="s">
        <v>390</v>
      </c>
      <c r="J120" s="141" t="s">
        <v>972</v>
      </c>
      <c r="K120" s="141" t="s">
        <v>389</v>
      </c>
      <c r="L120" s="141" t="s">
        <v>386</v>
      </c>
      <c r="M120" s="141" t="s">
        <v>973</v>
      </c>
      <c r="N120" s="141" t="s">
        <v>1005</v>
      </c>
      <c r="O120" s="141" t="s">
        <v>53</v>
      </c>
      <c r="P120" s="141" t="s">
        <v>46</v>
      </c>
    </row>
    <row r="121" spans="1:16">
      <c r="A121" s="141" t="s">
        <v>1222</v>
      </c>
      <c r="B121" s="141" t="s">
        <v>1223</v>
      </c>
      <c r="C121" s="141" t="s">
        <v>909</v>
      </c>
      <c r="D121" s="142">
        <v>0</v>
      </c>
      <c r="E121" s="141" t="s">
        <v>1224</v>
      </c>
      <c r="F121" s="141" t="s">
        <v>53</v>
      </c>
      <c r="G121" s="141" t="s">
        <v>1221</v>
      </c>
      <c r="H121" s="141" t="s">
        <v>340</v>
      </c>
      <c r="I121" s="141" t="s">
        <v>390</v>
      </c>
      <c r="J121" s="141" t="s">
        <v>972</v>
      </c>
      <c r="K121" s="141" t="s">
        <v>389</v>
      </c>
      <c r="L121" s="141" t="s">
        <v>539</v>
      </c>
      <c r="M121" s="141" t="s">
        <v>973</v>
      </c>
      <c r="N121" s="141" t="s">
        <v>1005</v>
      </c>
      <c r="O121" s="141" t="s">
        <v>53</v>
      </c>
      <c r="P121" s="141" t="s">
        <v>46</v>
      </c>
    </row>
    <row r="122" spans="1:16">
      <c r="A122" s="141" t="s">
        <v>1225</v>
      </c>
      <c r="B122" s="141" t="s">
        <v>1226</v>
      </c>
      <c r="C122" s="141" t="s">
        <v>909</v>
      </c>
      <c r="D122" s="142">
        <v>0</v>
      </c>
      <c r="E122" s="141" t="s">
        <v>1224</v>
      </c>
      <c r="F122" s="141" t="s">
        <v>55</v>
      </c>
      <c r="G122" s="141" t="s">
        <v>1221</v>
      </c>
      <c r="H122" s="141" t="s">
        <v>340</v>
      </c>
      <c r="I122" s="141" t="s">
        <v>390</v>
      </c>
      <c r="J122" s="141" t="s">
        <v>972</v>
      </c>
      <c r="K122" s="141" t="s">
        <v>389</v>
      </c>
      <c r="L122" s="141" t="s">
        <v>539</v>
      </c>
      <c r="M122" s="141" t="s">
        <v>973</v>
      </c>
      <c r="N122" s="141" t="s">
        <v>1017</v>
      </c>
      <c r="O122" s="141" t="s">
        <v>71</v>
      </c>
      <c r="P122" s="141" t="s">
        <v>46</v>
      </c>
    </row>
    <row r="123" spans="1:16">
      <c r="A123" s="141" t="s">
        <v>1227</v>
      </c>
      <c r="B123" s="141" t="s">
        <v>1228</v>
      </c>
      <c r="C123" s="141" t="s">
        <v>909</v>
      </c>
      <c r="D123" s="142">
        <v>0</v>
      </c>
      <c r="E123" s="141" t="s">
        <v>1224</v>
      </c>
      <c r="F123" s="141" t="s">
        <v>83</v>
      </c>
      <c r="G123" s="141" t="s">
        <v>1221</v>
      </c>
      <c r="H123" s="141" t="s">
        <v>340</v>
      </c>
      <c r="I123" s="141" t="s">
        <v>390</v>
      </c>
      <c r="J123" s="141" t="s">
        <v>972</v>
      </c>
      <c r="K123" s="141" t="s">
        <v>389</v>
      </c>
      <c r="L123" s="141" t="s">
        <v>539</v>
      </c>
      <c r="M123" s="141" t="s">
        <v>973</v>
      </c>
      <c r="N123" s="141" t="s">
        <v>1229</v>
      </c>
      <c r="O123" s="141" t="s">
        <v>83</v>
      </c>
      <c r="P123" s="141" t="s">
        <v>46</v>
      </c>
    </row>
    <row r="124" spans="1:16">
      <c r="A124" s="141" t="s">
        <v>1230</v>
      </c>
      <c r="B124" s="141" t="s">
        <v>1231</v>
      </c>
      <c r="C124" s="141" t="s">
        <v>1058</v>
      </c>
      <c r="D124" s="172">
        <v>60</v>
      </c>
      <c r="E124" s="141" t="s">
        <v>1232</v>
      </c>
      <c r="F124" s="141" t="s">
        <v>55</v>
      </c>
      <c r="G124" s="141" t="s">
        <v>1233</v>
      </c>
      <c r="H124" s="141" t="s">
        <v>327</v>
      </c>
      <c r="I124" s="141" t="s">
        <v>382</v>
      </c>
      <c r="J124" s="141" t="s">
        <v>988</v>
      </c>
      <c r="K124" s="141" t="s">
        <v>388</v>
      </c>
      <c r="L124" s="141" t="s">
        <v>386</v>
      </c>
      <c r="M124" s="141" t="s">
        <v>973</v>
      </c>
      <c r="N124" s="141" t="s">
        <v>1017</v>
      </c>
      <c r="O124" s="141" t="s">
        <v>71</v>
      </c>
      <c r="P124" s="141" t="s">
        <v>43</v>
      </c>
    </row>
    <row r="125" spans="1:16">
      <c r="A125" s="141" t="s">
        <v>1234</v>
      </c>
      <c r="B125" s="141" t="s">
        <v>1231</v>
      </c>
      <c r="C125" s="141" t="s">
        <v>909</v>
      </c>
      <c r="D125" s="142">
        <v>0</v>
      </c>
      <c r="E125" s="141" t="s">
        <v>1232</v>
      </c>
      <c r="F125" s="141" t="s">
        <v>55</v>
      </c>
      <c r="G125" s="141" t="s">
        <v>1233</v>
      </c>
      <c r="H125" s="141" t="s">
        <v>327</v>
      </c>
      <c r="I125" s="141" t="s">
        <v>382</v>
      </c>
      <c r="J125" s="141" t="s">
        <v>988</v>
      </c>
      <c r="K125" s="141" t="s">
        <v>388</v>
      </c>
      <c r="L125" s="141" t="s">
        <v>386</v>
      </c>
      <c r="M125" s="141" t="s">
        <v>973</v>
      </c>
      <c r="N125" s="141" t="s">
        <v>1017</v>
      </c>
      <c r="O125" s="141" t="s">
        <v>71</v>
      </c>
      <c r="P125" s="141" t="s">
        <v>43</v>
      </c>
    </row>
    <row r="126" spans="1:16">
      <c r="A126" s="141" t="s">
        <v>1235</v>
      </c>
      <c r="B126" s="141" t="s">
        <v>1236</v>
      </c>
      <c r="C126" s="141" t="s">
        <v>909</v>
      </c>
      <c r="D126" s="142">
        <v>0</v>
      </c>
      <c r="E126" s="141" t="s">
        <v>1232</v>
      </c>
      <c r="F126" s="141" t="s">
        <v>63</v>
      </c>
      <c r="G126" s="141" t="s">
        <v>910</v>
      </c>
      <c r="H126" s="141" t="s">
        <v>327</v>
      </c>
      <c r="I126" s="141" t="s">
        <v>382</v>
      </c>
      <c r="J126" s="141" t="s">
        <v>988</v>
      </c>
      <c r="K126" s="141" t="s">
        <v>388</v>
      </c>
      <c r="L126" s="141" t="s">
        <v>386</v>
      </c>
      <c r="M126" s="141" t="s">
        <v>973</v>
      </c>
      <c r="N126" s="141" t="s">
        <v>1085</v>
      </c>
      <c r="O126" s="141" t="s">
        <v>63</v>
      </c>
      <c r="P126" s="141" t="s">
        <v>43</v>
      </c>
    </row>
    <row r="127" spans="1:16">
      <c r="A127" s="141" t="s">
        <v>1237</v>
      </c>
      <c r="B127" s="141" t="s">
        <v>1238</v>
      </c>
      <c r="C127" s="141" t="s">
        <v>909</v>
      </c>
      <c r="D127" s="142">
        <v>0</v>
      </c>
      <c r="E127" s="141" t="s">
        <v>1232</v>
      </c>
      <c r="F127" s="141" t="s">
        <v>60</v>
      </c>
      <c r="G127" s="141" t="s">
        <v>910</v>
      </c>
      <c r="H127" s="141" t="s">
        <v>327</v>
      </c>
      <c r="I127" s="141" t="s">
        <v>382</v>
      </c>
      <c r="J127" s="141" t="s">
        <v>988</v>
      </c>
      <c r="K127" s="141" t="s">
        <v>388</v>
      </c>
      <c r="L127" s="141" t="s">
        <v>386</v>
      </c>
      <c r="M127" s="141" t="s">
        <v>973</v>
      </c>
      <c r="N127" s="141" t="s">
        <v>1112</v>
      </c>
      <c r="O127" s="141" t="s">
        <v>60</v>
      </c>
      <c r="P127" s="141" t="s">
        <v>43</v>
      </c>
    </row>
    <row r="128" spans="1:16">
      <c r="A128" s="141" t="s">
        <v>1239</v>
      </c>
      <c r="B128" s="141" t="s">
        <v>1240</v>
      </c>
      <c r="C128" s="141" t="s">
        <v>909</v>
      </c>
      <c r="D128" s="142">
        <v>0</v>
      </c>
      <c r="E128" s="141" t="s">
        <v>1232</v>
      </c>
      <c r="F128" s="141" t="s">
        <v>53</v>
      </c>
      <c r="G128" s="141" t="s">
        <v>1233</v>
      </c>
      <c r="H128" s="141" t="s">
        <v>327</v>
      </c>
      <c r="I128" s="141" t="s">
        <v>382</v>
      </c>
      <c r="J128" s="141" t="s">
        <v>988</v>
      </c>
      <c r="K128" s="141" t="s">
        <v>388</v>
      </c>
      <c r="L128" s="141" t="s">
        <v>386</v>
      </c>
      <c r="M128" s="141" t="s">
        <v>973</v>
      </c>
      <c r="N128" s="141" t="s">
        <v>1005</v>
      </c>
      <c r="O128" s="141" t="s">
        <v>53</v>
      </c>
      <c r="P128" s="141" t="s">
        <v>43</v>
      </c>
    </row>
    <row r="129" spans="1:16">
      <c r="A129" s="141" t="s">
        <v>1241</v>
      </c>
      <c r="B129" s="141" t="s">
        <v>1242</v>
      </c>
      <c r="C129" s="141" t="s">
        <v>1032</v>
      </c>
      <c r="D129" s="172">
        <v>55</v>
      </c>
      <c r="E129" s="141" t="s">
        <v>1243</v>
      </c>
      <c r="F129" s="141" t="s">
        <v>53</v>
      </c>
      <c r="G129" s="141" t="s">
        <v>910</v>
      </c>
      <c r="H129" s="141" t="s">
        <v>318</v>
      </c>
      <c r="I129" s="141" t="s">
        <v>382</v>
      </c>
      <c r="J129" s="141" t="s">
        <v>988</v>
      </c>
      <c r="K129" s="141" t="s">
        <v>384</v>
      </c>
      <c r="L129" s="141" t="s">
        <v>386</v>
      </c>
      <c r="M129" s="141" t="s">
        <v>973</v>
      </c>
      <c r="N129" s="141" t="s">
        <v>1005</v>
      </c>
      <c r="O129" s="141" t="s">
        <v>53</v>
      </c>
      <c r="P129" s="141" t="s">
        <v>1244</v>
      </c>
    </row>
    <row r="130" spans="1:16">
      <c r="A130" s="141" t="s">
        <v>1245</v>
      </c>
      <c r="B130" s="141" t="s">
        <v>1242</v>
      </c>
      <c r="C130" s="141" t="s">
        <v>969</v>
      </c>
      <c r="D130" s="172">
        <v>57</v>
      </c>
      <c r="E130" s="141" t="s">
        <v>1243</v>
      </c>
      <c r="F130" s="141" t="s">
        <v>53</v>
      </c>
      <c r="G130" s="141" t="s">
        <v>910</v>
      </c>
      <c r="H130" s="141" t="s">
        <v>318</v>
      </c>
      <c r="I130" s="141" t="s">
        <v>382</v>
      </c>
      <c r="J130" s="141" t="s">
        <v>988</v>
      </c>
      <c r="K130" s="141" t="s">
        <v>384</v>
      </c>
      <c r="L130" s="141" t="s">
        <v>386</v>
      </c>
      <c r="M130" s="141" t="s">
        <v>973</v>
      </c>
      <c r="N130" s="141" t="s">
        <v>1005</v>
      </c>
      <c r="O130" s="141" t="s">
        <v>53</v>
      </c>
      <c r="P130" s="141" t="s">
        <v>1244</v>
      </c>
    </row>
    <row r="131" spans="1:16">
      <c r="A131" s="141" t="s">
        <v>1246</v>
      </c>
      <c r="B131" s="141" t="s">
        <v>1242</v>
      </c>
      <c r="C131" s="141" t="s">
        <v>976</v>
      </c>
      <c r="D131" s="172">
        <v>59</v>
      </c>
      <c r="E131" s="141" t="s">
        <v>1243</v>
      </c>
      <c r="F131" s="141" t="s">
        <v>53</v>
      </c>
      <c r="G131" s="141" t="s">
        <v>910</v>
      </c>
      <c r="H131" s="141" t="s">
        <v>318</v>
      </c>
      <c r="I131" s="141" t="s">
        <v>382</v>
      </c>
      <c r="J131" s="141" t="s">
        <v>988</v>
      </c>
      <c r="K131" s="141" t="s">
        <v>384</v>
      </c>
      <c r="L131" s="141" t="s">
        <v>386</v>
      </c>
      <c r="M131" s="141" t="s">
        <v>973</v>
      </c>
      <c r="N131" s="141" t="s">
        <v>1005</v>
      </c>
      <c r="O131" s="141" t="s">
        <v>53</v>
      </c>
      <c r="P131" s="141" t="s">
        <v>1244</v>
      </c>
    </row>
    <row r="132" spans="1:16">
      <c r="A132" s="141" t="s">
        <v>1247</v>
      </c>
      <c r="B132" s="141" t="s">
        <v>1242</v>
      </c>
      <c r="C132" s="141" t="s">
        <v>1030</v>
      </c>
      <c r="D132" s="172">
        <v>61</v>
      </c>
      <c r="E132" s="141" t="s">
        <v>1243</v>
      </c>
      <c r="F132" s="141" t="s">
        <v>53</v>
      </c>
      <c r="G132" s="141" t="s">
        <v>910</v>
      </c>
      <c r="H132" s="141" t="s">
        <v>318</v>
      </c>
      <c r="I132" s="141" t="s">
        <v>382</v>
      </c>
      <c r="J132" s="141" t="s">
        <v>988</v>
      </c>
      <c r="K132" s="141" t="s">
        <v>384</v>
      </c>
      <c r="L132" s="141" t="s">
        <v>386</v>
      </c>
      <c r="M132" s="141" t="s">
        <v>973</v>
      </c>
      <c r="N132" s="141" t="s">
        <v>1005</v>
      </c>
      <c r="O132" s="141" t="s">
        <v>53</v>
      </c>
      <c r="P132" s="141" t="s">
        <v>1244</v>
      </c>
    </row>
    <row r="133" spans="1:16">
      <c r="A133" s="141" t="s">
        <v>1248</v>
      </c>
      <c r="B133" s="141" t="s">
        <v>1249</v>
      </c>
      <c r="C133" s="141" t="s">
        <v>1032</v>
      </c>
      <c r="D133" s="172">
        <v>55</v>
      </c>
      <c r="E133" s="141" t="s">
        <v>1243</v>
      </c>
      <c r="F133" s="141" t="s">
        <v>55</v>
      </c>
      <c r="G133" s="141" t="s">
        <v>910</v>
      </c>
      <c r="H133" s="141" t="s">
        <v>318</v>
      </c>
      <c r="I133" s="141" t="s">
        <v>382</v>
      </c>
      <c r="J133" s="141" t="s">
        <v>988</v>
      </c>
      <c r="K133" s="141" t="s">
        <v>388</v>
      </c>
      <c r="L133" s="141" t="s">
        <v>386</v>
      </c>
      <c r="M133" s="141" t="s">
        <v>973</v>
      </c>
      <c r="N133" s="141" t="s">
        <v>1017</v>
      </c>
      <c r="O133" s="141" t="s">
        <v>71</v>
      </c>
      <c r="P133" s="141" t="s">
        <v>1244</v>
      </c>
    </row>
    <row r="134" spans="1:16">
      <c r="A134" s="141" t="s">
        <v>1250</v>
      </c>
      <c r="B134" s="141" t="s">
        <v>1249</v>
      </c>
      <c r="C134" s="141" t="s">
        <v>969</v>
      </c>
      <c r="D134" s="172">
        <v>57</v>
      </c>
      <c r="E134" s="141" t="s">
        <v>1243</v>
      </c>
      <c r="F134" s="141" t="s">
        <v>55</v>
      </c>
      <c r="G134" s="141" t="s">
        <v>910</v>
      </c>
      <c r="H134" s="141" t="s">
        <v>318</v>
      </c>
      <c r="I134" s="141" t="s">
        <v>382</v>
      </c>
      <c r="J134" s="141" t="s">
        <v>988</v>
      </c>
      <c r="K134" s="141" t="s">
        <v>388</v>
      </c>
      <c r="L134" s="141" t="s">
        <v>386</v>
      </c>
      <c r="M134" s="141" t="s">
        <v>973</v>
      </c>
      <c r="N134" s="141" t="s">
        <v>1017</v>
      </c>
      <c r="O134" s="141" t="s">
        <v>71</v>
      </c>
      <c r="P134" s="141" t="s">
        <v>1244</v>
      </c>
    </row>
    <row r="135" spans="1:16">
      <c r="A135" s="141" t="s">
        <v>1251</v>
      </c>
      <c r="B135" s="141" t="s">
        <v>1249</v>
      </c>
      <c r="C135" s="141" t="s">
        <v>976</v>
      </c>
      <c r="D135" s="172">
        <v>59</v>
      </c>
      <c r="E135" s="141" t="s">
        <v>1243</v>
      </c>
      <c r="F135" s="141" t="s">
        <v>55</v>
      </c>
      <c r="G135" s="141" t="s">
        <v>910</v>
      </c>
      <c r="H135" s="141" t="s">
        <v>318</v>
      </c>
      <c r="I135" s="141" t="s">
        <v>382</v>
      </c>
      <c r="J135" s="141" t="s">
        <v>988</v>
      </c>
      <c r="K135" s="141" t="s">
        <v>388</v>
      </c>
      <c r="L135" s="141" t="s">
        <v>386</v>
      </c>
      <c r="M135" s="141" t="s">
        <v>973</v>
      </c>
      <c r="N135" s="141" t="s">
        <v>1017</v>
      </c>
      <c r="O135" s="141" t="s">
        <v>71</v>
      </c>
      <c r="P135" s="141" t="s">
        <v>1244</v>
      </c>
    </row>
    <row r="136" spans="1:16">
      <c r="A136" s="141" t="s">
        <v>1252</v>
      </c>
      <c r="B136" s="141" t="s">
        <v>1249</v>
      </c>
      <c r="C136" s="141" t="s">
        <v>1030</v>
      </c>
      <c r="D136" s="172">
        <v>61</v>
      </c>
      <c r="E136" s="141" t="s">
        <v>1243</v>
      </c>
      <c r="F136" s="141" t="s">
        <v>55</v>
      </c>
      <c r="G136" s="141" t="s">
        <v>910</v>
      </c>
      <c r="H136" s="141" t="s">
        <v>318</v>
      </c>
      <c r="I136" s="141" t="s">
        <v>382</v>
      </c>
      <c r="J136" s="141" t="s">
        <v>988</v>
      </c>
      <c r="K136" s="141" t="s">
        <v>388</v>
      </c>
      <c r="L136" s="141" t="s">
        <v>386</v>
      </c>
      <c r="M136" s="141" t="s">
        <v>973</v>
      </c>
      <c r="N136" s="141" t="s">
        <v>1017</v>
      </c>
      <c r="O136" s="141" t="s">
        <v>71</v>
      </c>
      <c r="P136" s="141" t="s">
        <v>1244</v>
      </c>
    </row>
    <row r="137" spans="1:16">
      <c r="A137" s="141" t="s">
        <v>1253</v>
      </c>
      <c r="B137" s="141" t="s">
        <v>1254</v>
      </c>
      <c r="C137" s="141" t="s">
        <v>1032</v>
      </c>
      <c r="D137" s="172">
        <v>55</v>
      </c>
      <c r="E137" s="141" t="s">
        <v>1104</v>
      </c>
      <c r="F137" s="141" t="s">
        <v>78</v>
      </c>
      <c r="G137" s="141" t="s">
        <v>1105</v>
      </c>
      <c r="H137" s="141" t="s">
        <v>334</v>
      </c>
      <c r="I137" s="141" t="s">
        <v>387</v>
      </c>
      <c r="J137" s="141" t="s">
        <v>988</v>
      </c>
      <c r="K137" s="141" t="s">
        <v>388</v>
      </c>
      <c r="L137" s="141" t="s">
        <v>386</v>
      </c>
      <c r="M137" s="141" t="s">
        <v>973</v>
      </c>
      <c r="N137" s="141" t="s">
        <v>1255</v>
      </c>
      <c r="O137" s="141" t="s">
        <v>78</v>
      </c>
      <c r="P137" s="141" t="s">
        <v>44</v>
      </c>
    </row>
    <row r="138" spans="1:16">
      <c r="A138" s="141" t="s">
        <v>1256</v>
      </c>
      <c r="B138" s="141" t="s">
        <v>1254</v>
      </c>
      <c r="C138" s="141" t="s">
        <v>969</v>
      </c>
      <c r="D138" s="172">
        <v>57</v>
      </c>
      <c r="E138" s="141" t="s">
        <v>1104</v>
      </c>
      <c r="F138" s="141" t="s">
        <v>78</v>
      </c>
      <c r="G138" s="141" t="s">
        <v>1105</v>
      </c>
      <c r="H138" s="141" t="s">
        <v>334</v>
      </c>
      <c r="I138" s="141" t="s">
        <v>387</v>
      </c>
      <c r="J138" s="141" t="s">
        <v>988</v>
      </c>
      <c r="K138" s="141" t="s">
        <v>388</v>
      </c>
      <c r="L138" s="141" t="s">
        <v>386</v>
      </c>
      <c r="M138" s="141" t="s">
        <v>973</v>
      </c>
      <c r="N138" s="141" t="s">
        <v>1255</v>
      </c>
      <c r="O138" s="141" t="s">
        <v>78</v>
      </c>
      <c r="P138" s="141" t="s">
        <v>44</v>
      </c>
    </row>
    <row r="139" spans="1:16">
      <c r="A139" s="141" t="s">
        <v>1257</v>
      </c>
      <c r="B139" s="141" t="s">
        <v>1254</v>
      </c>
      <c r="C139" s="141" t="s">
        <v>976</v>
      </c>
      <c r="D139" s="172">
        <v>59</v>
      </c>
      <c r="E139" s="141" t="s">
        <v>1104</v>
      </c>
      <c r="F139" s="141" t="s">
        <v>78</v>
      </c>
      <c r="G139" s="141" t="s">
        <v>1105</v>
      </c>
      <c r="H139" s="141" t="s">
        <v>334</v>
      </c>
      <c r="I139" s="141" t="s">
        <v>387</v>
      </c>
      <c r="J139" s="141" t="s">
        <v>988</v>
      </c>
      <c r="K139" s="141" t="s">
        <v>388</v>
      </c>
      <c r="L139" s="141" t="s">
        <v>386</v>
      </c>
      <c r="M139" s="141" t="s">
        <v>973</v>
      </c>
      <c r="N139" s="141" t="s">
        <v>1255</v>
      </c>
      <c r="O139" s="141" t="s">
        <v>78</v>
      </c>
      <c r="P139" s="141" t="s">
        <v>44</v>
      </c>
    </row>
    <row r="140" spans="1:16">
      <c r="A140" s="141" t="s">
        <v>1258</v>
      </c>
      <c r="B140" s="141" t="s">
        <v>1254</v>
      </c>
      <c r="C140" s="141" t="s">
        <v>1030</v>
      </c>
      <c r="D140" s="172">
        <v>61</v>
      </c>
      <c r="E140" s="141" t="s">
        <v>1104</v>
      </c>
      <c r="F140" s="141" t="s">
        <v>78</v>
      </c>
      <c r="G140" s="141" t="s">
        <v>1105</v>
      </c>
      <c r="H140" s="141" t="s">
        <v>334</v>
      </c>
      <c r="I140" s="141" t="s">
        <v>387</v>
      </c>
      <c r="J140" s="141" t="s">
        <v>988</v>
      </c>
      <c r="K140" s="141" t="s">
        <v>388</v>
      </c>
      <c r="L140" s="141" t="s">
        <v>386</v>
      </c>
      <c r="M140" s="141" t="s">
        <v>973</v>
      </c>
      <c r="N140" s="141" t="s">
        <v>1255</v>
      </c>
      <c r="O140" s="141" t="s">
        <v>78</v>
      </c>
      <c r="P140" s="141" t="s">
        <v>44</v>
      </c>
    </row>
    <row r="141" spans="1:16">
      <c r="A141" s="141" t="s">
        <v>1259</v>
      </c>
      <c r="B141" s="141" t="s">
        <v>1260</v>
      </c>
      <c r="C141" s="141" t="s">
        <v>909</v>
      </c>
      <c r="D141" s="142">
        <v>0</v>
      </c>
      <c r="E141" s="141" t="s">
        <v>1261</v>
      </c>
      <c r="F141" s="141" t="s">
        <v>53</v>
      </c>
      <c r="G141" s="141" t="s">
        <v>1262</v>
      </c>
      <c r="H141" s="141" t="s">
        <v>514</v>
      </c>
      <c r="I141" s="141" t="s">
        <v>390</v>
      </c>
      <c r="J141" s="141" t="s">
        <v>988</v>
      </c>
      <c r="K141" s="141" t="s">
        <v>389</v>
      </c>
      <c r="L141" s="141" t="s">
        <v>539</v>
      </c>
      <c r="M141" s="141" t="s">
        <v>973</v>
      </c>
      <c r="N141" s="141" t="s">
        <v>1005</v>
      </c>
      <c r="O141" s="141" t="s">
        <v>53</v>
      </c>
      <c r="P141" s="141" t="s">
        <v>46</v>
      </c>
    </row>
    <row r="142" spans="1:16">
      <c r="A142" s="141" t="s">
        <v>1263</v>
      </c>
      <c r="B142" s="141" t="s">
        <v>1264</v>
      </c>
      <c r="C142" s="141" t="s">
        <v>1053</v>
      </c>
      <c r="D142" s="172">
        <v>56</v>
      </c>
      <c r="E142" s="141" t="s">
        <v>1265</v>
      </c>
      <c r="F142" s="141" t="s">
        <v>53</v>
      </c>
      <c r="G142" s="141" t="s">
        <v>1105</v>
      </c>
      <c r="H142" s="141" t="s">
        <v>340</v>
      </c>
      <c r="I142" s="141" t="s">
        <v>390</v>
      </c>
      <c r="J142" s="141" t="s">
        <v>988</v>
      </c>
      <c r="K142" s="141" t="s">
        <v>389</v>
      </c>
      <c r="L142" s="141" t="s">
        <v>539</v>
      </c>
      <c r="M142" s="141" t="s">
        <v>973</v>
      </c>
      <c r="N142" s="141" t="s">
        <v>1005</v>
      </c>
      <c r="O142" s="141" t="s">
        <v>53</v>
      </c>
      <c r="P142" s="141" t="s">
        <v>44</v>
      </c>
    </row>
    <row r="143" spans="1:16">
      <c r="A143" s="141" t="s">
        <v>1266</v>
      </c>
      <c r="B143" s="141" t="s">
        <v>1264</v>
      </c>
      <c r="C143" s="141" t="s">
        <v>1058</v>
      </c>
      <c r="D143" s="172">
        <v>60</v>
      </c>
      <c r="E143" s="141" t="s">
        <v>1265</v>
      </c>
      <c r="F143" s="141" t="s">
        <v>53</v>
      </c>
      <c r="G143" s="141" t="s">
        <v>1105</v>
      </c>
      <c r="H143" s="141" t="s">
        <v>340</v>
      </c>
      <c r="I143" s="141" t="s">
        <v>390</v>
      </c>
      <c r="J143" s="141" t="s">
        <v>988</v>
      </c>
      <c r="K143" s="141" t="s">
        <v>389</v>
      </c>
      <c r="L143" s="141" t="s">
        <v>539</v>
      </c>
      <c r="M143" s="141" t="s">
        <v>973</v>
      </c>
      <c r="N143" s="141" t="s">
        <v>1005</v>
      </c>
      <c r="O143" s="141" t="s">
        <v>53</v>
      </c>
      <c r="P143" s="141" t="s">
        <v>44</v>
      </c>
    </row>
    <row r="144" spans="1:16">
      <c r="A144" s="141" t="s">
        <v>1267</v>
      </c>
      <c r="B144" s="141" t="s">
        <v>1268</v>
      </c>
      <c r="C144" s="141" t="s">
        <v>909</v>
      </c>
      <c r="D144" s="142">
        <v>0</v>
      </c>
      <c r="E144" s="141" t="s">
        <v>1269</v>
      </c>
      <c r="F144" s="141" t="s">
        <v>53</v>
      </c>
      <c r="G144" s="141" t="s">
        <v>1270</v>
      </c>
      <c r="H144" s="141" t="s">
        <v>340</v>
      </c>
      <c r="I144" s="141" t="s">
        <v>387</v>
      </c>
      <c r="J144" s="141" t="s">
        <v>972</v>
      </c>
      <c r="K144" s="141" t="s">
        <v>389</v>
      </c>
      <c r="L144" s="141" t="s">
        <v>386</v>
      </c>
      <c r="M144" s="141" t="s">
        <v>973</v>
      </c>
      <c r="N144" s="141" t="s">
        <v>1005</v>
      </c>
      <c r="O144" s="141" t="s">
        <v>53</v>
      </c>
      <c r="P144" s="141" t="s">
        <v>44</v>
      </c>
    </row>
    <row r="145" spans="1:16">
      <c r="A145" s="141" t="s">
        <v>1271</v>
      </c>
      <c r="B145" s="141" t="s">
        <v>1272</v>
      </c>
      <c r="C145" s="141" t="s">
        <v>1058</v>
      </c>
      <c r="D145" s="172">
        <v>60</v>
      </c>
      <c r="E145" s="141" t="s">
        <v>1273</v>
      </c>
      <c r="F145" s="141" t="s">
        <v>53</v>
      </c>
      <c r="G145" s="141" t="s">
        <v>1274</v>
      </c>
      <c r="H145" s="141" t="s">
        <v>327</v>
      </c>
      <c r="I145" s="141" t="s">
        <v>387</v>
      </c>
      <c r="J145" s="141" t="s">
        <v>972</v>
      </c>
      <c r="K145" s="141" t="s">
        <v>389</v>
      </c>
      <c r="L145" s="141" t="s">
        <v>539</v>
      </c>
      <c r="M145" s="141" t="s">
        <v>973</v>
      </c>
      <c r="N145" s="141" t="s">
        <v>1005</v>
      </c>
      <c r="O145" s="141" t="s">
        <v>53</v>
      </c>
      <c r="P145" s="141" t="s">
        <v>44</v>
      </c>
    </row>
    <row r="146" spans="1:16">
      <c r="A146" s="141" t="s">
        <v>1275</v>
      </c>
      <c r="B146" s="141" t="s">
        <v>1272</v>
      </c>
      <c r="C146" s="141" t="s">
        <v>1053</v>
      </c>
      <c r="D146" s="172">
        <v>56</v>
      </c>
      <c r="E146" s="141" t="s">
        <v>1273</v>
      </c>
      <c r="F146" s="141" t="s">
        <v>53</v>
      </c>
      <c r="G146" s="141" t="s">
        <v>1274</v>
      </c>
      <c r="H146" s="141" t="s">
        <v>327</v>
      </c>
      <c r="I146" s="141" t="s">
        <v>387</v>
      </c>
      <c r="J146" s="141" t="s">
        <v>972</v>
      </c>
      <c r="K146" s="141" t="s">
        <v>389</v>
      </c>
      <c r="L146" s="141" t="s">
        <v>539</v>
      </c>
      <c r="M146" s="141" t="s">
        <v>973</v>
      </c>
      <c r="N146" s="141" t="s">
        <v>1005</v>
      </c>
      <c r="O146" s="141" t="s">
        <v>53</v>
      </c>
      <c r="P146" s="141" t="s">
        <v>44</v>
      </c>
    </row>
    <row r="147" spans="1:16">
      <c r="A147" s="141" t="s">
        <v>1276</v>
      </c>
      <c r="B147" s="141" t="s">
        <v>1277</v>
      </c>
      <c r="C147" s="141" t="s">
        <v>909</v>
      </c>
      <c r="D147" s="142">
        <v>0</v>
      </c>
      <c r="E147" s="141" t="s">
        <v>1278</v>
      </c>
      <c r="F147" s="141" t="s">
        <v>53</v>
      </c>
      <c r="G147" s="141" t="s">
        <v>1221</v>
      </c>
      <c r="H147" s="141" t="s">
        <v>340</v>
      </c>
      <c r="I147" s="141" t="s">
        <v>382</v>
      </c>
      <c r="J147" s="141" t="s">
        <v>972</v>
      </c>
      <c r="K147" s="141" t="s">
        <v>389</v>
      </c>
      <c r="L147" s="141" t="s">
        <v>386</v>
      </c>
      <c r="M147" s="141" t="s">
        <v>973</v>
      </c>
      <c r="N147" s="141" t="s">
        <v>1005</v>
      </c>
      <c r="O147" s="141" t="s">
        <v>53</v>
      </c>
      <c r="P147" s="141"/>
    </row>
    <row r="148" spans="1:16">
      <c r="A148" s="141" t="s">
        <v>1279</v>
      </c>
      <c r="B148" s="141" t="s">
        <v>1280</v>
      </c>
      <c r="C148" s="141" t="s">
        <v>976</v>
      </c>
      <c r="D148" s="172">
        <v>59</v>
      </c>
      <c r="E148" s="141" t="s">
        <v>1281</v>
      </c>
      <c r="F148" s="141" t="s">
        <v>53</v>
      </c>
      <c r="G148" s="141" t="s">
        <v>1003</v>
      </c>
      <c r="H148" s="141" t="s">
        <v>320</v>
      </c>
      <c r="I148" s="141" t="s">
        <v>382</v>
      </c>
      <c r="J148" s="141" t="s">
        <v>1004</v>
      </c>
      <c r="K148" s="141" t="s">
        <v>384</v>
      </c>
      <c r="L148" s="141" t="s">
        <v>539</v>
      </c>
      <c r="M148" s="141" t="s">
        <v>808</v>
      </c>
      <c r="N148" s="141" t="s">
        <v>1005</v>
      </c>
      <c r="O148" s="141" t="s">
        <v>53</v>
      </c>
      <c r="P148" s="141"/>
    </row>
    <row r="149" spans="1:16">
      <c r="A149" s="141" t="s">
        <v>1282</v>
      </c>
      <c r="B149" s="141" t="s">
        <v>1280</v>
      </c>
      <c r="C149" s="141" t="s">
        <v>969</v>
      </c>
      <c r="D149" s="172">
        <v>57</v>
      </c>
      <c r="E149" s="141" t="s">
        <v>1281</v>
      </c>
      <c r="F149" s="141" t="s">
        <v>53</v>
      </c>
      <c r="G149" s="141" t="s">
        <v>1003</v>
      </c>
      <c r="H149" s="141" t="s">
        <v>320</v>
      </c>
      <c r="I149" s="141" t="s">
        <v>382</v>
      </c>
      <c r="J149" s="141" t="s">
        <v>1004</v>
      </c>
      <c r="K149" s="141" t="s">
        <v>384</v>
      </c>
      <c r="L149" s="141" t="s">
        <v>539</v>
      </c>
      <c r="M149" s="141" t="s">
        <v>808</v>
      </c>
      <c r="N149" s="141" t="s">
        <v>1005</v>
      </c>
      <c r="O149" s="141" t="s">
        <v>53</v>
      </c>
      <c r="P149" s="141"/>
    </row>
    <row r="150" spans="1:16">
      <c r="A150" s="141" t="s">
        <v>1283</v>
      </c>
      <c r="B150" s="141" t="s">
        <v>1280</v>
      </c>
      <c r="C150" s="141" t="s">
        <v>1030</v>
      </c>
      <c r="D150" s="172">
        <v>61</v>
      </c>
      <c r="E150" s="141" t="s">
        <v>1281</v>
      </c>
      <c r="F150" s="141" t="s">
        <v>53</v>
      </c>
      <c r="G150" s="141" t="s">
        <v>1003</v>
      </c>
      <c r="H150" s="141" t="s">
        <v>320</v>
      </c>
      <c r="I150" s="141" t="s">
        <v>382</v>
      </c>
      <c r="J150" s="141" t="s">
        <v>1004</v>
      </c>
      <c r="K150" s="141" t="s">
        <v>384</v>
      </c>
      <c r="L150" s="141" t="s">
        <v>539</v>
      </c>
      <c r="M150" s="141" t="s">
        <v>808</v>
      </c>
      <c r="N150" s="141" t="s">
        <v>1005</v>
      </c>
      <c r="O150" s="141" t="s">
        <v>53</v>
      </c>
      <c r="P150" s="141"/>
    </row>
    <row r="151" spans="1:16">
      <c r="A151" s="141" t="s">
        <v>1284</v>
      </c>
      <c r="B151" s="141" t="s">
        <v>1285</v>
      </c>
      <c r="C151" s="141" t="s">
        <v>976</v>
      </c>
      <c r="D151" s="172">
        <v>59</v>
      </c>
      <c r="E151" s="141" t="s">
        <v>1281</v>
      </c>
      <c r="F151" s="141" t="s">
        <v>55</v>
      </c>
      <c r="G151" s="141" t="s">
        <v>1003</v>
      </c>
      <c r="H151" s="141" t="s">
        <v>320</v>
      </c>
      <c r="I151" s="141" t="s">
        <v>382</v>
      </c>
      <c r="J151" s="141" t="s">
        <v>988</v>
      </c>
      <c r="K151" s="141" t="s">
        <v>384</v>
      </c>
      <c r="L151" s="141" t="s">
        <v>539</v>
      </c>
      <c r="M151" s="141" t="s">
        <v>973</v>
      </c>
      <c r="N151" s="141" t="s">
        <v>1017</v>
      </c>
      <c r="O151" s="141" t="s">
        <v>71</v>
      </c>
      <c r="P151" s="141"/>
    </row>
    <row r="152" spans="1:16">
      <c r="A152" s="141" t="s">
        <v>1286</v>
      </c>
      <c r="B152" s="141" t="s">
        <v>1285</v>
      </c>
      <c r="C152" s="141" t="s">
        <v>969</v>
      </c>
      <c r="D152" s="172">
        <v>57</v>
      </c>
      <c r="E152" s="141" t="s">
        <v>1281</v>
      </c>
      <c r="F152" s="141" t="s">
        <v>55</v>
      </c>
      <c r="G152" s="141" t="s">
        <v>1003</v>
      </c>
      <c r="H152" s="141" t="s">
        <v>320</v>
      </c>
      <c r="I152" s="141" t="s">
        <v>382</v>
      </c>
      <c r="J152" s="141" t="s">
        <v>988</v>
      </c>
      <c r="K152" s="141" t="s">
        <v>384</v>
      </c>
      <c r="L152" s="141" t="s">
        <v>539</v>
      </c>
      <c r="M152" s="141" t="s">
        <v>973</v>
      </c>
      <c r="N152" s="141" t="s">
        <v>1017</v>
      </c>
      <c r="O152" s="141" t="s">
        <v>71</v>
      </c>
      <c r="P152" s="141"/>
    </row>
    <row r="153" spans="1:16">
      <c r="A153" s="141" t="s">
        <v>1287</v>
      </c>
      <c r="B153" s="141" t="s">
        <v>1285</v>
      </c>
      <c r="C153" s="141" t="s">
        <v>1030</v>
      </c>
      <c r="D153" s="172">
        <v>61</v>
      </c>
      <c r="E153" s="141" t="s">
        <v>1281</v>
      </c>
      <c r="F153" s="141" t="s">
        <v>55</v>
      </c>
      <c r="G153" s="141" t="s">
        <v>1003</v>
      </c>
      <c r="H153" s="141" t="s">
        <v>320</v>
      </c>
      <c r="I153" s="141" t="s">
        <v>382</v>
      </c>
      <c r="J153" s="141" t="s">
        <v>988</v>
      </c>
      <c r="K153" s="141" t="s">
        <v>384</v>
      </c>
      <c r="L153" s="141" t="s">
        <v>539</v>
      </c>
      <c r="M153" s="141" t="s">
        <v>973</v>
      </c>
      <c r="N153" s="141" t="s">
        <v>1017</v>
      </c>
      <c r="O153" s="141" t="s">
        <v>71</v>
      </c>
      <c r="P153" s="141"/>
    </row>
    <row r="154" spans="1:16">
      <c r="A154" s="141" t="s">
        <v>1288</v>
      </c>
      <c r="B154" s="141" t="s">
        <v>1289</v>
      </c>
      <c r="C154" s="141" t="s">
        <v>909</v>
      </c>
      <c r="D154" s="142">
        <v>0</v>
      </c>
      <c r="E154" s="141" t="s">
        <v>1021</v>
      </c>
      <c r="F154" s="141" t="s">
        <v>160</v>
      </c>
      <c r="G154" s="141" t="s">
        <v>910</v>
      </c>
      <c r="H154" s="141" t="s">
        <v>327</v>
      </c>
      <c r="I154" s="141" t="s">
        <v>382</v>
      </c>
      <c r="J154" s="141" t="s">
        <v>988</v>
      </c>
      <c r="K154" s="141" t="s">
        <v>384</v>
      </c>
      <c r="L154" s="141" t="s">
        <v>533</v>
      </c>
      <c r="M154" s="141" t="s">
        <v>973</v>
      </c>
      <c r="N154" s="141" t="s">
        <v>1290</v>
      </c>
      <c r="O154" s="141" t="s">
        <v>78</v>
      </c>
      <c r="P154" s="141" t="s">
        <v>43</v>
      </c>
    </row>
    <row r="155" spans="1:16">
      <c r="A155" s="141" t="s">
        <v>1291</v>
      </c>
      <c r="B155" s="141" t="s">
        <v>1292</v>
      </c>
      <c r="C155" s="141" t="s">
        <v>909</v>
      </c>
      <c r="D155" s="142">
        <v>0</v>
      </c>
      <c r="E155" s="141" t="s">
        <v>1293</v>
      </c>
      <c r="F155" s="141" t="s">
        <v>86</v>
      </c>
      <c r="G155" s="141" t="s">
        <v>1097</v>
      </c>
      <c r="H155" s="141" t="s">
        <v>327</v>
      </c>
      <c r="I155" s="141" t="s">
        <v>382</v>
      </c>
      <c r="J155" s="141" t="s">
        <v>988</v>
      </c>
      <c r="K155" s="141" t="s">
        <v>384</v>
      </c>
      <c r="L155" s="141" t="s">
        <v>539</v>
      </c>
      <c r="M155" s="141" t="s">
        <v>973</v>
      </c>
      <c r="N155" s="141" t="s">
        <v>998</v>
      </c>
      <c r="O155" s="141" t="s">
        <v>86</v>
      </c>
      <c r="P155" s="141" t="s">
        <v>43</v>
      </c>
    </row>
    <row r="156" spans="1:16">
      <c r="A156" s="141" t="s">
        <v>1294</v>
      </c>
      <c r="B156" s="141" t="s">
        <v>1295</v>
      </c>
      <c r="C156" s="141" t="s">
        <v>969</v>
      </c>
      <c r="D156" s="172">
        <v>57</v>
      </c>
      <c r="E156" s="141" t="s">
        <v>1118</v>
      </c>
      <c r="F156" s="141" t="s">
        <v>276</v>
      </c>
      <c r="G156" s="141" t="s">
        <v>1105</v>
      </c>
      <c r="H156" s="141" t="s">
        <v>320</v>
      </c>
      <c r="I156" s="141" t="s">
        <v>382</v>
      </c>
      <c r="J156" s="141" t="s">
        <v>988</v>
      </c>
      <c r="K156" s="141" t="s">
        <v>388</v>
      </c>
      <c r="L156" s="141" t="s">
        <v>539</v>
      </c>
      <c r="M156" s="141" t="s">
        <v>973</v>
      </c>
      <c r="N156" s="141" t="s">
        <v>1296</v>
      </c>
      <c r="O156" s="141" t="s">
        <v>68</v>
      </c>
      <c r="P156" s="141" t="s">
        <v>44</v>
      </c>
    </row>
    <row r="157" spans="1:16">
      <c r="A157" s="141" t="s">
        <v>1297</v>
      </c>
      <c r="B157" s="141" t="s">
        <v>1295</v>
      </c>
      <c r="C157" s="141" t="s">
        <v>976</v>
      </c>
      <c r="D157" s="172">
        <v>59</v>
      </c>
      <c r="E157" s="141" t="s">
        <v>1118</v>
      </c>
      <c r="F157" s="141" t="s">
        <v>276</v>
      </c>
      <c r="G157" s="141" t="s">
        <v>1105</v>
      </c>
      <c r="H157" s="141" t="s">
        <v>320</v>
      </c>
      <c r="I157" s="141" t="s">
        <v>382</v>
      </c>
      <c r="J157" s="141" t="s">
        <v>988</v>
      </c>
      <c r="K157" s="141" t="s">
        <v>388</v>
      </c>
      <c r="L157" s="141" t="s">
        <v>539</v>
      </c>
      <c r="M157" s="141" t="s">
        <v>973</v>
      </c>
      <c r="N157" s="141" t="s">
        <v>1296</v>
      </c>
      <c r="O157" s="141" t="s">
        <v>68</v>
      </c>
      <c r="P157" s="141" t="s">
        <v>44</v>
      </c>
    </row>
    <row r="158" spans="1:16">
      <c r="A158" s="141" t="s">
        <v>1298</v>
      </c>
      <c r="B158" s="141" t="s">
        <v>1295</v>
      </c>
      <c r="C158" s="141" t="s">
        <v>1032</v>
      </c>
      <c r="D158" s="172">
        <v>55</v>
      </c>
      <c r="E158" s="141" t="s">
        <v>1118</v>
      </c>
      <c r="F158" s="141" t="s">
        <v>276</v>
      </c>
      <c r="G158" s="141" t="s">
        <v>1105</v>
      </c>
      <c r="H158" s="141" t="s">
        <v>320</v>
      </c>
      <c r="I158" s="141" t="s">
        <v>382</v>
      </c>
      <c r="J158" s="141" t="s">
        <v>988</v>
      </c>
      <c r="K158" s="141" t="s">
        <v>388</v>
      </c>
      <c r="L158" s="141" t="s">
        <v>539</v>
      </c>
      <c r="M158" s="141" t="s">
        <v>973</v>
      </c>
      <c r="N158" s="141" t="s">
        <v>1296</v>
      </c>
      <c r="O158" s="141" t="s">
        <v>68</v>
      </c>
      <c r="P158" s="141" t="s">
        <v>44</v>
      </c>
    </row>
    <row r="159" spans="1:16">
      <c r="A159" s="141" t="s">
        <v>1299</v>
      </c>
      <c r="B159" s="141" t="s">
        <v>1295</v>
      </c>
      <c r="C159" s="141" t="s">
        <v>1030</v>
      </c>
      <c r="D159" s="172">
        <v>61</v>
      </c>
      <c r="E159" s="141" t="s">
        <v>1118</v>
      </c>
      <c r="F159" s="141" t="s">
        <v>276</v>
      </c>
      <c r="G159" s="141" t="s">
        <v>1105</v>
      </c>
      <c r="H159" s="141" t="s">
        <v>320</v>
      </c>
      <c r="I159" s="141" t="s">
        <v>382</v>
      </c>
      <c r="J159" s="141" t="s">
        <v>988</v>
      </c>
      <c r="K159" s="141" t="s">
        <v>388</v>
      </c>
      <c r="L159" s="141" t="s">
        <v>539</v>
      </c>
      <c r="M159" s="141" t="s">
        <v>973</v>
      </c>
      <c r="N159" s="141" t="s">
        <v>1296</v>
      </c>
      <c r="O159" s="141" t="s">
        <v>68</v>
      </c>
      <c r="P159" s="141" t="s">
        <v>44</v>
      </c>
    </row>
    <row r="160" spans="1:16">
      <c r="A160" s="141" t="s">
        <v>1300</v>
      </c>
      <c r="B160" s="141" t="s">
        <v>1301</v>
      </c>
      <c r="C160" s="141" t="s">
        <v>1302</v>
      </c>
      <c r="D160" s="172">
        <v>63</v>
      </c>
      <c r="E160" s="141" t="s">
        <v>1118</v>
      </c>
      <c r="F160" s="141" t="s">
        <v>269</v>
      </c>
      <c r="G160" s="141" t="s">
        <v>1105</v>
      </c>
      <c r="H160" s="141" t="s">
        <v>320</v>
      </c>
      <c r="I160" s="141" t="s">
        <v>382</v>
      </c>
      <c r="J160" s="141" t="s">
        <v>988</v>
      </c>
      <c r="K160" s="141" t="s">
        <v>388</v>
      </c>
      <c r="L160" s="141" t="s">
        <v>539</v>
      </c>
      <c r="M160" s="141" t="s">
        <v>973</v>
      </c>
      <c r="N160" s="141" t="s">
        <v>1303</v>
      </c>
      <c r="O160" s="141" t="s">
        <v>60</v>
      </c>
      <c r="P160" s="141" t="s">
        <v>44</v>
      </c>
    </row>
    <row r="161" spans="1:16">
      <c r="A161" s="141" t="s">
        <v>1304</v>
      </c>
      <c r="B161" s="141" t="s">
        <v>1301</v>
      </c>
      <c r="C161" s="141" t="s">
        <v>1032</v>
      </c>
      <c r="D161" s="172">
        <v>55</v>
      </c>
      <c r="E161" s="141" t="s">
        <v>1118</v>
      </c>
      <c r="F161" s="141" t="s">
        <v>269</v>
      </c>
      <c r="G161" s="141" t="s">
        <v>1105</v>
      </c>
      <c r="H161" s="141" t="s">
        <v>320</v>
      </c>
      <c r="I161" s="141" t="s">
        <v>382</v>
      </c>
      <c r="J161" s="141" t="s">
        <v>988</v>
      </c>
      <c r="K161" s="141" t="s">
        <v>388</v>
      </c>
      <c r="L161" s="141" t="s">
        <v>539</v>
      </c>
      <c r="M161" s="141" t="s">
        <v>973</v>
      </c>
      <c r="N161" s="141" t="s">
        <v>1303</v>
      </c>
      <c r="O161" s="141" t="s">
        <v>60</v>
      </c>
      <c r="P161" s="141" t="s">
        <v>44</v>
      </c>
    </row>
    <row r="162" spans="1:16">
      <c r="A162" s="141" t="s">
        <v>1305</v>
      </c>
      <c r="B162" s="141" t="s">
        <v>1301</v>
      </c>
      <c r="C162" s="141" t="s">
        <v>976</v>
      </c>
      <c r="D162" s="172">
        <v>59</v>
      </c>
      <c r="E162" s="141" t="s">
        <v>1118</v>
      </c>
      <c r="F162" s="141" t="s">
        <v>269</v>
      </c>
      <c r="G162" s="141" t="s">
        <v>1105</v>
      </c>
      <c r="H162" s="141" t="s">
        <v>320</v>
      </c>
      <c r="I162" s="141" t="s">
        <v>382</v>
      </c>
      <c r="J162" s="141" t="s">
        <v>988</v>
      </c>
      <c r="K162" s="141" t="s">
        <v>388</v>
      </c>
      <c r="L162" s="141" t="s">
        <v>539</v>
      </c>
      <c r="M162" s="141" t="s">
        <v>973</v>
      </c>
      <c r="N162" s="141" t="s">
        <v>1303</v>
      </c>
      <c r="O162" s="141" t="s">
        <v>60</v>
      </c>
      <c r="P162" s="141" t="s">
        <v>44</v>
      </c>
    </row>
    <row r="163" spans="1:16">
      <c r="A163" s="141" t="s">
        <v>1306</v>
      </c>
      <c r="B163" s="141" t="s">
        <v>1301</v>
      </c>
      <c r="C163" s="141" t="s">
        <v>969</v>
      </c>
      <c r="D163" s="172">
        <v>57</v>
      </c>
      <c r="E163" s="141" t="s">
        <v>1118</v>
      </c>
      <c r="F163" s="141" t="s">
        <v>269</v>
      </c>
      <c r="G163" s="141" t="s">
        <v>1105</v>
      </c>
      <c r="H163" s="141" t="s">
        <v>320</v>
      </c>
      <c r="I163" s="141" t="s">
        <v>382</v>
      </c>
      <c r="J163" s="141" t="s">
        <v>988</v>
      </c>
      <c r="K163" s="141" t="s">
        <v>388</v>
      </c>
      <c r="L163" s="141" t="s">
        <v>539</v>
      </c>
      <c r="M163" s="141" t="s">
        <v>973</v>
      </c>
      <c r="N163" s="141" t="s">
        <v>1303</v>
      </c>
      <c r="O163" s="141" t="s">
        <v>60</v>
      </c>
      <c r="P163" s="141" t="s">
        <v>44</v>
      </c>
    </row>
    <row r="164" spans="1:16">
      <c r="A164" s="141" t="s">
        <v>1307</v>
      </c>
      <c r="B164" s="141" t="s">
        <v>1301</v>
      </c>
      <c r="C164" s="141" t="s">
        <v>1030</v>
      </c>
      <c r="D164" s="172">
        <v>61</v>
      </c>
      <c r="E164" s="141" t="s">
        <v>1118</v>
      </c>
      <c r="F164" s="141" t="s">
        <v>269</v>
      </c>
      <c r="G164" s="141" t="s">
        <v>1105</v>
      </c>
      <c r="H164" s="141" t="s">
        <v>320</v>
      </c>
      <c r="I164" s="141" t="s">
        <v>382</v>
      </c>
      <c r="J164" s="141" t="s">
        <v>988</v>
      </c>
      <c r="K164" s="141" t="s">
        <v>388</v>
      </c>
      <c r="L164" s="141" t="s">
        <v>539</v>
      </c>
      <c r="M164" s="141" t="s">
        <v>973</v>
      </c>
      <c r="N164" s="141" t="s">
        <v>1303</v>
      </c>
      <c r="O164" s="141" t="s">
        <v>60</v>
      </c>
      <c r="P164" s="141" t="s">
        <v>44</v>
      </c>
    </row>
    <row r="165" spans="1:16">
      <c r="A165" s="141" t="s">
        <v>1308</v>
      </c>
      <c r="B165" s="141" t="s">
        <v>1309</v>
      </c>
      <c r="C165" s="141" t="s">
        <v>1302</v>
      </c>
      <c r="D165" s="172">
        <v>63</v>
      </c>
      <c r="E165" s="141" t="s">
        <v>1118</v>
      </c>
      <c r="F165" s="141" t="s">
        <v>121</v>
      </c>
      <c r="G165" s="141" t="s">
        <v>1105</v>
      </c>
      <c r="H165" s="141" t="s">
        <v>320</v>
      </c>
      <c r="I165" s="141" t="s">
        <v>382</v>
      </c>
      <c r="J165" s="141" t="s">
        <v>988</v>
      </c>
      <c r="K165" s="141" t="s">
        <v>388</v>
      </c>
      <c r="L165" s="141" t="s">
        <v>539</v>
      </c>
      <c r="M165" s="141" t="s">
        <v>973</v>
      </c>
      <c r="N165" s="141" t="s">
        <v>1310</v>
      </c>
      <c r="O165" s="141" t="s">
        <v>121</v>
      </c>
      <c r="P165" s="141" t="s">
        <v>44</v>
      </c>
    </row>
    <row r="166" spans="1:16">
      <c r="A166" s="141" t="s">
        <v>1311</v>
      </c>
      <c r="B166" s="141" t="s">
        <v>1309</v>
      </c>
      <c r="C166" s="141" t="s">
        <v>1032</v>
      </c>
      <c r="D166" s="172">
        <v>55</v>
      </c>
      <c r="E166" s="141" t="s">
        <v>1118</v>
      </c>
      <c r="F166" s="141" t="s">
        <v>121</v>
      </c>
      <c r="G166" s="141" t="s">
        <v>1105</v>
      </c>
      <c r="H166" s="141" t="s">
        <v>320</v>
      </c>
      <c r="I166" s="141" t="s">
        <v>382</v>
      </c>
      <c r="J166" s="141" t="s">
        <v>988</v>
      </c>
      <c r="K166" s="141" t="s">
        <v>388</v>
      </c>
      <c r="L166" s="141" t="s">
        <v>539</v>
      </c>
      <c r="M166" s="141" t="s">
        <v>973</v>
      </c>
      <c r="N166" s="141" t="s">
        <v>1310</v>
      </c>
      <c r="O166" s="141" t="s">
        <v>121</v>
      </c>
      <c r="P166" s="141" t="s">
        <v>44</v>
      </c>
    </row>
    <row r="167" spans="1:16">
      <c r="A167" s="141" t="s">
        <v>1312</v>
      </c>
      <c r="B167" s="141" t="s">
        <v>1309</v>
      </c>
      <c r="C167" s="141" t="s">
        <v>976</v>
      </c>
      <c r="D167" s="172">
        <v>59</v>
      </c>
      <c r="E167" s="141" t="s">
        <v>1118</v>
      </c>
      <c r="F167" s="141" t="s">
        <v>121</v>
      </c>
      <c r="G167" s="141" t="s">
        <v>1105</v>
      </c>
      <c r="H167" s="141" t="s">
        <v>320</v>
      </c>
      <c r="I167" s="141" t="s">
        <v>382</v>
      </c>
      <c r="J167" s="141" t="s">
        <v>988</v>
      </c>
      <c r="K167" s="141" t="s">
        <v>388</v>
      </c>
      <c r="L167" s="141" t="s">
        <v>539</v>
      </c>
      <c r="M167" s="141" t="s">
        <v>973</v>
      </c>
      <c r="N167" s="141" t="s">
        <v>1310</v>
      </c>
      <c r="O167" s="141" t="s">
        <v>121</v>
      </c>
      <c r="P167" s="141" t="s">
        <v>44</v>
      </c>
    </row>
    <row r="168" spans="1:16">
      <c r="A168" s="141" t="s">
        <v>1313</v>
      </c>
      <c r="B168" s="141" t="s">
        <v>1309</v>
      </c>
      <c r="C168" s="141" t="s">
        <v>969</v>
      </c>
      <c r="D168" s="172">
        <v>57</v>
      </c>
      <c r="E168" s="141" t="s">
        <v>1118</v>
      </c>
      <c r="F168" s="141" t="s">
        <v>121</v>
      </c>
      <c r="G168" s="141" t="s">
        <v>1105</v>
      </c>
      <c r="H168" s="141" t="s">
        <v>320</v>
      </c>
      <c r="I168" s="141" t="s">
        <v>382</v>
      </c>
      <c r="J168" s="141" t="s">
        <v>988</v>
      </c>
      <c r="K168" s="141" t="s">
        <v>388</v>
      </c>
      <c r="L168" s="141" t="s">
        <v>539</v>
      </c>
      <c r="M168" s="141" t="s">
        <v>973</v>
      </c>
      <c r="N168" s="141" t="s">
        <v>1310</v>
      </c>
      <c r="O168" s="141" t="s">
        <v>121</v>
      </c>
      <c r="P168" s="141" t="s">
        <v>44</v>
      </c>
    </row>
    <row r="169" spans="1:16">
      <c r="A169" s="141" t="s">
        <v>1314</v>
      </c>
      <c r="B169" s="141" t="s">
        <v>1309</v>
      </c>
      <c r="C169" s="141" t="s">
        <v>1030</v>
      </c>
      <c r="D169" s="172">
        <v>61</v>
      </c>
      <c r="E169" s="141" t="s">
        <v>1118</v>
      </c>
      <c r="F169" s="141" t="s">
        <v>121</v>
      </c>
      <c r="G169" s="141" t="s">
        <v>1105</v>
      </c>
      <c r="H169" s="141" t="s">
        <v>320</v>
      </c>
      <c r="I169" s="141" t="s">
        <v>382</v>
      </c>
      <c r="J169" s="141" t="s">
        <v>988</v>
      </c>
      <c r="K169" s="141" t="s">
        <v>388</v>
      </c>
      <c r="L169" s="141" t="s">
        <v>539</v>
      </c>
      <c r="M169" s="141" t="s">
        <v>973</v>
      </c>
      <c r="N169" s="141" t="s">
        <v>1310</v>
      </c>
      <c r="O169" s="141" t="s">
        <v>121</v>
      </c>
      <c r="P169" s="141" t="s">
        <v>44</v>
      </c>
    </row>
    <row r="170" spans="1:16">
      <c r="A170" s="141" t="s">
        <v>1315</v>
      </c>
      <c r="B170" s="141" t="s">
        <v>1316</v>
      </c>
      <c r="C170" s="141" t="s">
        <v>909</v>
      </c>
      <c r="D170" s="142">
        <v>0</v>
      </c>
      <c r="E170" s="141" t="s">
        <v>1317</v>
      </c>
      <c r="F170" s="141" t="s">
        <v>199</v>
      </c>
      <c r="G170" s="141" t="s">
        <v>1221</v>
      </c>
      <c r="H170" s="141" t="s">
        <v>340</v>
      </c>
      <c r="I170" s="141" t="s">
        <v>382</v>
      </c>
      <c r="J170" s="141" t="s">
        <v>988</v>
      </c>
      <c r="K170" s="141" t="s">
        <v>389</v>
      </c>
      <c r="L170" s="141" t="s">
        <v>539</v>
      </c>
      <c r="M170" s="141" t="s">
        <v>973</v>
      </c>
      <c r="N170" s="141" t="s">
        <v>1318</v>
      </c>
      <c r="O170" s="141" t="s">
        <v>199</v>
      </c>
      <c r="P170" s="141"/>
    </row>
    <row r="171" spans="1:16">
      <c r="A171" s="141" t="s">
        <v>1319</v>
      </c>
      <c r="B171" s="141" t="s">
        <v>1320</v>
      </c>
      <c r="C171" s="141" t="s">
        <v>909</v>
      </c>
      <c r="D171" s="142">
        <v>0</v>
      </c>
      <c r="E171" s="141" t="s">
        <v>1269</v>
      </c>
      <c r="F171" s="141" t="s">
        <v>286</v>
      </c>
      <c r="G171" s="141" t="s">
        <v>1270</v>
      </c>
      <c r="H171" s="141" t="s">
        <v>340</v>
      </c>
      <c r="I171" s="141" t="s">
        <v>387</v>
      </c>
      <c r="J171" s="141" t="s">
        <v>972</v>
      </c>
      <c r="K171" s="141" t="s">
        <v>389</v>
      </c>
      <c r="L171" s="141" t="s">
        <v>539</v>
      </c>
      <c r="M171" s="141" t="s">
        <v>973</v>
      </c>
      <c r="N171" s="141" t="s">
        <v>1296</v>
      </c>
      <c r="O171" s="141" t="s">
        <v>286</v>
      </c>
      <c r="P171" s="141" t="s">
        <v>44</v>
      </c>
    </row>
    <row r="172" spans="1:16">
      <c r="A172" s="141" t="s">
        <v>1321</v>
      </c>
      <c r="B172" s="141" t="s">
        <v>1322</v>
      </c>
      <c r="C172" s="141" t="s">
        <v>1053</v>
      </c>
      <c r="D172" s="172">
        <v>56</v>
      </c>
      <c r="E172" s="141" t="s">
        <v>1177</v>
      </c>
      <c r="F172" s="141" t="s">
        <v>231</v>
      </c>
      <c r="G172" s="141" t="s">
        <v>1055</v>
      </c>
      <c r="H172" s="141" t="s">
        <v>327</v>
      </c>
      <c r="I172" s="141" t="s">
        <v>382</v>
      </c>
      <c r="J172" s="141" t="s">
        <v>988</v>
      </c>
      <c r="K172" s="141" t="s">
        <v>388</v>
      </c>
      <c r="L172" s="141" t="s">
        <v>533</v>
      </c>
      <c r="M172" s="141" t="s">
        <v>973</v>
      </c>
      <c r="N172" s="141" t="s">
        <v>1323</v>
      </c>
      <c r="O172" s="141" t="s">
        <v>83</v>
      </c>
      <c r="P172" s="141" t="s">
        <v>44</v>
      </c>
    </row>
    <row r="173" spans="1:16">
      <c r="A173" s="141" t="s">
        <v>1324</v>
      </c>
      <c r="B173" s="141" t="s">
        <v>1322</v>
      </c>
      <c r="C173" s="141" t="s">
        <v>1058</v>
      </c>
      <c r="D173" s="172">
        <v>60</v>
      </c>
      <c r="E173" s="141" t="s">
        <v>1177</v>
      </c>
      <c r="F173" s="141" t="s">
        <v>231</v>
      </c>
      <c r="G173" s="141" t="s">
        <v>1055</v>
      </c>
      <c r="H173" s="141" t="s">
        <v>327</v>
      </c>
      <c r="I173" s="141" t="s">
        <v>382</v>
      </c>
      <c r="J173" s="141" t="s">
        <v>988</v>
      </c>
      <c r="K173" s="141" t="s">
        <v>388</v>
      </c>
      <c r="L173" s="141" t="s">
        <v>533</v>
      </c>
      <c r="M173" s="141" t="s">
        <v>973</v>
      </c>
      <c r="N173" s="141" t="s">
        <v>1323</v>
      </c>
      <c r="O173" s="141" t="s">
        <v>83</v>
      </c>
      <c r="P173" s="141" t="s">
        <v>44</v>
      </c>
    </row>
    <row r="174" spans="1:16">
      <c r="A174" s="141" t="s">
        <v>1325</v>
      </c>
      <c r="B174" s="141" t="s">
        <v>1326</v>
      </c>
      <c r="C174" s="141" t="s">
        <v>909</v>
      </c>
      <c r="D174" s="142">
        <v>0</v>
      </c>
      <c r="E174" s="141" t="s">
        <v>1232</v>
      </c>
      <c r="F174" s="141" t="s">
        <v>217</v>
      </c>
      <c r="G174" s="141" t="s">
        <v>1233</v>
      </c>
      <c r="H174" s="141" t="s">
        <v>327</v>
      </c>
      <c r="I174" s="141" t="s">
        <v>382</v>
      </c>
      <c r="J174" s="141" t="s">
        <v>988</v>
      </c>
      <c r="K174" s="141" t="s">
        <v>388</v>
      </c>
      <c r="L174" s="141" t="s">
        <v>386</v>
      </c>
      <c r="M174" s="141" t="s">
        <v>973</v>
      </c>
      <c r="N174" s="141" t="s">
        <v>1136</v>
      </c>
      <c r="O174" s="141" t="s">
        <v>199</v>
      </c>
      <c r="P174" s="141" t="s">
        <v>43</v>
      </c>
    </row>
    <row r="175" spans="1:16">
      <c r="A175" s="141" t="s">
        <v>1327</v>
      </c>
      <c r="B175" s="141" t="s">
        <v>1328</v>
      </c>
      <c r="C175" s="141" t="s">
        <v>969</v>
      </c>
      <c r="D175" s="172">
        <v>57</v>
      </c>
      <c r="E175" s="141" t="s">
        <v>1329</v>
      </c>
      <c r="F175" s="141" t="s">
        <v>53</v>
      </c>
      <c r="G175" s="141" t="s">
        <v>1105</v>
      </c>
      <c r="H175" s="141" t="s">
        <v>336</v>
      </c>
      <c r="I175" s="141" t="s">
        <v>382</v>
      </c>
      <c r="J175" s="141" t="s">
        <v>988</v>
      </c>
      <c r="K175" s="141" t="s">
        <v>388</v>
      </c>
      <c r="L175" s="141" t="s">
        <v>386</v>
      </c>
      <c r="M175" s="141" t="s">
        <v>973</v>
      </c>
      <c r="N175" s="141" t="s">
        <v>1005</v>
      </c>
      <c r="O175" s="141" t="s">
        <v>53</v>
      </c>
      <c r="P175" s="141" t="s">
        <v>44</v>
      </c>
    </row>
    <row r="176" spans="1:16">
      <c r="A176" s="141" t="s">
        <v>1330</v>
      </c>
      <c r="B176" s="141" t="s">
        <v>1328</v>
      </c>
      <c r="C176" s="141" t="s">
        <v>976</v>
      </c>
      <c r="D176" s="172">
        <v>59</v>
      </c>
      <c r="E176" s="141" t="s">
        <v>1329</v>
      </c>
      <c r="F176" s="141" t="s">
        <v>53</v>
      </c>
      <c r="G176" s="141" t="s">
        <v>1105</v>
      </c>
      <c r="H176" s="141" t="s">
        <v>336</v>
      </c>
      <c r="I176" s="141" t="s">
        <v>382</v>
      </c>
      <c r="J176" s="141" t="s">
        <v>988</v>
      </c>
      <c r="K176" s="141" t="s">
        <v>388</v>
      </c>
      <c r="L176" s="141" t="s">
        <v>386</v>
      </c>
      <c r="M176" s="141" t="s">
        <v>973</v>
      </c>
      <c r="N176" s="141" t="s">
        <v>1005</v>
      </c>
      <c r="O176" s="141" t="s">
        <v>53</v>
      </c>
      <c r="P176" s="141" t="s">
        <v>44</v>
      </c>
    </row>
    <row r="177" spans="1:16">
      <c r="A177" s="141" t="s">
        <v>1331</v>
      </c>
      <c r="B177" s="141" t="s">
        <v>1328</v>
      </c>
      <c r="C177" s="141" t="s">
        <v>1032</v>
      </c>
      <c r="D177" s="172">
        <v>55</v>
      </c>
      <c r="E177" s="141" t="s">
        <v>1329</v>
      </c>
      <c r="F177" s="141" t="s">
        <v>53</v>
      </c>
      <c r="G177" s="141" t="s">
        <v>1105</v>
      </c>
      <c r="H177" s="141" t="s">
        <v>336</v>
      </c>
      <c r="I177" s="141" t="s">
        <v>382</v>
      </c>
      <c r="J177" s="141" t="s">
        <v>988</v>
      </c>
      <c r="K177" s="141" t="s">
        <v>388</v>
      </c>
      <c r="L177" s="141" t="s">
        <v>386</v>
      </c>
      <c r="M177" s="141" t="s">
        <v>973</v>
      </c>
      <c r="N177" s="141" t="s">
        <v>1005</v>
      </c>
      <c r="O177" s="141" t="s">
        <v>53</v>
      </c>
      <c r="P177" s="141" t="s">
        <v>44</v>
      </c>
    </row>
    <row r="178" spans="1:16">
      <c r="A178" s="141" t="s">
        <v>1332</v>
      </c>
      <c r="B178" s="141" t="s">
        <v>1328</v>
      </c>
      <c r="C178" s="141" t="s">
        <v>1030</v>
      </c>
      <c r="D178" s="172">
        <v>61</v>
      </c>
      <c r="E178" s="141" t="s">
        <v>1329</v>
      </c>
      <c r="F178" s="141" t="s">
        <v>53</v>
      </c>
      <c r="G178" s="141" t="s">
        <v>1105</v>
      </c>
      <c r="H178" s="141" t="s">
        <v>336</v>
      </c>
      <c r="I178" s="141" t="s">
        <v>382</v>
      </c>
      <c r="J178" s="141" t="s">
        <v>988</v>
      </c>
      <c r="K178" s="141" t="s">
        <v>388</v>
      </c>
      <c r="L178" s="141" t="s">
        <v>386</v>
      </c>
      <c r="M178" s="141" t="s">
        <v>973</v>
      </c>
      <c r="N178" s="141" t="s">
        <v>1005</v>
      </c>
      <c r="O178" s="141" t="s">
        <v>53</v>
      </c>
      <c r="P178" s="141" t="s">
        <v>44</v>
      </c>
    </row>
    <row r="179" spans="1:16">
      <c r="A179" s="141" t="s">
        <v>1333</v>
      </c>
      <c r="B179" s="141" t="s">
        <v>1328</v>
      </c>
      <c r="C179" s="141" t="s">
        <v>1302</v>
      </c>
      <c r="D179" s="172">
        <v>63</v>
      </c>
      <c r="E179" s="141" t="s">
        <v>1329</v>
      </c>
      <c r="F179" s="141" t="s">
        <v>53</v>
      </c>
      <c r="G179" s="141" t="s">
        <v>1105</v>
      </c>
      <c r="H179" s="141" t="s">
        <v>336</v>
      </c>
      <c r="I179" s="141" t="s">
        <v>382</v>
      </c>
      <c r="J179" s="141" t="s">
        <v>988</v>
      </c>
      <c r="K179" s="141" t="s">
        <v>388</v>
      </c>
      <c r="L179" s="141" t="s">
        <v>386</v>
      </c>
      <c r="M179" s="141" t="s">
        <v>973</v>
      </c>
      <c r="N179" s="141" t="s">
        <v>1005</v>
      </c>
      <c r="O179" s="141" t="s">
        <v>53</v>
      </c>
      <c r="P179" s="141" t="s">
        <v>44</v>
      </c>
    </row>
    <row r="180" spans="1:16">
      <c r="A180" s="141" t="s">
        <v>1334</v>
      </c>
      <c r="B180" s="141" t="s">
        <v>1335</v>
      </c>
      <c r="C180" s="141" t="s">
        <v>969</v>
      </c>
      <c r="D180" s="172">
        <v>57</v>
      </c>
      <c r="E180" s="141" t="s">
        <v>1329</v>
      </c>
      <c r="F180" s="141" t="s">
        <v>83</v>
      </c>
      <c r="G180" s="141" t="s">
        <v>1105</v>
      </c>
      <c r="H180" s="141" t="s">
        <v>336</v>
      </c>
      <c r="I180" s="141" t="s">
        <v>382</v>
      </c>
      <c r="J180" s="141" t="s">
        <v>988</v>
      </c>
      <c r="K180" s="141" t="s">
        <v>388</v>
      </c>
      <c r="L180" s="141" t="s">
        <v>386</v>
      </c>
      <c r="M180" s="141" t="s">
        <v>973</v>
      </c>
      <c r="N180" s="141" t="s">
        <v>1148</v>
      </c>
      <c r="O180" s="141" t="s">
        <v>83</v>
      </c>
      <c r="P180" s="141" t="s">
        <v>44</v>
      </c>
    </row>
    <row r="181" spans="1:16">
      <c r="A181" s="141" t="s">
        <v>1336</v>
      </c>
      <c r="B181" s="141" t="s">
        <v>1335</v>
      </c>
      <c r="C181" s="141" t="s">
        <v>976</v>
      </c>
      <c r="D181" s="172">
        <v>59</v>
      </c>
      <c r="E181" s="141" t="s">
        <v>1329</v>
      </c>
      <c r="F181" s="141" t="s">
        <v>83</v>
      </c>
      <c r="G181" s="141" t="s">
        <v>1105</v>
      </c>
      <c r="H181" s="141" t="s">
        <v>336</v>
      </c>
      <c r="I181" s="141" t="s">
        <v>382</v>
      </c>
      <c r="J181" s="141" t="s">
        <v>988</v>
      </c>
      <c r="K181" s="141" t="s">
        <v>388</v>
      </c>
      <c r="L181" s="141" t="s">
        <v>386</v>
      </c>
      <c r="M181" s="141" t="s">
        <v>973</v>
      </c>
      <c r="N181" s="141" t="s">
        <v>1148</v>
      </c>
      <c r="O181" s="141" t="s">
        <v>83</v>
      </c>
      <c r="P181" s="141" t="s">
        <v>44</v>
      </c>
    </row>
    <row r="182" spans="1:16">
      <c r="A182" s="141" t="s">
        <v>1337</v>
      </c>
      <c r="B182" s="141" t="s">
        <v>1335</v>
      </c>
      <c r="C182" s="141" t="s">
        <v>1032</v>
      </c>
      <c r="D182" s="172">
        <v>55</v>
      </c>
      <c r="E182" s="141" t="s">
        <v>1329</v>
      </c>
      <c r="F182" s="141" t="s">
        <v>83</v>
      </c>
      <c r="G182" s="141" t="s">
        <v>1105</v>
      </c>
      <c r="H182" s="141" t="s">
        <v>336</v>
      </c>
      <c r="I182" s="141" t="s">
        <v>382</v>
      </c>
      <c r="J182" s="141" t="s">
        <v>988</v>
      </c>
      <c r="K182" s="141" t="s">
        <v>388</v>
      </c>
      <c r="L182" s="141" t="s">
        <v>386</v>
      </c>
      <c r="M182" s="141" t="s">
        <v>973</v>
      </c>
      <c r="N182" s="141" t="s">
        <v>1148</v>
      </c>
      <c r="O182" s="141" t="s">
        <v>83</v>
      </c>
      <c r="P182" s="141" t="s">
        <v>44</v>
      </c>
    </row>
    <row r="183" spans="1:16">
      <c r="A183" s="141" t="s">
        <v>1338</v>
      </c>
      <c r="B183" s="141" t="s">
        <v>1335</v>
      </c>
      <c r="C183" s="141" t="s">
        <v>1030</v>
      </c>
      <c r="D183" s="172">
        <v>61</v>
      </c>
      <c r="E183" s="141" t="s">
        <v>1329</v>
      </c>
      <c r="F183" s="141" t="s">
        <v>83</v>
      </c>
      <c r="G183" s="141" t="s">
        <v>1105</v>
      </c>
      <c r="H183" s="141" t="s">
        <v>336</v>
      </c>
      <c r="I183" s="141" t="s">
        <v>382</v>
      </c>
      <c r="J183" s="141" t="s">
        <v>988</v>
      </c>
      <c r="K183" s="141" t="s">
        <v>388</v>
      </c>
      <c r="L183" s="141" t="s">
        <v>386</v>
      </c>
      <c r="M183" s="141" t="s">
        <v>973</v>
      </c>
      <c r="N183" s="141" t="s">
        <v>1148</v>
      </c>
      <c r="O183" s="141" t="s">
        <v>83</v>
      </c>
      <c r="P183" s="141" t="s">
        <v>44</v>
      </c>
    </row>
    <row r="184" spans="1:16">
      <c r="A184" s="141" t="s">
        <v>1339</v>
      </c>
      <c r="B184" s="141" t="s">
        <v>1340</v>
      </c>
      <c r="C184" s="141" t="s">
        <v>969</v>
      </c>
      <c r="D184" s="172">
        <v>57</v>
      </c>
      <c r="E184" s="141" t="s">
        <v>1329</v>
      </c>
      <c r="F184" s="141" t="s">
        <v>71</v>
      </c>
      <c r="G184" s="141" t="s">
        <v>1105</v>
      </c>
      <c r="H184" s="141" t="s">
        <v>336</v>
      </c>
      <c r="I184" s="141" t="s">
        <v>382</v>
      </c>
      <c r="J184" s="141" t="s">
        <v>988</v>
      </c>
      <c r="K184" s="141" t="s">
        <v>388</v>
      </c>
      <c r="L184" s="141" t="s">
        <v>539</v>
      </c>
      <c r="M184" s="141" t="s">
        <v>973</v>
      </c>
      <c r="N184" s="141" t="s">
        <v>1017</v>
      </c>
      <c r="O184" s="141" t="s">
        <v>71</v>
      </c>
      <c r="P184" s="141" t="s">
        <v>44</v>
      </c>
    </row>
    <row r="185" spans="1:16">
      <c r="A185" s="141" t="s">
        <v>1341</v>
      </c>
      <c r="B185" s="141" t="s">
        <v>1340</v>
      </c>
      <c r="C185" s="141" t="s">
        <v>976</v>
      </c>
      <c r="D185" s="172">
        <v>59</v>
      </c>
      <c r="E185" s="141" t="s">
        <v>1329</v>
      </c>
      <c r="F185" s="141" t="s">
        <v>71</v>
      </c>
      <c r="G185" s="141" t="s">
        <v>1105</v>
      </c>
      <c r="H185" s="141" t="s">
        <v>336</v>
      </c>
      <c r="I185" s="141" t="s">
        <v>382</v>
      </c>
      <c r="J185" s="141" t="s">
        <v>988</v>
      </c>
      <c r="K185" s="141" t="s">
        <v>388</v>
      </c>
      <c r="L185" s="141" t="s">
        <v>539</v>
      </c>
      <c r="M185" s="141" t="s">
        <v>973</v>
      </c>
      <c r="N185" s="141" t="s">
        <v>1017</v>
      </c>
      <c r="O185" s="141" t="s">
        <v>71</v>
      </c>
      <c r="P185" s="141" t="s">
        <v>44</v>
      </c>
    </row>
    <row r="186" spans="1:16">
      <c r="A186" s="141" t="s">
        <v>1342</v>
      </c>
      <c r="B186" s="141" t="s">
        <v>1340</v>
      </c>
      <c r="C186" s="141" t="s">
        <v>1032</v>
      </c>
      <c r="D186" s="172">
        <v>55</v>
      </c>
      <c r="E186" s="141" t="s">
        <v>1329</v>
      </c>
      <c r="F186" s="141" t="s">
        <v>71</v>
      </c>
      <c r="G186" s="141" t="s">
        <v>1105</v>
      </c>
      <c r="H186" s="141" t="s">
        <v>336</v>
      </c>
      <c r="I186" s="141" t="s">
        <v>382</v>
      </c>
      <c r="J186" s="141" t="s">
        <v>988</v>
      </c>
      <c r="K186" s="141" t="s">
        <v>388</v>
      </c>
      <c r="L186" s="141" t="s">
        <v>539</v>
      </c>
      <c r="M186" s="141" t="s">
        <v>973</v>
      </c>
      <c r="N186" s="141" t="s">
        <v>1017</v>
      </c>
      <c r="O186" s="141" t="s">
        <v>71</v>
      </c>
      <c r="P186" s="141" t="s">
        <v>44</v>
      </c>
    </row>
    <row r="187" spans="1:16">
      <c r="A187" s="141" t="s">
        <v>1343</v>
      </c>
      <c r="B187" s="141" t="s">
        <v>1340</v>
      </c>
      <c r="C187" s="141" t="s">
        <v>1030</v>
      </c>
      <c r="D187" s="172">
        <v>61</v>
      </c>
      <c r="E187" s="141" t="s">
        <v>1329</v>
      </c>
      <c r="F187" s="141" t="s">
        <v>71</v>
      </c>
      <c r="G187" s="141" t="s">
        <v>1105</v>
      </c>
      <c r="H187" s="141" t="s">
        <v>336</v>
      </c>
      <c r="I187" s="141" t="s">
        <v>382</v>
      </c>
      <c r="J187" s="141" t="s">
        <v>988</v>
      </c>
      <c r="K187" s="141" t="s">
        <v>388</v>
      </c>
      <c r="L187" s="141" t="s">
        <v>539</v>
      </c>
      <c r="M187" s="141" t="s">
        <v>973</v>
      </c>
      <c r="N187" s="141" t="s">
        <v>1017</v>
      </c>
      <c r="O187" s="141" t="s">
        <v>71</v>
      </c>
      <c r="P187" s="141" t="s">
        <v>44</v>
      </c>
    </row>
    <row r="188" spans="1:16">
      <c r="A188" s="141" t="s">
        <v>1344</v>
      </c>
      <c r="B188" s="141" t="s">
        <v>1345</v>
      </c>
      <c r="C188" s="141" t="s">
        <v>969</v>
      </c>
      <c r="D188" s="172">
        <v>57</v>
      </c>
      <c r="E188" s="141" t="s">
        <v>1346</v>
      </c>
      <c r="F188" s="141" t="s">
        <v>53</v>
      </c>
      <c r="G188" s="141" t="s">
        <v>1194</v>
      </c>
      <c r="H188" s="141" t="s">
        <v>324</v>
      </c>
      <c r="I188" s="141" t="s">
        <v>382</v>
      </c>
      <c r="J188" s="141" t="s">
        <v>988</v>
      </c>
      <c r="K188" s="141" t="s">
        <v>388</v>
      </c>
      <c r="L188" s="141" t="s">
        <v>386</v>
      </c>
      <c r="M188" s="141" t="s">
        <v>973</v>
      </c>
      <c r="N188" s="141" t="s">
        <v>1005</v>
      </c>
      <c r="O188" s="141" t="s">
        <v>53</v>
      </c>
      <c r="P188" s="141" t="s">
        <v>44</v>
      </c>
    </row>
    <row r="189" spans="1:16">
      <c r="A189" s="141" t="s">
        <v>1347</v>
      </c>
      <c r="B189" s="141" t="s">
        <v>1345</v>
      </c>
      <c r="C189" s="141" t="s">
        <v>976</v>
      </c>
      <c r="D189" s="172">
        <v>59</v>
      </c>
      <c r="E189" s="141" t="s">
        <v>1346</v>
      </c>
      <c r="F189" s="141" t="s">
        <v>53</v>
      </c>
      <c r="G189" s="141" t="s">
        <v>1194</v>
      </c>
      <c r="H189" s="141" t="s">
        <v>324</v>
      </c>
      <c r="I189" s="141" t="s">
        <v>382</v>
      </c>
      <c r="J189" s="141" t="s">
        <v>988</v>
      </c>
      <c r="K189" s="141" t="s">
        <v>388</v>
      </c>
      <c r="L189" s="141" t="s">
        <v>386</v>
      </c>
      <c r="M189" s="141" t="s">
        <v>973</v>
      </c>
      <c r="N189" s="141" t="s">
        <v>1005</v>
      </c>
      <c r="O189" s="141" t="s">
        <v>53</v>
      </c>
      <c r="P189" s="141" t="s">
        <v>44</v>
      </c>
    </row>
    <row r="190" spans="1:16">
      <c r="A190" s="141" t="s">
        <v>1348</v>
      </c>
      <c r="B190" s="141" t="s">
        <v>1345</v>
      </c>
      <c r="C190" s="141" t="s">
        <v>1032</v>
      </c>
      <c r="D190" s="172">
        <v>55</v>
      </c>
      <c r="E190" s="141" t="s">
        <v>1346</v>
      </c>
      <c r="F190" s="141" t="s">
        <v>53</v>
      </c>
      <c r="G190" s="141" t="s">
        <v>1194</v>
      </c>
      <c r="H190" s="141" t="s">
        <v>324</v>
      </c>
      <c r="I190" s="141" t="s">
        <v>382</v>
      </c>
      <c r="J190" s="141" t="s">
        <v>988</v>
      </c>
      <c r="K190" s="141" t="s">
        <v>388</v>
      </c>
      <c r="L190" s="141" t="s">
        <v>386</v>
      </c>
      <c r="M190" s="141" t="s">
        <v>973</v>
      </c>
      <c r="N190" s="141" t="s">
        <v>1005</v>
      </c>
      <c r="O190" s="141" t="s">
        <v>53</v>
      </c>
      <c r="P190" s="141" t="s">
        <v>44</v>
      </c>
    </row>
    <row r="191" spans="1:16">
      <c r="A191" s="141" t="s">
        <v>1349</v>
      </c>
      <c r="B191" s="141" t="s">
        <v>1345</v>
      </c>
      <c r="C191" s="141" t="s">
        <v>1030</v>
      </c>
      <c r="D191" s="172">
        <v>61</v>
      </c>
      <c r="E191" s="141" t="s">
        <v>1346</v>
      </c>
      <c r="F191" s="141" t="s">
        <v>53</v>
      </c>
      <c r="G191" s="141" t="s">
        <v>1194</v>
      </c>
      <c r="H191" s="141" t="s">
        <v>324</v>
      </c>
      <c r="I191" s="141" t="s">
        <v>382</v>
      </c>
      <c r="J191" s="141" t="s">
        <v>988</v>
      </c>
      <c r="K191" s="141" t="s">
        <v>388</v>
      </c>
      <c r="L191" s="141" t="s">
        <v>386</v>
      </c>
      <c r="M191" s="141" t="s">
        <v>973</v>
      </c>
      <c r="N191" s="141" t="s">
        <v>1005</v>
      </c>
      <c r="O191" s="141" t="s">
        <v>53</v>
      </c>
      <c r="P191" s="141" t="s">
        <v>44</v>
      </c>
    </row>
    <row r="192" spans="1:16">
      <c r="A192" s="141" t="s">
        <v>1350</v>
      </c>
      <c r="B192" s="141" t="s">
        <v>1351</v>
      </c>
      <c r="C192" s="141" t="s">
        <v>909</v>
      </c>
      <c r="D192" s="142">
        <v>0</v>
      </c>
      <c r="E192" s="141" t="s">
        <v>1352</v>
      </c>
      <c r="F192" s="141" t="s">
        <v>71</v>
      </c>
      <c r="G192" s="141" t="s">
        <v>1221</v>
      </c>
      <c r="H192" s="141" t="s">
        <v>340</v>
      </c>
      <c r="I192" s="141" t="s">
        <v>382</v>
      </c>
      <c r="J192" s="141" t="s">
        <v>988</v>
      </c>
      <c r="K192" s="141" t="s">
        <v>389</v>
      </c>
      <c r="L192" s="141" t="s">
        <v>539</v>
      </c>
      <c r="M192" s="141" t="s">
        <v>973</v>
      </c>
      <c r="N192" s="141" t="s">
        <v>1353</v>
      </c>
      <c r="O192" s="141" t="s">
        <v>71</v>
      </c>
      <c r="P192" s="141" t="s">
        <v>44</v>
      </c>
    </row>
    <row r="193" spans="1:16">
      <c r="A193" s="141" t="s">
        <v>1354</v>
      </c>
      <c r="B193" s="141" t="s">
        <v>1355</v>
      </c>
      <c r="C193" s="141" t="s">
        <v>909</v>
      </c>
      <c r="D193" s="142">
        <v>0</v>
      </c>
      <c r="E193" s="141" t="s">
        <v>1352</v>
      </c>
      <c r="F193" s="141" t="s">
        <v>83</v>
      </c>
      <c r="G193" s="141" t="s">
        <v>1221</v>
      </c>
      <c r="H193" s="141" t="s">
        <v>340</v>
      </c>
      <c r="I193" s="141" t="s">
        <v>382</v>
      </c>
      <c r="J193" s="141" t="s">
        <v>988</v>
      </c>
      <c r="K193" s="141" t="s">
        <v>389</v>
      </c>
      <c r="L193" s="141" t="s">
        <v>539</v>
      </c>
      <c r="M193" s="141" t="s">
        <v>973</v>
      </c>
      <c r="N193" s="141" t="s">
        <v>1119</v>
      </c>
      <c r="O193" s="141" t="s">
        <v>83</v>
      </c>
      <c r="P193" s="141" t="s">
        <v>44</v>
      </c>
    </row>
    <row r="194" spans="1:16">
      <c r="A194" s="141" t="s">
        <v>1356</v>
      </c>
      <c r="B194" s="141" t="s">
        <v>1357</v>
      </c>
      <c r="C194" s="141" t="s">
        <v>909</v>
      </c>
      <c r="D194" s="142">
        <v>0</v>
      </c>
      <c r="E194" s="141" t="s">
        <v>1352</v>
      </c>
      <c r="F194" s="141" t="s">
        <v>53</v>
      </c>
      <c r="G194" s="141" t="s">
        <v>1221</v>
      </c>
      <c r="H194" s="141" t="s">
        <v>340</v>
      </c>
      <c r="I194" s="141" t="s">
        <v>382</v>
      </c>
      <c r="J194" s="141" t="s">
        <v>988</v>
      </c>
      <c r="K194" s="141" t="s">
        <v>389</v>
      </c>
      <c r="L194" s="141" t="s">
        <v>539</v>
      </c>
      <c r="M194" s="141" t="s">
        <v>973</v>
      </c>
      <c r="N194" s="141" t="s">
        <v>1005</v>
      </c>
      <c r="O194" s="141" t="s">
        <v>53</v>
      </c>
      <c r="P194" s="141" t="s">
        <v>44</v>
      </c>
    </row>
    <row r="195" spans="1:16">
      <c r="A195" s="141" t="s">
        <v>1358</v>
      </c>
      <c r="B195" s="141" t="s">
        <v>1359</v>
      </c>
      <c r="C195" s="141" t="s">
        <v>909</v>
      </c>
      <c r="D195" s="142">
        <v>0</v>
      </c>
      <c r="E195" s="141" t="s">
        <v>1360</v>
      </c>
      <c r="F195" s="141" t="s">
        <v>55</v>
      </c>
      <c r="G195" s="141" t="s">
        <v>1233</v>
      </c>
      <c r="H195" s="141" t="s">
        <v>327</v>
      </c>
      <c r="I195" s="141" t="s">
        <v>382</v>
      </c>
      <c r="J195" s="141" t="s">
        <v>988</v>
      </c>
      <c r="K195" s="141" t="s">
        <v>388</v>
      </c>
      <c r="L195" s="141" t="s">
        <v>386</v>
      </c>
      <c r="M195" s="141" t="s">
        <v>973</v>
      </c>
      <c r="N195" s="141" t="s">
        <v>1106</v>
      </c>
      <c r="O195" s="141" t="s">
        <v>71</v>
      </c>
      <c r="P195" s="141" t="s">
        <v>1244</v>
      </c>
    </row>
    <row r="196" spans="1:16">
      <c r="A196" s="141" t="s">
        <v>1361</v>
      </c>
      <c r="B196" s="141" t="s">
        <v>1362</v>
      </c>
      <c r="C196" s="141" t="s">
        <v>909</v>
      </c>
      <c r="D196" s="142">
        <v>0</v>
      </c>
      <c r="E196" s="141" t="s">
        <v>1317</v>
      </c>
      <c r="F196" s="141" t="s">
        <v>590</v>
      </c>
      <c r="G196" s="141" t="s">
        <v>1221</v>
      </c>
      <c r="H196" s="141" t="s">
        <v>340</v>
      </c>
      <c r="I196" s="141" t="s">
        <v>382</v>
      </c>
      <c r="J196" s="141" t="s">
        <v>988</v>
      </c>
      <c r="K196" s="141" t="s">
        <v>389</v>
      </c>
      <c r="L196" s="141" t="s">
        <v>539</v>
      </c>
      <c r="M196" s="141" t="s">
        <v>973</v>
      </c>
      <c r="N196" s="141" t="s">
        <v>1363</v>
      </c>
      <c r="O196" s="141" t="s">
        <v>53</v>
      </c>
      <c r="P196" s="141"/>
    </row>
    <row r="197" spans="1:16">
      <c r="A197" s="141" t="s">
        <v>1364</v>
      </c>
      <c r="B197" s="141" t="s">
        <v>1365</v>
      </c>
      <c r="C197" s="141" t="s">
        <v>909</v>
      </c>
      <c r="D197" s="142">
        <v>0</v>
      </c>
      <c r="E197" s="141" t="s">
        <v>1360</v>
      </c>
      <c r="F197" s="141" t="s">
        <v>53</v>
      </c>
      <c r="G197" s="141" t="s">
        <v>1233</v>
      </c>
      <c r="H197" s="141" t="s">
        <v>327</v>
      </c>
      <c r="I197" s="141" t="s">
        <v>382</v>
      </c>
      <c r="J197" s="141" t="s">
        <v>988</v>
      </c>
      <c r="K197" s="141" t="s">
        <v>388</v>
      </c>
      <c r="L197" s="141" t="s">
        <v>386</v>
      </c>
      <c r="M197" s="141" t="s">
        <v>973</v>
      </c>
      <c r="N197" s="141" t="s">
        <v>1005</v>
      </c>
      <c r="O197" s="141" t="s">
        <v>53</v>
      </c>
      <c r="P197" s="141" t="s">
        <v>1244</v>
      </c>
    </row>
    <row r="198" spans="1:16">
      <c r="A198" s="141" t="s">
        <v>1366</v>
      </c>
      <c r="B198" s="141" t="s">
        <v>1367</v>
      </c>
      <c r="C198" s="141" t="s">
        <v>1053</v>
      </c>
      <c r="D198" s="172">
        <v>56</v>
      </c>
      <c r="E198" s="141" t="s">
        <v>1169</v>
      </c>
      <c r="F198" s="141" t="s">
        <v>83</v>
      </c>
      <c r="G198" s="141" t="s">
        <v>1170</v>
      </c>
      <c r="H198" s="141" t="s">
        <v>327</v>
      </c>
      <c r="I198" s="141" t="s">
        <v>382</v>
      </c>
      <c r="J198" s="141" t="s">
        <v>988</v>
      </c>
      <c r="K198" s="141" t="s">
        <v>388</v>
      </c>
      <c r="L198" s="141" t="s">
        <v>533</v>
      </c>
      <c r="M198" s="141" t="s">
        <v>973</v>
      </c>
      <c r="N198" s="141" t="s">
        <v>1119</v>
      </c>
      <c r="O198" s="141" t="s">
        <v>83</v>
      </c>
      <c r="P198" s="141" t="s">
        <v>44</v>
      </c>
    </row>
    <row r="199" spans="1:16">
      <c r="A199" s="141" t="s">
        <v>1368</v>
      </c>
      <c r="B199" s="141" t="s">
        <v>1367</v>
      </c>
      <c r="C199" s="141" t="s">
        <v>1058</v>
      </c>
      <c r="D199" s="172">
        <v>60</v>
      </c>
      <c r="E199" s="141" t="s">
        <v>1169</v>
      </c>
      <c r="F199" s="141" t="s">
        <v>83</v>
      </c>
      <c r="G199" s="141" t="s">
        <v>1170</v>
      </c>
      <c r="H199" s="141" t="s">
        <v>327</v>
      </c>
      <c r="I199" s="141" t="s">
        <v>382</v>
      </c>
      <c r="J199" s="141" t="s">
        <v>988</v>
      </c>
      <c r="K199" s="141" t="s">
        <v>388</v>
      </c>
      <c r="L199" s="141" t="s">
        <v>533</v>
      </c>
      <c r="M199" s="141" t="s">
        <v>973</v>
      </c>
      <c r="N199" s="141" t="s">
        <v>1119</v>
      </c>
      <c r="O199" s="141" t="s">
        <v>83</v>
      </c>
      <c r="P199" s="141" t="s">
        <v>44</v>
      </c>
    </row>
    <row r="200" spans="1:16">
      <c r="A200" s="141" t="s">
        <v>1369</v>
      </c>
      <c r="B200" s="141" t="s">
        <v>1370</v>
      </c>
      <c r="C200" s="141" t="s">
        <v>1053</v>
      </c>
      <c r="D200" s="172">
        <v>56</v>
      </c>
      <c r="E200" s="141" t="s">
        <v>1177</v>
      </c>
      <c r="F200" s="141" t="s">
        <v>53</v>
      </c>
      <c r="G200" s="141" t="s">
        <v>1055</v>
      </c>
      <c r="H200" s="141" t="s">
        <v>327</v>
      </c>
      <c r="I200" s="141" t="s">
        <v>382</v>
      </c>
      <c r="J200" s="141" t="s">
        <v>988</v>
      </c>
      <c r="K200" s="141" t="s">
        <v>388</v>
      </c>
      <c r="L200" s="141" t="s">
        <v>533</v>
      </c>
      <c r="M200" s="141" t="s">
        <v>973</v>
      </c>
      <c r="N200" s="141" t="s">
        <v>1371</v>
      </c>
      <c r="O200" s="141" t="s">
        <v>53</v>
      </c>
      <c r="P200" s="141" t="s">
        <v>44</v>
      </c>
    </row>
    <row r="201" spans="1:16">
      <c r="A201" s="141" t="s">
        <v>1372</v>
      </c>
      <c r="B201" s="141" t="s">
        <v>1370</v>
      </c>
      <c r="C201" s="141" t="s">
        <v>1058</v>
      </c>
      <c r="D201" s="172">
        <v>60</v>
      </c>
      <c r="E201" s="141" t="s">
        <v>1177</v>
      </c>
      <c r="F201" s="141" t="s">
        <v>53</v>
      </c>
      <c r="G201" s="141" t="s">
        <v>1055</v>
      </c>
      <c r="H201" s="141" t="s">
        <v>327</v>
      </c>
      <c r="I201" s="141" t="s">
        <v>382</v>
      </c>
      <c r="J201" s="141" t="s">
        <v>988</v>
      </c>
      <c r="K201" s="141" t="s">
        <v>388</v>
      </c>
      <c r="L201" s="141" t="s">
        <v>533</v>
      </c>
      <c r="M201" s="141" t="s">
        <v>973</v>
      </c>
      <c r="N201" s="141" t="s">
        <v>1371</v>
      </c>
      <c r="O201" s="141" t="s">
        <v>53</v>
      </c>
      <c r="P201" s="141" t="s">
        <v>44</v>
      </c>
    </row>
    <row r="202" spans="1:16">
      <c r="A202" s="141" t="s">
        <v>1373</v>
      </c>
      <c r="B202" s="141" t="s">
        <v>1374</v>
      </c>
      <c r="C202" s="141" t="s">
        <v>1032</v>
      </c>
      <c r="D202" s="172">
        <v>55</v>
      </c>
      <c r="E202" s="141" t="s">
        <v>1152</v>
      </c>
      <c r="F202" s="141" t="s">
        <v>71</v>
      </c>
      <c r="G202" s="141" t="s">
        <v>1132</v>
      </c>
      <c r="H202" s="141" t="s">
        <v>318</v>
      </c>
      <c r="I202" s="141" t="s">
        <v>382</v>
      </c>
      <c r="J202" s="141" t="s">
        <v>988</v>
      </c>
      <c r="K202" s="141" t="s">
        <v>388</v>
      </c>
      <c r="L202" s="141" t="s">
        <v>539</v>
      </c>
      <c r="M202" s="141" t="s">
        <v>973</v>
      </c>
      <c r="N202" s="141" t="s">
        <v>1375</v>
      </c>
      <c r="O202" s="141" t="s">
        <v>71</v>
      </c>
      <c r="P202" s="141" t="s">
        <v>44</v>
      </c>
    </row>
    <row r="203" spans="1:16">
      <c r="A203" s="141" t="s">
        <v>1376</v>
      </c>
      <c r="B203" s="141" t="s">
        <v>1374</v>
      </c>
      <c r="C203" s="141" t="s">
        <v>969</v>
      </c>
      <c r="D203" s="172">
        <v>57</v>
      </c>
      <c r="E203" s="141" t="s">
        <v>1152</v>
      </c>
      <c r="F203" s="141" t="s">
        <v>71</v>
      </c>
      <c r="G203" s="141" t="s">
        <v>1132</v>
      </c>
      <c r="H203" s="141" t="s">
        <v>318</v>
      </c>
      <c r="I203" s="141" t="s">
        <v>382</v>
      </c>
      <c r="J203" s="141" t="s">
        <v>988</v>
      </c>
      <c r="K203" s="141" t="s">
        <v>388</v>
      </c>
      <c r="L203" s="141" t="s">
        <v>539</v>
      </c>
      <c r="M203" s="141" t="s">
        <v>973</v>
      </c>
      <c r="N203" s="141" t="s">
        <v>1375</v>
      </c>
      <c r="O203" s="141" t="s">
        <v>71</v>
      </c>
      <c r="P203" s="141" t="s">
        <v>44</v>
      </c>
    </row>
    <row r="204" spans="1:16">
      <c r="A204" s="141" t="s">
        <v>1377</v>
      </c>
      <c r="B204" s="141" t="s">
        <v>1374</v>
      </c>
      <c r="C204" s="141" t="s">
        <v>976</v>
      </c>
      <c r="D204" s="172">
        <v>59</v>
      </c>
      <c r="E204" s="141" t="s">
        <v>1152</v>
      </c>
      <c r="F204" s="141" t="s">
        <v>71</v>
      </c>
      <c r="G204" s="141" t="s">
        <v>1132</v>
      </c>
      <c r="H204" s="141" t="s">
        <v>318</v>
      </c>
      <c r="I204" s="141" t="s">
        <v>382</v>
      </c>
      <c r="J204" s="141" t="s">
        <v>988</v>
      </c>
      <c r="K204" s="141" t="s">
        <v>388</v>
      </c>
      <c r="L204" s="141" t="s">
        <v>539</v>
      </c>
      <c r="M204" s="141" t="s">
        <v>973</v>
      </c>
      <c r="N204" s="141" t="s">
        <v>1375</v>
      </c>
      <c r="O204" s="141" t="s">
        <v>71</v>
      </c>
      <c r="P204" s="141" t="s">
        <v>44</v>
      </c>
    </row>
    <row r="205" spans="1:16">
      <c r="A205" s="141" t="s">
        <v>1378</v>
      </c>
      <c r="B205" s="141" t="s">
        <v>1374</v>
      </c>
      <c r="C205" s="141" t="s">
        <v>1030</v>
      </c>
      <c r="D205" s="172">
        <v>61</v>
      </c>
      <c r="E205" s="141" t="s">
        <v>1152</v>
      </c>
      <c r="F205" s="141" t="s">
        <v>71</v>
      </c>
      <c r="G205" s="141" t="s">
        <v>1132</v>
      </c>
      <c r="H205" s="141" t="s">
        <v>318</v>
      </c>
      <c r="I205" s="141" t="s">
        <v>382</v>
      </c>
      <c r="J205" s="141" t="s">
        <v>988</v>
      </c>
      <c r="K205" s="141" t="s">
        <v>388</v>
      </c>
      <c r="L205" s="141" t="s">
        <v>539</v>
      </c>
      <c r="M205" s="141" t="s">
        <v>973</v>
      </c>
      <c r="N205" s="141" t="s">
        <v>1375</v>
      </c>
      <c r="O205" s="141" t="s">
        <v>71</v>
      </c>
      <c r="P205" s="141" t="s">
        <v>44</v>
      </c>
    </row>
    <row r="206" spans="1:16">
      <c r="A206" s="141" t="s">
        <v>1379</v>
      </c>
      <c r="B206" s="141" t="s">
        <v>1380</v>
      </c>
      <c r="C206" s="141" t="s">
        <v>909</v>
      </c>
      <c r="D206" s="142">
        <v>0</v>
      </c>
      <c r="E206" s="141" t="s">
        <v>1381</v>
      </c>
      <c r="F206" s="141" t="s">
        <v>53</v>
      </c>
      <c r="G206" s="141" t="s">
        <v>1221</v>
      </c>
      <c r="H206" s="141" t="s">
        <v>340</v>
      </c>
      <c r="I206" s="141" t="s">
        <v>382</v>
      </c>
      <c r="J206" s="141" t="s">
        <v>988</v>
      </c>
      <c r="K206" s="141" t="s">
        <v>389</v>
      </c>
      <c r="L206" s="141" t="s">
        <v>539</v>
      </c>
      <c r="M206" s="141" t="s">
        <v>973</v>
      </c>
      <c r="N206" s="141" t="s">
        <v>1005</v>
      </c>
      <c r="O206" s="141" t="s">
        <v>53</v>
      </c>
      <c r="P206" s="141" t="s">
        <v>44</v>
      </c>
    </row>
    <row r="207" spans="1:16">
      <c r="A207" s="141" t="s">
        <v>1382</v>
      </c>
      <c r="B207" s="141" t="s">
        <v>1383</v>
      </c>
      <c r="C207" s="141" t="s">
        <v>909</v>
      </c>
      <c r="D207" s="142">
        <v>0</v>
      </c>
      <c r="E207" s="141" t="s">
        <v>1384</v>
      </c>
      <c r="F207" s="141" t="s">
        <v>83</v>
      </c>
      <c r="G207" s="141" t="s">
        <v>1221</v>
      </c>
      <c r="H207" s="141" t="s">
        <v>340</v>
      </c>
      <c r="I207" s="141" t="s">
        <v>382</v>
      </c>
      <c r="J207" s="141" t="s">
        <v>988</v>
      </c>
      <c r="K207" s="141" t="s">
        <v>389</v>
      </c>
      <c r="L207" s="141" t="s">
        <v>539</v>
      </c>
      <c r="M207" s="141" t="s">
        <v>973</v>
      </c>
      <c r="N207" s="141" t="s">
        <v>1385</v>
      </c>
      <c r="O207" s="141" t="s">
        <v>83</v>
      </c>
      <c r="P207" s="141" t="s">
        <v>44</v>
      </c>
    </row>
    <row r="208" spans="1:16">
      <c r="A208" s="141" t="s">
        <v>1386</v>
      </c>
      <c r="B208" s="141" t="s">
        <v>1387</v>
      </c>
      <c r="C208" s="141" t="s">
        <v>1053</v>
      </c>
      <c r="D208" s="172">
        <v>56</v>
      </c>
      <c r="E208" s="141" t="s">
        <v>1388</v>
      </c>
      <c r="F208" s="141" t="s">
        <v>83</v>
      </c>
      <c r="G208" s="141" t="s">
        <v>912</v>
      </c>
      <c r="H208" s="141" t="s">
        <v>318</v>
      </c>
      <c r="I208" s="141" t="s">
        <v>382</v>
      </c>
      <c r="J208" s="141" t="s">
        <v>988</v>
      </c>
      <c r="K208" s="141" t="s">
        <v>389</v>
      </c>
      <c r="L208" s="141" t="s">
        <v>533</v>
      </c>
      <c r="M208" s="141" t="s">
        <v>973</v>
      </c>
      <c r="N208" s="141" t="s">
        <v>1371</v>
      </c>
      <c r="O208" s="141" t="s">
        <v>83</v>
      </c>
      <c r="P208" s="141" t="s">
        <v>44</v>
      </c>
    </row>
    <row r="209" spans="1:16">
      <c r="A209" s="141" t="s">
        <v>1389</v>
      </c>
      <c r="B209" s="141" t="s">
        <v>1387</v>
      </c>
      <c r="C209" s="141" t="s">
        <v>1058</v>
      </c>
      <c r="D209" s="172">
        <v>60</v>
      </c>
      <c r="E209" s="141" t="s">
        <v>1388</v>
      </c>
      <c r="F209" s="141" t="s">
        <v>83</v>
      </c>
      <c r="G209" s="141" t="s">
        <v>912</v>
      </c>
      <c r="H209" s="141" t="s">
        <v>318</v>
      </c>
      <c r="I209" s="141" t="s">
        <v>382</v>
      </c>
      <c r="J209" s="141" t="s">
        <v>988</v>
      </c>
      <c r="K209" s="141" t="s">
        <v>389</v>
      </c>
      <c r="L209" s="141" t="s">
        <v>533</v>
      </c>
      <c r="M209" s="141" t="s">
        <v>973</v>
      </c>
      <c r="N209" s="141" t="s">
        <v>1371</v>
      </c>
      <c r="O209" s="141" t="s">
        <v>83</v>
      </c>
      <c r="P209" s="141" t="s">
        <v>44</v>
      </c>
    </row>
    <row r="210" spans="1:16">
      <c r="A210" s="141" t="s">
        <v>1390</v>
      </c>
      <c r="B210" s="141" t="s">
        <v>1391</v>
      </c>
      <c r="C210" s="141" t="s">
        <v>1058</v>
      </c>
      <c r="D210" s="172">
        <v>60</v>
      </c>
      <c r="E210" s="141" t="s">
        <v>1392</v>
      </c>
      <c r="F210" s="141" t="s">
        <v>53</v>
      </c>
      <c r="G210" s="141" t="s">
        <v>1393</v>
      </c>
      <c r="H210" s="141" t="s">
        <v>327</v>
      </c>
      <c r="I210" s="141" t="s">
        <v>382</v>
      </c>
      <c r="J210" s="141" t="s">
        <v>981</v>
      </c>
      <c r="K210" s="141" t="s">
        <v>384</v>
      </c>
      <c r="L210" s="141" t="s">
        <v>533</v>
      </c>
      <c r="M210" s="141" t="s">
        <v>808</v>
      </c>
      <c r="N210" s="141" t="s">
        <v>1005</v>
      </c>
      <c r="O210" s="141" t="s">
        <v>53</v>
      </c>
      <c r="P210" s="141"/>
    </row>
    <row r="211" spans="1:16">
      <c r="A211" s="141" t="s">
        <v>1394</v>
      </c>
      <c r="B211" s="141" t="s">
        <v>1391</v>
      </c>
      <c r="C211" s="141" t="s">
        <v>1053</v>
      </c>
      <c r="D211" s="172">
        <v>56</v>
      </c>
      <c r="E211" s="141" t="s">
        <v>1392</v>
      </c>
      <c r="F211" s="141" t="s">
        <v>53</v>
      </c>
      <c r="G211" s="141" t="s">
        <v>1393</v>
      </c>
      <c r="H211" s="141" t="s">
        <v>327</v>
      </c>
      <c r="I211" s="141" t="s">
        <v>382</v>
      </c>
      <c r="J211" s="141" t="s">
        <v>981</v>
      </c>
      <c r="K211" s="141" t="s">
        <v>384</v>
      </c>
      <c r="L211" s="141" t="s">
        <v>533</v>
      </c>
      <c r="M211" s="141" t="s">
        <v>808</v>
      </c>
      <c r="N211" s="141" t="s">
        <v>1005</v>
      </c>
      <c r="O211" s="141" t="s">
        <v>53</v>
      </c>
      <c r="P211" s="141"/>
    </row>
    <row r="212" spans="1:16">
      <c r="A212" s="141" t="s">
        <v>1395</v>
      </c>
      <c r="B212" s="141" t="s">
        <v>1396</v>
      </c>
      <c r="C212" s="141" t="s">
        <v>1058</v>
      </c>
      <c r="D212" s="172">
        <v>60</v>
      </c>
      <c r="E212" s="141" t="s">
        <v>1397</v>
      </c>
      <c r="F212" s="141" t="s">
        <v>53</v>
      </c>
      <c r="G212" s="141" t="s">
        <v>1398</v>
      </c>
      <c r="H212" s="141" t="s">
        <v>350</v>
      </c>
      <c r="I212" s="141" t="s">
        <v>382</v>
      </c>
      <c r="J212" s="141" t="s">
        <v>981</v>
      </c>
      <c r="K212" s="141" t="s">
        <v>384</v>
      </c>
      <c r="L212" s="141" t="s">
        <v>533</v>
      </c>
      <c r="M212" s="141" t="s">
        <v>808</v>
      </c>
      <c r="N212" s="141" t="s">
        <v>1005</v>
      </c>
      <c r="O212" s="141" t="s">
        <v>53</v>
      </c>
      <c r="P212" s="141" t="s">
        <v>43</v>
      </c>
    </row>
    <row r="213" spans="1:16">
      <c r="A213" s="141" t="s">
        <v>1399</v>
      </c>
      <c r="B213" s="141" t="s">
        <v>1396</v>
      </c>
      <c r="C213" s="141" t="s">
        <v>1053</v>
      </c>
      <c r="D213" s="172">
        <v>56</v>
      </c>
      <c r="E213" s="141" t="s">
        <v>1397</v>
      </c>
      <c r="F213" s="141" t="s">
        <v>53</v>
      </c>
      <c r="G213" s="141" t="s">
        <v>1398</v>
      </c>
      <c r="H213" s="141" t="s">
        <v>350</v>
      </c>
      <c r="I213" s="141" t="s">
        <v>382</v>
      </c>
      <c r="J213" s="141" t="s">
        <v>981</v>
      </c>
      <c r="K213" s="141" t="s">
        <v>384</v>
      </c>
      <c r="L213" s="141" t="s">
        <v>533</v>
      </c>
      <c r="M213" s="141" t="s">
        <v>808</v>
      </c>
      <c r="N213" s="141" t="s">
        <v>1005</v>
      </c>
      <c r="O213" s="141" t="s">
        <v>53</v>
      </c>
      <c r="P213" s="141" t="s">
        <v>43</v>
      </c>
    </row>
    <row r="214" spans="1:16">
      <c r="A214" s="141" t="s">
        <v>1400</v>
      </c>
      <c r="B214" s="141" t="s">
        <v>1401</v>
      </c>
      <c r="C214" s="141" t="s">
        <v>976</v>
      </c>
      <c r="D214" s="172">
        <v>59</v>
      </c>
      <c r="E214" s="141" t="s">
        <v>1402</v>
      </c>
      <c r="F214" s="141" t="s">
        <v>53</v>
      </c>
      <c r="G214" s="141" t="s">
        <v>997</v>
      </c>
      <c r="H214" s="141" t="s">
        <v>325</v>
      </c>
      <c r="I214" s="141" t="s">
        <v>382</v>
      </c>
      <c r="J214" s="141" t="s">
        <v>1004</v>
      </c>
      <c r="K214" s="141" t="s">
        <v>384</v>
      </c>
      <c r="L214" s="141" t="s">
        <v>386</v>
      </c>
      <c r="M214" s="141" t="s">
        <v>808</v>
      </c>
      <c r="N214" s="141" t="s">
        <v>1005</v>
      </c>
      <c r="O214" s="141" t="s">
        <v>53</v>
      </c>
      <c r="P214" s="141"/>
    </row>
    <row r="215" spans="1:16">
      <c r="A215" s="141" t="s">
        <v>1403</v>
      </c>
      <c r="B215" s="141" t="s">
        <v>1401</v>
      </c>
      <c r="C215" s="141" t="s">
        <v>969</v>
      </c>
      <c r="D215" s="172">
        <v>57</v>
      </c>
      <c r="E215" s="141" t="s">
        <v>1402</v>
      </c>
      <c r="F215" s="141" t="s">
        <v>53</v>
      </c>
      <c r="G215" s="141" t="s">
        <v>997</v>
      </c>
      <c r="H215" s="141" t="s">
        <v>325</v>
      </c>
      <c r="I215" s="141" t="s">
        <v>382</v>
      </c>
      <c r="J215" s="141" t="s">
        <v>1004</v>
      </c>
      <c r="K215" s="141" t="s">
        <v>384</v>
      </c>
      <c r="L215" s="141" t="s">
        <v>386</v>
      </c>
      <c r="M215" s="141" t="s">
        <v>808</v>
      </c>
      <c r="N215" s="141" t="s">
        <v>1005</v>
      </c>
      <c r="O215" s="141" t="s">
        <v>53</v>
      </c>
      <c r="P215" s="141"/>
    </row>
    <row r="216" spans="1:16">
      <c r="A216" s="141" t="s">
        <v>1404</v>
      </c>
      <c r="B216" s="141" t="s">
        <v>1401</v>
      </c>
      <c r="C216" s="141" t="s">
        <v>1030</v>
      </c>
      <c r="D216" s="172">
        <v>61</v>
      </c>
      <c r="E216" s="141" t="s">
        <v>1402</v>
      </c>
      <c r="F216" s="141" t="s">
        <v>53</v>
      </c>
      <c r="G216" s="141" t="s">
        <v>997</v>
      </c>
      <c r="H216" s="141" t="s">
        <v>325</v>
      </c>
      <c r="I216" s="141" t="s">
        <v>382</v>
      </c>
      <c r="J216" s="141" t="s">
        <v>1004</v>
      </c>
      <c r="K216" s="141" t="s">
        <v>384</v>
      </c>
      <c r="L216" s="141" t="s">
        <v>386</v>
      </c>
      <c r="M216" s="141" t="s">
        <v>808</v>
      </c>
      <c r="N216" s="141" t="s">
        <v>1005</v>
      </c>
      <c r="O216" s="141" t="s">
        <v>53</v>
      </c>
      <c r="P216" s="141"/>
    </row>
    <row r="217" spans="1:16">
      <c r="A217" s="141" t="s">
        <v>1405</v>
      </c>
      <c r="B217" s="141" t="s">
        <v>1406</v>
      </c>
      <c r="C217" s="141" t="s">
        <v>976</v>
      </c>
      <c r="D217" s="172">
        <v>59</v>
      </c>
      <c r="E217" s="141" t="s">
        <v>1402</v>
      </c>
      <c r="F217" s="141" t="s">
        <v>57</v>
      </c>
      <c r="G217" s="141" t="s">
        <v>997</v>
      </c>
      <c r="H217" s="141" t="s">
        <v>325</v>
      </c>
      <c r="I217" s="141" t="s">
        <v>382</v>
      </c>
      <c r="J217" s="141" t="s">
        <v>1004</v>
      </c>
      <c r="K217" s="141" t="s">
        <v>384</v>
      </c>
      <c r="L217" s="141" t="s">
        <v>386</v>
      </c>
      <c r="M217" s="141" t="s">
        <v>808</v>
      </c>
      <c r="N217" s="141" t="s">
        <v>989</v>
      </c>
      <c r="O217" s="141" t="s">
        <v>57</v>
      </c>
      <c r="P217" s="141"/>
    </row>
    <row r="218" spans="1:16">
      <c r="A218" s="141" t="s">
        <v>1407</v>
      </c>
      <c r="B218" s="141" t="s">
        <v>1406</v>
      </c>
      <c r="C218" s="141" t="s">
        <v>969</v>
      </c>
      <c r="D218" s="172">
        <v>57</v>
      </c>
      <c r="E218" s="141" t="s">
        <v>1402</v>
      </c>
      <c r="F218" s="141" t="s">
        <v>57</v>
      </c>
      <c r="G218" s="141" t="s">
        <v>997</v>
      </c>
      <c r="H218" s="141" t="s">
        <v>325</v>
      </c>
      <c r="I218" s="141" t="s">
        <v>382</v>
      </c>
      <c r="J218" s="141" t="s">
        <v>1004</v>
      </c>
      <c r="K218" s="141" t="s">
        <v>384</v>
      </c>
      <c r="L218" s="141" t="s">
        <v>386</v>
      </c>
      <c r="M218" s="141" t="s">
        <v>808</v>
      </c>
      <c r="N218" s="141" t="s">
        <v>989</v>
      </c>
      <c r="O218" s="141" t="s">
        <v>57</v>
      </c>
      <c r="P218" s="141"/>
    </row>
    <row r="219" spans="1:16">
      <c r="A219" s="141" t="s">
        <v>1408</v>
      </c>
      <c r="B219" s="141" t="s">
        <v>1409</v>
      </c>
      <c r="C219" s="141" t="s">
        <v>909</v>
      </c>
      <c r="D219" s="142">
        <v>0</v>
      </c>
      <c r="E219" s="141" t="s">
        <v>1410</v>
      </c>
      <c r="F219" s="141" t="s">
        <v>293</v>
      </c>
      <c r="G219" s="141" t="s">
        <v>1411</v>
      </c>
      <c r="H219" s="141" t="s">
        <v>327</v>
      </c>
      <c r="I219" s="141" t="s">
        <v>382</v>
      </c>
      <c r="J219" s="141" t="s">
        <v>1004</v>
      </c>
      <c r="K219" s="141" t="s">
        <v>384</v>
      </c>
      <c r="L219" s="141" t="s">
        <v>539</v>
      </c>
      <c r="M219" s="141" t="s">
        <v>808</v>
      </c>
      <c r="N219" s="141" t="s">
        <v>1005</v>
      </c>
      <c r="O219" s="141" t="s">
        <v>53</v>
      </c>
      <c r="P219" s="141"/>
    </row>
    <row r="220" spans="1:16">
      <c r="A220" s="141" t="s">
        <v>1412</v>
      </c>
      <c r="B220" s="141" t="s">
        <v>1413</v>
      </c>
      <c r="C220" s="141" t="s">
        <v>976</v>
      </c>
      <c r="D220" s="172">
        <v>59</v>
      </c>
      <c r="E220" s="141" t="s">
        <v>1414</v>
      </c>
      <c r="F220" s="141" t="s">
        <v>309</v>
      </c>
      <c r="G220" s="141" t="s">
        <v>1415</v>
      </c>
      <c r="H220" s="141" t="s">
        <v>320</v>
      </c>
      <c r="I220" s="141" t="s">
        <v>382</v>
      </c>
      <c r="J220" s="141" t="s">
        <v>1004</v>
      </c>
      <c r="K220" s="141" t="s">
        <v>384</v>
      </c>
      <c r="L220" s="141" t="s">
        <v>539</v>
      </c>
      <c r="M220" s="141" t="s">
        <v>808</v>
      </c>
      <c r="N220" s="141" t="s">
        <v>1005</v>
      </c>
      <c r="O220" s="141" t="s">
        <v>53</v>
      </c>
      <c r="P220" s="141"/>
    </row>
    <row r="221" spans="1:16">
      <c r="A221" s="141" t="s">
        <v>1416</v>
      </c>
      <c r="B221" s="141" t="s">
        <v>1413</v>
      </c>
      <c r="C221" s="141" t="s">
        <v>969</v>
      </c>
      <c r="D221" s="172">
        <v>57</v>
      </c>
      <c r="E221" s="141" t="s">
        <v>1414</v>
      </c>
      <c r="F221" s="141" t="s">
        <v>309</v>
      </c>
      <c r="G221" s="141" t="s">
        <v>1415</v>
      </c>
      <c r="H221" s="141" t="s">
        <v>320</v>
      </c>
      <c r="I221" s="141" t="s">
        <v>382</v>
      </c>
      <c r="J221" s="141" t="s">
        <v>1004</v>
      </c>
      <c r="K221" s="141" t="s">
        <v>384</v>
      </c>
      <c r="L221" s="141" t="s">
        <v>539</v>
      </c>
      <c r="M221" s="141" t="s">
        <v>808</v>
      </c>
      <c r="N221" s="141" t="s">
        <v>1005</v>
      </c>
      <c r="O221" s="141" t="s">
        <v>53</v>
      </c>
      <c r="P221" s="141"/>
    </row>
    <row r="222" spans="1:16">
      <c r="A222" s="141" t="s">
        <v>1417</v>
      </c>
      <c r="B222" s="141" t="s">
        <v>1418</v>
      </c>
      <c r="C222" s="141" t="s">
        <v>909</v>
      </c>
      <c r="D222" s="142">
        <v>0</v>
      </c>
      <c r="E222" s="141" t="s">
        <v>1317</v>
      </c>
      <c r="F222" s="141" t="s">
        <v>121</v>
      </c>
      <c r="G222" s="141" t="s">
        <v>1221</v>
      </c>
      <c r="H222" s="141" t="s">
        <v>514</v>
      </c>
      <c r="I222" s="141" t="s">
        <v>387</v>
      </c>
      <c r="J222" s="141" t="s">
        <v>988</v>
      </c>
      <c r="K222" s="141" t="s">
        <v>389</v>
      </c>
      <c r="L222" s="141" t="s">
        <v>539</v>
      </c>
      <c r="M222" s="141" t="s">
        <v>808</v>
      </c>
      <c r="N222" s="141" t="s">
        <v>1419</v>
      </c>
      <c r="O222" s="141" t="s">
        <v>121</v>
      </c>
      <c r="P222" s="141" t="s">
        <v>46</v>
      </c>
    </row>
    <row r="223" spans="1:16">
      <c r="A223" s="141" t="s">
        <v>1420</v>
      </c>
      <c r="B223" s="141" t="s">
        <v>1421</v>
      </c>
      <c r="C223" s="141" t="s">
        <v>909</v>
      </c>
      <c r="D223" s="142">
        <v>0</v>
      </c>
      <c r="E223" s="141" t="s">
        <v>1317</v>
      </c>
      <c r="F223" s="141" t="s">
        <v>65</v>
      </c>
      <c r="G223" s="141" t="s">
        <v>1221</v>
      </c>
      <c r="H223" s="141" t="s">
        <v>340</v>
      </c>
      <c r="I223" s="141" t="s">
        <v>382</v>
      </c>
      <c r="J223" s="141" t="s">
        <v>988</v>
      </c>
      <c r="K223" s="141" t="s">
        <v>389</v>
      </c>
      <c r="L223" s="141" t="s">
        <v>539</v>
      </c>
      <c r="M223" s="141" t="s">
        <v>973</v>
      </c>
      <c r="N223" s="141" t="s">
        <v>1422</v>
      </c>
      <c r="O223" s="141" t="s">
        <v>65</v>
      </c>
      <c r="P223" s="141"/>
    </row>
    <row r="224" spans="1:16">
      <c r="A224" s="141" t="s">
        <v>1423</v>
      </c>
      <c r="B224" s="141" t="s">
        <v>1424</v>
      </c>
      <c r="C224" s="141" t="s">
        <v>909</v>
      </c>
      <c r="D224" s="142">
        <v>0</v>
      </c>
      <c r="E224" s="141" t="s">
        <v>1425</v>
      </c>
      <c r="F224" s="141" t="s">
        <v>269</v>
      </c>
      <c r="G224" s="141" t="s">
        <v>1426</v>
      </c>
      <c r="H224" s="141" t="s">
        <v>340</v>
      </c>
      <c r="I224" s="141" t="s">
        <v>387</v>
      </c>
      <c r="J224" s="141" t="s">
        <v>972</v>
      </c>
      <c r="K224" s="141" t="s">
        <v>389</v>
      </c>
      <c r="L224" s="141" t="s">
        <v>539</v>
      </c>
      <c r="M224" s="141" t="s">
        <v>973</v>
      </c>
      <c r="N224" s="141" t="s">
        <v>1427</v>
      </c>
      <c r="O224" s="141" t="s">
        <v>60</v>
      </c>
      <c r="P224" s="141" t="s">
        <v>44</v>
      </c>
    </row>
    <row r="225" spans="1:16">
      <c r="A225" s="141" t="s">
        <v>1428</v>
      </c>
      <c r="B225" s="141" t="s">
        <v>1429</v>
      </c>
      <c r="C225" s="141" t="s">
        <v>1030</v>
      </c>
      <c r="D225" s="172">
        <v>61</v>
      </c>
      <c r="E225" s="141" t="s">
        <v>1131</v>
      </c>
      <c r="F225" s="141" t="s">
        <v>121</v>
      </c>
      <c r="G225" s="141" t="s">
        <v>1132</v>
      </c>
      <c r="H225" s="141" t="s">
        <v>320</v>
      </c>
      <c r="I225" s="141" t="s">
        <v>382</v>
      </c>
      <c r="J225" s="141" t="s">
        <v>988</v>
      </c>
      <c r="K225" s="141" t="s">
        <v>388</v>
      </c>
      <c r="L225" s="141" t="s">
        <v>539</v>
      </c>
      <c r="M225" s="141" t="s">
        <v>973</v>
      </c>
      <c r="N225" s="141" t="s">
        <v>1419</v>
      </c>
      <c r="O225" s="141" t="s">
        <v>121</v>
      </c>
      <c r="P225" s="141" t="s">
        <v>44</v>
      </c>
    </row>
    <row r="226" spans="1:16">
      <c r="A226" s="141" t="s">
        <v>1430</v>
      </c>
      <c r="B226" s="141" t="s">
        <v>1429</v>
      </c>
      <c r="C226" s="141" t="s">
        <v>969</v>
      </c>
      <c r="D226" s="172">
        <v>57</v>
      </c>
      <c r="E226" s="141" t="s">
        <v>1131</v>
      </c>
      <c r="F226" s="141" t="s">
        <v>121</v>
      </c>
      <c r="G226" s="141" t="s">
        <v>1132</v>
      </c>
      <c r="H226" s="141" t="s">
        <v>320</v>
      </c>
      <c r="I226" s="141" t="s">
        <v>382</v>
      </c>
      <c r="J226" s="141" t="s">
        <v>988</v>
      </c>
      <c r="K226" s="141" t="s">
        <v>388</v>
      </c>
      <c r="L226" s="141" t="s">
        <v>539</v>
      </c>
      <c r="M226" s="141" t="s">
        <v>973</v>
      </c>
      <c r="N226" s="141" t="s">
        <v>1419</v>
      </c>
      <c r="O226" s="141" t="s">
        <v>121</v>
      </c>
      <c r="P226" s="141" t="s">
        <v>44</v>
      </c>
    </row>
    <row r="227" spans="1:16">
      <c r="A227" s="141" t="s">
        <v>1431</v>
      </c>
      <c r="B227" s="141" t="s">
        <v>1429</v>
      </c>
      <c r="C227" s="141" t="s">
        <v>976</v>
      </c>
      <c r="D227" s="172">
        <v>59</v>
      </c>
      <c r="E227" s="141" t="s">
        <v>1131</v>
      </c>
      <c r="F227" s="141" t="s">
        <v>121</v>
      </c>
      <c r="G227" s="141" t="s">
        <v>1132</v>
      </c>
      <c r="H227" s="141" t="s">
        <v>320</v>
      </c>
      <c r="I227" s="141" t="s">
        <v>382</v>
      </c>
      <c r="J227" s="141" t="s">
        <v>988</v>
      </c>
      <c r="K227" s="141" t="s">
        <v>388</v>
      </c>
      <c r="L227" s="141" t="s">
        <v>539</v>
      </c>
      <c r="M227" s="141" t="s">
        <v>973</v>
      </c>
      <c r="N227" s="141" t="s">
        <v>1419</v>
      </c>
      <c r="O227" s="141" t="s">
        <v>121</v>
      </c>
      <c r="P227" s="141" t="s">
        <v>44</v>
      </c>
    </row>
    <row r="228" spans="1:16">
      <c r="A228" s="141" t="s">
        <v>1432</v>
      </c>
      <c r="B228" s="141" t="s">
        <v>1429</v>
      </c>
      <c r="C228" s="141" t="s">
        <v>1032</v>
      </c>
      <c r="D228" s="172">
        <v>55</v>
      </c>
      <c r="E228" s="141" t="s">
        <v>1131</v>
      </c>
      <c r="F228" s="141" t="s">
        <v>121</v>
      </c>
      <c r="G228" s="141" t="s">
        <v>1132</v>
      </c>
      <c r="H228" s="141" t="s">
        <v>320</v>
      </c>
      <c r="I228" s="141" t="s">
        <v>382</v>
      </c>
      <c r="J228" s="141" t="s">
        <v>988</v>
      </c>
      <c r="K228" s="141" t="s">
        <v>388</v>
      </c>
      <c r="L228" s="141" t="s">
        <v>539</v>
      </c>
      <c r="M228" s="141" t="s">
        <v>973</v>
      </c>
      <c r="N228" s="141" t="s">
        <v>1419</v>
      </c>
      <c r="O228" s="141" t="s">
        <v>121</v>
      </c>
      <c r="P228" s="141" t="s">
        <v>44</v>
      </c>
    </row>
    <row r="229" spans="1:16">
      <c r="A229" s="141" t="s">
        <v>1433</v>
      </c>
      <c r="B229" s="141" t="s">
        <v>1434</v>
      </c>
      <c r="C229" s="141" t="s">
        <v>909</v>
      </c>
      <c r="D229" s="142">
        <v>0</v>
      </c>
      <c r="E229" s="141" t="s">
        <v>1425</v>
      </c>
      <c r="F229" s="141" t="s">
        <v>68</v>
      </c>
      <c r="G229" s="141" t="s">
        <v>1426</v>
      </c>
      <c r="H229" s="141" t="s">
        <v>340</v>
      </c>
      <c r="I229" s="141" t="s">
        <v>387</v>
      </c>
      <c r="J229" s="141" t="s">
        <v>972</v>
      </c>
      <c r="K229" s="141" t="s">
        <v>389</v>
      </c>
      <c r="L229" s="141" t="s">
        <v>539</v>
      </c>
      <c r="M229" s="141" t="s">
        <v>973</v>
      </c>
      <c r="N229" s="141" t="s">
        <v>1435</v>
      </c>
      <c r="O229" s="141" t="s">
        <v>68</v>
      </c>
      <c r="P229" s="141" t="s">
        <v>44</v>
      </c>
    </row>
    <row r="230" spans="1:16">
      <c r="A230" s="141" t="s">
        <v>1436</v>
      </c>
      <c r="B230" s="141" t="s">
        <v>1437</v>
      </c>
      <c r="C230" s="141" t="s">
        <v>1058</v>
      </c>
      <c r="D230" s="172">
        <v>60</v>
      </c>
      <c r="E230" s="141" t="s">
        <v>1392</v>
      </c>
      <c r="F230" s="141" t="s">
        <v>277</v>
      </c>
      <c r="G230" s="141" t="s">
        <v>1438</v>
      </c>
      <c r="H230" s="141" t="s">
        <v>327</v>
      </c>
      <c r="I230" s="141" t="s">
        <v>382</v>
      </c>
      <c r="J230" s="141" t="s">
        <v>981</v>
      </c>
      <c r="K230" s="141" t="s">
        <v>384</v>
      </c>
      <c r="L230" s="141" t="s">
        <v>533</v>
      </c>
      <c r="M230" s="141" t="s">
        <v>808</v>
      </c>
      <c r="N230" s="141" t="s">
        <v>1439</v>
      </c>
      <c r="O230" s="141" t="s">
        <v>83</v>
      </c>
      <c r="P230" s="141" t="s">
        <v>44</v>
      </c>
    </row>
    <row r="231" spans="1:16">
      <c r="A231" s="141" t="s">
        <v>1440</v>
      </c>
      <c r="B231" s="141" t="s">
        <v>1437</v>
      </c>
      <c r="C231" s="141" t="s">
        <v>1053</v>
      </c>
      <c r="D231" s="172">
        <v>56</v>
      </c>
      <c r="E231" s="141" t="s">
        <v>1392</v>
      </c>
      <c r="F231" s="141" t="s">
        <v>277</v>
      </c>
      <c r="G231" s="141" t="s">
        <v>1438</v>
      </c>
      <c r="H231" s="141" t="s">
        <v>327</v>
      </c>
      <c r="I231" s="141" t="s">
        <v>382</v>
      </c>
      <c r="J231" s="141" t="s">
        <v>981</v>
      </c>
      <c r="K231" s="141" t="s">
        <v>384</v>
      </c>
      <c r="L231" s="141" t="s">
        <v>533</v>
      </c>
      <c r="M231" s="141" t="s">
        <v>808</v>
      </c>
      <c r="N231" s="141" t="s">
        <v>1439</v>
      </c>
      <c r="O231" s="141" t="s">
        <v>83</v>
      </c>
      <c r="P231" s="141" t="s">
        <v>44</v>
      </c>
    </row>
    <row r="232" spans="1:16">
      <c r="A232" s="141" t="s">
        <v>1441</v>
      </c>
      <c r="B232" s="141" t="s">
        <v>1442</v>
      </c>
      <c r="C232" s="141" t="s">
        <v>1030</v>
      </c>
      <c r="D232" s="172">
        <v>61</v>
      </c>
      <c r="E232" s="141" t="s">
        <v>1443</v>
      </c>
      <c r="F232" s="141" t="s">
        <v>53</v>
      </c>
      <c r="G232" s="141" t="s">
        <v>1444</v>
      </c>
      <c r="H232" s="141" t="s">
        <v>325</v>
      </c>
      <c r="I232" s="141" t="s">
        <v>382</v>
      </c>
      <c r="J232" s="141" t="s">
        <v>1004</v>
      </c>
      <c r="K232" s="141" t="s">
        <v>388</v>
      </c>
      <c r="L232" s="141" t="s">
        <v>386</v>
      </c>
      <c r="M232" s="141" t="s">
        <v>973</v>
      </c>
      <c r="N232" s="141" t="s">
        <v>1005</v>
      </c>
      <c r="O232" s="141" t="s">
        <v>53</v>
      </c>
      <c r="P232" s="141" t="s">
        <v>44</v>
      </c>
    </row>
    <row r="233" spans="1:16">
      <c r="A233" s="141" t="s">
        <v>1445</v>
      </c>
      <c r="B233" s="141" t="s">
        <v>1442</v>
      </c>
      <c r="C233" s="141" t="s">
        <v>969</v>
      </c>
      <c r="D233" s="172">
        <v>57</v>
      </c>
      <c r="E233" s="141" t="s">
        <v>1443</v>
      </c>
      <c r="F233" s="141" t="s">
        <v>53</v>
      </c>
      <c r="G233" s="141" t="s">
        <v>1444</v>
      </c>
      <c r="H233" s="141" t="s">
        <v>325</v>
      </c>
      <c r="I233" s="141" t="s">
        <v>382</v>
      </c>
      <c r="J233" s="141" t="s">
        <v>1004</v>
      </c>
      <c r="K233" s="141" t="s">
        <v>388</v>
      </c>
      <c r="L233" s="141" t="s">
        <v>386</v>
      </c>
      <c r="M233" s="141" t="s">
        <v>973</v>
      </c>
      <c r="N233" s="141" t="s">
        <v>1005</v>
      </c>
      <c r="O233" s="141" t="s">
        <v>53</v>
      </c>
      <c r="P233" s="141" t="s">
        <v>44</v>
      </c>
    </row>
    <row r="234" spans="1:16">
      <c r="A234" s="141" t="s">
        <v>1446</v>
      </c>
      <c r="B234" s="141" t="s">
        <v>1442</v>
      </c>
      <c r="C234" s="141" t="s">
        <v>976</v>
      </c>
      <c r="D234" s="172">
        <v>59</v>
      </c>
      <c r="E234" s="141" t="s">
        <v>1443</v>
      </c>
      <c r="F234" s="141" t="s">
        <v>53</v>
      </c>
      <c r="G234" s="141" t="s">
        <v>1444</v>
      </c>
      <c r="H234" s="141" t="s">
        <v>325</v>
      </c>
      <c r="I234" s="141" t="s">
        <v>382</v>
      </c>
      <c r="J234" s="141" t="s">
        <v>1004</v>
      </c>
      <c r="K234" s="141" t="s">
        <v>388</v>
      </c>
      <c r="L234" s="141" t="s">
        <v>386</v>
      </c>
      <c r="M234" s="141" t="s">
        <v>973</v>
      </c>
      <c r="N234" s="141" t="s">
        <v>1005</v>
      </c>
      <c r="O234" s="141" t="s">
        <v>53</v>
      </c>
      <c r="P234" s="141" t="s">
        <v>44</v>
      </c>
    </row>
    <row r="235" spans="1:16">
      <c r="A235" s="141" t="s">
        <v>1447</v>
      </c>
      <c r="B235" s="141" t="s">
        <v>1442</v>
      </c>
      <c r="C235" s="141" t="s">
        <v>1032</v>
      </c>
      <c r="D235" s="172">
        <v>55</v>
      </c>
      <c r="E235" s="141" t="s">
        <v>1443</v>
      </c>
      <c r="F235" s="141" t="s">
        <v>53</v>
      </c>
      <c r="G235" s="141" t="s">
        <v>1444</v>
      </c>
      <c r="H235" s="141" t="s">
        <v>325</v>
      </c>
      <c r="I235" s="141" t="s">
        <v>382</v>
      </c>
      <c r="J235" s="141" t="s">
        <v>1004</v>
      </c>
      <c r="K235" s="141" t="s">
        <v>388</v>
      </c>
      <c r="L235" s="141" t="s">
        <v>386</v>
      </c>
      <c r="M235" s="141" t="s">
        <v>973</v>
      </c>
      <c r="N235" s="141" t="s">
        <v>1005</v>
      </c>
      <c r="O235" s="141" t="s">
        <v>53</v>
      </c>
      <c r="P235" s="141" t="s">
        <v>44</v>
      </c>
    </row>
    <row r="236" spans="1:16">
      <c r="A236" s="141" t="s">
        <v>1448</v>
      </c>
      <c r="B236" s="141" t="s">
        <v>1449</v>
      </c>
      <c r="C236" s="141" t="s">
        <v>1030</v>
      </c>
      <c r="D236" s="172">
        <v>61</v>
      </c>
      <c r="E236" s="141" t="s">
        <v>1450</v>
      </c>
      <c r="F236" s="141" t="s">
        <v>53</v>
      </c>
      <c r="G236" s="141" t="s">
        <v>1451</v>
      </c>
      <c r="H236" s="141" t="s">
        <v>320</v>
      </c>
      <c r="I236" s="141" t="s">
        <v>382</v>
      </c>
      <c r="J236" s="141" t="s">
        <v>972</v>
      </c>
      <c r="K236" s="141" t="s">
        <v>388</v>
      </c>
      <c r="L236" s="141" t="s">
        <v>386</v>
      </c>
      <c r="M236" s="141" t="s">
        <v>973</v>
      </c>
      <c r="N236" s="141" t="s">
        <v>1005</v>
      </c>
      <c r="O236" s="141" t="s">
        <v>53</v>
      </c>
      <c r="P236" s="141" t="s">
        <v>44</v>
      </c>
    </row>
    <row r="237" spans="1:16">
      <c r="A237" s="141" t="s">
        <v>1452</v>
      </c>
      <c r="B237" s="141" t="s">
        <v>1449</v>
      </c>
      <c r="C237" s="141" t="s">
        <v>969</v>
      </c>
      <c r="D237" s="172">
        <v>57</v>
      </c>
      <c r="E237" s="141" t="s">
        <v>1450</v>
      </c>
      <c r="F237" s="141" t="s">
        <v>53</v>
      </c>
      <c r="G237" s="141" t="s">
        <v>1451</v>
      </c>
      <c r="H237" s="141" t="s">
        <v>320</v>
      </c>
      <c r="I237" s="141" t="s">
        <v>382</v>
      </c>
      <c r="J237" s="141" t="s">
        <v>972</v>
      </c>
      <c r="K237" s="141" t="s">
        <v>388</v>
      </c>
      <c r="L237" s="141" t="s">
        <v>386</v>
      </c>
      <c r="M237" s="141" t="s">
        <v>973</v>
      </c>
      <c r="N237" s="141" t="s">
        <v>1005</v>
      </c>
      <c r="O237" s="141" t="s">
        <v>53</v>
      </c>
      <c r="P237" s="141" t="s">
        <v>44</v>
      </c>
    </row>
    <row r="238" spans="1:16">
      <c r="A238" s="141" t="s">
        <v>1453</v>
      </c>
      <c r="B238" s="141" t="s">
        <v>1449</v>
      </c>
      <c r="C238" s="141" t="s">
        <v>976</v>
      </c>
      <c r="D238" s="172">
        <v>59</v>
      </c>
      <c r="E238" s="141" t="s">
        <v>1450</v>
      </c>
      <c r="F238" s="141" t="s">
        <v>53</v>
      </c>
      <c r="G238" s="141" t="s">
        <v>1451</v>
      </c>
      <c r="H238" s="141" t="s">
        <v>320</v>
      </c>
      <c r="I238" s="141" t="s">
        <v>382</v>
      </c>
      <c r="J238" s="141" t="s">
        <v>972</v>
      </c>
      <c r="K238" s="141" t="s">
        <v>388</v>
      </c>
      <c r="L238" s="141" t="s">
        <v>386</v>
      </c>
      <c r="M238" s="141" t="s">
        <v>973</v>
      </c>
      <c r="N238" s="141" t="s">
        <v>1005</v>
      </c>
      <c r="O238" s="141" t="s">
        <v>53</v>
      </c>
      <c r="P238" s="141" t="s">
        <v>44</v>
      </c>
    </row>
    <row r="239" spans="1:16">
      <c r="A239" s="141" t="s">
        <v>1454</v>
      </c>
      <c r="B239" s="141" t="s">
        <v>1449</v>
      </c>
      <c r="C239" s="141" t="s">
        <v>1032</v>
      </c>
      <c r="D239" s="172">
        <v>55</v>
      </c>
      <c r="E239" s="141" t="s">
        <v>1450</v>
      </c>
      <c r="F239" s="141" t="s">
        <v>53</v>
      </c>
      <c r="G239" s="141" t="s">
        <v>1451</v>
      </c>
      <c r="H239" s="141" t="s">
        <v>320</v>
      </c>
      <c r="I239" s="141" t="s">
        <v>382</v>
      </c>
      <c r="J239" s="141" t="s">
        <v>972</v>
      </c>
      <c r="K239" s="141" t="s">
        <v>388</v>
      </c>
      <c r="L239" s="141" t="s">
        <v>386</v>
      </c>
      <c r="M239" s="141" t="s">
        <v>973</v>
      </c>
      <c r="N239" s="141" t="s">
        <v>1005</v>
      </c>
      <c r="O239" s="141" t="s">
        <v>53</v>
      </c>
      <c r="P239" s="141" t="s">
        <v>44</v>
      </c>
    </row>
    <row r="240" spans="1:16">
      <c r="A240" s="141" t="s">
        <v>1455</v>
      </c>
      <c r="B240" s="141" t="s">
        <v>1456</v>
      </c>
      <c r="C240" s="141" t="s">
        <v>1030</v>
      </c>
      <c r="D240" s="172">
        <v>61</v>
      </c>
      <c r="E240" s="141" t="s">
        <v>1457</v>
      </c>
      <c r="F240" s="141" t="s">
        <v>53</v>
      </c>
      <c r="G240" s="141" t="s">
        <v>1458</v>
      </c>
      <c r="H240" s="141" t="s">
        <v>320</v>
      </c>
      <c r="I240" s="141" t="s">
        <v>382</v>
      </c>
      <c r="J240" s="141" t="s">
        <v>972</v>
      </c>
      <c r="K240" s="141" t="s">
        <v>388</v>
      </c>
      <c r="L240" s="141" t="s">
        <v>386</v>
      </c>
      <c r="M240" s="141" t="s">
        <v>973</v>
      </c>
      <c r="N240" s="141" t="s">
        <v>1005</v>
      </c>
      <c r="O240" s="141" t="s">
        <v>53</v>
      </c>
      <c r="P240" s="141" t="s">
        <v>44</v>
      </c>
    </row>
    <row r="241" spans="1:16">
      <c r="A241" s="141" t="s">
        <v>1459</v>
      </c>
      <c r="B241" s="141" t="s">
        <v>1456</v>
      </c>
      <c r="C241" s="141" t="s">
        <v>969</v>
      </c>
      <c r="D241" s="172">
        <v>57</v>
      </c>
      <c r="E241" s="141" t="s">
        <v>1457</v>
      </c>
      <c r="F241" s="141" t="s">
        <v>53</v>
      </c>
      <c r="G241" s="141" t="s">
        <v>1458</v>
      </c>
      <c r="H241" s="141" t="s">
        <v>320</v>
      </c>
      <c r="I241" s="141" t="s">
        <v>382</v>
      </c>
      <c r="J241" s="141" t="s">
        <v>972</v>
      </c>
      <c r="K241" s="141" t="s">
        <v>388</v>
      </c>
      <c r="L241" s="141" t="s">
        <v>386</v>
      </c>
      <c r="M241" s="141" t="s">
        <v>973</v>
      </c>
      <c r="N241" s="141" t="s">
        <v>1005</v>
      </c>
      <c r="O241" s="141" t="s">
        <v>53</v>
      </c>
      <c r="P241" s="141" t="s">
        <v>44</v>
      </c>
    </row>
    <row r="242" spans="1:16">
      <c r="A242" s="141" t="s">
        <v>1460</v>
      </c>
      <c r="B242" s="141" t="s">
        <v>1456</v>
      </c>
      <c r="C242" s="141" t="s">
        <v>976</v>
      </c>
      <c r="D242" s="172">
        <v>59</v>
      </c>
      <c r="E242" s="141" t="s">
        <v>1457</v>
      </c>
      <c r="F242" s="141" t="s">
        <v>53</v>
      </c>
      <c r="G242" s="141" t="s">
        <v>1458</v>
      </c>
      <c r="H242" s="141" t="s">
        <v>320</v>
      </c>
      <c r="I242" s="141" t="s">
        <v>382</v>
      </c>
      <c r="J242" s="141" t="s">
        <v>972</v>
      </c>
      <c r="K242" s="141" t="s">
        <v>388</v>
      </c>
      <c r="L242" s="141" t="s">
        <v>386</v>
      </c>
      <c r="M242" s="141" t="s">
        <v>973</v>
      </c>
      <c r="N242" s="141" t="s">
        <v>1005</v>
      </c>
      <c r="O242" s="141" t="s">
        <v>53</v>
      </c>
      <c r="P242" s="141" t="s">
        <v>44</v>
      </c>
    </row>
    <row r="243" spans="1:16">
      <c r="A243" s="141" t="s">
        <v>1461</v>
      </c>
      <c r="B243" s="141" t="s">
        <v>1456</v>
      </c>
      <c r="C243" s="141" t="s">
        <v>1032</v>
      </c>
      <c r="D243" s="172">
        <v>55</v>
      </c>
      <c r="E243" s="141" t="s">
        <v>1457</v>
      </c>
      <c r="F243" s="141" t="s">
        <v>53</v>
      </c>
      <c r="G243" s="141" t="s">
        <v>1458</v>
      </c>
      <c r="H243" s="141" t="s">
        <v>320</v>
      </c>
      <c r="I243" s="141" t="s">
        <v>382</v>
      </c>
      <c r="J243" s="141" t="s">
        <v>972</v>
      </c>
      <c r="K243" s="141" t="s">
        <v>388</v>
      </c>
      <c r="L243" s="141" t="s">
        <v>386</v>
      </c>
      <c r="M243" s="141" t="s">
        <v>973</v>
      </c>
      <c r="N243" s="141" t="s">
        <v>1005</v>
      </c>
      <c r="O243" s="141" t="s">
        <v>53</v>
      </c>
      <c r="P243" s="141" t="s">
        <v>44</v>
      </c>
    </row>
    <row r="244" spans="1:16">
      <c r="A244" s="141" t="s">
        <v>1462</v>
      </c>
      <c r="B244" s="141" t="s">
        <v>1463</v>
      </c>
      <c r="C244" s="141" t="s">
        <v>1030</v>
      </c>
      <c r="D244" s="172">
        <v>61</v>
      </c>
      <c r="E244" s="141" t="s">
        <v>1457</v>
      </c>
      <c r="F244" s="141" t="s">
        <v>277</v>
      </c>
      <c r="G244" s="141" t="s">
        <v>1458</v>
      </c>
      <c r="H244" s="141" t="s">
        <v>320</v>
      </c>
      <c r="I244" s="141" t="s">
        <v>382</v>
      </c>
      <c r="J244" s="141" t="s">
        <v>972</v>
      </c>
      <c r="K244" s="141" t="s">
        <v>388</v>
      </c>
      <c r="L244" s="141" t="s">
        <v>386</v>
      </c>
      <c r="M244" s="141" t="s">
        <v>973</v>
      </c>
      <c r="N244" s="141" t="s">
        <v>1385</v>
      </c>
      <c r="O244" s="141" t="s">
        <v>83</v>
      </c>
      <c r="P244" s="141" t="s">
        <v>44</v>
      </c>
    </row>
    <row r="245" spans="1:16">
      <c r="A245" s="141" t="s">
        <v>1464</v>
      </c>
      <c r="B245" s="141" t="s">
        <v>1463</v>
      </c>
      <c r="C245" s="141" t="s">
        <v>969</v>
      </c>
      <c r="D245" s="172">
        <v>57</v>
      </c>
      <c r="E245" s="141" t="s">
        <v>1457</v>
      </c>
      <c r="F245" s="141" t="s">
        <v>277</v>
      </c>
      <c r="G245" s="141" t="s">
        <v>1458</v>
      </c>
      <c r="H245" s="141" t="s">
        <v>320</v>
      </c>
      <c r="I245" s="141" t="s">
        <v>382</v>
      </c>
      <c r="J245" s="141" t="s">
        <v>972</v>
      </c>
      <c r="K245" s="141" t="s">
        <v>388</v>
      </c>
      <c r="L245" s="141" t="s">
        <v>386</v>
      </c>
      <c r="M245" s="141" t="s">
        <v>973</v>
      </c>
      <c r="N245" s="141" t="s">
        <v>1385</v>
      </c>
      <c r="O245" s="141" t="s">
        <v>83</v>
      </c>
      <c r="P245" s="141" t="s">
        <v>44</v>
      </c>
    </row>
    <row r="246" spans="1:16">
      <c r="A246" s="141" t="s">
        <v>1465</v>
      </c>
      <c r="B246" s="141" t="s">
        <v>1463</v>
      </c>
      <c r="C246" s="141" t="s">
        <v>976</v>
      </c>
      <c r="D246" s="172">
        <v>59</v>
      </c>
      <c r="E246" s="141" t="s">
        <v>1457</v>
      </c>
      <c r="F246" s="141" t="s">
        <v>277</v>
      </c>
      <c r="G246" s="141" t="s">
        <v>1458</v>
      </c>
      <c r="H246" s="141" t="s">
        <v>320</v>
      </c>
      <c r="I246" s="141" t="s">
        <v>382</v>
      </c>
      <c r="J246" s="141" t="s">
        <v>972</v>
      </c>
      <c r="K246" s="141" t="s">
        <v>388</v>
      </c>
      <c r="L246" s="141" t="s">
        <v>386</v>
      </c>
      <c r="M246" s="141" t="s">
        <v>973</v>
      </c>
      <c r="N246" s="141" t="s">
        <v>1385</v>
      </c>
      <c r="O246" s="141" t="s">
        <v>83</v>
      </c>
      <c r="P246" s="141" t="s">
        <v>44</v>
      </c>
    </row>
    <row r="247" spans="1:16">
      <c r="A247" s="141" t="s">
        <v>1466</v>
      </c>
      <c r="B247" s="141" t="s">
        <v>1463</v>
      </c>
      <c r="C247" s="141" t="s">
        <v>1032</v>
      </c>
      <c r="D247" s="172">
        <v>55</v>
      </c>
      <c r="E247" s="141" t="s">
        <v>1457</v>
      </c>
      <c r="F247" s="141" t="s">
        <v>277</v>
      </c>
      <c r="G247" s="141" t="s">
        <v>1458</v>
      </c>
      <c r="H247" s="141" t="s">
        <v>320</v>
      </c>
      <c r="I247" s="141" t="s">
        <v>382</v>
      </c>
      <c r="J247" s="141" t="s">
        <v>972</v>
      </c>
      <c r="K247" s="141" t="s">
        <v>388</v>
      </c>
      <c r="L247" s="141" t="s">
        <v>386</v>
      </c>
      <c r="M247" s="141" t="s">
        <v>973</v>
      </c>
      <c r="N247" s="141" t="s">
        <v>1385</v>
      </c>
      <c r="O247" s="141" t="s">
        <v>83</v>
      </c>
      <c r="P247" s="141" t="s">
        <v>44</v>
      </c>
    </row>
    <row r="248" spans="1:16">
      <c r="A248" s="141" t="s">
        <v>1467</v>
      </c>
      <c r="B248" s="141" t="s">
        <v>1468</v>
      </c>
      <c r="C248" s="141" t="s">
        <v>1058</v>
      </c>
      <c r="D248" s="172">
        <v>60</v>
      </c>
      <c r="E248" s="141" t="s">
        <v>1392</v>
      </c>
      <c r="F248" s="141" t="s">
        <v>55</v>
      </c>
      <c r="G248" s="141" t="s">
        <v>1393</v>
      </c>
      <c r="H248" s="141" t="s">
        <v>327</v>
      </c>
      <c r="I248" s="141" t="s">
        <v>382</v>
      </c>
      <c r="J248" s="141" t="s">
        <v>981</v>
      </c>
      <c r="K248" s="141" t="s">
        <v>384</v>
      </c>
      <c r="L248" s="141" t="s">
        <v>533</v>
      </c>
      <c r="M248" s="141" t="s">
        <v>808</v>
      </c>
      <c r="N248" s="141" t="s">
        <v>1106</v>
      </c>
      <c r="O248" s="141" t="s">
        <v>71</v>
      </c>
      <c r="P248" s="141" t="s">
        <v>44</v>
      </c>
    </row>
    <row r="249" spans="1:16">
      <c r="A249" s="141" t="s">
        <v>1469</v>
      </c>
      <c r="B249" s="141" t="s">
        <v>1468</v>
      </c>
      <c r="C249" s="141" t="s">
        <v>1053</v>
      </c>
      <c r="D249" s="172">
        <v>56</v>
      </c>
      <c r="E249" s="141" t="s">
        <v>1392</v>
      </c>
      <c r="F249" s="141" t="s">
        <v>55</v>
      </c>
      <c r="G249" s="141" t="s">
        <v>1393</v>
      </c>
      <c r="H249" s="141" t="s">
        <v>327</v>
      </c>
      <c r="I249" s="141" t="s">
        <v>382</v>
      </c>
      <c r="J249" s="141" t="s">
        <v>981</v>
      </c>
      <c r="K249" s="141" t="s">
        <v>384</v>
      </c>
      <c r="L249" s="141" t="s">
        <v>533</v>
      </c>
      <c r="M249" s="141" t="s">
        <v>808</v>
      </c>
      <c r="N249" s="141" t="s">
        <v>1106</v>
      </c>
      <c r="O249" s="141" t="s">
        <v>71</v>
      </c>
      <c r="P249" s="141" t="s">
        <v>44</v>
      </c>
    </row>
    <row r="250" spans="1:16">
      <c r="A250" s="141" t="s">
        <v>1470</v>
      </c>
      <c r="B250" s="141" t="s">
        <v>1471</v>
      </c>
      <c r="C250" s="141" t="s">
        <v>909</v>
      </c>
      <c r="D250" s="142">
        <v>0</v>
      </c>
      <c r="E250" s="141" t="s">
        <v>1021</v>
      </c>
      <c r="F250" s="141" t="s">
        <v>195</v>
      </c>
      <c r="G250" s="141" t="s">
        <v>910</v>
      </c>
      <c r="H250" s="141" t="s">
        <v>327</v>
      </c>
      <c r="I250" s="141" t="s">
        <v>382</v>
      </c>
      <c r="J250" s="141" t="s">
        <v>988</v>
      </c>
      <c r="K250" s="141" t="s">
        <v>384</v>
      </c>
      <c r="L250" s="141" t="s">
        <v>533</v>
      </c>
      <c r="M250" s="141" t="s">
        <v>973</v>
      </c>
      <c r="N250" s="141" t="s">
        <v>1472</v>
      </c>
      <c r="O250" s="141" t="s">
        <v>195</v>
      </c>
      <c r="P250" s="141" t="s">
        <v>43</v>
      </c>
    </row>
    <row r="251" spans="1:16">
      <c r="A251" s="141" t="s">
        <v>1473</v>
      </c>
      <c r="B251" s="141" t="s">
        <v>1474</v>
      </c>
      <c r="C251" s="141" t="s">
        <v>976</v>
      </c>
      <c r="D251" s="172">
        <v>59</v>
      </c>
      <c r="E251" s="141" t="s">
        <v>1027</v>
      </c>
      <c r="F251" s="141" t="s">
        <v>277</v>
      </c>
      <c r="G251" s="141" t="s">
        <v>997</v>
      </c>
      <c r="H251" s="141" t="s">
        <v>320</v>
      </c>
      <c r="I251" s="141" t="s">
        <v>382</v>
      </c>
      <c r="J251" s="141" t="s">
        <v>1004</v>
      </c>
      <c r="K251" s="141" t="s">
        <v>384</v>
      </c>
      <c r="L251" s="141" t="s">
        <v>386</v>
      </c>
      <c r="M251" s="141" t="s">
        <v>808</v>
      </c>
      <c r="N251" s="141" t="s">
        <v>1475</v>
      </c>
      <c r="O251" s="141" t="s">
        <v>83</v>
      </c>
      <c r="P251" s="141"/>
    </row>
    <row r="252" spans="1:16">
      <c r="A252" s="141" t="s">
        <v>1476</v>
      </c>
      <c r="B252" s="141" t="s">
        <v>1474</v>
      </c>
      <c r="C252" s="141" t="s">
        <v>969</v>
      </c>
      <c r="D252" s="172">
        <v>57</v>
      </c>
      <c r="E252" s="141" t="s">
        <v>1027</v>
      </c>
      <c r="F252" s="141" t="s">
        <v>277</v>
      </c>
      <c r="G252" s="141" t="s">
        <v>997</v>
      </c>
      <c r="H252" s="141" t="s">
        <v>320</v>
      </c>
      <c r="I252" s="141" t="s">
        <v>382</v>
      </c>
      <c r="J252" s="141" t="s">
        <v>1004</v>
      </c>
      <c r="K252" s="141" t="s">
        <v>384</v>
      </c>
      <c r="L252" s="141" t="s">
        <v>386</v>
      </c>
      <c r="M252" s="141" t="s">
        <v>808</v>
      </c>
      <c r="N252" s="141" t="s">
        <v>1475</v>
      </c>
      <c r="O252" s="141" t="s">
        <v>83</v>
      </c>
      <c r="P252" s="141"/>
    </row>
    <row r="253" spans="1:16">
      <c r="A253" s="141" t="s">
        <v>1477</v>
      </c>
      <c r="B253" s="141" t="s">
        <v>1474</v>
      </c>
      <c r="C253" s="141" t="s">
        <v>1030</v>
      </c>
      <c r="D253" s="172">
        <v>61</v>
      </c>
      <c r="E253" s="141" t="s">
        <v>1027</v>
      </c>
      <c r="F253" s="141" t="s">
        <v>277</v>
      </c>
      <c r="G253" s="141" t="s">
        <v>997</v>
      </c>
      <c r="H253" s="141" t="s">
        <v>320</v>
      </c>
      <c r="I253" s="141" t="s">
        <v>382</v>
      </c>
      <c r="J253" s="141" t="s">
        <v>1004</v>
      </c>
      <c r="K253" s="141" t="s">
        <v>384</v>
      </c>
      <c r="L253" s="141" t="s">
        <v>386</v>
      </c>
      <c r="M253" s="141" t="s">
        <v>808</v>
      </c>
      <c r="N253" s="141" t="s">
        <v>1475</v>
      </c>
      <c r="O253" s="141" t="s">
        <v>83</v>
      </c>
      <c r="P253" s="141"/>
    </row>
    <row r="254" spans="1:16">
      <c r="A254" s="141" t="s">
        <v>1478</v>
      </c>
      <c r="B254" s="141" t="s">
        <v>1474</v>
      </c>
      <c r="C254" s="141" t="s">
        <v>1032</v>
      </c>
      <c r="D254" s="172">
        <v>55</v>
      </c>
      <c r="E254" s="141" t="s">
        <v>1027</v>
      </c>
      <c r="F254" s="141" t="s">
        <v>277</v>
      </c>
      <c r="G254" s="141" t="s">
        <v>997</v>
      </c>
      <c r="H254" s="141" t="s">
        <v>320</v>
      </c>
      <c r="I254" s="141" t="s">
        <v>382</v>
      </c>
      <c r="J254" s="141" t="s">
        <v>1004</v>
      </c>
      <c r="K254" s="141" t="s">
        <v>384</v>
      </c>
      <c r="L254" s="141" t="s">
        <v>386</v>
      </c>
      <c r="M254" s="141" t="s">
        <v>808</v>
      </c>
      <c r="N254" s="141" t="s">
        <v>1475</v>
      </c>
      <c r="O254" s="141" t="s">
        <v>83</v>
      </c>
      <c r="P254" s="141"/>
    </row>
    <row r="255" spans="1:16">
      <c r="A255" s="141" t="s">
        <v>1479</v>
      </c>
      <c r="B255" s="141" t="s">
        <v>1480</v>
      </c>
      <c r="C255" s="141" t="s">
        <v>976</v>
      </c>
      <c r="D255" s="172">
        <v>59</v>
      </c>
      <c r="E255" s="141" t="s">
        <v>1009</v>
      </c>
      <c r="F255" s="141" t="s">
        <v>83</v>
      </c>
      <c r="G255" s="141" t="s">
        <v>997</v>
      </c>
      <c r="H255" s="141" t="s">
        <v>320</v>
      </c>
      <c r="I255" s="141" t="s">
        <v>382</v>
      </c>
      <c r="J255" s="141" t="s">
        <v>988</v>
      </c>
      <c r="K255" s="141" t="s">
        <v>384</v>
      </c>
      <c r="L255" s="141" t="s">
        <v>539</v>
      </c>
      <c r="M255" s="141" t="s">
        <v>973</v>
      </c>
      <c r="N255" s="141" t="s">
        <v>1481</v>
      </c>
      <c r="O255" s="141" t="s">
        <v>83</v>
      </c>
      <c r="P255" s="141"/>
    </row>
    <row r="256" spans="1:16">
      <c r="A256" s="141" t="s">
        <v>1482</v>
      </c>
      <c r="B256" s="141" t="s">
        <v>1480</v>
      </c>
      <c r="C256" s="141" t="s">
        <v>969</v>
      </c>
      <c r="D256" s="172">
        <v>57</v>
      </c>
      <c r="E256" s="141" t="s">
        <v>1009</v>
      </c>
      <c r="F256" s="141" t="s">
        <v>83</v>
      </c>
      <c r="G256" s="141" t="s">
        <v>997</v>
      </c>
      <c r="H256" s="141" t="s">
        <v>320</v>
      </c>
      <c r="I256" s="141" t="s">
        <v>382</v>
      </c>
      <c r="J256" s="141" t="s">
        <v>988</v>
      </c>
      <c r="K256" s="141" t="s">
        <v>384</v>
      </c>
      <c r="L256" s="141" t="s">
        <v>539</v>
      </c>
      <c r="M256" s="141" t="s">
        <v>973</v>
      </c>
      <c r="N256" s="141" t="s">
        <v>1481</v>
      </c>
      <c r="O256" s="141" t="s">
        <v>83</v>
      </c>
      <c r="P256" s="141"/>
    </row>
    <row r="257" spans="1:16">
      <c r="A257" s="141" t="s">
        <v>1483</v>
      </c>
      <c r="B257" s="141" t="s">
        <v>1480</v>
      </c>
      <c r="C257" s="141" t="s">
        <v>1030</v>
      </c>
      <c r="D257" s="172">
        <v>61</v>
      </c>
      <c r="E257" s="141" t="s">
        <v>1009</v>
      </c>
      <c r="F257" s="141" t="s">
        <v>83</v>
      </c>
      <c r="G257" s="141" t="s">
        <v>997</v>
      </c>
      <c r="H257" s="141" t="s">
        <v>320</v>
      </c>
      <c r="I257" s="141" t="s">
        <v>382</v>
      </c>
      <c r="J257" s="141" t="s">
        <v>988</v>
      </c>
      <c r="K257" s="141" t="s">
        <v>384</v>
      </c>
      <c r="L257" s="141" t="s">
        <v>539</v>
      </c>
      <c r="M257" s="141" t="s">
        <v>973</v>
      </c>
      <c r="N257" s="141" t="s">
        <v>1481</v>
      </c>
      <c r="O257" s="141" t="s">
        <v>83</v>
      </c>
      <c r="P257" s="141"/>
    </row>
    <row r="258" spans="1:16">
      <c r="A258" s="141" t="s">
        <v>1484</v>
      </c>
      <c r="B258" s="141" t="s">
        <v>1485</v>
      </c>
      <c r="C258" s="141" t="s">
        <v>1058</v>
      </c>
      <c r="D258" s="172">
        <v>60</v>
      </c>
      <c r="E258" s="141" t="s">
        <v>1397</v>
      </c>
      <c r="F258" s="141" t="s">
        <v>55</v>
      </c>
      <c r="G258" s="141" t="s">
        <v>1398</v>
      </c>
      <c r="H258" s="141" t="s">
        <v>350</v>
      </c>
      <c r="I258" s="141" t="s">
        <v>382</v>
      </c>
      <c r="J258" s="141" t="s">
        <v>981</v>
      </c>
      <c r="K258" s="141" t="s">
        <v>384</v>
      </c>
      <c r="L258" s="141" t="s">
        <v>533</v>
      </c>
      <c r="M258" s="141" t="s">
        <v>808</v>
      </c>
      <c r="N258" s="141" t="s">
        <v>1017</v>
      </c>
      <c r="O258" s="141" t="s">
        <v>71</v>
      </c>
      <c r="P258" s="141" t="s">
        <v>43</v>
      </c>
    </row>
    <row r="259" spans="1:16">
      <c r="A259" s="141" t="s">
        <v>1486</v>
      </c>
      <c r="B259" s="141" t="s">
        <v>1485</v>
      </c>
      <c r="C259" s="141" t="s">
        <v>1053</v>
      </c>
      <c r="D259" s="172">
        <v>56</v>
      </c>
      <c r="E259" s="141" t="s">
        <v>1397</v>
      </c>
      <c r="F259" s="141" t="s">
        <v>55</v>
      </c>
      <c r="G259" s="141" t="s">
        <v>1398</v>
      </c>
      <c r="H259" s="141" t="s">
        <v>350</v>
      </c>
      <c r="I259" s="141" t="s">
        <v>382</v>
      </c>
      <c r="J259" s="141" t="s">
        <v>981</v>
      </c>
      <c r="K259" s="141" t="s">
        <v>384</v>
      </c>
      <c r="L259" s="141" t="s">
        <v>533</v>
      </c>
      <c r="M259" s="141" t="s">
        <v>808</v>
      </c>
      <c r="N259" s="141" t="s">
        <v>1017</v>
      </c>
      <c r="O259" s="141" t="s">
        <v>71</v>
      </c>
      <c r="P259" s="141" t="s">
        <v>43</v>
      </c>
    </row>
    <row r="260" spans="1:16">
      <c r="A260" s="141" t="s">
        <v>1487</v>
      </c>
      <c r="B260" s="141" t="s">
        <v>1488</v>
      </c>
      <c r="C260" s="141" t="s">
        <v>1058</v>
      </c>
      <c r="D260" s="172">
        <v>60</v>
      </c>
      <c r="E260" s="141" t="s">
        <v>1397</v>
      </c>
      <c r="F260" s="141" t="s">
        <v>195</v>
      </c>
      <c r="G260" s="141" t="s">
        <v>1398</v>
      </c>
      <c r="H260" s="141" t="s">
        <v>350</v>
      </c>
      <c r="I260" s="141" t="s">
        <v>382</v>
      </c>
      <c r="J260" s="141" t="s">
        <v>981</v>
      </c>
      <c r="K260" s="141" t="s">
        <v>384</v>
      </c>
      <c r="L260" s="141" t="s">
        <v>533</v>
      </c>
      <c r="M260" s="141" t="s">
        <v>808</v>
      </c>
      <c r="N260" s="141" t="s">
        <v>1489</v>
      </c>
      <c r="O260" s="141" t="s">
        <v>195</v>
      </c>
      <c r="P260" s="141" t="s">
        <v>43</v>
      </c>
    </row>
    <row r="261" spans="1:16">
      <c r="A261" s="141" t="s">
        <v>1490</v>
      </c>
      <c r="B261" s="141" t="s">
        <v>1488</v>
      </c>
      <c r="C261" s="141" t="s">
        <v>1053</v>
      </c>
      <c r="D261" s="172">
        <v>56</v>
      </c>
      <c r="E261" s="141" t="s">
        <v>1397</v>
      </c>
      <c r="F261" s="141" t="s">
        <v>195</v>
      </c>
      <c r="G261" s="141" t="s">
        <v>1398</v>
      </c>
      <c r="H261" s="141" t="s">
        <v>350</v>
      </c>
      <c r="I261" s="141" t="s">
        <v>382</v>
      </c>
      <c r="J261" s="141" t="s">
        <v>981</v>
      </c>
      <c r="K261" s="141" t="s">
        <v>384</v>
      </c>
      <c r="L261" s="141" t="s">
        <v>533</v>
      </c>
      <c r="M261" s="141" t="s">
        <v>808</v>
      </c>
      <c r="N261" s="141" t="s">
        <v>1489</v>
      </c>
      <c r="O261" s="141" t="s">
        <v>195</v>
      </c>
      <c r="P261" s="141" t="s">
        <v>43</v>
      </c>
    </row>
    <row r="262" spans="1:16">
      <c r="A262" s="141" t="s">
        <v>1491</v>
      </c>
      <c r="B262" s="141" t="s">
        <v>1492</v>
      </c>
      <c r="C262" s="141" t="s">
        <v>976</v>
      </c>
      <c r="D262" s="172">
        <v>59</v>
      </c>
      <c r="E262" s="141" t="s">
        <v>1281</v>
      </c>
      <c r="F262" s="141" t="s">
        <v>83</v>
      </c>
      <c r="G262" s="141" t="s">
        <v>1003</v>
      </c>
      <c r="H262" s="141" t="s">
        <v>320</v>
      </c>
      <c r="I262" s="141" t="s">
        <v>382</v>
      </c>
      <c r="J262" s="141" t="s">
        <v>988</v>
      </c>
      <c r="K262" s="141" t="s">
        <v>384</v>
      </c>
      <c r="L262" s="141" t="s">
        <v>539</v>
      </c>
      <c r="M262" s="141" t="s">
        <v>973</v>
      </c>
      <c r="N262" s="141" t="s">
        <v>1493</v>
      </c>
      <c r="O262" s="141" t="s">
        <v>83</v>
      </c>
      <c r="P262" s="141"/>
    </row>
    <row r="263" spans="1:16">
      <c r="A263" s="141" t="s">
        <v>1494</v>
      </c>
      <c r="B263" s="141" t="s">
        <v>1492</v>
      </c>
      <c r="C263" s="141" t="s">
        <v>969</v>
      </c>
      <c r="D263" s="172">
        <v>57</v>
      </c>
      <c r="E263" s="141" t="s">
        <v>1281</v>
      </c>
      <c r="F263" s="141" t="s">
        <v>83</v>
      </c>
      <c r="G263" s="141" t="s">
        <v>1003</v>
      </c>
      <c r="H263" s="141" t="s">
        <v>320</v>
      </c>
      <c r="I263" s="141" t="s">
        <v>382</v>
      </c>
      <c r="J263" s="141" t="s">
        <v>988</v>
      </c>
      <c r="K263" s="141" t="s">
        <v>384</v>
      </c>
      <c r="L263" s="141" t="s">
        <v>539</v>
      </c>
      <c r="M263" s="141" t="s">
        <v>973</v>
      </c>
      <c r="N263" s="141" t="s">
        <v>1493</v>
      </c>
      <c r="O263" s="141" t="s">
        <v>83</v>
      </c>
      <c r="P263" s="141"/>
    </row>
    <row r="264" spans="1:16">
      <c r="A264" s="141" t="s">
        <v>1495</v>
      </c>
      <c r="B264" s="141" t="s">
        <v>1492</v>
      </c>
      <c r="C264" s="141" t="s">
        <v>1030</v>
      </c>
      <c r="D264" s="172">
        <v>61</v>
      </c>
      <c r="E264" s="141" t="s">
        <v>1281</v>
      </c>
      <c r="F264" s="141" t="s">
        <v>83</v>
      </c>
      <c r="G264" s="141" t="s">
        <v>1003</v>
      </c>
      <c r="H264" s="141" t="s">
        <v>320</v>
      </c>
      <c r="I264" s="141" t="s">
        <v>382</v>
      </c>
      <c r="J264" s="141" t="s">
        <v>988</v>
      </c>
      <c r="K264" s="141" t="s">
        <v>384</v>
      </c>
      <c r="L264" s="141" t="s">
        <v>539</v>
      </c>
      <c r="M264" s="141" t="s">
        <v>973</v>
      </c>
      <c r="N264" s="141" t="s">
        <v>1493</v>
      </c>
      <c r="O264" s="141" t="s">
        <v>83</v>
      </c>
      <c r="P264" s="141"/>
    </row>
    <row r="265" spans="1:16">
      <c r="A265" s="141" t="s">
        <v>1496</v>
      </c>
      <c r="B265" s="141" t="s">
        <v>1497</v>
      </c>
      <c r="C265" s="141" t="s">
        <v>976</v>
      </c>
      <c r="D265" s="172">
        <v>59</v>
      </c>
      <c r="E265" s="141" t="s">
        <v>970</v>
      </c>
      <c r="F265" s="141" t="s">
        <v>91</v>
      </c>
      <c r="G265" s="141" t="s">
        <v>971</v>
      </c>
      <c r="H265" s="141" t="s">
        <v>325</v>
      </c>
      <c r="I265" s="141" t="s">
        <v>382</v>
      </c>
      <c r="J265" s="141" t="s">
        <v>972</v>
      </c>
      <c r="K265" s="141" t="s">
        <v>384</v>
      </c>
      <c r="L265" s="141" t="s">
        <v>539</v>
      </c>
      <c r="M265" s="141" t="s">
        <v>973</v>
      </c>
      <c r="N265" s="141" t="s">
        <v>1498</v>
      </c>
      <c r="O265" s="141" t="s">
        <v>91</v>
      </c>
      <c r="P265" s="141"/>
    </row>
    <row r="266" spans="1:16">
      <c r="A266" s="141" t="s">
        <v>1499</v>
      </c>
      <c r="B266" s="141" t="s">
        <v>1497</v>
      </c>
      <c r="C266" s="141" t="s">
        <v>969</v>
      </c>
      <c r="D266" s="172">
        <v>57</v>
      </c>
      <c r="E266" s="141" t="s">
        <v>970</v>
      </c>
      <c r="F266" s="141" t="s">
        <v>91</v>
      </c>
      <c r="G266" s="141" t="s">
        <v>971</v>
      </c>
      <c r="H266" s="141" t="s">
        <v>325</v>
      </c>
      <c r="I266" s="141" t="s">
        <v>382</v>
      </c>
      <c r="J266" s="141" t="s">
        <v>972</v>
      </c>
      <c r="K266" s="141" t="s">
        <v>384</v>
      </c>
      <c r="L266" s="141" t="s">
        <v>539</v>
      </c>
      <c r="M266" s="141" t="s">
        <v>973</v>
      </c>
      <c r="N266" s="141" t="s">
        <v>1498</v>
      </c>
      <c r="O266" s="141" t="s">
        <v>91</v>
      </c>
      <c r="P266" s="141"/>
    </row>
    <row r="267" spans="1:16">
      <c r="A267" s="141" t="s">
        <v>1500</v>
      </c>
      <c r="B267" s="141" t="s">
        <v>1501</v>
      </c>
      <c r="C267" s="141" t="s">
        <v>976</v>
      </c>
      <c r="D267" s="172">
        <v>59</v>
      </c>
      <c r="E267" s="141" t="s">
        <v>970</v>
      </c>
      <c r="F267" s="141" t="s">
        <v>78</v>
      </c>
      <c r="G267" s="141" t="s">
        <v>971</v>
      </c>
      <c r="H267" s="141" t="s">
        <v>325</v>
      </c>
      <c r="I267" s="141" t="s">
        <v>382</v>
      </c>
      <c r="J267" s="141" t="s">
        <v>972</v>
      </c>
      <c r="K267" s="141" t="s">
        <v>384</v>
      </c>
      <c r="L267" s="141" t="s">
        <v>539</v>
      </c>
      <c r="M267" s="141" t="s">
        <v>973</v>
      </c>
      <c r="N267" s="141" t="s">
        <v>1502</v>
      </c>
      <c r="O267" s="141" t="s">
        <v>78</v>
      </c>
      <c r="P267" s="141"/>
    </row>
    <row r="268" spans="1:16">
      <c r="A268" s="141" t="s">
        <v>1503</v>
      </c>
      <c r="B268" s="141" t="s">
        <v>1501</v>
      </c>
      <c r="C268" s="141" t="s">
        <v>969</v>
      </c>
      <c r="D268" s="172">
        <v>57</v>
      </c>
      <c r="E268" s="141" t="s">
        <v>970</v>
      </c>
      <c r="F268" s="141" t="s">
        <v>78</v>
      </c>
      <c r="G268" s="141" t="s">
        <v>971</v>
      </c>
      <c r="H268" s="141" t="s">
        <v>325</v>
      </c>
      <c r="I268" s="141" t="s">
        <v>382</v>
      </c>
      <c r="J268" s="141" t="s">
        <v>972</v>
      </c>
      <c r="K268" s="141" t="s">
        <v>384</v>
      </c>
      <c r="L268" s="141" t="s">
        <v>539</v>
      </c>
      <c r="M268" s="141" t="s">
        <v>973</v>
      </c>
      <c r="N268" s="141" t="s">
        <v>1502</v>
      </c>
      <c r="O268" s="141" t="s">
        <v>78</v>
      </c>
      <c r="P268" s="141"/>
    </row>
    <row r="269" spans="1:16">
      <c r="A269" s="141" t="s">
        <v>1504</v>
      </c>
      <c r="B269" s="141" t="s">
        <v>1505</v>
      </c>
      <c r="C269" s="141" t="s">
        <v>1058</v>
      </c>
      <c r="D269" s="172">
        <v>60</v>
      </c>
      <c r="E269" s="141" t="s">
        <v>1506</v>
      </c>
      <c r="F269" s="141" t="s">
        <v>53</v>
      </c>
      <c r="G269" s="141" t="s">
        <v>1393</v>
      </c>
      <c r="H269" s="141" t="s">
        <v>327</v>
      </c>
      <c r="I269" s="141" t="s">
        <v>382</v>
      </c>
      <c r="J269" s="141" t="s">
        <v>981</v>
      </c>
      <c r="K269" s="141" t="s">
        <v>384</v>
      </c>
      <c r="L269" s="141" t="s">
        <v>533</v>
      </c>
      <c r="M269" s="141" t="s">
        <v>973</v>
      </c>
      <c r="N269" s="141" t="s">
        <v>1363</v>
      </c>
      <c r="O269" s="141" t="s">
        <v>53</v>
      </c>
      <c r="P269" s="141"/>
    </row>
    <row r="270" spans="1:16">
      <c r="A270" s="141" t="s">
        <v>1507</v>
      </c>
      <c r="B270" s="141" t="s">
        <v>1505</v>
      </c>
      <c r="C270" s="141" t="s">
        <v>1053</v>
      </c>
      <c r="D270" s="172">
        <v>56</v>
      </c>
      <c r="E270" s="141" t="s">
        <v>1506</v>
      </c>
      <c r="F270" s="141" t="s">
        <v>53</v>
      </c>
      <c r="G270" s="141" t="s">
        <v>1393</v>
      </c>
      <c r="H270" s="141" t="s">
        <v>327</v>
      </c>
      <c r="I270" s="141" t="s">
        <v>382</v>
      </c>
      <c r="J270" s="141" t="s">
        <v>981</v>
      </c>
      <c r="K270" s="141" t="s">
        <v>384</v>
      </c>
      <c r="L270" s="141" t="s">
        <v>533</v>
      </c>
      <c r="M270" s="141" t="s">
        <v>973</v>
      </c>
      <c r="N270" s="141" t="s">
        <v>1363</v>
      </c>
      <c r="O270" s="141" t="s">
        <v>53</v>
      </c>
      <c r="P270" s="141"/>
    </row>
    <row r="271" spans="1:16">
      <c r="A271" s="141" t="s">
        <v>1508</v>
      </c>
      <c r="B271" s="141" t="s">
        <v>1509</v>
      </c>
      <c r="C271" s="141" t="s">
        <v>1058</v>
      </c>
      <c r="D271" s="172">
        <v>60</v>
      </c>
      <c r="E271" s="141" t="s">
        <v>1510</v>
      </c>
      <c r="F271" s="141" t="s">
        <v>53</v>
      </c>
      <c r="G271" s="141" t="s">
        <v>1511</v>
      </c>
      <c r="H271" s="141" t="s">
        <v>350</v>
      </c>
      <c r="I271" s="141" t="s">
        <v>382</v>
      </c>
      <c r="J271" s="141" t="s">
        <v>981</v>
      </c>
      <c r="K271" s="141" t="s">
        <v>384</v>
      </c>
      <c r="L271" s="141" t="s">
        <v>533</v>
      </c>
      <c r="M271" s="141" t="s">
        <v>808</v>
      </c>
      <c r="N271" s="141" t="s">
        <v>1005</v>
      </c>
      <c r="O271" s="141" t="s">
        <v>53</v>
      </c>
      <c r="P271" s="141" t="s">
        <v>43</v>
      </c>
    </row>
    <row r="272" spans="1:16">
      <c r="A272" s="141" t="s">
        <v>1512</v>
      </c>
      <c r="B272" s="141" t="s">
        <v>1509</v>
      </c>
      <c r="C272" s="141" t="s">
        <v>1053</v>
      </c>
      <c r="D272" s="172">
        <v>56</v>
      </c>
      <c r="E272" s="141" t="s">
        <v>1510</v>
      </c>
      <c r="F272" s="141" t="s">
        <v>53</v>
      </c>
      <c r="G272" s="141" t="s">
        <v>1511</v>
      </c>
      <c r="H272" s="141" t="s">
        <v>350</v>
      </c>
      <c r="I272" s="141" t="s">
        <v>382</v>
      </c>
      <c r="J272" s="141" t="s">
        <v>981</v>
      </c>
      <c r="K272" s="141" t="s">
        <v>384</v>
      </c>
      <c r="L272" s="141" t="s">
        <v>533</v>
      </c>
      <c r="M272" s="141" t="s">
        <v>808</v>
      </c>
      <c r="N272" s="141" t="s">
        <v>1005</v>
      </c>
      <c r="O272" s="141" t="s">
        <v>53</v>
      </c>
      <c r="P272" s="141" t="s">
        <v>43</v>
      </c>
    </row>
    <row r="273" spans="1:16">
      <c r="A273" s="141" t="s">
        <v>1513</v>
      </c>
      <c r="B273" s="141" t="s">
        <v>1514</v>
      </c>
      <c r="C273" s="141" t="s">
        <v>1058</v>
      </c>
      <c r="D273" s="172">
        <v>60</v>
      </c>
      <c r="E273" s="141" t="s">
        <v>1515</v>
      </c>
      <c r="F273" s="141" t="s">
        <v>55</v>
      </c>
      <c r="G273" s="141" t="s">
        <v>1516</v>
      </c>
      <c r="H273" s="141" t="s">
        <v>327</v>
      </c>
      <c r="I273" s="141" t="s">
        <v>382</v>
      </c>
      <c r="J273" s="141" t="s">
        <v>981</v>
      </c>
      <c r="K273" s="141" t="s">
        <v>384</v>
      </c>
      <c r="L273" s="141" t="s">
        <v>386</v>
      </c>
      <c r="M273" s="141" t="s">
        <v>808</v>
      </c>
      <c r="N273" s="141" t="s">
        <v>1092</v>
      </c>
      <c r="O273" s="141" t="s">
        <v>71</v>
      </c>
      <c r="P273" s="141" t="s">
        <v>43</v>
      </c>
    </row>
    <row r="274" spans="1:16">
      <c r="A274" s="141" t="s">
        <v>1517</v>
      </c>
      <c r="B274" s="141" t="s">
        <v>1514</v>
      </c>
      <c r="C274" s="141" t="s">
        <v>1053</v>
      </c>
      <c r="D274" s="172">
        <v>56</v>
      </c>
      <c r="E274" s="141" t="s">
        <v>1515</v>
      </c>
      <c r="F274" s="141" t="s">
        <v>55</v>
      </c>
      <c r="G274" s="141" t="s">
        <v>1516</v>
      </c>
      <c r="H274" s="141" t="s">
        <v>327</v>
      </c>
      <c r="I274" s="141" t="s">
        <v>382</v>
      </c>
      <c r="J274" s="141" t="s">
        <v>981</v>
      </c>
      <c r="K274" s="141" t="s">
        <v>384</v>
      </c>
      <c r="L274" s="141" t="s">
        <v>386</v>
      </c>
      <c r="M274" s="141" t="s">
        <v>808</v>
      </c>
      <c r="N274" s="141" t="s">
        <v>1092</v>
      </c>
      <c r="O274" s="141" t="s">
        <v>71</v>
      </c>
      <c r="P274" s="141" t="s">
        <v>43</v>
      </c>
    </row>
    <row r="275" spans="1:16">
      <c r="A275" s="141" t="s">
        <v>1518</v>
      </c>
      <c r="B275" s="141" t="s">
        <v>1519</v>
      </c>
      <c r="C275" s="141" t="s">
        <v>976</v>
      </c>
      <c r="D275" s="172">
        <v>59</v>
      </c>
      <c r="E275" s="141" t="s">
        <v>1027</v>
      </c>
      <c r="F275" s="141" t="s">
        <v>55</v>
      </c>
      <c r="G275" s="141" t="s">
        <v>1010</v>
      </c>
      <c r="H275" s="141" t="s">
        <v>320</v>
      </c>
      <c r="I275" s="141" t="s">
        <v>382</v>
      </c>
      <c r="J275" s="141" t="s">
        <v>1004</v>
      </c>
      <c r="K275" s="141" t="s">
        <v>384</v>
      </c>
      <c r="L275" s="141" t="s">
        <v>539</v>
      </c>
      <c r="M275" s="141" t="s">
        <v>808</v>
      </c>
      <c r="N275" s="141" t="s">
        <v>1017</v>
      </c>
      <c r="O275" s="141" t="s">
        <v>71</v>
      </c>
      <c r="P275" s="141"/>
    </row>
    <row r="276" spans="1:16">
      <c r="A276" s="141" t="s">
        <v>1520</v>
      </c>
      <c r="B276" s="141" t="s">
        <v>1519</v>
      </c>
      <c r="C276" s="141" t="s">
        <v>969</v>
      </c>
      <c r="D276" s="172">
        <v>57</v>
      </c>
      <c r="E276" s="141" t="s">
        <v>1027</v>
      </c>
      <c r="F276" s="141" t="s">
        <v>55</v>
      </c>
      <c r="G276" s="141" t="s">
        <v>1010</v>
      </c>
      <c r="H276" s="141" t="s">
        <v>320</v>
      </c>
      <c r="I276" s="141" t="s">
        <v>382</v>
      </c>
      <c r="J276" s="141" t="s">
        <v>1004</v>
      </c>
      <c r="K276" s="141" t="s">
        <v>384</v>
      </c>
      <c r="L276" s="141" t="s">
        <v>539</v>
      </c>
      <c r="M276" s="141" t="s">
        <v>808</v>
      </c>
      <c r="N276" s="141" t="s">
        <v>1017</v>
      </c>
      <c r="O276" s="141" t="s">
        <v>71</v>
      </c>
      <c r="P276" s="141"/>
    </row>
    <row r="277" spans="1:16">
      <c r="A277" s="141" t="s">
        <v>1521</v>
      </c>
      <c r="B277" s="141" t="s">
        <v>1519</v>
      </c>
      <c r="C277" s="141" t="s">
        <v>1030</v>
      </c>
      <c r="D277" s="172">
        <v>61</v>
      </c>
      <c r="E277" s="141" t="s">
        <v>1027</v>
      </c>
      <c r="F277" s="141" t="s">
        <v>55</v>
      </c>
      <c r="G277" s="141" t="s">
        <v>1010</v>
      </c>
      <c r="H277" s="141" t="s">
        <v>320</v>
      </c>
      <c r="I277" s="141" t="s">
        <v>382</v>
      </c>
      <c r="J277" s="141" t="s">
        <v>1004</v>
      </c>
      <c r="K277" s="141" t="s">
        <v>384</v>
      </c>
      <c r="L277" s="141" t="s">
        <v>539</v>
      </c>
      <c r="M277" s="141" t="s">
        <v>808</v>
      </c>
      <c r="N277" s="141" t="s">
        <v>1017</v>
      </c>
      <c r="O277" s="141" t="s">
        <v>71</v>
      </c>
      <c r="P277" s="141"/>
    </row>
    <row r="278" spans="1:16">
      <c r="A278" s="141" t="s">
        <v>1522</v>
      </c>
      <c r="B278" s="141" t="s">
        <v>1519</v>
      </c>
      <c r="C278" s="141" t="s">
        <v>1032</v>
      </c>
      <c r="D278" s="172">
        <v>55</v>
      </c>
      <c r="E278" s="141" t="s">
        <v>1027</v>
      </c>
      <c r="F278" s="141" t="s">
        <v>55</v>
      </c>
      <c r="G278" s="141" t="s">
        <v>1010</v>
      </c>
      <c r="H278" s="141" t="s">
        <v>320</v>
      </c>
      <c r="I278" s="141" t="s">
        <v>382</v>
      </c>
      <c r="J278" s="141" t="s">
        <v>1004</v>
      </c>
      <c r="K278" s="141" t="s">
        <v>384</v>
      </c>
      <c r="L278" s="141" t="s">
        <v>539</v>
      </c>
      <c r="M278" s="141" t="s">
        <v>808</v>
      </c>
      <c r="N278" s="141" t="s">
        <v>1017</v>
      </c>
      <c r="O278" s="141" t="s">
        <v>71</v>
      </c>
      <c r="P278" s="141"/>
    </row>
    <row r="279" spans="1:16">
      <c r="A279" s="141" t="s">
        <v>1523</v>
      </c>
      <c r="B279" s="141" t="s">
        <v>1524</v>
      </c>
      <c r="C279" s="141" t="s">
        <v>976</v>
      </c>
      <c r="D279" s="172">
        <v>59</v>
      </c>
      <c r="E279" s="141" t="s">
        <v>1009</v>
      </c>
      <c r="F279" s="141" t="s">
        <v>277</v>
      </c>
      <c r="G279" s="141" t="s">
        <v>997</v>
      </c>
      <c r="H279" s="141" t="s">
        <v>320</v>
      </c>
      <c r="I279" s="141" t="s">
        <v>382</v>
      </c>
      <c r="J279" s="141" t="s">
        <v>988</v>
      </c>
      <c r="K279" s="141" t="s">
        <v>384</v>
      </c>
      <c r="L279" s="141" t="s">
        <v>539</v>
      </c>
      <c r="M279" s="141" t="s">
        <v>973</v>
      </c>
      <c r="N279" s="141" t="s">
        <v>1475</v>
      </c>
      <c r="O279" s="141" t="s">
        <v>83</v>
      </c>
      <c r="P279" s="141"/>
    </row>
    <row r="280" spans="1:16">
      <c r="A280" s="141" t="s">
        <v>1525</v>
      </c>
      <c r="B280" s="141" t="s">
        <v>1524</v>
      </c>
      <c r="C280" s="141" t="s">
        <v>969</v>
      </c>
      <c r="D280" s="172">
        <v>57</v>
      </c>
      <c r="E280" s="141" t="s">
        <v>1009</v>
      </c>
      <c r="F280" s="141" t="s">
        <v>277</v>
      </c>
      <c r="G280" s="141" t="s">
        <v>997</v>
      </c>
      <c r="H280" s="141" t="s">
        <v>320</v>
      </c>
      <c r="I280" s="141" t="s">
        <v>382</v>
      </c>
      <c r="J280" s="141" t="s">
        <v>988</v>
      </c>
      <c r="K280" s="141" t="s">
        <v>384</v>
      </c>
      <c r="L280" s="141" t="s">
        <v>539</v>
      </c>
      <c r="M280" s="141" t="s">
        <v>973</v>
      </c>
      <c r="N280" s="141" t="s">
        <v>1475</v>
      </c>
      <c r="O280" s="141" t="s">
        <v>83</v>
      </c>
      <c r="P280" s="141"/>
    </row>
    <row r="281" spans="1:16">
      <c r="A281" s="141" t="s">
        <v>1526</v>
      </c>
      <c r="B281" s="141" t="s">
        <v>1524</v>
      </c>
      <c r="C281" s="141" t="s">
        <v>1030</v>
      </c>
      <c r="D281" s="172">
        <v>61</v>
      </c>
      <c r="E281" s="141" t="s">
        <v>1009</v>
      </c>
      <c r="F281" s="141" t="s">
        <v>277</v>
      </c>
      <c r="G281" s="141" t="s">
        <v>997</v>
      </c>
      <c r="H281" s="141" t="s">
        <v>320</v>
      </c>
      <c r="I281" s="141" t="s">
        <v>382</v>
      </c>
      <c r="J281" s="141" t="s">
        <v>988</v>
      </c>
      <c r="K281" s="141" t="s">
        <v>384</v>
      </c>
      <c r="L281" s="141" t="s">
        <v>539</v>
      </c>
      <c r="M281" s="141" t="s">
        <v>973</v>
      </c>
      <c r="N281" s="141" t="s">
        <v>1475</v>
      </c>
      <c r="O281" s="141" t="s">
        <v>83</v>
      </c>
      <c r="P281" s="141"/>
    </row>
    <row r="282" spans="1:16">
      <c r="A282" s="141" t="s">
        <v>1527</v>
      </c>
      <c r="B282" s="141" t="s">
        <v>1528</v>
      </c>
      <c r="C282" s="141" t="s">
        <v>909</v>
      </c>
      <c r="D282" s="142">
        <v>0</v>
      </c>
      <c r="E282" s="141" t="s">
        <v>1046</v>
      </c>
      <c r="F282" s="141" t="s">
        <v>83</v>
      </c>
      <c r="G282" s="141" t="s">
        <v>910</v>
      </c>
      <c r="H282" s="141" t="s">
        <v>327</v>
      </c>
      <c r="I282" s="141" t="s">
        <v>382</v>
      </c>
      <c r="J282" s="141" t="s">
        <v>988</v>
      </c>
      <c r="K282" s="141" t="s">
        <v>384</v>
      </c>
      <c r="L282" s="141" t="s">
        <v>386</v>
      </c>
      <c r="M282" s="141" t="s">
        <v>973</v>
      </c>
      <c r="N282" s="141" t="s">
        <v>1481</v>
      </c>
      <c r="O282" s="141" t="s">
        <v>83</v>
      </c>
      <c r="P282" s="141" t="s">
        <v>43</v>
      </c>
    </row>
    <row r="283" spans="1:16">
      <c r="A283" s="141" t="s">
        <v>1529</v>
      </c>
      <c r="B283" s="141" t="s">
        <v>1530</v>
      </c>
      <c r="C283" s="141" t="s">
        <v>969</v>
      </c>
      <c r="D283" s="172">
        <v>57</v>
      </c>
      <c r="E283" s="141" t="s">
        <v>1118</v>
      </c>
      <c r="F283" s="141" t="s">
        <v>233</v>
      </c>
      <c r="G283" s="141" t="s">
        <v>1105</v>
      </c>
      <c r="H283" s="141" t="s">
        <v>320</v>
      </c>
      <c r="I283" s="141" t="s">
        <v>382</v>
      </c>
      <c r="J283" s="141" t="s">
        <v>988</v>
      </c>
      <c r="K283" s="141" t="s">
        <v>388</v>
      </c>
      <c r="L283" s="141" t="s">
        <v>539</v>
      </c>
      <c r="M283" s="141" t="s">
        <v>808</v>
      </c>
      <c r="N283" s="141" t="s">
        <v>1498</v>
      </c>
      <c r="O283" s="141" t="s">
        <v>71</v>
      </c>
      <c r="P283" s="141" t="s">
        <v>44</v>
      </c>
    </row>
    <row r="284" spans="1:16">
      <c r="A284" s="141" t="s">
        <v>1531</v>
      </c>
      <c r="B284" s="141" t="s">
        <v>1530</v>
      </c>
      <c r="C284" s="141" t="s">
        <v>976</v>
      </c>
      <c r="D284" s="172">
        <v>59</v>
      </c>
      <c r="E284" s="141" t="s">
        <v>1118</v>
      </c>
      <c r="F284" s="141" t="s">
        <v>233</v>
      </c>
      <c r="G284" s="141" t="s">
        <v>1105</v>
      </c>
      <c r="H284" s="141" t="s">
        <v>320</v>
      </c>
      <c r="I284" s="141" t="s">
        <v>382</v>
      </c>
      <c r="J284" s="141" t="s">
        <v>988</v>
      </c>
      <c r="K284" s="141" t="s">
        <v>388</v>
      </c>
      <c r="L284" s="141" t="s">
        <v>539</v>
      </c>
      <c r="M284" s="141" t="s">
        <v>808</v>
      </c>
      <c r="N284" s="141" t="s">
        <v>1498</v>
      </c>
      <c r="O284" s="141" t="s">
        <v>71</v>
      </c>
      <c r="P284" s="141" t="s">
        <v>44</v>
      </c>
    </row>
    <row r="285" spans="1:16">
      <c r="A285" s="141" t="s">
        <v>1532</v>
      </c>
      <c r="B285" s="141" t="s">
        <v>1533</v>
      </c>
      <c r="C285" s="141" t="s">
        <v>976</v>
      </c>
      <c r="D285" s="172">
        <v>59</v>
      </c>
      <c r="E285" s="141" t="s">
        <v>1118</v>
      </c>
      <c r="F285" s="141" t="s">
        <v>120</v>
      </c>
      <c r="G285" s="141" t="s">
        <v>1105</v>
      </c>
      <c r="H285" s="141" t="s">
        <v>320</v>
      </c>
      <c r="I285" s="141" t="s">
        <v>382</v>
      </c>
      <c r="J285" s="141" t="s">
        <v>988</v>
      </c>
      <c r="K285" s="141" t="s">
        <v>388</v>
      </c>
      <c r="L285" s="141" t="s">
        <v>539</v>
      </c>
      <c r="M285" s="141" t="s">
        <v>808</v>
      </c>
      <c r="N285" s="141" t="s">
        <v>1534</v>
      </c>
      <c r="O285" s="141" t="s">
        <v>91</v>
      </c>
      <c r="P285" s="141" t="s">
        <v>44</v>
      </c>
    </row>
    <row r="286" spans="1:16">
      <c r="A286" s="141" t="s">
        <v>1535</v>
      </c>
      <c r="B286" s="141" t="s">
        <v>1536</v>
      </c>
      <c r="C286" s="141" t="s">
        <v>969</v>
      </c>
      <c r="D286" s="172">
        <v>57</v>
      </c>
      <c r="E286" s="141" t="s">
        <v>1537</v>
      </c>
      <c r="F286" s="141" t="s">
        <v>51</v>
      </c>
      <c r="G286" s="141" t="s">
        <v>1538</v>
      </c>
      <c r="H286" s="141" t="s">
        <v>320</v>
      </c>
      <c r="I286" s="141" t="s">
        <v>382</v>
      </c>
      <c r="J286" s="141" t="s">
        <v>1539</v>
      </c>
      <c r="K286" s="141" t="s">
        <v>388</v>
      </c>
      <c r="L286" s="141" t="s">
        <v>539</v>
      </c>
      <c r="M286" s="141" t="s">
        <v>808</v>
      </c>
      <c r="N286" s="141" t="s">
        <v>1540</v>
      </c>
      <c r="O286" s="141" t="s">
        <v>63</v>
      </c>
      <c r="P286" s="141" t="s">
        <v>46</v>
      </c>
    </row>
    <row r="287" spans="1:16">
      <c r="A287" s="141" t="s">
        <v>1541</v>
      </c>
      <c r="B287" s="141" t="s">
        <v>1536</v>
      </c>
      <c r="C287" s="141" t="s">
        <v>976</v>
      </c>
      <c r="D287" s="172">
        <v>59</v>
      </c>
      <c r="E287" s="141" t="s">
        <v>1537</v>
      </c>
      <c r="F287" s="141" t="s">
        <v>51</v>
      </c>
      <c r="G287" s="141" t="s">
        <v>1538</v>
      </c>
      <c r="H287" s="141" t="s">
        <v>320</v>
      </c>
      <c r="I287" s="141" t="s">
        <v>382</v>
      </c>
      <c r="J287" s="141" t="s">
        <v>1539</v>
      </c>
      <c r="K287" s="141" t="s">
        <v>388</v>
      </c>
      <c r="L287" s="141" t="s">
        <v>539</v>
      </c>
      <c r="M287" s="141" t="s">
        <v>808</v>
      </c>
      <c r="N287" s="141" t="s">
        <v>1540</v>
      </c>
      <c r="O287" s="141" t="s">
        <v>63</v>
      </c>
      <c r="P287" s="141" t="s">
        <v>46</v>
      </c>
    </row>
    <row r="288" spans="1:16">
      <c r="A288" s="141" t="s">
        <v>1542</v>
      </c>
      <c r="B288" s="141" t="s">
        <v>1543</v>
      </c>
      <c r="C288" s="141" t="s">
        <v>976</v>
      </c>
      <c r="D288" s="172">
        <v>59</v>
      </c>
      <c r="E288" s="141" t="s">
        <v>1544</v>
      </c>
      <c r="F288" s="141" t="s">
        <v>71</v>
      </c>
      <c r="G288" s="141" t="s">
        <v>1545</v>
      </c>
      <c r="H288" s="141" t="s">
        <v>320</v>
      </c>
      <c r="I288" s="141" t="s">
        <v>382</v>
      </c>
      <c r="J288" s="141" t="s">
        <v>1539</v>
      </c>
      <c r="K288" s="141" t="s">
        <v>388</v>
      </c>
      <c r="L288" s="141" t="s">
        <v>539</v>
      </c>
      <c r="M288" s="141" t="s">
        <v>808</v>
      </c>
      <c r="N288" s="141" t="s">
        <v>1017</v>
      </c>
      <c r="O288" s="141" t="s">
        <v>71</v>
      </c>
      <c r="P288" s="141" t="s">
        <v>46</v>
      </c>
    </row>
    <row r="289" spans="1:16">
      <c r="A289" s="141" t="s">
        <v>1546</v>
      </c>
      <c r="B289" s="141" t="s">
        <v>1547</v>
      </c>
      <c r="C289" s="141" t="s">
        <v>969</v>
      </c>
      <c r="D289" s="172">
        <v>57</v>
      </c>
      <c r="E289" s="141" t="s">
        <v>1548</v>
      </c>
      <c r="F289" s="141" t="s">
        <v>187</v>
      </c>
      <c r="G289" s="141" t="s">
        <v>1549</v>
      </c>
      <c r="H289" s="141" t="s">
        <v>320</v>
      </c>
      <c r="I289" s="141" t="s">
        <v>387</v>
      </c>
      <c r="J289" s="141" t="s">
        <v>1539</v>
      </c>
      <c r="K289" s="141" t="s">
        <v>388</v>
      </c>
      <c r="L289" s="141" t="s">
        <v>539</v>
      </c>
      <c r="M289" s="141" t="s">
        <v>808</v>
      </c>
      <c r="N289" s="141" t="s">
        <v>1550</v>
      </c>
      <c r="O289" s="141" t="s">
        <v>63</v>
      </c>
      <c r="P289" s="141" t="s">
        <v>46</v>
      </c>
    </row>
    <row r="290" spans="1:16">
      <c r="A290" s="141" t="s">
        <v>1551</v>
      </c>
      <c r="B290" s="141" t="s">
        <v>1547</v>
      </c>
      <c r="C290" s="141" t="s">
        <v>976</v>
      </c>
      <c r="D290" s="172">
        <v>59</v>
      </c>
      <c r="E290" s="141" t="s">
        <v>1548</v>
      </c>
      <c r="F290" s="141" t="s">
        <v>187</v>
      </c>
      <c r="G290" s="141" t="s">
        <v>1549</v>
      </c>
      <c r="H290" s="141" t="s">
        <v>320</v>
      </c>
      <c r="I290" s="141" t="s">
        <v>387</v>
      </c>
      <c r="J290" s="141" t="s">
        <v>1539</v>
      </c>
      <c r="K290" s="141" t="s">
        <v>388</v>
      </c>
      <c r="L290" s="141" t="s">
        <v>539</v>
      </c>
      <c r="M290" s="141" t="s">
        <v>808</v>
      </c>
      <c r="N290" s="141" t="s">
        <v>1550</v>
      </c>
      <c r="O290" s="141" t="s">
        <v>63</v>
      </c>
      <c r="P290" s="141" t="s">
        <v>46</v>
      </c>
    </row>
    <row r="291" spans="1:16">
      <c r="A291" s="141" t="s">
        <v>1552</v>
      </c>
      <c r="B291" s="141" t="s">
        <v>1553</v>
      </c>
      <c r="C291" s="141" t="s">
        <v>969</v>
      </c>
      <c r="D291" s="172">
        <v>57</v>
      </c>
      <c r="E291" s="141" t="s">
        <v>1554</v>
      </c>
      <c r="F291" s="141" t="s">
        <v>71</v>
      </c>
      <c r="G291" s="141" t="s">
        <v>1555</v>
      </c>
      <c r="H291" s="141" t="s">
        <v>320</v>
      </c>
      <c r="I291" s="141" t="s">
        <v>382</v>
      </c>
      <c r="J291" s="141" t="s">
        <v>1539</v>
      </c>
      <c r="K291" s="141" t="s">
        <v>388</v>
      </c>
      <c r="L291" s="141" t="s">
        <v>539</v>
      </c>
      <c r="M291" s="141" t="s">
        <v>808</v>
      </c>
      <c r="N291" s="141" t="s">
        <v>1017</v>
      </c>
      <c r="O291" s="141" t="s">
        <v>71</v>
      </c>
      <c r="P291" s="141" t="s">
        <v>46</v>
      </c>
    </row>
    <row r="292" spans="1:16">
      <c r="A292" s="141" t="s">
        <v>1556</v>
      </c>
      <c r="B292" s="141" t="s">
        <v>1553</v>
      </c>
      <c r="C292" s="141" t="s">
        <v>976</v>
      </c>
      <c r="D292" s="172">
        <v>59</v>
      </c>
      <c r="E292" s="141" t="s">
        <v>1554</v>
      </c>
      <c r="F292" s="141" t="s">
        <v>71</v>
      </c>
      <c r="G292" s="141" t="s">
        <v>1555</v>
      </c>
      <c r="H292" s="141" t="s">
        <v>320</v>
      </c>
      <c r="I292" s="141" t="s">
        <v>382</v>
      </c>
      <c r="J292" s="141" t="s">
        <v>1539</v>
      </c>
      <c r="K292" s="141" t="s">
        <v>388</v>
      </c>
      <c r="L292" s="141" t="s">
        <v>539</v>
      </c>
      <c r="M292" s="141" t="s">
        <v>808</v>
      </c>
      <c r="N292" s="141" t="s">
        <v>1017</v>
      </c>
      <c r="O292" s="141" t="s">
        <v>71</v>
      </c>
      <c r="P292" s="141" t="s">
        <v>46</v>
      </c>
    </row>
    <row r="293" spans="1:16">
      <c r="A293" s="141" t="s">
        <v>1557</v>
      </c>
      <c r="B293" s="141" t="s">
        <v>1558</v>
      </c>
      <c r="C293" s="141" t="s">
        <v>1032</v>
      </c>
      <c r="D293" s="172">
        <v>55</v>
      </c>
      <c r="E293" s="141" t="s">
        <v>1559</v>
      </c>
      <c r="F293" s="141" t="s">
        <v>53</v>
      </c>
      <c r="G293" s="141" t="s">
        <v>1132</v>
      </c>
      <c r="H293" s="141" t="s">
        <v>334</v>
      </c>
      <c r="I293" s="141" t="s">
        <v>382</v>
      </c>
      <c r="J293" s="141" t="s">
        <v>988</v>
      </c>
      <c r="K293" s="141" t="s">
        <v>388</v>
      </c>
      <c r="L293" s="141" t="s">
        <v>539</v>
      </c>
      <c r="M293" s="141" t="s">
        <v>808</v>
      </c>
      <c r="N293" s="141" t="s">
        <v>1005</v>
      </c>
      <c r="O293" s="141" t="s">
        <v>53</v>
      </c>
      <c r="P293" s="141" t="s">
        <v>44</v>
      </c>
    </row>
    <row r="294" spans="1:16">
      <c r="A294" s="141" t="s">
        <v>1560</v>
      </c>
      <c r="B294" s="141" t="s">
        <v>1558</v>
      </c>
      <c r="C294" s="141" t="s">
        <v>969</v>
      </c>
      <c r="D294" s="172">
        <v>57</v>
      </c>
      <c r="E294" s="141" t="s">
        <v>1559</v>
      </c>
      <c r="F294" s="141" t="s">
        <v>53</v>
      </c>
      <c r="G294" s="141" t="s">
        <v>1132</v>
      </c>
      <c r="H294" s="141" t="s">
        <v>334</v>
      </c>
      <c r="I294" s="141" t="s">
        <v>382</v>
      </c>
      <c r="J294" s="141" t="s">
        <v>988</v>
      </c>
      <c r="K294" s="141" t="s">
        <v>388</v>
      </c>
      <c r="L294" s="141" t="s">
        <v>539</v>
      </c>
      <c r="M294" s="141" t="s">
        <v>808</v>
      </c>
      <c r="N294" s="141" t="s">
        <v>1005</v>
      </c>
      <c r="O294" s="141" t="s">
        <v>53</v>
      </c>
      <c r="P294" s="141" t="s">
        <v>44</v>
      </c>
    </row>
    <row r="295" spans="1:16">
      <c r="A295" s="141" t="s">
        <v>1561</v>
      </c>
      <c r="B295" s="141" t="s">
        <v>1558</v>
      </c>
      <c r="C295" s="141" t="s">
        <v>976</v>
      </c>
      <c r="D295" s="172">
        <v>59</v>
      </c>
      <c r="E295" s="141" t="s">
        <v>1559</v>
      </c>
      <c r="F295" s="141" t="s">
        <v>53</v>
      </c>
      <c r="G295" s="141" t="s">
        <v>1132</v>
      </c>
      <c r="H295" s="141" t="s">
        <v>334</v>
      </c>
      <c r="I295" s="141" t="s">
        <v>382</v>
      </c>
      <c r="J295" s="141" t="s">
        <v>988</v>
      </c>
      <c r="K295" s="141" t="s">
        <v>388</v>
      </c>
      <c r="L295" s="141" t="s">
        <v>539</v>
      </c>
      <c r="M295" s="141" t="s">
        <v>808</v>
      </c>
      <c r="N295" s="141" t="s">
        <v>1005</v>
      </c>
      <c r="O295" s="141" t="s">
        <v>53</v>
      </c>
      <c r="P295" s="141" t="s">
        <v>44</v>
      </c>
    </row>
    <row r="296" spans="1:16">
      <c r="A296" s="141" t="s">
        <v>1562</v>
      </c>
      <c r="B296" s="141" t="s">
        <v>1558</v>
      </c>
      <c r="C296" s="141" t="s">
        <v>1030</v>
      </c>
      <c r="D296" s="172">
        <v>61</v>
      </c>
      <c r="E296" s="141" t="s">
        <v>1559</v>
      </c>
      <c r="F296" s="141" t="s">
        <v>53</v>
      </c>
      <c r="G296" s="141" t="s">
        <v>1132</v>
      </c>
      <c r="H296" s="141" t="s">
        <v>334</v>
      </c>
      <c r="I296" s="141" t="s">
        <v>382</v>
      </c>
      <c r="J296" s="141" t="s">
        <v>988</v>
      </c>
      <c r="K296" s="141" t="s">
        <v>388</v>
      </c>
      <c r="L296" s="141" t="s">
        <v>539</v>
      </c>
      <c r="M296" s="141" t="s">
        <v>808</v>
      </c>
      <c r="N296" s="141" t="s">
        <v>1005</v>
      </c>
      <c r="O296" s="141" t="s">
        <v>53</v>
      </c>
      <c r="P296" s="141" t="s">
        <v>44</v>
      </c>
    </row>
    <row r="297" spans="1:16">
      <c r="A297" s="141" t="s">
        <v>1563</v>
      </c>
      <c r="B297" s="141" t="s">
        <v>1564</v>
      </c>
      <c r="C297" s="141" t="s">
        <v>909</v>
      </c>
      <c r="D297" s="142">
        <v>0</v>
      </c>
      <c r="E297" s="141" t="s">
        <v>1565</v>
      </c>
      <c r="F297" s="141" t="s">
        <v>195</v>
      </c>
      <c r="G297" s="141" t="s">
        <v>1566</v>
      </c>
      <c r="H297" s="141" t="s">
        <v>340</v>
      </c>
      <c r="I297" s="141" t="s">
        <v>382</v>
      </c>
      <c r="J297" s="141" t="s">
        <v>1567</v>
      </c>
      <c r="K297" s="141" t="s">
        <v>389</v>
      </c>
      <c r="L297" s="141" t="s">
        <v>539</v>
      </c>
      <c r="M297" s="141" t="s">
        <v>808</v>
      </c>
      <c r="N297" s="141" t="s">
        <v>1568</v>
      </c>
      <c r="O297" s="141" t="s">
        <v>195</v>
      </c>
      <c r="P297" s="141" t="s">
        <v>46</v>
      </c>
    </row>
    <row r="298" spans="1:16">
      <c r="A298" s="141" t="s">
        <v>1569</v>
      </c>
      <c r="B298" s="141" t="s">
        <v>1570</v>
      </c>
      <c r="C298" s="141" t="s">
        <v>909</v>
      </c>
      <c r="D298" s="142">
        <v>0</v>
      </c>
      <c r="E298" s="141" t="s">
        <v>1571</v>
      </c>
      <c r="F298" s="141" t="s">
        <v>53</v>
      </c>
      <c r="G298" s="141" t="s">
        <v>1221</v>
      </c>
      <c r="H298" s="141" t="s">
        <v>340</v>
      </c>
      <c r="I298" s="141" t="s">
        <v>382</v>
      </c>
      <c r="J298" s="141" t="s">
        <v>1567</v>
      </c>
      <c r="K298" s="141" t="s">
        <v>389</v>
      </c>
      <c r="L298" s="141" t="s">
        <v>539</v>
      </c>
      <c r="M298" s="141" t="s">
        <v>808</v>
      </c>
      <c r="N298" s="141" t="s">
        <v>1005</v>
      </c>
      <c r="O298" s="141" t="s">
        <v>53</v>
      </c>
      <c r="P298" s="141" t="s">
        <v>46</v>
      </c>
    </row>
    <row r="299" spans="1:16">
      <c r="A299" s="141" t="s">
        <v>1572</v>
      </c>
      <c r="B299" s="141" t="s">
        <v>1573</v>
      </c>
      <c r="C299" s="141" t="s">
        <v>909</v>
      </c>
      <c r="D299" s="142">
        <v>0</v>
      </c>
      <c r="E299" s="141" t="s">
        <v>1571</v>
      </c>
      <c r="F299" s="141" t="s">
        <v>120</v>
      </c>
      <c r="G299" s="141" t="s">
        <v>1221</v>
      </c>
      <c r="H299" s="141" t="s">
        <v>340</v>
      </c>
      <c r="I299" s="141" t="s">
        <v>382</v>
      </c>
      <c r="J299" s="141" t="s">
        <v>1567</v>
      </c>
      <c r="K299" s="141" t="s">
        <v>389</v>
      </c>
      <c r="L299" s="141" t="s">
        <v>539</v>
      </c>
      <c r="M299" s="141" t="s">
        <v>808</v>
      </c>
      <c r="N299" s="141" t="s">
        <v>1534</v>
      </c>
      <c r="O299" s="141" t="s">
        <v>91</v>
      </c>
      <c r="P299" s="141" t="s">
        <v>46</v>
      </c>
    </row>
    <row r="300" spans="1:16">
      <c r="A300" s="141" t="s">
        <v>1574</v>
      </c>
      <c r="B300" s="141" t="s">
        <v>1575</v>
      </c>
      <c r="C300" s="141" t="s">
        <v>909</v>
      </c>
      <c r="D300" s="142">
        <v>0</v>
      </c>
      <c r="E300" s="141" t="s">
        <v>1571</v>
      </c>
      <c r="F300" s="141" t="s">
        <v>83</v>
      </c>
      <c r="G300" s="141" t="s">
        <v>1221</v>
      </c>
      <c r="H300" s="141" t="s">
        <v>340</v>
      </c>
      <c r="I300" s="141" t="s">
        <v>382</v>
      </c>
      <c r="J300" s="141" t="s">
        <v>1567</v>
      </c>
      <c r="K300" s="141" t="s">
        <v>389</v>
      </c>
      <c r="L300" s="141" t="s">
        <v>539</v>
      </c>
      <c r="M300" s="141" t="s">
        <v>808</v>
      </c>
      <c r="N300" s="141" t="s">
        <v>1481</v>
      </c>
      <c r="O300" s="141" t="s">
        <v>83</v>
      </c>
      <c r="P300" s="141" t="s">
        <v>46</v>
      </c>
    </row>
    <row r="301" spans="1:16">
      <c r="A301" s="141" t="s">
        <v>1576</v>
      </c>
      <c r="B301" s="141" t="s">
        <v>1577</v>
      </c>
      <c r="C301" s="141" t="s">
        <v>909</v>
      </c>
      <c r="D301" s="142">
        <v>0</v>
      </c>
      <c r="E301" s="141" t="s">
        <v>1571</v>
      </c>
      <c r="F301" s="141" t="s">
        <v>65</v>
      </c>
      <c r="G301" s="141" t="s">
        <v>1221</v>
      </c>
      <c r="H301" s="141" t="s">
        <v>340</v>
      </c>
      <c r="I301" s="141" t="s">
        <v>382</v>
      </c>
      <c r="J301" s="141" t="s">
        <v>1567</v>
      </c>
      <c r="K301" s="141" t="s">
        <v>389</v>
      </c>
      <c r="L301" s="141" t="s">
        <v>539</v>
      </c>
      <c r="M301" s="141" t="s">
        <v>808</v>
      </c>
      <c r="N301" s="141" t="s">
        <v>1422</v>
      </c>
      <c r="O301" s="141" t="s">
        <v>65</v>
      </c>
      <c r="P301" s="141" t="s">
        <v>46</v>
      </c>
    </row>
    <row r="302" spans="1:16">
      <c r="A302" s="141" t="s">
        <v>1578</v>
      </c>
      <c r="B302" s="141" t="s">
        <v>1579</v>
      </c>
      <c r="C302" s="141" t="s">
        <v>909</v>
      </c>
      <c r="D302" s="142">
        <v>0</v>
      </c>
      <c r="E302" s="141" t="s">
        <v>1571</v>
      </c>
      <c r="F302" s="141" t="s">
        <v>192</v>
      </c>
      <c r="G302" s="141" t="s">
        <v>1221</v>
      </c>
      <c r="H302" s="141" t="s">
        <v>340</v>
      </c>
      <c r="I302" s="141" t="s">
        <v>387</v>
      </c>
      <c r="J302" s="141" t="s">
        <v>1567</v>
      </c>
      <c r="K302" s="141" t="s">
        <v>389</v>
      </c>
      <c r="L302" s="141" t="s">
        <v>539</v>
      </c>
      <c r="M302" s="141" t="s">
        <v>808</v>
      </c>
      <c r="N302" s="141" t="s">
        <v>1419</v>
      </c>
      <c r="O302" s="141" t="s">
        <v>78</v>
      </c>
      <c r="P302" s="141" t="s">
        <v>46</v>
      </c>
    </row>
    <row r="303" spans="1:16">
      <c r="A303" s="141" t="s">
        <v>1580</v>
      </c>
      <c r="B303" s="141" t="s">
        <v>1581</v>
      </c>
      <c r="C303" s="141" t="s">
        <v>1032</v>
      </c>
      <c r="D303" s="172">
        <v>55</v>
      </c>
      <c r="E303" s="141" t="s">
        <v>1582</v>
      </c>
      <c r="F303" s="141" t="s">
        <v>71</v>
      </c>
      <c r="G303" s="141" t="s">
        <v>1583</v>
      </c>
      <c r="H303" s="141" t="s">
        <v>325</v>
      </c>
      <c r="I303" s="141" t="s">
        <v>382</v>
      </c>
      <c r="J303" s="141" t="s">
        <v>1539</v>
      </c>
      <c r="K303" s="141" t="s">
        <v>388</v>
      </c>
      <c r="L303" s="141" t="s">
        <v>539</v>
      </c>
      <c r="M303" s="141" t="s">
        <v>808</v>
      </c>
      <c r="N303" s="141" t="s">
        <v>1017</v>
      </c>
      <c r="O303" s="141" t="s">
        <v>71</v>
      </c>
      <c r="P303" s="141" t="s">
        <v>44</v>
      </c>
    </row>
    <row r="304" spans="1:16">
      <c r="A304" s="141" t="s">
        <v>1584</v>
      </c>
      <c r="B304" s="141" t="s">
        <v>1581</v>
      </c>
      <c r="C304" s="141" t="s">
        <v>969</v>
      </c>
      <c r="D304" s="172">
        <v>57</v>
      </c>
      <c r="E304" s="141" t="s">
        <v>1582</v>
      </c>
      <c r="F304" s="141" t="s">
        <v>71</v>
      </c>
      <c r="G304" s="141" t="s">
        <v>1583</v>
      </c>
      <c r="H304" s="141" t="s">
        <v>325</v>
      </c>
      <c r="I304" s="141" t="s">
        <v>382</v>
      </c>
      <c r="J304" s="141" t="s">
        <v>1539</v>
      </c>
      <c r="K304" s="141" t="s">
        <v>388</v>
      </c>
      <c r="L304" s="141" t="s">
        <v>539</v>
      </c>
      <c r="M304" s="141" t="s">
        <v>808</v>
      </c>
      <c r="N304" s="141" t="s">
        <v>1017</v>
      </c>
      <c r="O304" s="141" t="s">
        <v>71</v>
      </c>
      <c r="P304" s="141" t="s">
        <v>44</v>
      </c>
    </row>
    <row r="305" spans="1:16">
      <c r="A305" s="141" t="s">
        <v>1585</v>
      </c>
      <c r="B305" s="141" t="s">
        <v>1581</v>
      </c>
      <c r="C305" s="141" t="s">
        <v>976</v>
      </c>
      <c r="D305" s="172">
        <v>59</v>
      </c>
      <c r="E305" s="141" t="s">
        <v>1582</v>
      </c>
      <c r="F305" s="141" t="s">
        <v>71</v>
      </c>
      <c r="G305" s="141" t="s">
        <v>1583</v>
      </c>
      <c r="H305" s="141" t="s">
        <v>325</v>
      </c>
      <c r="I305" s="141" t="s">
        <v>382</v>
      </c>
      <c r="J305" s="141" t="s">
        <v>1539</v>
      </c>
      <c r="K305" s="141" t="s">
        <v>388</v>
      </c>
      <c r="L305" s="141" t="s">
        <v>539</v>
      </c>
      <c r="M305" s="141" t="s">
        <v>808</v>
      </c>
      <c r="N305" s="141" t="s">
        <v>1017</v>
      </c>
      <c r="O305" s="141" t="s">
        <v>71</v>
      </c>
      <c r="P305" s="141" t="s">
        <v>44</v>
      </c>
    </row>
    <row r="306" spans="1:16">
      <c r="A306" s="141" t="s">
        <v>1586</v>
      </c>
      <c r="B306" s="141" t="s">
        <v>1587</v>
      </c>
      <c r="C306" s="141" t="s">
        <v>1032</v>
      </c>
      <c r="D306" s="172">
        <v>55</v>
      </c>
      <c r="E306" s="141" t="s">
        <v>1582</v>
      </c>
      <c r="F306" s="141" t="s">
        <v>194</v>
      </c>
      <c r="G306" s="141" t="s">
        <v>1583</v>
      </c>
      <c r="H306" s="141" t="s">
        <v>325</v>
      </c>
      <c r="I306" s="141" t="s">
        <v>382</v>
      </c>
      <c r="J306" s="141" t="s">
        <v>1539</v>
      </c>
      <c r="K306" s="141" t="s">
        <v>388</v>
      </c>
      <c r="L306" s="141" t="s">
        <v>539</v>
      </c>
      <c r="M306" s="141" t="s">
        <v>808</v>
      </c>
      <c r="N306" s="141" t="s">
        <v>1588</v>
      </c>
      <c r="O306" s="141" t="s">
        <v>63</v>
      </c>
      <c r="P306" s="141" t="s">
        <v>44</v>
      </c>
    </row>
    <row r="307" spans="1:16">
      <c r="A307" s="141" t="s">
        <v>1589</v>
      </c>
      <c r="B307" s="141" t="s">
        <v>1587</v>
      </c>
      <c r="C307" s="141" t="s">
        <v>969</v>
      </c>
      <c r="D307" s="172">
        <v>57</v>
      </c>
      <c r="E307" s="141" t="s">
        <v>1582</v>
      </c>
      <c r="F307" s="141" t="s">
        <v>194</v>
      </c>
      <c r="G307" s="141" t="s">
        <v>1583</v>
      </c>
      <c r="H307" s="141" t="s">
        <v>325</v>
      </c>
      <c r="I307" s="141" t="s">
        <v>382</v>
      </c>
      <c r="J307" s="141" t="s">
        <v>1539</v>
      </c>
      <c r="K307" s="141" t="s">
        <v>388</v>
      </c>
      <c r="L307" s="141" t="s">
        <v>539</v>
      </c>
      <c r="M307" s="141" t="s">
        <v>808</v>
      </c>
      <c r="N307" s="141" t="s">
        <v>1588</v>
      </c>
      <c r="O307" s="141" t="s">
        <v>63</v>
      </c>
      <c r="P307" s="141" t="s">
        <v>44</v>
      </c>
    </row>
    <row r="308" spans="1:16">
      <c r="A308" s="141" t="s">
        <v>1590</v>
      </c>
      <c r="B308" s="141" t="s">
        <v>1591</v>
      </c>
      <c r="C308" s="141" t="s">
        <v>1032</v>
      </c>
      <c r="D308" s="172">
        <v>55</v>
      </c>
      <c r="E308" s="141" t="s">
        <v>1592</v>
      </c>
      <c r="F308" s="141" t="s">
        <v>53</v>
      </c>
      <c r="G308" s="141" t="s">
        <v>1583</v>
      </c>
      <c r="H308" s="141" t="s">
        <v>325</v>
      </c>
      <c r="I308" s="141" t="s">
        <v>382</v>
      </c>
      <c r="J308" s="141" t="s">
        <v>1539</v>
      </c>
      <c r="K308" s="141" t="s">
        <v>388</v>
      </c>
      <c r="L308" s="141" t="s">
        <v>539</v>
      </c>
      <c r="M308" s="141" t="s">
        <v>808</v>
      </c>
      <c r="N308" s="141" t="s">
        <v>1005</v>
      </c>
      <c r="O308" s="141" t="s">
        <v>53</v>
      </c>
      <c r="P308" s="141" t="s">
        <v>44</v>
      </c>
    </row>
    <row r="309" spans="1:16">
      <c r="A309" s="141" t="s">
        <v>1593</v>
      </c>
      <c r="B309" s="141" t="s">
        <v>1591</v>
      </c>
      <c r="C309" s="141" t="s">
        <v>969</v>
      </c>
      <c r="D309" s="172">
        <v>57</v>
      </c>
      <c r="E309" s="141" t="s">
        <v>1592</v>
      </c>
      <c r="F309" s="141" t="s">
        <v>53</v>
      </c>
      <c r="G309" s="141" t="s">
        <v>1583</v>
      </c>
      <c r="H309" s="141" t="s">
        <v>325</v>
      </c>
      <c r="I309" s="141" t="s">
        <v>382</v>
      </c>
      <c r="J309" s="141" t="s">
        <v>1539</v>
      </c>
      <c r="K309" s="141" t="s">
        <v>388</v>
      </c>
      <c r="L309" s="141" t="s">
        <v>539</v>
      </c>
      <c r="M309" s="141" t="s">
        <v>808</v>
      </c>
      <c r="N309" s="141" t="s">
        <v>1005</v>
      </c>
      <c r="O309" s="141" t="s">
        <v>53</v>
      </c>
      <c r="P309" s="141" t="s">
        <v>44</v>
      </c>
    </row>
    <row r="310" spans="1:16">
      <c r="A310" s="141" t="s">
        <v>1594</v>
      </c>
      <c r="B310" s="141" t="s">
        <v>1591</v>
      </c>
      <c r="C310" s="141" t="s">
        <v>976</v>
      </c>
      <c r="D310" s="172">
        <v>59</v>
      </c>
      <c r="E310" s="141" t="s">
        <v>1592</v>
      </c>
      <c r="F310" s="141" t="s">
        <v>53</v>
      </c>
      <c r="G310" s="141" t="s">
        <v>1583</v>
      </c>
      <c r="H310" s="141" t="s">
        <v>325</v>
      </c>
      <c r="I310" s="141" t="s">
        <v>382</v>
      </c>
      <c r="J310" s="141" t="s">
        <v>1539</v>
      </c>
      <c r="K310" s="141" t="s">
        <v>388</v>
      </c>
      <c r="L310" s="141" t="s">
        <v>539</v>
      </c>
      <c r="M310" s="141" t="s">
        <v>808</v>
      </c>
      <c r="N310" s="141" t="s">
        <v>1005</v>
      </c>
      <c r="O310" s="141" t="s">
        <v>53</v>
      </c>
      <c r="P310" s="141" t="s">
        <v>44</v>
      </c>
    </row>
    <row r="311" spans="1:16">
      <c r="A311" s="141" t="s">
        <v>1595</v>
      </c>
      <c r="B311" s="141" t="s">
        <v>1596</v>
      </c>
      <c r="C311" s="141" t="s">
        <v>1032</v>
      </c>
      <c r="D311" s="172">
        <v>55</v>
      </c>
      <c r="E311" s="141" t="s">
        <v>1592</v>
      </c>
      <c r="F311" s="141" t="s">
        <v>57</v>
      </c>
      <c r="G311" s="141" t="s">
        <v>1583</v>
      </c>
      <c r="H311" s="141" t="s">
        <v>325</v>
      </c>
      <c r="I311" s="141" t="s">
        <v>387</v>
      </c>
      <c r="J311" s="141" t="s">
        <v>1539</v>
      </c>
      <c r="K311" s="141" t="s">
        <v>388</v>
      </c>
      <c r="L311" s="141" t="s">
        <v>539</v>
      </c>
      <c r="M311" s="141" t="s">
        <v>808</v>
      </c>
      <c r="N311" s="141" t="s">
        <v>1588</v>
      </c>
      <c r="O311" s="141" t="s">
        <v>57</v>
      </c>
      <c r="P311" s="141" t="s">
        <v>44</v>
      </c>
    </row>
    <row r="312" spans="1:16">
      <c r="A312" s="141" t="s">
        <v>1597</v>
      </c>
      <c r="B312" s="141" t="s">
        <v>1596</v>
      </c>
      <c r="C312" s="141" t="s">
        <v>969</v>
      </c>
      <c r="D312" s="172">
        <v>57</v>
      </c>
      <c r="E312" s="141" t="s">
        <v>1592</v>
      </c>
      <c r="F312" s="141" t="s">
        <v>57</v>
      </c>
      <c r="G312" s="141" t="s">
        <v>1583</v>
      </c>
      <c r="H312" s="141" t="s">
        <v>325</v>
      </c>
      <c r="I312" s="141" t="s">
        <v>387</v>
      </c>
      <c r="J312" s="141" t="s">
        <v>1539</v>
      </c>
      <c r="K312" s="141" t="s">
        <v>388</v>
      </c>
      <c r="L312" s="141" t="s">
        <v>539</v>
      </c>
      <c r="M312" s="141" t="s">
        <v>808</v>
      </c>
      <c r="N312" s="141" t="s">
        <v>1588</v>
      </c>
      <c r="O312" s="141" t="s">
        <v>57</v>
      </c>
      <c r="P312" s="141" t="s">
        <v>44</v>
      </c>
    </row>
    <row r="313" spans="1:16">
      <c r="A313" s="141" t="s">
        <v>1598</v>
      </c>
      <c r="B313" s="141" t="s">
        <v>1596</v>
      </c>
      <c r="C313" s="141" t="s">
        <v>976</v>
      </c>
      <c r="D313" s="172">
        <v>59</v>
      </c>
      <c r="E313" s="141" t="s">
        <v>1592</v>
      </c>
      <c r="F313" s="141" t="s">
        <v>57</v>
      </c>
      <c r="G313" s="141" t="s">
        <v>1583</v>
      </c>
      <c r="H313" s="141" t="s">
        <v>325</v>
      </c>
      <c r="I313" s="141" t="s">
        <v>387</v>
      </c>
      <c r="J313" s="141" t="s">
        <v>1539</v>
      </c>
      <c r="K313" s="141" t="s">
        <v>388</v>
      </c>
      <c r="L313" s="141" t="s">
        <v>539</v>
      </c>
      <c r="M313" s="141" t="s">
        <v>808</v>
      </c>
      <c r="N313" s="141" t="s">
        <v>1588</v>
      </c>
      <c r="O313" s="141" t="s">
        <v>57</v>
      </c>
      <c r="P313" s="141" t="s">
        <v>44</v>
      </c>
    </row>
    <row r="314" spans="1:16">
      <c r="A314" s="141" t="s">
        <v>1599</v>
      </c>
      <c r="B314" s="141" t="s">
        <v>1600</v>
      </c>
      <c r="C314" s="141" t="s">
        <v>1032</v>
      </c>
      <c r="D314" s="172">
        <v>55</v>
      </c>
      <c r="E314" s="141" t="s">
        <v>1592</v>
      </c>
      <c r="F314" s="141" t="s">
        <v>71</v>
      </c>
      <c r="G314" s="141" t="s">
        <v>1583</v>
      </c>
      <c r="H314" s="141" t="s">
        <v>325</v>
      </c>
      <c r="I314" s="141" t="s">
        <v>387</v>
      </c>
      <c r="J314" s="141" t="s">
        <v>1539</v>
      </c>
      <c r="K314" s="141" t="s">
        <v>388</v>
      </c>
      <c r="L314" s="141" t="s">
        <v>539</v>
      </c>
      <c r="M314" s="141" t="s">
        <v>808</v>
      </c>
      <c r="N314" s="141" t="s">
        <v>1017</v>
      </c>
      <c r="O314" s="141" t="s">
        <v>71</v>
      </c>
      <c r="P314" s="141" t="s">
        <v>44</v>
      </c>
    </row>
    <row r="315" spans="1:16">
      <c r="A315" s="141" t="s">
        <v>1601</v>
      </c>
      <c r="B315" s="141" t="s">
        <v>1600</v>
      </c>
      <c r="C315" s="141" t="s">
        <v>969</v>
      </c>
      <c r="D315" s="172">
        <v>57</v>
      </c>
      <c r="E315" s="141" t="s">
        <v>1592</v>
      </c>
      <c r="F315" s="141" t="s">
        <v>71</v>
      </c>
      <c r="G315" s="141" t="s">
        <v>1583</v>
      </c>
      <c r="H315" s="141" t="s">
        <v>325</v>
      </c>
      <c r="I315" s="141" t="s">
        <v>387</v>
      </c>
      <c r="J315" s="141" t="s">
        <v>1539</v>
      </c>
      <c r="K315" s="141" t="s">
        <v>388</v>
      </c>
      <c r="L315" s="141" t="s">
        <v>539</v>
      </c>
      <c r="M315" s="141" t="s">
        <v>808</v>
      </c>
      <c r="N315" s="141" t="s">
        <v>1017</v>
      </c>
      <c r="O315" s="141" t="s">
        <v>71</v>
      </c>
      <c r="P315" s="141" t="s">
        <v>44</v>
      </c>
    </row>
    <row r="316" spans="1:16">
      <c r="A316" s="141" t="s">
        <v>1602</v>
      </c>
      <c r="B316" s="141" t="s">
        <v>1600</v>
      </c>
      <c r="C316" s="141" t="s">
        <v>976</v>
      </c>
      <c r="D316" s="172">
        <v>59</v>
      </c>
      <c r="E316" s="141" t="s">
        <v>1592</v>
      </c>
      <c r="F316" s="141" t="s">
        <v>71</v>
      </c>
      <c r="G316" s="141" t="s">
        <v>1583</v>
      </c>
      <c r="H316" s="141" t="s">
        <v>325</v>
      </c>
      <c r="I316" s="141" t="s">
        <v>387</v>
      </c>
      <c r="J316" s="141" t="s">
        <v>1539</v>
      </c>
      <c r="K316" s="141" t="s">
        <v>388</v>
      </c>
      <c r="L316" s="141" t="s">
        <v>539</v>
      </c>
      <c r="M316" s="141" t="s">
        <v>808</v>
      </c>
      <c r="N316" s="141" t="s">
        <v>1017</v>
      </c>
      <c r="O316" s="141" t="s">
        <v>71</v>
      </c>
      <c r="P316" s="141" t="s">
        <v>44</v>
      </c>
    </row>
    <row r="317" spans="1:16">
      <c r="A317" s="141" t="s">
        <v>1603</v>
      </c>
      <c r="B317" s="141" t="s">
        <v>1604</v>
      </c>
      <c r="C317" s="141" t="s">
        <v>1032</v>
      </c>
      <c r="D317" s="172">
        <v>55</v>
      </c>
      <c r="E317" s="141" t="s">
        <v>1582</v>
      </c>
      <c r="F317" s="141" t="s">
        <v>91</v>
      </c>
      <c r="G317" s="141" t="s">
        <v>1583</v>
      </c>
      <c r="H317" s="141" t="s">
        <v>325</v>
      </c>
      <c r="I317" s="141" t="s">
        <v>382</v>
      </c>
      <c r="J317" s="141" t="s">
        <v>1539</v>
      </c>
      <c r="K317" s="141" t="s">
        <v>388</v>
      </c>
      <c r="L317" s="141" t="s">
        <v>539</v>
      </c>
      <c r="M317" s="141" t="s">
        <v>808</v>
      </c>
      <c r="N317" s="141" t="s">
        <v>1498</v>
      </c>
      <c r="O317" s="141" t="s">
        <v>91</v>
      </c>
      <c r="P317" s="141" t="s">
        <v>44</v>
      </c>
    </row>
    <row r="318" spans="1:16">
      <c r="A318" s="141" t="s">
        <v>1605</v>
      </c>
      <c r="B318" s="141" t="s">
        <v>1604</v>
      </c>
      <c r="C318" s="141" t="s">
        <v>969</v>
      </c>
      <c r="D318" s="172">
        <v>57</v>
      </c>
      <c r="E318" s="141" t="s">
        <v>1582</v>
      </c>
      <c r="F318" s="141" t="s">
        <v>91</v>
      </c>
      <c r="G318" s="141" t="s">
        <v>1583</v>
      </c>
      <c r="H318" s="141" t="s">
        <v>325</v>
      </c>
      <c r="I318" s="141" t="s">
        <v>382</v>
      </c>
      <c r="J318" s="141" t="s">
        <v>1539</v>
      </c>
      <c r="K318" s="141" t="s">
        <v>388</v>
      </c>
      <c r="L318" s="141" t="s">
        <v>539</v>
      </c>
      <c r="M318" s="141" t="s">
        <v>808</v>
      </c>
      <c r="N318" s="141" t="s">
        <v>1498</v>
      </c>
      <c r="O318" s="141" t="s">
        <v>91</v>
      </c>
      <c r="P318" s="141" t="s">
        <v>44</v>
      </c>
    </row>
    <row r="319" spans="1:16">
      <c r="A319" s="141" t="s">
        <v>1606</v>
      </c>
      <c r="B319" s="141" t="s">
        <v>1604</v>
      </c>
      <c r="C319" s="141" t="s">
        <v>976</v>
      </c>
      <c r="D319" s="172">
        <v>59</v>
      </c>
      <c r="E319" s="141" t="s">
        <v>1582</v>
      </c>
      <c r="F319" s="141" t="s">
        <v>91</v>
      </c>
      <c r="G319" s="141" t="s">
        <v>1583</v>
      </c>
      <c r="H319" s="141" t="s">
        <v>325</v>
      </c>
      <c r="I319" s="141" t="s">
        <v>382</v>
      </c>
      <c r="J319" s="141" t="s">
        <v>1539</v>
      </c>
      <c r="K319" s="141" t="s">
        <v>388</v>
      </c>
      <c r="L319" s="141" t="s">
        <v>539</v>
      </c>
      <c r="M319" s="141" t="s">
        <v>808</v>
      </c>
      <c r="N319" s="141" t="s">
        <v>1498</v>
      </c>
      <c r="O319" s="141" t="s">
        <v>91</v>
      </c>
      <c r="P319" s="141" t="s">
        <v>44</v>
      </c>
    </row>
    <row r="320" spans="1:16">
      <c r="A320" s="141" t="s">
        <v>1607</v>
      </c>
      <c r="B320" s="141" t="s">
        <v>1608</v>
      </c>
      <c r="C320" s="141" t="s">
        <v>1032</v>
      </c>
      <c r="D320" s="172">
        <v>55</v>
      </c>
      <c r="E320" s="141" t="s">
        <v>1609</v>
      </c>
      <c r="F320" s="141" t="s">
        <v>261</v>
      </c>
      <c r="G320" s="141" t="s">
        <v>1610</v>
      </c>
      <c r="H320" s="141" t="s">
        <v>325</v>
      </c>
      <c r="I320" s="141" t="s">
        <v>387</v>
      </c>
      <c r="J320" s="141" t="s">
        <v>1539</v>
      </c>
      <c r="K320" s="141" t="s">
        <v>388</v>
      </c>
      <c r="L320" s="141" t="s">
        <v>386</v>
      </c>
      <c r="M320" s="141" t="s">
        <v>808</v>
      </c>
      <c r="N320" s="141" t="s">
        <v>1611</v>
      </c>
      <c r="O320" s="141" t="s">
        <v>286</v>
      </c>
      <c r="P320" s="141"/>
    </row>
    <row r="321" spans="1:16">
      <c r="A321" s="141" t="s">
        <v>1612</v>
      </c>
      <c r="B321" s="141" t="s">
        <v>1608</v>
      </c>
      <c r="C321" s="141" t="s">
        <v>969</v>
      </c>
      <c r="D321" s="172">
        <v>57</v>
      </c>
      <c r="E321" s="141" t="s">
        <v>1609</v>
      </c>
      <c r="F321" s="141" t="s">
        <v>261</v>
      </c>
      <c r="G321" s="141" t="s">
        <v>1610</v>
      </c>
      <c r="H321" s="141" t="s">
        <v>325</v>
      </c>
      <c r="I321" s="141" t="s">
        <v>387</v>
      </c>
      <c r="J321" s="141" t="s">
        <v>1539</v>
      </c>
      <c r="K321" s="141" t="s">
        <v>388</v>
      </c>
      <c r="L321" s="141" t="s">
        <v>386</v>
      </c>
      <c r="M321" s="141" t="s">
        <v>808</v>
      </c>
      <c r="N321" s="141" t="s">
        <v>1611</v>
      </c>
      <c r="O321" s="141" t="s">
        <v>286</v>
      </c>
      <c r="P321" s="141"/>
    </row>
    <row r="322" spans="1:16">
      <c r="A322" s="141" t="s">
        <v>1612</v>
      </c>
      <c r="B322" s="141" t="s">
        <v>1608</v>
      </c>
      <c r="C322" s="141" t="s">
        <v>976</v>
      </c>
      <c r="D322" s="172">
        <v>57</v>
      </c>
      <c r="E322" s="141" t="s">
        <v>1609</v>
      </c>
      <c r="F322" s="141" t="s">
        <v>261</v>
      </c>
      <c r="G322" s="141" t="s">
        <v>1610</v>
      </c>
      <c r="H322" s="141" t="s">
        <v>325</v>
      </c>
      <c r="I322" s="141" t="s">
        <v>387</v>
      </c>
      <c r="J322" s="141" t="s">
        <v>1539</v>
      </c>
      <c r="K322" s="141" t="s">
        <v>388</v>
      </c>
      <c r="L322" s="141" t="s">
        <v>386</v>
      </c>
      <c r="M322" s="141" t="s">
        <v>808</v>
      </c>
      <c r="N322" s="141" t="s">
        <v>1611</v>
      </c>
      <c r="O322" s="141" t="s">
        <v>286</v>
      </c>
      <c r="P322" s="141"/>
    </row>
    <row r="323" spans="1:16">
      <c r="A323" s="141" t="s">
        <v>1613</v>
      </c>
      <c r="B323" s="141" t="s">
        <v>1614</v>
      </c>
      <c r="C323" s="141" t="s">
        <v>1032</v>
      </c>
      <c r="D323" s="172">
        <v>55</v>
      </c>
      <c r="E323" s="141" t="s">
        <v>1609</v>
      </c>
      <c r="F323" s="141" t="s">
        <v>248</v>
      </c>
      <c r="G323" s="141" t="s">
        <v>1610</v>
      </c>
      <c r="H323" s="141" t="s">
        <v>325</v>
      </c>
      <c r="I323" s="141" t="s">
        <v>382</v>
      </c>
      <c r="J323" s="141" t="s">
        <v>1539</v>
      </c>
      <c r="K323" s="141" t="s">
        <v>388</v>
      </c>
      <c r="L323" s="141" t="s">
        <v>386</v>
      </c>
      <c r="M323" s="141" t="s">
        <v>808</v>
      </c>
      <c r="N323" s="141" t="s">
        <v>1615</v>
      </c>
      <c r="O323" s="141" t="s">
        <v>71</v>
      </c>
      <c r="P323" s="141"/>
    </row>
    <row r="324" spans="1:16">
      <c r="A324" s="141" t="s">
        <v>1616</v>
      </c>
      <c r="B324" s="141" t="s">
        <v>1614</v>
      </c>
      <c r="C324" s="141" t="s">
        <v>969</v>
      </c>
      <c r="D324" s="172">
        <v>57</v>
      </c>
      <c r="E324" s="141" t="s">
        <v>1609</v>
      </c>
      <c r="F324" s="141" t="s">
        <v>248</v>
      </c>
      <c r="G324" s="141" t="s">
        <v>1610</v>
      </c>
      <c r="H324" s="141" t="s">
        <v>325</v>
      </c>
      <c r="I324" s="141" t="s">
        <v>382</v>
      </c>
      <c r="J324" s="141" t="s">
        <v>1539</v>
      </c>
      <c r="K324" s="141" t="s">
        <v>388</v>
      </c>
      <c r="L324" s="141" t="s">
        <v>386</v>
      </c>
      <c r="M324" s="141" t="s">
        <v>808</v>
      </c>
      <c r="N324" s="141" t="s">
        <v>1615</v>
      </c>
      <c r="O324" s="141" t="s">
        <v>71</v>
      </c>
      <c r="P324" s="141"/>
    </row>
    <row r="325" spans="1:16">
      <c r="A325" s="141" t="s">
        <v>1617</v>
      </c>
      <c r="B325" s="141" t="s">
        <v>1614</v>
      </c>
      <c r="C325" s="141" t="s">
        <v>976</v>
      </c>
      <c r="D325" s="172">
        <v>59</v>
      </c>
      <c r="E325" s="141" t="s">
        <v>1609</v>
      </c>
      <c r="F325" s="141" t="s">
        <v>248</v>
      </c>
      <c r="G325" s="141" t="s">
        <v>1610</v>
      </c>
      <c r="H325" s="141" t="s">
        <v>325</v>
      </c>
      <c r="I325" s="141" t="s">
        <v>382</v>
      </c>
      <c r="J325" s="141" t="s">
        <v>1539</v>
      </c>
      <c r="K325" s="141" t="s">
        <v>388</v>
      </c>
      <c r="L325" s="141" t="s">
        <v>386</v>
      </c>
      <c r="M325" s="141" t="s">
        <v>808</v>
      </c>
      <c r="N325" s="141" t="s">
        <v>1615</v>
      </c>
      <c r="O325" s="141" t="s">
        <v>71</v>
      </c>
      <c r="P325" s="141"/>
    </row>
    <row r="326" spans="1:16">
      <c r="A326" s="141" t="s">
        <v>1618</v>
      </c>
      <c r="B326" s="141" t="s">
        <v>1619</v>
      </c>
      <c r="C326" s="141" t="s">
        <v>1032</v>
      </c>
      <c r="D326" s="172">
        <v>55</v>
      </c>
      <c r="E326" s="141" t="s">
        <v>1620</v>
      </c>
      <c r="F326" s="141" t="s">
        <v>261</v>
      </c>
      <c r="G326" s="141" t="s">
        <v>1610</v>
      </c>
      <c r="H326" s="141" t="s">
        <v>334</v>
      </c>
      <c r="I326" s="141" t="s">
        <v>387</v>
      </c>
      <c r="J326" s="141" t="s">
        <v>1539</v>
      </c>
      <c r="K326" s="141" t="s">
        <v>388</v>
      </c>
      <c r="L326" s="141" t="s">
        <v>386</v>
      </c>
      <c r="M326" s="141" t="s">
        <v>808</v>
      </c>
      <c r="N326" s="141" t="s">
        <v>1611</v>
      </c>
      <c r="O326" s="141" t="s">
        <v>286</v>
      </c>
      <c r="P326" s="141" t="s">
        <v>44</v>
      </c>
    </row>
    <row r="327" spans="1:16">
      <c r="A327" s="141" t="s">
        <v>1621</v>
      </c>
      <c r="B327" s="141" t="s">
        <v>1619</v>
      </c>
      <c r="C327" s="141" t="s">
        <v>969</v>
      </c>
      <c r="D327" s="172">
        <v>57</v>
      </c>
      <c r="E327" s="141" t="s">
        <v>1620</v>
      </c>
      <c r="F327" s="141" t="s">
        <v>261</v>
      </c>
      <c r="G327" s="141" t="s">
        <v>1610</v>
      </c>
      <c r="H327" s="141" t="s">
        <v>334</v>
      </c>
      <c r="I327" s="141" t="s">
        <v>387</v>
      </c>
      <c r="J327" s="141" t="s">
        <v>1539</v>
      </c>
      <c r="K327" s="141" t="s">
        <v>388</v>
      </c>
      <c r="L327" s="141" t="s">
        <v>386</v>
      </c>
      <c r="M327" s="141" t="s">
        <v>808</v>
      </c>
      <c r="N327" s="141" t="s">
        <v>1611</v>
      </c>
      <c r="O327" s="141" t="s">
        <v>286</v>
      </c>
      <c r="P327" s="141" t="s">
        <v>44</v>
      </c>
    </row>
    <row r="328" spans="1:16">
      <c r="A328" s="141" t="s">
        <v>1622</v>
      </c>
      <c r="B328" s="141" t="s">
        <v>1619</v>
      </c>
      <c r="C328" s="141" t="s">
        <v>976</v>
      </c>
      <c r="D328" s="172">
        <v>59</v>
      </c>
      <c r="E328" s="141" t="s">
        <v>1620</v>
      </c>
      <c r="F328" s="141" t="s">
        <v>261</v>
      </c>
      <c r="G328" s="141" t="s">
        <v>1610</v>
      </c>
      <c r="H328" s="141" t="s">
        <v>334</v>
      </c>
      <c r="I328" s="141" t="s">
        <v>387</v>
      </c>
      <c r="J328" s="141" t="s">
        <v>1539</v>
      </c>
      <c r="K328" s="141" t="s">
        <v>388</v>
      </c>
      <c r="L328" s="141" t="s">
        <v>386</v>
      </c>
      <c r="M328" s="141" t="s">
        <v>808</v>
      </c>
      <c r="N328" s="141" t="s">
        <v>1611</v>
      </c>
      <c r="O328" s="141" t="s">
        <v>286</v>
      </c>
      <c r="P328" s="141" t="s">
        <v>44</v>
      </c>
    </row>
    <row r="329" spans="1:16">
      <c r="A329" s="141" t="s">
        <v>1623</v>
      </c>
      <c r="B329" s="141" t="s">
        <v>1619</v>
      </c>
      <c r="C329" s="141" t="s">
        <v>1053</v>
      </c>
      <c r="D329" s="172">
        <v>56</v>
      </c>
      <c r="E329" s="141" t="s">
        <v>1620</v>
      </c>
      <c r="F329" s="141" t="s">
        <v>261</v>
      </c>
      <c r="G329" s="141" t="s">
        <v>1610</v>
      </c>
      <c r="H329" s="141" t="s">
        <v>334</v>
      </c>
      <c r="I329" s="141" t="s">
        <v>387</v>
      </c>
      <c r="J329" s="141" t="s">
        <v>1539</v>
      </c>
      <c r="K329" s="141" t="s">
        <v>388</v>
      </c>
      <c r="L329" s="141" t="s">
        <v>386</v>
      </c>
      <c r="M329" s="141" t="s">
        <v>808</v>
      </c>
      <c r="N329" s="141" t="s">
        <v>1611</v>
      </c>
      <c r="O329" s="141" t="s">
        <v>286</v>
      </c>
      <c r="P329" s="141" t="s">
        <v>44</v>
      </c>
    </row>
    <row r="330" spans="1:16">
      <c r="A330" s="141" t="s">
        <v>1624</v>
      </c>
      <c r="B330" s="141" t="s">
        <v>1625</v>
      </c>
      <c r="C330" s="141" t="s">
        <v>1032</v>
      </c>
      <c r="D330" s="172">
        <v>55</v>
      </c>
      <c r="E330" s="141" t="s">
        <v>1620</v>
      </c>
      <c r="F330" s="141" t="s">
        <v>60</v>
      </c>
      <c r="G330" s="141" t="s">
        <v>1610</v>
      </c>
      <c r="H330" s="141" t="s">
        <v>334</v>
      </c>
      <c r="I330" s="141" t="s">
        <v>382</v>
      </c>
      <c r="J330" s="141" t="s">
        <v>1539</v>
      </c>
      <c r="K330" s="141" t="s">
        <v>388</v>
      </c>
      <c r="L330" s="141" t="s">
        <v>386</v>
      </c>
      <c r="M330" s="141" t="s">
        <v>808</v>
      </c>
      <c r="N330" s="141" t="s">
        <v>1626</v>
      </c>
      <c r="O330" s="141" t="s">
        <v>60</v>
      </c>
      <c r="P330" s="141"/>
    </row>
    <row r="331" spans="1:16">
      <c r="A331" s="141" t="s">
        <v>1627</v>
      </c>
      <c r="B331" s="141" t="s">
        <v>1625</v>
      </c>
      <c r="C331" s="141" t="s">
        <v>969</v>
      </c>
      <c r="D331" s="172">
        <v>57</v>
      </c>
      <c r="E331" s="141" t="s">
        <v>1620</v>
      </c>
      <c r="F331" s="141" t="s">
        <v>60</v>
      </c>
      <c r="G331" s="141" t="s">
        <v>1610</v>
      </c>
      <c r="H331" s="141" t="s">
        <v>334</v>
      </c>
      <c r="I331" s="141" t="s">
        <v>382</v>
      </c>
      <c r="J331" s="141" t="s">
        <v>1539</v>
      </c>
      <c r="K331" s="141" t="s">
        <v>388</v>
      </c>
      <c r="L331" s="141" t="s">
        <v>386</v>
      </c>
      <c r="M331" s="141" t="s">
        <v>808</v>
      </c>
      <c r="N331" s="141" t="s">
        <v>1626</v>
      </c>
      <c r="O331" s="141" t="s">
        <v>60</v>
      </c>
      <c r="P331" s="141"/>
    </row>
    <row r="332" spans="1:16">
      <c r="A332" s="141" t="s">
        <v>1628</v>
      </c>
      <c r="B332" s="141" t="s">
        <v>1625</v>
      </c>
      <c r="C332" s="141" t="s">
        <v>976</v>
      </c>
      <c r="D332" s="172">
        <v>59</v>
      </c>
      <c r="E332" s="141" t="s">
        <v>1620</v>
      </c>
      <c r="F332" s="141" t="s">
        <v>60</v>
      </c>
      <c r="G332" s="141" t="s">
        <v>1610</v>
      </c>
      <c r="H332" s="141" t="s">
        <v>334</v>
      </c>
      <c r="I332" s="141" t="s">
        <v>382</v>
      </c>
      <c r="J332" s="141" t="s">
        <v>1539</v>
      </c>
      <c r="K332" s="141" t="s">
        <v>388</v>
      </c>
      <c r="L332" s="141" t="s">
        <v>386</v>
      </c>
      <c r="M332" s="141" t="s">
        <v>808</v>
      </c>
      <c r="N332" s="141" t="s">
        <v>1626</v>
      </c>
      <c r="O332" s="141" t="s">
        <v>60</v>
      </c>
      <c r="P332" s="141"/>
    </row>
    <row r="333" spans="1:16">
      <c r="A333" s="141" t="s">
        <v>1629</v>
      </c>
      <c r="B333" s="141" t="s">
        <v>1625</v>
      </c>
      <c r="C333" s="141" t="s">
        <v>1053</v>
      </c>
      <c r="D333" s="172">
        <v>56</v>
      </c>
      <c r="E333" s="141" t="s">
        <v>1620</v>
      </c>
      <c r="F333" s="141" t="s">
        <v>60</v>
      </c>
      <c r="G333" s="141" t="s">
        <v>1610</v>
      </c>
      <c r="H333" s="141" t="s">
        <v>334</v>
      </c>
      <c r="I333" s="141" t="s">
        <v>382</v>
      </c>
      <c r="J333" s="141" t="s">
        <v>1539</v>
      </c>
      <c r="K333" s="141" t="s">
        <v>388</v>
      </c>
      <c r="L333" s="141" t="s">
        <v>386</v>
      </c>
      <c r="M333" s="141" t="s">
        <v>808</v>
      </c>
      <c r="N333" s="141" t="s">
        <v>1626</v>
      </c>
      <c r="O333" s="141" t="s">
        <v>60</v>
      </c>
      <c r="P333" s="141"/>
    </row>
    <row r="334" spans="1:16">
      <c r="A334" s="141" t="s">
        <v>1630</v>
      </c>
      <c r="B334" s="141" t="s">
        <v>1631</v>
      </c>
      <c r="C334" s="141" t="s">
        <v>1058</v>
      </c>
      <c r="D334" s="172">
        <v>60</v>
      </c>
      <c r="E334" s="141" t="s">
        <v>1273</v>
      </c>
      <c r="F334" s="141" t="s">
        <v>187</v>
      </c>
      <c r="G334" s="141" t="s">
        <v>1274</v>
      </c>
      <c r="H334" s="141" t="s">
        <v>327</v>
      </c>
      <c r="I334" s="141" t="s">
        <v>387</v>
      </c>
      <c r="J334" s="141" t="s">
        <v>972</v>
      </c>
      <c r="K334" s="141" t="s">
        <v>389</v>
      </c>
      <c r="L334" s="141" t="s">
        <v>539</v>
      </c>
      <c r="M334" s="141" t="s">
        <v>973</v>
      </c>
      <c r="N334" s="141" t="s">
        <v>1550</v>
      </c>
      <c r="O334" s="141" t="s">
        <v>57</v>
      </c>
      <c r="P334" s="141" t="s">
        <v>44</v>
      </c>
    </row>
    <row r="335" spans="1:16">
      <c r="A335" s="141" t="s">
        <v>1632</v>
      </c>
      <c r="B335" s="141" t="s">
        <v>1631</v>
      </c>
      <c r="C335" s="141" t="s">
        <v>1053</v>
      </c>
      <c r="D335" s="172">
        <v>56</v>
      </c>
      <c r="E335" s="141" t="s">
        <v>1273</v>
      </c>
      <c r="F335" s="141" t="s">
        <v>187</v>
      </c>
      <c r="G335" s="141" t="s">
        <v>1274</v>
      </c>
      <c r="H335" s="141" t="s">
        <v>327</v>
      </c>
      <c r="I335" s="141" t="s">
        <v>387</v>
      </c>
      <c r="J335" s="141" t="s">
        <v>972</v>
      </c>
      <c r="K335" s="141" t="s">
        <v>389</v>
      </c>
      <c r="L335" s="141" t="s">
        <v>539</v>
      </c>
      <c r="M335" s="141" t="s">
        <v>973</v>
      </c>
      <c r="N335" s="141" t="s">
        <v>1550</v>
      </c>
      <c r="O335" s="141" t="s">
        <v>57</v>
      </c>
      <c r="P335" s="141" t="s">
        <v>44</v>
      </c>
    </row>
    <row r="336" spans="1:16">
      <c r="A336" s="141" t="s">
        <v>1633</v>
      </c>
      <c r="B336" s="141" t="s">
        <v>1634</v>
      </c>
      <c r="C336" s="141" t="s">
        <v>909</v>
      </c>
      <c r="D336" s="142">
        <v>0</v>
      </c>
      <c r="E336" s="141" t="s">
        <v>1635</v>
      </c>
      <c r="F336" s="141" t="s">
        <v>53</v>
      </c>
      <c r="G336" s="141" t="s">
        <v>1636</v>
      </c>
      <c r="H336" s="141" t="s">
        <v>340</v>
      </c>
      <c r="I336" s="141" t="s">
        <v>387</v>
      </c>
      <c r="J336" s="141" t="s">
        <v>1539</v>
      </c>
      <c r="K336" s="141" t="s">
        <v>389</v>
      </c>
      <c r="L336" s="141" t="s">
        <v>539</v>
      </c>
      <c r="M336" s="141" t="s">
        <v>808</v>
      </c>
      <c r="N336" s="141" t="s">
        <v>1005</v>
      </c>
      <c r="O336" s="141" t="s">
        <v>53</v>
      </c>
      <c r="P336" s="141"/>
    </row>
    <row r="337" spans="1:16">
      <c r="A337" s="141" t="s">
        <v>1637</v>
      </c>
      <c r="B337" s="141" t="s">
        <v>1638</v>
      </c>
      <c r="C337" s="141" t="s">
        <v>1032</v>
      </c>
      <c r="D337" s="172">
        <v>55</v>
      </c>
      <c r="E337" s="141" t="s">
        <v>1639</v>
      </c>
      <c r="F337" s="141" t="s">
        <v>53</v>
      </c>
      <c r="G337" s="141" t="s">
        <v>1398</v>
      </c>
      <c r="H337" s="141" t="s">
        <v>325</v>
      </c>
      <c r="I337" s="141" t="s">
        <v>382</v>
      </c>
      <c r="J337" s="141" t="s">
        <v>1539</v>
      </c>
      <c r="K337" s="141" t="s">
        <v>388</v>
      </c>
      <c r="L337" s="141" t="s">
        <v>386</v>
      </c>
      <c r="M337" s="141" t="s">
        <v>808</v>
      </c>
      <c r="N337" s="141" t="s">
        <v>1005</v>
      </c>
      <c r="O337" s="141" t="s">
        <v>53</v>
      </c>
      <c r="P337" s="141" t="s">
        <v>1244</v>
      </c>
    </row>
    <row r="338" spans="1:16">
      <c r="A338" s="141" t="s">
        <v>1640</v>
      </c>
      <c r="B338" s="141" t="s">
        <v>1638</v>
      </c>
      <c r="C338" s="141" t="s">
        <v>969</v>
      </c>
      <c r="D338" s="172">
        <v>57</v>
      </c>
      <c r="E338" s="141" t="s">
        <v>1639</v>
      </c>
      <c r="F338" s="141" t="s">
        <v>53</v>
      </c>
      <c r="G338" s="141" t="s">
        <v>1398</v>
      </c>
      <c r="H338" s="141" t="s">
        <v>325</v>
      </c>
      <c r="I338" s="141" t="s">
        <v>382</v>
      </c>
      <c r="J338" s="141" t="s">
        <v>1539</v>
      </c>
      <c r="K338" s="141" t="s">
        <v>388</v>
      </c>
      <c r="L338" s="141" t="s">
        <v>386</v>
      </c>
      <c r="M338" s="141" t="s">
        <v>808</v>
      </c>
      <c r="N338" s="141" t="s">
        <v>1005</v>
      </c>
      <c r="O338" s="141" t="s">
        <v>53</v>
      </c>
      <c r="P338" s="141" t="s">
        <v>1244</v>
      </c>
    </row>
    <row r="339" spans="1:16">
      <c r="A339" s="141" t="s">
        <v>1641</v>
      </c>
      <c r="B339" s="141" t="s">
        <v>1638</v>
      </c>
      <c r="C339" s="141" t="s">
        <v>976</v>
      </c>
      <c r="D339" s="172">
        <v>59</v>
      </c>
      <c r="E339" s="141" t="s">
        <v>1639</v>
      </c>
      <c r="F339" s="141" t="s">
        <v>53</v>
      </c>
      <c r="G339" s="141" t="s">
        <v>1398</v>
      </c>
      <c r="H339" s="141" t="s">
        <v>325</v>
      </c>
      <c r="I339" s="141" t="s">
        <v>382</v>
      </c>
      <c r="J339" s="141" t="s">
        <v>1539</v>
      </c>
      <c r="K339" s="141" t="s">
        <v>388</v>
      </c>
      <c r="L339" s="141" t="s">
        <v>386</v>
      </c>
      <c r="M339" s="141" t="s">
        <v>808</v>
      </c>
      <c r="N339" s="141" t="s">
        <v>1005</v>
      </c>
      <c r="O339" s="141" t="s">
        <v>53</v>
      </c>
      <c r="P339" s="141" t="s">
        <v>1244</v>
      </c>
    </row>
    <row r="340" spans="1:16">
      <c r="A340" s="141" t="s">
        <v>1642</v>
      </c>
      <c r="B340" s="141" t="s">
        <v>1643</v>
      </c>
      <c r="C340" s="141" t="s">
        <v>909</v>
      </c>
      <c r="D340" s="142">
        <v>0</v>
      </c>
      <c r="E340" s="141" t="s">
        <v>1644</v>
      </c>
      <c r="F340" s="141" t="s">
        <v>53</v>
      </c>
      <c r="G340" s="141" t="s">
        <v>1221</v>
      </c>
      <c r="H340" s="141" t="s">
        <v>340</v>
      </c>
      <c r="I340" s="141" t="s">
        <v>382</v>
      </c>
      <c r="J340" s="141" t="s">
        <v>972</v>
      </c>
      <c r="K340" s="141" t="s">
        <v>389</v>
      </c>
      <c r="L340" s="141" t="s">
        <v>539</v>
      </c>
      <c r="M340" s="141" t="s">
        <v>973</v>
      </c>
      <c r="N340" s="141" t="s">
        <v>1005</v>
      </c>
      <c r="O340" s="141" t="s">
        <v>53</v>
      </c>
      <c r="P340" s="141" t="s">
        <v>46</v>
      </c>
    </row>
    <row r="341" spans="1:16">
      <c r="A341" s="141" t="s">
        <v>1645</v>
      </c>
      <c r="B341" s="141" t="s">
        <v>1646</v>
      </c>
      <c r="C341" s="141" t="s">
        <v>909</v>
      </c>
      <c r="D341" s="142">
        <v>0</v>
      </c>
      <c r="E341" s="141" t="s">
        <v>1644</v>
      </c>
      <c r="F341" s="141" t="s">
        <v>71</v>
      </c>
      <c r="G341" s="141" t="s">
        <v>1221</v>
      </c>
      <c r="H341" s="141" t="s">
        <v>340</v>
      </c>
      <c r="I341" s="141" t="s">
        <v>382</v>
      </c>
      <c r="J341" s="141" t="s">
        <v>972</v>
      </c>
      <c r="K341" s="141" t="s">
        <v>389</v>
      </c>
      <c r="L341" s="141" t="s">
        <v>539</v>
      </c>
      <c r="M341" s="141" t="s">
        <v>973</v>
      </c>
      <c r="N341" s="141" t="s">
        <v>1017</v>
      </c>
      <c r="O341" s="141" t="s">
        <v>53</v>
      </c>
      <c r="P341" s="141" t="s">
        <v>46</v>
      </c>
    </row>
    <row r="342" spans="1:16">
      <c r="A342" s="141" t="s">
        <v>1647</v>
      </c>
      <c r="B342" s="141" t="s">
        <v>1648</v>
      </c>
      <c r="C342" s="141" t="s">
        <v>909</v>
      </c>
      <c r="D342" s="142">
        <v>0</v>
      </c>
      <c r="E342" s="141" t="s">
        <v>1649</v>
      </c>
      <c r="F342" s="141" t="s">
        <v>308</v>
      </c>
      <c r="G342" s="141" t="s">
        <v>911</v>
      </c>
      <c r="H342" s="141" t="s">
        <v>340</v>
      </c>
      <c r="I342" s="141" t="s">
        <v>390</v>
      </c>
      <c r="J342" s="141" t="s">
        <v>972</v>
      </c>
      <c r="K342" s="141" t="s">
        <v>389</v>
      </c>
      <c r="L342" s="141" t="s">
        <v>539</v>
      </c>
      <c r="M342" s="141" t="s">
        <v>973</v>
      </c>
      <c r="N342" s="141" t="s">
        <v>1005</v>
      </c>
      <c r="O342" s="141" t="s">
        <v>53</v>
      </c>
      <c r="P342" s="141" t="s">
        <v>46</v>
      </c>
    </row>
    <row r="343" spans="1:16">
      <c r="A343" s="141" t="s">
        <v>1650</v>
      </c>
      <c r="B343" s="141" t="s">
        <v>1651</v>
      </c>
      <c r="C343" s="141" t="s">
        <v>976</v>
      </c>
      <c r="D343" s="172">
        <v>59</v>
      </c>
      <c r="E343" s="141" t="s">
        <v>1652</v>
      </c>
      <c r="F343" s="141" t="s">
        <v>83</v>
      </c>
      <c r="G343" s="141" t="s">
        <v>910</v>
      </c>
      <c r="H343" s="141" t="s">
        <v>325</v>
      </c>
      <c r="I343" s="141" t="s">
        <v>382</v>
      </c>
      <c r="J343" s="141" t="s">
        <v>972</v>
      </c>
      <c r="K343" s="141" t="s">
        <v>384</v>
      </c>
      <c r="L343" s="141" t="s">
        <v>386</v>
      </c>
      <c r="M343" s="141" t="s">
        <v>808</v>
      </c>
      <c r="N343" s="141" t="s">
        <v>1472</v>
      </c>
      <c r="O343" s="141" t="s">
        <v>83</v>
      </c>
      <c r="P343" s="141" t="s">
        <v>43</v>
      </c>
    </row>
    <row r="344" spans="1:16">
      <c r="A344" s="141" t="s">
        <v>1653</v>
      </c>
      <c r="B344" s="141" t="s">
        <v>1651</v>
      </c>
      <c r="C344" s="141" t="s">
        <v>969</v>
      </c>
      <c r="D344" s="172">
        <v>57</v>
      </c>
      <c r="E344" s="141" t="s">
        <v>1652</v>
      </c>
      <c r="F344" s="141" t="s">
        <v>83</v>
      </c>
      <c r="G344" s="141" t="s">
        <v>910</v>
      </c>
      <c r="H344" s="141" t="s">
        <v>325</v>
      </c>
      <c r="I344" s="141" t="s">
        <v>382</v>
      </c>
      <c r="J344" s="141" t="s">
        <v>972</v>
      </c>
      <c r="K344" s="141" t="s">
        <v>384</v>
      </c>
      <c r="L344" s="141" t="s">
        <v>386</v>
      </c>
      <c r="M344" s="141" t="s">
        <v>808</v>
      </c>
      <c r="N344" s="141" t="s">
        <v>1472</v>
      </c>
      <c r="O344" s="141" t="s">
        <v>83</v>
      </c>
      <c r="P344" s="141" t="s">
        <v>43</v>
      </c>
    </row>
    <row r="345" spans="1:16">
      <c r="A345" s="141" t="s">
        <v>1654</v>
      </c>
      <c r="B345" s="141" t="s">
        <v>1655</v>
      </c>
      <c r="C345" s="141" t="s">
        <v>976</v>
      </c>
      <c r="D345" s="172">
        <v>59</v>
      </c>
      <c r="E345" s="141" t="s">
        <v>1656</v>
      </c>
      <c r="F345" s="141" t="s">
        <v>55</v>
      </c>
      <c r="G345" s="141" t="s">
        <v>971</v>
      </c>
      <c r="H345" s="141" t="s">
        <v>325</v>
      </c>
      <c r="I345" s="141" t="s">
        <v>382</v>
      </c>
      <c r="J345" s="141" t="s">
        <v>972</v>
      </c>
      <c r="K345" s="141" t="s">
        <v>384</v>
      </c>
      <c r="L345" s="141" t="s">
        <v>539</v>
      </c>
      <c r="M345" s="141" t="s">
        <v>808</v>
      </c>
      <c r="N345" s="141" t="s">
        <v>1017</v>
      </c>
      <c r="O345" s="141" t="s">
        <v>71</v>
      </c>
      <c r="P345" s="141"/>
    </row>
    <row r="346" spans="1:16">
      <c r="A346" s="141" t="s">
        <v>1657</v>
      </c>
      <c r="B346" s="141" t="s">
        <v>1655</v>
      </c>
      <c r="C346" s="141" t="s">
        <v>969</v>
      </c>
      <c r="D346" s="172">
        <v>57</v>
      </c>
      <c r="E346" s="141" t="s">
        <v>1656</v>
      </c>
      <c r="F346" s="141" t="s">
        <v>55</v>
      </c>
      <c r="G346" s="141" t="s">
        <v>971</v>
      </c>
      <c r="H346" s="141" t="s">
        <v>325</v>
      </c>
      <c r="I346" s="141" t="s">
        <v>382</v>
      </c>
      <c r="J346" s="141" t="s">
        <v>972</v>
      </c>
      <c r="K346" s="141" t="s">
        <v>384</v>
      </c>
      <c r="L346" s="141" t="s">
        <v>539</v>
      </c>
      <c r="M346" s="141" t="s">
        <v>808</v>
      </c>
      <c r="N346" s="141" t="s">
        <v>1017</v>
      </c>
      <c r="O346" s="141" t="s">
        <v>71</v>
      </c>
      <c r="P346" s="141"/>
    </row>
    <row r="347" spans="1:16">
      <c r="A347" s="141" t="s">
        <v>1658</v>
      </c>
      <c r="B347" s="141" t="s">
        <v>1659</v>
      </c>
      <c r="C347" s="141" t="s">
        <v>976</v>
      </c>
      <c r="D347" s="172">
        <v>59</v>
      </c>
      <c r="E347" s="141" t="s">
        <v>1660</v>
      </c>
      <c r="F347" s="141" t="s">
        <v>71</v>
      </c>
      <c r="G347" s="141" t="s">
        <v>1661</v>
      </c>
      <c r="H347" s="141" t="s">
        <v>320</v>
      </c>
      <c r="I347" s="141" t="s">
        <v>382</v>
      </c>
      <c r="J347" s="141" t="s">
        <v>988</v>
      </c>
      <c r="K347" s="141" t="s">
        <v>384</v>
      </c>
      <c r="L347" s="141" t="s">
        <v>539</v>
      </c>
      <c r="M347" s="141" t="s">
        <v>808</v>
      </c>
      <c r="N347" s="141" t="s">
        <v>1106</v>
      </c>
      <c r="O347" s="141" t="s">
        <v>71</v>
      </c>
      <c r="P347" s="141"/>
    </row>
    <row r="348" spans="1:16">
      <c r="A348" s="141" t="s">
        <v>1662</v>
      </c>
      <c r="B348" s="141" t="s">
        <v>1663</v>
      </c>
      <c r="C348" s="141" t="s">
        <v>909</v>
      </c>
      <c r="D348" s="142">
        <v>0</v>
      </c>
      <c r="E348" s="141" t="s">
        <v>1317</v>
      </c>
      <c r="F348" s="141" t="s">
        <v>55</v>
      </c>
      <c r="G348" s="141" t="s">
        <v>1221</v>
      </c>
      <c r="H348" s="141" t="s">
        <v>340</v>
      </c>
      <c r="I348" s="141" t="s">
        <v>382</v>
      </c>
      <c r="J348" s="141" t="s">
        <v>988</v>
      </c>
      <c r="K348" s="141" t="s">
        <v>389</v>
      </c>
      <c r="L348" s="141" t="s">
        <v>386</v>
      </c>
      <c r="M348" s="141" t="s">
        <v>973</v>
      </c>
      <c r="N348" s="141" t="s">
        <v>1106</v>
      </c>
      <c r="O348" s="141" t="s">
        <v>71</v>
      </c>
      <c r="P348" s="141"/>
    </row>
    <row r="349" spans="1:16">
      <c r="A349" s="141" t="s">
        <v>1664</v>
      </c>
      <c r="B349" s="141" t="s">
        <v>1665</v>
      </c>
      <c r="C349" s="141" t="s">
        <v>909</v>
      </c>
      <c r="D349" s="142">
        <v>0</v>
      </c>
      <c r="E349" s="141" t="s">
        <v>1425</v>
      </c>
      <c r="F349" s="141" t="s">
        <v>53</v>
      </c>
      <c r="G349" s="141" t="s">
        <v>1666</v>
      </c>
      <c r="H349" s="141" t="s">
        <v>340</v>
      </c>
      <c r="I349" s="141" t="s">
        <v>387</v>
      </c>
      <c r="J349" s="141" t="s">
        <v>972</v>
      </c>
      <c r="K349" s="141" t="s">
        <v>389</v>
      </c>
      <c r="L349" s="141" t="s">
        <v>539</v>
      </c>
      <c r="M349" s="141" t="s">
        <v>973</v>
      </c>
      <c r="N349" s="141" t="s">
        <v>1005</v>
      </c>
      <c r="O349" s="141" t="s">
        <v>53</v>
      </c>
      <c r="P349" s="141" t="s">
        <v>44</v>
      </c>
    </row>
    <row r="350" spans="1:16">
      <c r="A350" s="141" t="s">
        <v>1667</v>
      </c>
      <c r="B350" s="141" t="s">
        <v>1668</v>
      </c>
      <c r="C350" s="141" t="s">
        <v>909</v>
      </c>
      <c r="D350" s="142">
        <v>0</v>
      </c>
      <c r="E350" s="141" t="s">
        <v>1669</v>
      </c>
      <c r="F350" s="141" t="s">
        <v>241</v>
      </c>
      <c r="G350" s="141" t="s">
        <v>1221</v>
      </c>
      <c r="H350" s="141" t="s">
        <v>340</v>
      </c>
      <c r="I350" s="141" t="s">
        <v>382</v>
      </c>
      <c r="J350" s="141" t="s">
        <v>972</v>
      </c>
      <c r="K350" s="141" t="s">
        <v>389</v>
      </c>
      <c r="L350" s="141" t="s">
        <v>539</v>
      </c>
      <c r="M350" s="141" t="s">
        <v>973</v>
      </c>
      <c r="N350" s="141" t="s">
        <v>1148</v>
      </c>
      <c r="O350" s="141" t="s">
        <v>83</v>
      </c>
      <c r="P350" s="141"/>
    </row>
    <row r="351" spans="1:16">
      <c r="A351" s="141" t="s">
        <v>1670</v>
      </c>
      <c r="B351" s="141" t="s">
        <v>1671</v>
      </c>
      <c r="C351" s="141" t="s">
        <v>909</v>
      </c>
      <c r="D351" s="142">
        <v>0</v>
      </c>
      <c r="E351" s="141" t="s">
        <v>1672</v>
      </c>
      <c r="F351" s="141" t="s">
        <v>57</v>
      </c>
      <c r="G351" s="141" t="s">
        <v>1221</v>
      </c>
      <c r="H351" s="141" t="s">
        <v>340</v>
      </c>
      <c r="I351" s="141" t="s">
        <v>387</v>
      </c>
      <c r="J351" s="141" t="s">
        <v>972</v>
      </c>
      <c r="K351" s="141" t="s">
        <v>389</v>
      </c>
      <c r="L351" s="141" t="s">
        <v>539</v>
      </c>
      <c r="M351" s="141" t="s">
        <v>973</v>
      </c>
      <c r="N351" s="141" t="s">
        <v>989</v>
      </c>
      <c r="O351" s="141" t="s">
        <v>57</v>
      </c>
      <c r="P351" s="141"/>
    </row>
    <row r="352" spans="1:16">
      <c r="A352" s="141" t="s">
        <v>1673</v>
      </c>
      <c r="B352" s="141" t="s">
        <v>1674</v>
      </c>
      <c r="C352" s="141" t="s">
        <v>969</v>
      </c>
      <c r="D352" s="172">
        <v>57</v>
      </c>
      <c r="E352" s="141" t="s">
        <v>1675</v>
      </c>
      <c r="F352" s="141" t="s">
        <v>78</v>
      </c>
      <c r="G352" s="141" t="s">
        <v>1676</v>
      </c>
      <c r="H352" s="141" t="s">
        <v>320</v>
      </c>
      <c r="I352" s="141" t="s">
        <v>387</v>
      </c>
      <c r="J352" s="141" t="s">
        <v>972</v>
      </c>
      <c r="K352" s="141" t="s">
        <v>388</v>
      </c>
      <c r="L352" s="141" t="s">
        <v>386</v>
      </c>
      <c r="M352" s="141" t="s">
        <v>973</v>
      </c>
      <c r="N352" s="141" t="s">
        <v>1502</v>
      </c>
      <c r="O352" s="141" t="s">
        <v>78</v>
      </c>
      <c r="P352" s="141" t="s">
        <v>44</v>
      </c>
    </row>
    <row r="353" spans="1:16">
      <c r="A353" s="141" t="s">
        <v>1677</v>
      </c>
      <c r="B353" s="141" t="s">
        <v>1678</v>
      </c>
      <c r="C353" s="141" t="s">
        <v>969</v>
      </c>
      <c r="D353" s="172">
        <v>57</v>
      </c>
      <c r="E353" s="141" t="s">
        <v>1131</v>
      </c>
      <c r="F353" s="141" t="s">
        <v>231</v>
      </c>
      <c r="G353" s="141" t="s">
        <v>1132</v>
      </c>
      <c r="H353" s="141" t="s">
        <v>320</v>
      </c>
      <c r="I353" s="141" t="s">
        <v>382</v>
      </c>
      <c r="J353" s="141" t="s">
        <v>988</v>
      </c>
      <c r="K353" s="141" t="s">
        <v>388</v>
      </c>
      <c r="L353" s="141" t="s">
        <v>539</v>
      </c>
      <c r="M353" s="141" t="s">
        <v>973</v>
      </c>
      <c r="N353" s="141" t="s">
        <v>1119</v>
      </c>
      <c r="O353" s="141" t="s">
        <v>83</v>
      </c>
      <c r="P353" s="141" t="s">
        <v>44</v>
      </c>
    </row>
    <row r="354" spans="1:16">
      <c r="A354" s="141" t="s">
        <v>1679</v>
      </c>
      <c r="B354" s="141" t="s">
        <v>1678</v>
      </c>
      <c r="C354" s="141" t="s">
        <v>976</v>
      </c>
      <c r="D354" s="172">
        <v>59</v>
      </c>
      <c r="E354" s="141" t="s">
        <v>1131</v>
      </c>
      <c r="F354" s="141" t="s">
        <v>231</v>
      </c>
      <c r="G354" s="141" t="s">
        <v>1132</v>
      </c>
      <c r="H354" s="141" t="s">
        <v>320</v>
      </c>
      <c r="I354" s="141" t="s">
        <v>382</v>
      </c>
      <c r="J354" s="141" t="s">
        <v>988</v>
      </c>
      <c r="K354" s="141" t="s">
        <v>388</v>
      </c>
      <c r="L354" s="141" t="s">
        <v>539</v>
      </c>
      <c r="M354" s="141" t="s">
        <v>973</v>
      </c>
      <c r="N354" s="141" t="s">
        <v>1119</v>
      </c>
      <c r="O354" s="141" t="s">
        <v>83</v>
      </c>
      <c r="P354" s="141" t="s">
        <v>44</v>
      </c>
    </row>
    <row r="355" spans="1:16">
      <c r="A355" s="141" t="s">
        <v>1680</v>
      </c>
      <c r="B355" s="141" t="s">
        <v>1681</v>
      </c>
      <c r="C355" s="141" t="s">
        <v>1030</v>
      </c>
      <c r="D355" s="172">
        <v>61</v>
      </c>
      <c r="E355" s="141" t="s">
        <v>1131</v>
      </c>
      <c r="F355" s="141" t="s">
        <v>271</v>
      </c>
      <c r="G355" s="141" t="s">
        <v>1132</v>
      </c>
      <c r="H355" s="141" t="s">
        <v>320</v>
      </c>
      <c r="I355" s="141" t="s">
        <v>382</v>
      </c>
      <c r="J355" s="141" t="s">
        <v>988</v>
      </c>
      <c r="K355" s="141" t="s">
        <v>388</v>
      </c>
      <c r="L355" s="141" t="s">
        <v>539</v>
      </c>
      <c r="M355" s="141" t="s">
        <v>973</v>
      </c>
      <c r="N355" s="141" t="s">
        <v>1682</v>
      </c>
      <c r="O355" s="141" t="s">
        <v>86</v>
      </c>
      <c r="P355" s="141" t="s">
        <v>44</v>
      </c>
    </row>
    <row r="356" spans="1:16">
      <c r="A356" s="141" t="s">
        <v>1683</v>
      </c>
      <c r="B356" s="141" t="s">
        <v>1681</v>
      </c>
      <c r="C356" s="141" t="s">
        <v>969</v>
      </c>
      <c r="D356" s="172">
        <v>57</v>
      </c>
      <c r="E356" s="141" t="s">
        <v>1131</v>
      </c>
      <c r="F356" s="141" t="s">
        <v>271</v>
      </c>
      <c r="G356" s="141" t="s">
        <v>1132</v>
      </c>
      <c r="H356" s="141" t="s">
        <v>320</v>
      </c>
      <c r="I356" s="141" t="s">
        <v>382</v>
      </c>
      <c r="J356" s="141" t="s">
        <v>988</v>
      </c>
      <c r="K356" s="141" t="s">
        <v>388</v>
      </c>
      <c r="L356" s="141" t="s">
        <v>539</v>
      </c>
      <c r="M356" s="141" t="s">
        <v>973</v>
      </c>
      <c r="N356" s="141" t="s">
        <v>1682</v>
      </c>
      <c r="O356" s="141" t="s">
        <v>86</v>
      </c>
      <c r="P356" s="141" t="s">
        <v>44</v>
      </c>
    </row>
    <row r="357" spans="1:16">
      <c r="A357" s="141" t="s">
        <v>1684</v>
      </c>
      <c r="B357" s="141" t="s">
        <v>1681</v>
      </c>
      <c r="C357" s="141" t="s">
        <v>976</v>
      </c>
      <c r="D357" s="172">
        <v>59</v>
      </c>
      <c r="E357" s="141" t="s">
        <v>1131</v>
      </c>
      <c r="F357" s="141" t="s">
        <v>271</v>
      </c>
      <c r="G357" s="141" t="s">
        <v>1132</v>
      </c>
      <c r="H357" s="141" t="s">
        <v>320</v>
      </c>
      <c r="I357" s="141" t="s">
        <v>382</v>
      </c>
      <c r="J357" s="141" t="s">
        <v>988</v>
      </c>
      <c r="K357" s="141" t="s">
        <v>388</v>
      </c>
      <c r="L357" s="141" t="s">
        <v>539</v>
      </c>
      <c r="M357" s="141" t="s">
        <v>973</v>
      </c>
      <c r="N357" s="141" t="s">
        <v>1682</v>
      </c>
      <c r="O357" s="141" t="s">
        <v>86</v>
      </c>
      <c r="P357" s="141" t="s">
        <v>44</v>
      </c>
    </row>
    <row r="358" spans="1:16">
      <c r="A358" s="141" t="s">
        <v>1685</v>
      </c>
      <c r="B358" s="141" t="s">
        <v>1681</v>
      </c>
      <c r="C358" s="141" t="s">
        <v>1032</v>
      </c>
      <c r="D358" s="172">
        <v>55</v>
      </c>
      <c r="E358" s="141" t="s">
        <v>1131</v>
      </c>
      <c r="F358" s="141" t="s">
        <v>271</v>
      </c>
      <c r="G358" s="141" t="s">
        <v>1132</v>
      </c>
      <c r="H358" s="141" t="s">
        <v>320</v>
      </c>
      <c r="I358" s="141" t="s">
        <v>382</v>
      </c>
      <c r="J358" s="141" t="s">
        <v>988</v>
      </c>
      <c r="K358" s="141" t="s">
        <v>388</v>
      </c>
      <c r="L358" s="141" t="s">
        <v>539</v>
      </c>
      <c r="M358" s="141" t="s">
        <v>973</v>
      </c>
      <c r="N358" s="141" t="s">
        <v>1682</v>
      </c>
      <c r="O358" s="141" t="s">
        <v>86</v>
      </c>
      <c r="P358" s="141" t="s">
        <v>44</v>
      </c>
    </row>
    <row r="359" spans="1:16">
      <c r="A359" s="141" t="s">
        <v>1686</v>
      </c>
      <c r="B359" s="141" t="s">
        <v>1687</v>
      </c>
      <c r="C359" s="141" t="s">
        <v>1302</v>
      </c>
      <c r="D359" s="172">
        <v>63</v>
      </c>
      <c r="E359" s="141" t="s">
        <v>1118</v>
      </c>
      <c r="F359" s="141" t="s">
        <v>53</v>
      </c>
      <c r="G359" s="141" t="s">
        <v>1105</v>
      </c>
      <c r="H359" s="141" t="s">
        <v>320</v>
      </c>
      <c r="I359" s="141" t="s">
        <v>382</v>
      </c>
      <c r="J359" s="141" t="s">
        <v>988</v>
      </c>
      <c r="K359" s="141" t="s">
        <v>388</v>
      </c>
      <c r="L359" s="141" t="s">
        <v>539</v>
      </c>
      <c r="M359" s="141" t="s">
        <v>973</v>
      </c>
      <c r="N359" s="141" t="s">
        <v>1005</v>
      </c>
      <c r="O359" s="141" t="s">
        <v>53</v>
      </c>
      <c r="P359" s="141" t="s">
        <v>44</v>
      </c>
    </row>
    <row r="360" spans="1:16">
      <c r="A360" s="141" t="s">
        <v>1688</v>
      </c>
      <c r="B360" s="141" t="s">
        <v>1687</v>
      </c>
      <c r="C360" s="141" t="s">
        <v>1032</v>
      </c>
      <c r="D360" s="172">
        <v>55</v>
      </c>
      <c r="E360" s="141" t="s">
        <v>1118</v>
      </c>
      <c r="F360" s="141" t="s">
        <v>53</v>
      </c>
      <c r="G360" s="141" t="s">
        <v>1105</v>
      </c>
      <c r="H360" s="141" t="s">
        <v>320</v>
      </c>
      <c r="I360" s="141" t="s">
        <v>382</v>
      </c>
      <c r="J360" s="141" t="s">
        <v>988</v>
      </c>
      <c r="K360" s="141" t="s">
        <v>388</v>
      </c>
      <c r="L360" s="141" t="s">
        <v>539</v>
      </c>
      <c r="M360" s="141" t="s">
        <v>973</v>
      </c>
      <c r="N360" s="141" t="s">
        <v>1005</v>
      </c>
      <c r="O360" s="141" t="s">
        <v>53</v>
      </c>
      <c r="P360" s="141" t="s">
        <v>44</v>
      </c>
    </row>
    <row r="361" spans="1:16">
      <c r="A361" s="141" t="s">
        <v>1689</v>
      </c>
      <c r="B361" s="141" t="s">
        <v>1687</v>
      </c>
      <c r="C361" s="141" t="s">
        <v>976</v>
      </c>
      <c r="D361" s="172">
        <v>59</v>
      </c>
      <c r="E361" s="141" t="s">
        <v>1118</v>
      </c>
      <c r="F361" s="141" t="s">
        <v>53</v>
      </c>
      <c r="G361" s="141" t="s">
        <v>1105</v>
      </c>
      <c r="H361" s="141" t="s">
        <v>320</v>
      </c>
      <c r="I361" s="141" t="s">
        <v>382</v>
      </c>
      <c r="J361" s="141" t="s">
        <v>988</v>
      </c>
      <c r="K361" s="141" t="s">
        <v>388</v>
      </c>
      <c r="L361" s="141" t="s">
        <v>539</v>
      </c>
      <c r="M361" s="141" t="s">
        <v>973</v>
      </c>
      <c r="N361" s="141" t="s">
        <v>1005</v>
      </c>
      <c r="O361" s="141" t="s">
        <v>53</v>
      </c>
      <c r="P361" s="141" t="s">
        <v>44</v>
      </c>
    </row>
    <row r="362" spans="1:16">
      <c r="A362" s="141" t="s">
        <v>1690</v>
      </c>
      <c r="B362" s="141" t="s">
        <v>1687</v>
      </c>
      <c r="C362" s="141" t="s">
        <v>969</v>
      </c>
      <c r="D362" s="172">
        <v>57</v>
      </c>
      <c r="E362" s="141" t="s">
        <v>1118</v>
      </c>
      <c r="F362" s="141" t="s">
        <v>53</v>
      </c>
      <c r="G362" s="141" t="s">
        <v>1105</v>
      </c>
      <c r="H362" s="141" t="s">
        <v>320</v>
      </c>
      <c r="I362" s="141" t="s">
        <v>382</v>
      </c>
      <c r="J362" s="141" t="s">
        <v>988</v>
      </c>
      <c r="K362" s="141" t="s">
        <v>388</v>
      </c>
      <c r="L362" s="141" t="s">
        <v>539</v>
      </c>
      <c r="M362" s="141" t="s">
        <v>973</v>
      </c>
      <c r="N362" s="141" t="s">
        <v>1005</v>
      </c>
      <c r="O362" s="141" t="s">
        <v>53</v>
      </c>
      <c r="P362" s="141" t="s">
        <v>44</v>
      </c>
    </row>
    <row r="363" spans="1:16">
      <c r="A363" s="141" t="s">
        <v>1691</v>
      </c>
      <c r="B363" s="141" t="s">
        <v>1687</v>
      </c>
      <c r="C363" s="141" t="s">
        <v>1030</v>
      </c>
      <c r="D363" s="172">
        <v>61</v>
      </c>
      <c r="E363" s="141" t="s">
        <v>1118</v>
      </c>
      <c r="F363" s="141" t="s">
        <v>53</v>
      </c>
      <c r="G363" s="141" t="s">
        <v>1105</v>
      </c>
      <c r="H363" s="141" t="s">
        <v>320</v>
      </c>
      <c r="I363" s="141" t="s">
        <v>382</v>
      </c>
      <c r="J363" s="141" t="s">
        <v>988</v>
      </c>
      <c r="K363" s="141" t="s">
        <v>388</v>
      </c>
      <c r="L363" s="141" t="s">
        <v>539</v>
      </c>
      <c r="M363" s="141" t="s">
        <v>973</v>
      </c>
      <c r="N363" s="141" t="s">
        <v>1005</v>
      </c>
      <c r="O363" s="141" t="s">
        <v>53</v>
      </c>
      <c r="P363" s="141" t="s">
        <v>44</v>
      </c>
    </row>
    <row r="364" spans="1:16">
      <c r="A364" s="141" t="s">
        <v>1692</v>
      </c>
      <c r="B364" s="141" t="s">
        <v>1693</v>
      </c>
      <c r="C364" s="141" t="s">
        <v>1032</v>
      </c>
      <c r="D364" s="172">
        <v>55</v>
      </c>
      <c r="E364" s="141" t="s">
        <v>1118</v>
      </c>
      <c r="F364" s="141" t="s">
        <v>55</v>
      </c>
      <c r="G364" s="141" t="s">
        <v>1105</v>
      </c>
      <c r="H364" s="141" t="s">
        <v>320</v>
      </c>
      <c r="I364" s="141" t="s">
        <v>382</v>
      </c>
      <c r="J364" s="141" t="s">
        <v>988</v>
      </c>
      <c r="K364" s="141" t="s">
        <v>388</v>
      </c>
      <c r="L364" s="141" t="s">
        <v>539</v>
      </c>
      <c r="M364" s="141" t="s">
        <v>973</v>
      </c>
      <c r="N364" s="141" t="s">
        <v>1106</v>
      </c>
      <c r="O364" s="141" t="s">
        <v>71</v>
      </c>
      <c r="P364" s="141" t="s">
        <v>44</v>
      </c>
    </row>
    <row r="365" spans="1:16">
      <c r="A365" s="141" t="s">
        <v>1694</v>
      </c>
      <c r="B365" s="141" t="s">
        <v>1693</v>
      </c>
      <c r="C365" s="141" t="s">
        <v>976</v>
      </c>
      <c r="D365" s="172">
        <v>59</v>
      </c>
      <c r="E365" s="141" t="s">
        <v>1118</v>
      </c>
      <c r="F365" s="141" t="s">
        <v>55</v>
      </c>
      <c r="G365" s="141" t="s">
        <v>1105</v>
      </c>
      <c r="H365" s="141" t="s">
        <v>320</v>
      </c>
      <c r="I365" s="141" t="s">
        <v>382</v>
      </c>
      <c r="J365" s="141" t="s">
        <v>988</v>
      </c>
      <c r="K365" s="141" t="s">
        <v>388</v>
      </c>
      <c r="L365" s="141" t="s">
        <v>539</v>
      </c>
      <c r="M365" s="141" t="s">
        <v>973</v>
      </c>
      <c r="N365" s="141" t="s">
        <v>1106</v>
      </c>
      <c r="O365" s="141" t="s">
        <v>71</v>
      </c>
      <c r="P365" s="141" t="s">
        <v>44</v>
      </c>
    </row>
    <row r="366" spans="1:16">
      <c r="A366" s="141" t="s">
        <v>1695</v>
      </c>
      <c r="B366" s="141" t="s">
        <v>1693</v>
      </c>
      <c r="C366" s="141" t="s">
        <v>969</v>
      </c>
      <c r="D366" s="172">
        <v>57</v>
      </c>
      <c r="E366" s="141" t="s">
        <v>1118</v>
      </c>
      <c r="F366" s="141" t="s">
        <v>55</v>
      </c>
      <c r="G366" s="141" t="s">
        <v>1105</v>
      </c>
      <c r="H366" s="141" t="s">
        <v>320</v>
      </c>
      <c r="I366" s="141" t="s">
        <v>382</v>
      </c>
      <c r="J366" s="141" t="s">
        <v>988</v>
      </c>
      <c r="K366" s="141" t="s">
        <v>388</v>
      </c>
      <c r="L366" s="141" t="s">
        <v>539</v>
      </c>
      <c r="M366" s="141" t="s">
        <v>973</v>
      </c>
      <c r="N366" s="141" t="s">
        <v>1106</v>
      </c>
      <c r="O366" s="141" t="s">
        <v>71</v>
      </c>
      <c r="P366" s="141" t="s">
        <v>44</v>
      </c>
    </row>
    <row r="367" spans="1:16">
      <c r="A367" s="141" t="s">
        <v>1696</v>
      </c>
      <c r="B367" s="141" t="s">
        <v>1693</v>
      </c>
      <c r="C367" s="141" t="s">
        <v>1030</v>
      </c>
      <c r="D367" s="172">
        <v>61</v>
      </c>
      <c r="E367" s="141" t="s">
        <v>1118</v>
      </c>
      <c r="F367" s="141" t="s">
        <v>55</v>
      </c>
      <c r="G367" s="141" t="s">
        <v>1105</v>
      </c>
      <c r="H367" s="141" t="s">
        <v>320</v>
      </c>
      <c r="I367" s="141" t="s">
        <v>382</v>
      </c>
      <c r="J367" s="141" t="s">
        <v>988</v>
      </c>
      <c r="K367" s="141" t="s">
        <v>388</v>
      </c>
      <c r="L367" s="141" t="s">
        <v>539</v>
      </c>
      <c r="M367" s="141" t="s">
        <v>973</v>
      </c>
      <c r="N367" s="141" t="s">
        <v>1106</v>
      </c>
      <c r="O367" s="141" t="s">
        <v>71</v>
      </c>
      <c r="P367" s="141" t="s">
        <v>44</v>
      </c>
    </row>
    <row r="368" spans="1:16">
      <c r="A368" s="141" t="s">
        <v>1697</v>
      </c>
      <c r="B368" s="141" t="s">
        <v>1698</v>
      </c>
      <c r="C368" s="141" t="s">
        <v>1032</v>
      </c>
      <c r="D368" s="172">
        <v>55</v>
      </c>
      <c r="E368" s="141" t="s">
        <v>1699</v>
      </c>
      <c r="F368" s="141" t="s">
        <v>121</v>
      </c>
      <c r="G368" s="141" t="s">
        <v>1105</v>
      </c>
      <c r="H368" s="141" t="s">
        <v>334</v>
      </c>
      <c r="I368" s="141" t="s">
        <v>382</v>
      </c>
      <c r="J368" s="141" t="s">
        <v>988</v>
      </c>
      <c r="K368" s="141" t="s">
        <v>388</v>
      </c>
      <c r="L368" s="141" t="s">
        <v>386</v>
      </c>
      <c r="M368" s="141" t="s">
        <v>973</v>
      </c>
      <c r="N368" s="141" t="s">
        <v>1310</v>
      </c>
      <c r="O368" s="141" t="s">
        <v>121</v>
      </c>
      <c r="P368" s="141" t="s">
        <v>44</v>
      </c>
    </row>
    <row r="369" spans="1:16">
      <c r="A369" s="141" t="s">
        <v>1700</v>
      </c>
      <c r="B369" s="141" t="s">
        <v>1698</v>
      </c>
      <c r="C369" s="141" t="s">
        <v>976</v>
      </c>
      <c r="D369" s="172">
        <v>59</v>
      </c>
      <c r="E369" s="141" t="s">
        <v>1699</v>
      </c>
      <c r="F369" s="141" t="s">
        <v>121</v>
      </c>
      <c r="G369" s="141" t="s">
        <v>1105</v>
      </c>
      <c r="H369" s="141" t="s">
        <v>334</v>
      </c>
      <c r="I369" s="141" t="s">
        <v>382</v>
      </c>
      <c r="J369" s="141" t="s">
        <v>988</v>
      </c>
      <c r="K369" s="141" t="s">
        <v>388</v>
      </c>
      <c r="L369" s="141" t="s">
        <v>386</v>
      </c>
      <c r="M369" s="141" t="s">
        <v>973</v>
      </c>
      <c r="N369" s="141" t="s">
        <v>1310</v>
      </c>
      <c r="O369" s="141" t="s">
        <v>121</v>
      </c>
      <c r="P369" s="141" t="s">
        <v>44</v>
      </c>
    </row>
    <row r="370" spans="1:16">
      <c r="A370" s="141" t="s">
        <v>1701</v>
      </c>
      <c r="B370" s="141" t="s">
        <v>1698</v>
      </c>
      <c r="C370" s="141" t="s">
        <v>969</v>
      </c>
      <c r="D370" s="172">
        <v>57</v>
      </c>
      <c r="E370" s="141" t="s">
        <v>1699</v>
      </c>
      <c r="F370" s="141" t="s">
        <v>121</v>
      </c>
      <c r="G370" s="141" t="s">
        <v>1105</v>
      </c>
      <c r="H370" s="141" t="s">
        <v>334</v>
      </c>
      <c r="I370" s="141" t="s">
        <v>382</v>
      </c>
      <c r="J370" s="141" t="s">
        <v>988</v>
      </c>
      <c r="K370" s="141" t="s">
        <v>388</v>
      </c>
      <c r="L370" s="141" t="s">
        <v>386</v>
      </c>
      <c r="M370" s="141" t="s">
        <v>973</v>
      </c>
      <c r="N370" s="141" t="s">
        <v>1310</v>
      </c>
      <c r="O370" s="141" t="s">
        <v>121</v>
      </c>
      <c r="P370" s="141" t="s">
        <v>44</v>
      </c>
    </row>
    <row r="371" spans="1:16">
      <c r="A371" s="141" t="s">
        <v>1702</v>
      </c>
      <c r="B371" s="141" t="s">
        <v>1703</v>
      </c>
      <c r="C371" s="141" t="s">
        <v>1032</v>
      </c>
      <c r="D371" s="172">
        <v>55</v>
      </c>
      <c r="E371" s="141" t="s">
        <v>1699</v>
      </c>
      <c r="F371" s="141" t="s">
        <v>205</v>
      </c>
      <c r="G371" s="141" t="s">
        <v>1105</v>
      </c>
      <c r="H371" s="141" t="s">
        <v>334</v>
      </c>
      <c r="I371" s="141" t="s">
        <v>382</v>
      </c>
      <c r="J371" s="141" t="s">
        <v>988</v>
      </c>
      <c r="K371" s="141" t="s">
        <v>388</v>
      </c>
      <c r="L371" s="141" t="s">
        <v>386</v>
      </c>
      <c r="M371" s="141" t="s">
        <v>973</v>
      </c>
      <c r="N371" s="141" t="s">
        <v>1704</v>
      </c>
      <c r="O371" s="141" t="s">
        <v>63</v>
      </c>
      <c r="P371" s="141" t="s">
        <v>44</v>
      </c>
    </row>
    <row r="372" spans="1:16">
      <c r="A372" s="141" t="s">
        <v>1705</v>
      </c>
      <c r="B372" s="141" t="s">
        <v>1703</v>
      </c>
      <c r="C372" s="141" t="s">
        <v>1030</v>
      </c>
      <c r="D372" s="172">
        <v>61</v>
      </c>
      <c r="E372" s="141" t="s">
        <v>1699</v>
      </c>
      <c r="F372" s="141" t="s">
        <v>205</v>
      </c>
      <c r="G372" s="141" t="s">
        <v>1105</v>
      </c>
      <c r="H372" s="141" t="s">
        <v>334</v>
      </c>
      <c r="I372" s="141" t="s">
        <v>382</v>
      </c>
      <c r="J372" s="141" t="s">
        <v>988</v>
      </c>
      <c r="K372" s="141" t="s">
        <v>388</v>
      </c>
      <c r="L372" s="141" t="s">
        <v>386</v>
      </c>
      <c r="M372" s="141" t="s">
        <v>973</v>
      </c>
      <c r="N372" s="141" t="s">
        <v>1704</v>
      </c>
      <c r="O372" s="141" t="s">
        <v>63</v>
      </c>
      <c r="P372" s="141" t="s">
        <v>44</v>
      </c>
    </row>
    <row r="373" spans="1:16">
      <c r="A373" s="141" t="s">
        <v>1706</v>
      </c>
      <c r="B373" s="141" t="s">
        <v>1703</v>
      </c>
      <c r="C373" s="141" t="s">
        <v>976</v>
      </c>
      <c r="D373" s="172">
        <v>59</v>
      </c>
      <c r="E373" s="141" t="s">
        <v>1699</v>
      </c>
      <c r="F373" s="141" t="s">
        <v>205</v>
      </c>
      <c r="G373" s="141" t="s">
        <v>1105</v>
      </c>
      <c r="H373" s="141" t="s">
        <v>334</v>
      </c>
      <c r="I373" s="141" t="s">
        <v>382</v>
      </c>
      <c r="J373" s="141" t="s">
        <v>988</v>
      </c>
      <c r="K373" s="141" t="s">
        <v>388</v>
      </c>
      <c r="L373" s="141" t="s">
        <v>386</v>
      </c>
      <c r="M373" s="141" t="s">
        <v>973</v>
      </c>
      <c r="N373" s="141" t="s">
        <v>1704</v>
      </c>
      <c r="O373" s="141" t="s">
        <v>63</v>
      </c>
      <c r="P373" s="141" t="s">
        <v>44</v>
      </c>
    </row>
    <row r="374" spans="1:16">
      <c r="A374" s="141" t="s">
        <v>1707</v>
      </c>
      <c r="B374" s="141" t="s">
        <v>1703</v>
      </c>
      <c r="C374" s="141" t="s">
        <v>969</v>
      </c>
      <c r="D374" s="172">
        <v>57</v>
      </c>
      <c r="E374" s="141" t="s">
        <v>1699</v>
      </c>
      <c r="F374" s="141" t="s">
        <v>205</v>
      </c>
      <c r="G374" s="141" t="s">
        <v>1105</v>
      </c>
      <c r="H374" s="141" t="s">
        <v>334</v>
      </c>
      <c r="I374" s="141" t="s">
        <v>382</v>
      </c>
      <c r="J374" s="141" t="s">
        <v>988</v>
      </c>
      <c r="K374" s="141" t="s">
        <v>388</v>
      </c>
      <c r="L374" s="141" t="s">
        <v>386</v>
      </c>
      <c r="M374" s="141" t="s">
        <v>973</v>
      </c>
      <c r="N374" s="141" t="s">
        <v>1704</v>
      </c>
      <c r="O374" s="141" t="s">
        <v>63</v>
      </c>
      <c r="P374" s="141" t="s">
        <v>44</v>
      </c>
    </row>
    <row r="375" spans="1:16">
      <c r="A375" s="141" t="s">
        <v>1708</v>
      </c>
      <c r="B375" s="141" t="s">
        <v>1709</v>
      </c>
      <c r="C375" s="141" t="s">
        <v>1032</v>
      </c>
      <c r="D375" s="172">
        <v>55</v>
      </c>
      <c r="E375" s="141" t="s">
        <v>1699</v>
      </c>
      <c r="F375" s="141" t="s">
        <v>55</v>
      </c>
      <c r="G375" s="141" t="s">
        <v>1105</v>
      </c>
      <c r="H375" s="141" t="s">
        <v>334</v>
      </c>
      <c r="I375" s="141" t="s">
        <v>382</v>
      </c>
      <c r="J375" s="141" t="s">
        <v>988</v>
      </c>
      <c r="K375" s="141" t="s">
        <v>388</v>
      </c>
      <c r="L375" s="141" t="s">
        <v>386</v>
      </c>
      <c r="M375" s="141" t="s">
        <v>973</v>
      </c>
      <c r="N375" s="141" t="s">
        <v>1106</v>
      </c>
      <c r="O375" s="141" t="s">
        <v>71</v>
      </c>
      <c r="P375" s="141" t="s">
        <v>44</v>
      </c>
    </row>
    <row r="376" spans="1:16">
      <c r="A376" s="141" t="s">
        <v>1710</v>
      </c>
      <c r="B376" s="141" t="s">
        <v>1709</v>
      </c>
      <c r="C376" s="141" t="s">
        <v>1030</v>
      </c>
      <c r="D376" s="172">
        <v>61</v>
      </c>
      <c r="E376" s="141" t="s">
        <v>1699</v>
      </c>
      <c r="F376" s="141" t="s">
        <v>55</v>
      </c>
      <c r="G376" s="141" t="s">
        <v>1105</v>
      </c>
      <c r="H376" s="141" t="s">
        <v>334</v>
      </c>
      <c r="I376" s="141" t="s">
        <v>382</v>
      </c>
      <c r="J376" s="141" t="s">
        <v>988</v>
      </c>
      <c r="K376" s="141" t="s">
        <v>388</v>
      </c>
      <c r="L376" s="141" t="s">
        <v>386</v>
      </c>
      <c r="M376" s="141" t="s">
        <v>973</v>
      </c>
      <c r="N376" s="141" t="s">
        <v>1106</v>
      </c>
      <c r="O376" s="141" t="s">
        <v>71</v>
      </c>
      <c r="P376" s="141" t="s">
        <v>44</v>
      </c>
    </row>
    <row r="377" spans="1:16">
      <c r="A377" s="141" t="s">
        <v>1711</v>
      </c>
      <c r="B377" s="141" t="s">
        <v>1709</v>
      </c>
      <c r="C377" s="141" t="s">
        <v>976</v>
      </c>
      <c r="D377" s="172">
        <v>59</v>
      </c>
      <c r="E377" s="141" t="s">
        <v>1699</v>
      </c>
      <c r="F377" s="141" t="s">
        <v>55</v>
      </c>
      <c r="G377" s="141" t="s">
        <v>1105</v>
      </c>
      <c r="H377" s="141" t="s">
        <v>334</v>
      </c>
      <c r="I377" s="141" t="s">
        <v>382</v>
      </c>
      <c r="J377" s="141" t="s">
        <v>988</v>
      </c>
      <c r="K377" s="141" t="s">
        <v>388</v>
      </c>
      <c r="L377" s="141" t="s">
        <v>386</v>
      </c>
      <c r="M377" s="141" t="s">
        <v>973</v>
      </c>
      <c r="N377" s="141" t="s">
        <v>1106</v>
      </c>
      <c r="O377" s="141" t="s">
        <v>71</v>
      </c>
      <c r="P377" s="141" t="s">
        <v>44</v>
      </c>
    </row>
    <row r="378" spans="1:16">
      <c r="A378" s="141" t="s">
        <v>1712</v>
      </c>
      <c r="B378" s="141" t="s">
        <v>1709</v>
      </c>
      <c r="C378" s="141" t="s">
        <v>969</v>
      </c>
      <c r="D378" s="172">
        <v>57</v>
      </c>
      <c r="E378" s="141" t="s">
        <v>1699</v>
      </c>
      <c r="F378" s="141" t="s">
        <v>55</v>
      </c>
      <c r="G378" s="141" t="s">
        <v>1105</v>
      </c>
      <c r="H378" s="141" t="s">
        <v>334</v>
      </c>
      <c r="I378" s="141" t="s">
        <v>382</v>
      </c>
      <c r="J378" s="141" t="s">
        <v>988</v>
      </c>
      <c r="K378" s="141" t="s">
        <v>388</v>
      </c>
      <c r="L378" s="141" t="s">
        <v>386</v>
      </c>
      <c r="M378" s="141" t="s">
        <v>973</v>
      </c>
      <c r="N378" s="141" t="s">
        <v>1106</v>
      </c>
      <c r="O378" s="141" t="s">
        <v>71</v>
      </c>
      <c r="P378" s="141" t="s">
        <v>44</v>
      </c>
    </row>
    <row r="379" spans="1:16">
      <c r="A379" s="141" t="s">
        <v>1713</v>
      </c>
      <c r="B379" s="141" t="s">
        <v>1714</v>
      </c>
      <c r="C379" s="141" t="s">
        <v>1032</v>
      </c>
      <c r="D379" s="172">
        <v>55</v>
      </c>
      <c r="E379" s="141" t="s">
        <v>1118</v>
      </c>
      <c r="F379" s="141" t="s">
        <v>271</v>
      </c>
      <c r="G379" s="141" t="s">
        <v>1105</v>
      </c>
      <c r="H379" s="141" t="s">
        <v>320</v>
      </c>
      <c r="I379" s="141" t="s">
        <v>382</v>
      </c>
      <c r="J379" s="141" t="s">
        <v>988</v>
      </c>
      <c r="K379" s="141" t="s">
        <v>388</v>
      </c>
      <c r="L379" s="141" t="s">
        <v>539</v>
      </c>
      <c r="M379" s="141" t="s">
        <v>973</v>
      </c>
      <c r="N379" s="141" t="s">
        <v>1682</v>
      </c>
      <c r="O379" s="141" t="s">
        <v>86</v>
      </c>
      <c r="P379" s="141" t="s">
        <v>44</v>
      </c>
    </row>
    <row r="380" spans="1:16">
      <c r="A380" s="141" t="s">
        <v>1715</v>
      </c>
      <c r="B380" s="141" t="s">
        <v>1714</v>
      </c>
      <c r="C380" s="141" t="s">
        <v>969</v>
      </c>
      <c r="D380" s="172">
        <v>57</v>
      </c>
      <c r="E380" s="141" t="s">
        <v>1118</v>
      </c>
      <c r="F380" s="141" t="s">
        <v>271</v>
      </c>
      <c r="G380" s="141" t="s">
        <v>1105</v>
      </c>
      <c r="H380" s="141" t="s">
        <v>320</v>
      </c>
      <c r="I380" s="141" t="s">
        <v>382</v>
      </c>
      <c r="J380" s="141" t="s">
        <v>988</v>
      </c>
      <c r="K380" s="141" t="s">
        <v>388</v>
      </c>
      <c r="L380" s="141" t="s">
        <v>539</v>
      </c>
      <c r="M380" s="141" t="s">
        <v>973</v>
      </c>
      <c r="N380" s="141" t="s">
        <v>1682</v>
      </c>
      <c r="O380" s="141" t="s">
        <v>86</v>
      </c>
      <c r="P380" s="141" t="s">
        <v>44</v>
      </c>
    </row>
    <row r="381" spans="1:16">
      <c r="A381" s="141" t="s">
        <v>1716</v>
      </c>
      <c r="B381" s="141" t="s">
        <v>1714</v>
      </c>
      <c r="C381" s="141" t="s">
        <v>976</v>
      </c>
      <c r="D381" s="172">
        <v>59</v>
      </c>
      <c r="E381" s="141" t="s">
        <v>1118</v>
      </c>
      <c r="F381" s="141" t="s">
        <v>271</v>
      </c>
      <c r="G381" s="141" t="s">
        <v>1105</v>
      </c>
      <c r="H381" s="141" t="s">
        <v>320</v>
      </c>
      <c r="I381" s="141" t="s">
        <v>382</v>
      </c>
      <c r="J381" s="141" t="s">
        <v>988</v>
      </c>
      <c r="K381" s="141" t="s">
        <v>388</v>
      </c>
      <c r="L381" s="141" t="s">
        <v>539</v>
      </c>
      <c r="M381" s="141" t="s">
        <v>973</v>
      </c>
      <c r="N381" s="141" t="s">
        <v>1682</v>
      </c>
      <c r="O381" s="141" t="s">
        <v>86</v>
      </c>
      <c r="P381" s="141" t="s">
        <v>44</v>
      </c>
    </row>
    <row r="382" spans="1:16">
      <c r="A382" s="141" t="s">
        <v>1717</v>
      </c>
      <c r="B382" s="141" t="s">
        <v>1714</v>
      </c>
      <c r="C382" s="141" t="s">
        <v>1030</v>
      </c>
      <c r="D382" s="172">
        <v>61</v>
      </c>
      <c r="E382" s="141" t="s">
        <v>1118</v>
      </c>
      <c r="F382" s="141" t="s">
        <v>271</v>
      </c>
      <c r="G382" s="141" t="s">
        <v>1105</v>
      </c>
      <c r="H382" s="141" t="s">
        <v>320</v>
      </c>
      <c r="I382" s="141" t="s">
        <v>382</v>
      </c>
      <c r="J382" s="141" t="s">
        <v>988</v>
      </c>
      <c r="K382" s="141" t="s">
        <v>388</v>
      </c>
      <c r="L382" s="141" t="s">
        <v>539</v>
      </c>
      <c r="M382" s="141" t="s">
        <v>973</v>
      </c>
      <c r="N382" s="141" t="s">
        <v>1682</v>
      </c>
      <c r="O382" s="141" t="s">
        <v>86</v>
      </c>
      <c r="P382" s="141" t="s">
        <v>44</v>
      </c>
    </row>
    <row r="383" spans="1:16">
      <c r="A383" s="141" t="s">
        <v>1718</v>
      </c>
      <c r="B383" s="141" t="s">
        <v>1719</v>
      </c>
      <c r="C383" s="141" t="s">
        <v>1032</v>
      </c>
      <c r="D383" s="172">
        <v>55</v>
      </c>
      <c r="E383" s="141" t="s">
        <v>1193</v>
      </c>
      <c r="F383" s="141" t="s">
        <v>277</v>
      </c>
      <c r="G383" s="141" t="s">
        <v>1132</v>
      </c>
      <c r="H383" s="141" t="s">
        <v>348</v>
      </c>
      <c r="I383" s="141" t="s">
        <v>382</v>
      </c>
      <c r="J383" s="141" t="s">
        <v>988</v>
      </c>
      <c r="K383" s="141" t="s">
        <v>388</v>
      </c>
      <c r="L383" s="141" t="s">
        <v>539</v>
      </c>
      <c r="M383" s="141" t="s">
        <v>973</v>
      </c>
      <c r="N383" s="141" t="s">
        <v>1148</v>
      </c>
      <c r="O383" s="141" t="s">
        <v>83</v>
      </c>
      <c r="P383" s="141" t="s">
        <v>44</v>
      </c>
    </row>
    <row r="384" spans="1:16">
      <c r="A384" s="141" t="s">
        <v>1720</v>
      </c>
      <c r="B384" s="141" t="s">
        <v>1719</v>
      </c>
      <c r="C384" s="141" t="s">
        <v>976</v>
      </c>
      <c r="D384" s="172">
        <v>59</v>
      </c>
      <c r="E384" s="141" t="s">
        <v>1193</v>
      </c>
      <c r="F384" s="141" t="s">
        <v>277</v>
      </c>
      <c r="G384" s="141" t="s">
        <v>1132</v>
      </c>
      <c r="H384" s="141" t="s">
        <v>348</v>
      </c>
      <c r="I384" s="141" t="s">
        <v>382</v>
      </c>
      <c r="J384" s="141" t="s">
        <v>988</v>
      </c>
      <c r="K384" s="141" t="s">
        <v>388</v>
      </c>
      <c r="L384" s="141" t="s">
        <v>539</v>
      </c>
      <c r="M384" s="141" t="s">
        <v>973</v>
      </c>
      <c r="N384" s="141" t="s">
        <v>1148</v>
      </c>
      <c r="O384" s="141" t="s">
        <v>83</v>
      </c>
      <c r="P384" s="141" t="s">
        <v>44</v>
      </c>
    </row>
    <row r="385" spans="1:16">
      <c r="A385" s="141" t="s">
        <v>1721</v>
      </c>
      <c r="B385" s="141" t="s">
        <v>1719</v>
      </c>
      <c r="C385" s="141" t="s">
        <v>969</v>
      </c>
      <c r="D385" s="172">
        <v>57</v>
      </c>
      <c r="E385" s="141" t="s">
        <v>1193</v>
      </c>
      <c r="F385" s="141" t="s">
        <v>277</v>
      </c>
      <c r="G385" s="141" t="s">
        <v>1132</v>
      </c>
      <c r="H385" s="141" t="s">
        <v>348</v>
      </c>
      <c r="I385" s="141" t="s">
        <v>382</v>
      </c>
      <c r="J385" s="141" t="s">
        <v>988</v>
      </c>
      <c r="K385" s="141" t="s">
        <v>388</v>
      </c>
      <c r="L385" s="141" t="s">
        <v>539</v>
      </c>
      <c r="M385" s="141" t="s">
        <v>973</v>
      </c>
      <c r="N385" s="141" t="s">
        <v>1148</v>
      </c>
      <c r="O385" s="141" t="s">
        <v>83</v>
      </c>
      <c r="P385" s="141" t="s">
        <v>44</v>
      </c>
    </row>
    <row r="386" spans="1:16">
      <c r="A386" s="141" t="s">
        <v>1722</v>
      </c>
      <c r="B386" s="141" t="s">
        <v>1719</v>
      </c>
      <c r="C386" s="141" t="s">
        <v>1030</v>
      </c>
      <c r="D386" s="172">
        <v>61</v>
      </c>
      <c r="E386" s="141" t="s">
        <v>1193</v>
      </c>
      <c r="F386" s="141" t="s">
        <v>277</v>
      </c>
      <c r="G386" s="141" t="s">
        <v>1132</v>
      </c>
      <c r="H386" s="141" t="s">
        <v>348</v>
      </c>
      <c r="I386" s="141" t="s">
        <v>382</v>
      </c>
      <c r="J386" s="141" t="s">
        <v>988</v>
      </c>
      <c r="K386" s="141" t="s">
        <v>388</v>
      </c>
      <c r="L386" s="141" t="s">
        <v>539</v>
      </c>
      <c r="M386" s="141" t="s">
        <v>973</v>
      </c>
      <c r="N386" s="141" t="s">
        <v>1148</v>
      </c>
      <c r="O386" s="141" t="s">
        <v>83</v>
      </c>
      <c r="P386" s="141" t="s">
        <v>44</v>
      </c>
    </row>
    <row r="387" spans="1:16">
      <c r="A387" s="141" t="s">
        <v>1723</v>
      </c>
      <c r="B387" s="141" t="s">
        <v>1724</v>
      </c>
      <c r="C387" s="141" t="s">
        <v>909</v>
      </c>
      <c r="D387" s="142">
        <v>0</v>
      </c>
      <c r="E387" s="141" t="s">
        <v>1317</v>
      </c>
      <c r="F387" s="141" t="s">
        <v>308</v>
      </c>
      <c r="G387" s="141" t="s">
        <v>1221</v>
      </c>
      <c r="H387" s="141" t="s">
        <v>340</v>
      </c>
      <c r="I387" s="141" t="s">
        <v>382</v>
      </c>
      <c r="J387" s="141" t="s">
        <v>988</v>
      </c>
      <c r="K387" s="141" t="s">
        <v>389</v>
      </c>
      <c r="L387" s="141" t="s">
        <v>386</v>
      </c>
      <c r="M387" s="141" t="s">
        <v>973</v>
      </c>
      <c r="N387" s="141" t="s">
        <v>1725</v>
      </c>
      <c r="O387" s="141" t="s">
        <v>53</v>
      </c>
      <c r="P387" s="141"/>
    </row>
    <row r="388" spans="1:16">
      <c r="A388" s="141" t="s">
        <v>1726</v>
      </c>
      <c r="B388" s="141" t="s">
        <v>1727</v>
      </c>
      <c r="C388" s="141" t="s">
        <v>909</v>
      </c>
      <c r="D388" s="142">
        <v>0</v>
      </c>
      <c r="E388" s="141" t="s">
        <v>1317</v>
      </c>
      <c r="F388" s="141" t="s">
        <v>91</v>
      </c>
      <c r="G388" s="141" t="s">
        <v>1221</v>
      </c>
      <c r="H388" s="141" t="s">
        <v>340</v>
      </c>
      <c r="I388" s="141" t="s">
        <v>382</v>
      </c>
      <c r="J388" s="141" t="s">
        <v>988</v>
      </c>
      <c r="K388" s="141" t="s">
        <v>389</v>
      </c>
      <c r="L388" s="141" t="s">
        <v>539</v>
      </c>
      <c r="M388" s="141" t="s">
        <v>973</v>
      </c>
      <c r="N388" s="141" t="s">
        <v>1728</v>
      </c>
      <c r="O388" s="141" t="s">
        <v>91</v>
      </c>
      <c r="P388" s="141"/>
    </row>
    <row r="389" spans="1:16">
      <c r="A389" s="141" t="s">
        <v>1729</v>
      </c>
      <c r="B389" s="141" t="s">
        <v>1730</v>
      </c>
      <c r="C389" s="141" t="s">
        <v>909</v>
      </c>
      <c r="D389" s="142">
        <v>0</v>
      </c>
      <c r="E389" s="141" t="s">
        <v>1731</v>
      </c>
      <c r="F389" s="141" t="s">
        <v>53</v>
      </c>
      <c r="G389" s="141" t="s">
        <v>1105</v>
      </c>
      <c r="H389" s="141" t="s">
        <v>334</v>
      </c>
      <c r="I389" s="141" t="s">
        <v>382</v>
      </c>
      <c r="J389" s="141" t="s">
        <v>988</v>
      </c>
      <c r="K389" s="141" t="s">
        <v>388</v>
      </c>
      <c r="L389" s="141" t="s">
        <v>386</v>
      </c>
      <c r="M389" s="141" t="s">
        <v>808</v>
      </c>
      <c r="N389" s="141" t="s">
        <v>1005</v>
      </c>
      <c r="O389" s="141" t="s">
        <v>53</v>
      </c>
      <c r="P389" s="141" t="s">
        <v>44</v>
      </c>
    </row>
    <row r="390" spans="1:16">
      <c r="A390" s="141" t="s">
        <v>1732</v>
      </c>
      <c r="B390" s="141" t="s">
        <v>1733</v>
      </c>
      <c r="C390" s="141" t="s">
        <v>909</v>
      </c>
      <c r="D390" s="142">
        <v>0</v>
      </c>
      <c r="E390" s="141" t="s">
        <v>1734</v>
      </c>
      <c r="F390" s="141" t="s">
        <v>65</v>
      </c>
      <c r="G390" s="141" t="s">
        <v>1221</v>
      </c>
      <c r="H390" s="141" t="s">
        <v>340</v>
      </c>
      <c r="I390" s="141" t="s">
        <v>382</v>
      </c>
      <c r="J390" s="141" t="s">
        <v>972</v>
      </c>
      <c r="K390" s="141" t="s">
        <v>389</v>
      </c>
      <c r="L390" s="141" t="s">
        <v>539</v>
      </c>
      <c r="M390" s="141" t="s">
        <v>973</v>
      </c>
      <c r="N390" s="141" t="s">
        <v>1735</v>
      </c>
      <c r="O390" s="141" t="s">
        <v>65</v>
      </c>
      <c r="P390" s="141"/>
    </row>
    <row r="391" spans="1:16">
      <c r="A391" s="141" t="s">
        <v>1736</v>
      </c>
      <c r="B391" s="141" t="s">
        <v>1737</v>
      </c>
      <c r="C391" s="141" t="s">
        <v>909</v>
      </c>
      <c r="D391" s="142">
        <v>0</v>
      </c>
      <c r="E391" s="141" t="s">
        <v>1734</v>
      </c>
      <c r="F391" s="141" t="s">
        <v>60</v>
      </c>
      <c r="G391" s="141" t="s">
        <v>1221</v>
      </c>
      <c r="H391" s="141" t="s">
        <v>340</v>
      </c>
      <c r="I391" s="141" t="s">
        <v>382</v>
      </c>
      <c r="J391" s="141" t="s">
        <v>972</v>
      </c>
      <c r="K391" s="141" t="s">
        <v>389</v>
      </c>
      <c r="L391" s="141" t="s">
        <v>539</v>
      </c>
      <c r="M391" s="141" t="s">
        <v>973</v>
      </c>
      <c r="N391" s="141" t="s">
        <v>1738</v>
      </c>
      <c r="O391" s="141" t="s">
        <v>60</v>
      </c>
      <c r="P391" s="141"/>
    </row>
    <row r="392" spans="1:16">
      <c r="A392" s="141" t="s">
        <v>1739</v>
      </c>
      <c r="B392" s="141" t="s">
        <v>1740</v>
      </c>
      <c r="C392" s="141" t="s">
        <v>909</v>
      </c>
      <c r="D392" s="142">
        <v>0</v>
      </c>
      <c r="E392" s="141" t="s">
        <v>1741</v>
      </c>
      <c r="F392" s="141" t="s">
        <v>308</v>
      </c>
      <c r="G392" s="141" t="s">
        <v>1221</v>
      </c>
      <c r="H392" s="141" t="s">
        <v>340</v>
      </c>
      <c r="I392" s="141" t="s">
        <v>382</v>
      </c>
      <c r="J392" s="141" t="s">
        <v>972</v>
      </c>
      <c r="K392" s="141" t="s">
        <v>389</v>
      </c>
      <c r="L392" s="141" t="s">
        <v>539</v>
      </c>
      <c r="M392" s="141" t="s">
        <v>973</v>
      </c>
      <c r="N392" s="141" t="s">
        <v>1005</v>
      </c>
      <c r="O392" s="141" t="s">
        <v>53</v>
      </c>
      <c r="P392" s="141"/>
    </row>
    <row r="393" spans="1:16">
      <c r="A393" s="141" t="s">
        <v>1742</v>
      </c>
      <c r="B393" s="141" t="s">
        <v>1743</v>
      </c>
      <c r="C393" s="141" t="s">
        <v>909</v>
      </c>
      <c r="D393" s="142">
        <v>0</v>
      </c>
      <c r="E393" s="141" t="s">
        <v>1741</v>
      </c>
      <c r="F393" s="141" t="s">
        <v>283</v>
      </c>
      <c r="G393" s="141" t="s">
        <v>1221</v>
      </c>
      <c r="H393" s="141" t="s">
        <v>340</v>
      </c>
      <c r="I393" s="141" t="s">
        <v>382</v>
      </c>
      <c r="J393" s="141" t="s">
        <v>972</v>
      </c>
      <c r="K393" s="141" t="s">
        <v>389</v>
      </c>
      <c r="L393" s="141" t="s">
        <v>539</v>
      </c>
      <c r="M393" s="141" t="s">
        <v>973</v>
      </c>
      <c r="N393" s="141" t="s">
        <v>1017</v>
      </c>
      <c r="O393" s="141" t="s">
        <v>71</v>
      </c>
      <c r="P393" s="141"/>
    </row>
    <row r="394" spans="1:16">
      <c r="A394" s="141" t="s">
        <v>1744</v>
      </c>
      <c r="B394" s="141" t="s">
        <v>1745</v>
      </c>
      <c r="C394" s="141" t="s">
        <v>909</v>
      </c>
      <c r="D394" s="142">
        <v>0</v>
      </c>
      <c r="E394" s="141" t="s">
        <v>1741</v>
      </c>
      <c r="F394" s="141" t="s">
        <v>151</v>
      </c>
      <c r="G394" s="141" t="s">
        <v>1221</v>
      </c>
      <c r="H394" s="141" t="s">
        <v>340</v>
      </c>
      <c r="I394" s="141" t="s">
        <v>382</v>
      </c>
      <c r="J394" s="141" t="s">
        <v>972</v>
      </c>
      <c r="K394" s="141" t="s">
        <v>389</v>
      </c>
      <c r="L394" s="141" t="s">
        <v>539</v>
      </c>
      <c r="M394" s="141" t="s">
        <v>973</v>
      </c>
      <c r="N394" s="141" t="s">
        <v>1746</v>
      </c>
      <c r="O394" s="141" t="s">
        <v>60</v>
      </c>
      <c r="P394" s="141"/>
    </row>
    <row r="395" spans="1:16">
      <c r="A395" s="141" t="s">
        <v>1747</v>
      </c>
      <c r="B395" s="141" t="s">
        <v>1748</v>
      </c>
      <c r="C395" s="141" t="s">
        <v>976</v>
      </c>
      <c r="D395" s="172">
        <v>59</v>
      </c>
      <c r="E395" s="141" t="s">
        <v>1749</v>
      </c>
      <c r="F395" s="141" t="s">
        <v>53</v>
      </c>
      <c r="G395" s="141" t="s">
        <v>1750</v>
      </c>
      <c r="H395" s="141" t="s">
        <v>318</v>
      </c>
      <c r="I395" s="141" t="s">
        <v>382</v>
      </c>
      <c r="J395" s="141" t="s">
        <v>988</v>
      </c>
      <c r="K395" s="141" t="s">
        <v>388</v>
      </c>
      <c r="L395" s="141" t="s">
        <v>386</v>
      </c>
      <c r="M395" s="141" t="s">
        <v>973</v>
      </c>
      <c r="N395" s="141" t="s">
        <v>1005</v>
      </c>
      <c r="O395" s="141" t="s">
        <v>53</v>
      </c>
      <c r="P395" s="141"/>
    </row>
    <row r="396" spans="1:16">
      <c r="A396" s="141" t="s">
        <v>1751</v>
      </c>
      <c r="B396" s="141" t="s">
        <v>1748</v>
      </c>
      <c r="C396" s="141" t="s">
        <v>969</v>
      </c>
      <c r="D396" s="172">
        <v>57</v>
      </c>
      <c r="E396" s="141" t="s">
        <v>1749</v>
      </c>
      <c r="F396" s="141" t="s">
        <v>53</v>
      </c>
      <c r="G396" s="141" t="s">
        <v>1750</v>
      </c>
      <c r="H396" s="141" t="s">
        <v>318</v>
      </c>
      <c r="I396" s="141" t="s">
        <v>382</v>
      </c>
      <c r="J396" s="141" t="s">
        <v>988</v>
      </c>
      <c r="K396" s="141" t="s">
        <v>388</v>
      </c>
      <c r="L396" s="141" t="s">
        <v>386</v>
      </c>
      <c r="M396" s="141" t="s">
        <v>973</v>
      </c>
      <c r="N396" s="141" t="s">
        <v>1005</v>
      </c>
      <c r="O396" s="141" t="s">
        <v>53</v>
      </c>
      <c r="P396" s="141"/>
    </row>
    <row r="397" spans="1:16">
      <c r="A397" s="141" t="s">
        <v>1752</v>
      </c>
      <c r="B397" s="141" t="s">
        <v>1748</v>
      </c>
      <c r="C397" s="141" t="s">
        <v>1030</v>
      </c>
      <c r="D397" s="172">
        <v>61</v>
      </c>
      <c r="E397" s="141" t="s">
        <v>1749</v>
      </c>
      <c r="F397" s="141" t="s">
        <v>53</v>
      </c>
      <c r="G397" s="141" t="s">
        <v>1750</v>
      </c>
      <c r="H397" s="141" t="s">
        <v>318</v>
      </c>
      <c r="I397" s="141" t="s">
        <v>382</v>
      </c>
      <c r="J397" s="141" t="s">
        <v>988</v>
      </c>
      <c r="K397" s="141" t="s">
        <v>388</v>
      </c>
      <c r="L397" s="141" t="s">
        <v>386</v>
      </c>
      <c r="M397" s="141" t="s">
        <v>973</v>
      </c>
      <c r="N397" s="141" t="s">
        <v>1005</v>
      </c>
      <c r="O397" s="141" t="s">
        <v>53</v>
      </c>
      <c r="P397" s="141"/>
    </row>
    <row r="398" spans="1:16">
      <c r="A398" s="141" t="s">
        <v>1753</v>
      </c>
      <c r="B398" s="141" t="s">
        <v>1748</v>
      </c>
      <c r="C398" s="141" t="s">
        <v>1058</v>
      </c>
      <c r="D398" s="172">
        <v>60</v>
      </c>
      <c r="E398" s="141" t="s">
        <v>1749</v>
      </c>
      <c r="F398" s="141" t="s">
        <v>53</v>
      </c>
      <c r="G398" s="141" t="s">
        <v>1750</v>
      </c>
      <c r="H398" s="141" t="s">
        <v>318</v>
      </c>
      <c r="I398" s="141" t="s">
        <v>382</v>
      </c>
      <c r="J398" s="141" t="s">
        <v>988</v>
      </c>
      <c r="K398" s="141" t="s">
        <v>388</v>
      </c>
      <c r="L398" s="141" t="s">
        <v>386</v>
      </c>
      <c r="M398" s="141" t="s">
        <v>973</v>
      </c>
      <c r="N398" s="141" t="s">
        <v>1005</v>
      </c>
      <c r="O398" s="141" t="s">
        <v>53</v>
      </c>
      <c r="P398" s="141"/>
    </row>
    <row r="399" spans="1:16">
      <c r="A399" s="141" t="s">
        <v>1754</v>
      </c>
      <c r="B399" s="141" t="s">
        <v>1748</v>
      </c>
      <c r="C399" s="141" t="s">
        <v>1053</v>
      </c>
      <c r="D399" s="172">
        <v>56</v>
      </c>
      <c r="E399" s="141" t="s">
        <v>1749</v>
      </c>
      <c r="F399" s="141" t="s">
        <v>53</v>
      </c>
      <c r="G399" s="141" t="s">
        <v>1750</v>
      </c>
      <c r="H399" s="141" t="s">
        <v>318</v>
      </c>
      <c r="I399" s="141" t="s">
        <v>382</v>
      </c>
      <c r="J399" s="141" t="s">
        <v>988</v>
      </c>
      <c r="K399" s="141" t="s">
        <v>388</v>
      </c>
      <c r="L399" s="141" t="s">
        <v>386</v>
      </c>
      <c r="M399" s="141" t="s">
        <v>973</v>
      </c>
      <c r="N399" s="141" t="s">
        <v>1005</v>
      </c>
      <c r="O399" s="141" t="s">
        <v>53</v>
      </c>
      <c r="P399" s="141"/>
    </row>
    <row r="400" spans="1:16">
      <c r="A400" s="141" t="s">
        <v>1755</v>
      </c>
      <c r="B400" s="141" t="s">
        <v>1756</v>
      </c>
      <c r="C400" s="141" t="s">
        <v>976</v>
      </c>
      <c r="D400" s="172">
        <v>59</v>
      </c>
      <c r="E400" s="141" t="s">
        <v>1749</v>
      </c>
      <c r="F400" s="141" t="s">
        <v>83</v>
      </c>
      <c r="G400" s="141" t="s">
        <v>1757</v>
      </c>
      <c r="H400" s="141" t="s">
        <v>318</v>
      </c>
      <c r="I400" s="141" t="s">
        <v>382</v>
      </c>
      <c r="J400" s="141" t="s">
        <v>988</v>
      </c>
      <c r="K400" s="141" t="s">
        <v>388</v>
      </c>
      <c r="L400" s="141" t="s">
        <v>386</v>
      </c>
      <c r="M400" s="141" t="s">
        <v>973</v>
      </c>
      <c r="N400" s="141" t="s">
        <v>1481</v>
      </c>
      <c r="O400" s="141" t="s">
        <v>83</v>
      </c>
      <c r="P400" s="141"/>
    </row>
    <row r="401" spans="1:16">
      <c r="A401" s="141" t="s">
        <v>1758</v>
      </c>
      <c r="B401" s="141" t="s">
        <v>1756</v>
      </c>
      <c r="C401" s="141" t="s">
        <v>969</v>
      </c>
      <c r="D401" s="172">
        <v>57</v>
      </c>
      <c r="E401" s="141" t="s">
        <v>1749</v>
      </c>
      <c r="F401" s="141" t="s">
        <v>83</v>
      </c>
      <c r="G401" s="141" t="s">
        <v>1757</v>
      </c>
      <c r="H401" s="141" t="s">
        <v>318</v>
      </c>
      <c r="I401" s="141" t="s">
        <v>382</v>
      </c>
      <c r="J401" s="141" t="s">
        <v>988</v>
      </c>
      <c r="K401" s="141" t="s">
        <v>388</v>
      </c>
      <c r="L401" s="141" t="s">
        <v>386</v>
      </c>
      <c r="M401" s="141" t="s">
        <v>973</v>
      </c>
      <c r="N401" s="141" t="s">
        <v>1481</v>
      </c>
      <c r="O401" s="141" t="s">
        <v>83</v>
      </c>
      <c r="P401" s="141"/>
    </row>
    <row r="402" spans="1:16">
      <c r="A402" s="141" t="s">
        <v>1759</v>
      </c>
      <c r="B402" s="141" t="s">
        <v>1756</v>
      </c>
      <c r="C402" s="141" t="s">
        <v>1030</v>
      </c>
      <c r="D402" s="172">
        <v>61</v>
      </c>
      <c r="E402" s="141" t="s">
        <v>1749</v>
      </c>
      <c r="F402" s="141" t="s">
        <v>83</v>
      </c>
      <c r="G402" s="141" t="s">
        <v>1757</v>
      </c>
      <c r="H402" s="141" t="s">
        <v>318</v>
      </c>
      <c r="I402" s="141" t="s">
        <v>382</v>
      </c>
      <c r="J402" s="141" t="s">
        <v>988</v>
      </c>
      <c r="K402" s="141" t="s">
        <v>388</v>
      </c>
      <c r="L402" s="141" t="s">
        <v>386</v>
      </c>
      <c r="M402" s="141" t="s">
        <v>973</v>
      </c>
      <c r="N402" s="141" t="s">
        <v>1481</v>
      </c>
      <c r="O402" s="141" t="s">
        <v>83</v>
      </c>
      <c r="P402" s="141"/>
    </row>
    <row r="403" spans="1:16">
      <c r="A403" s="141" t="s">
        <v>1760</v>
      </c>
      <c r="B403" s="141" t="s">
        <v>1756</v>
      </c>
      <c r="C403" s="141" t="s">
        <v>1058</v>
      </c>
      <c r="D403" s="172">
        <v>60</v>
      </c>
      <c r="E403" s="141" t="s">
        <v>1749</v>
      </c>
      <c r="F403" s="141" t="s">
        <v>83</v>
      </c>
      <c r="G403" s="141" t="s">
        <v>1757</v>
      </c>
      <c r="H403" s="141" t="s">
        <v>318</v>
      </c>
      <c r="I403" s="141" t="s">
        <v>382</v>
      </c>
      <c r="J403" s="141" t="s">
        <v>988</v>
      </c>
      <c r="K403" s="141" t="s">
        <v>388</v>
      </c>
      <c r="L403" s="141" t="s">
        <v>386</v>
      </c>
      <c r="M403" s="141" t="s">
        <v>973</v>
      </c>
      <c r="N403" s="141" t="s">
        <v>1481</v>
      </c>
      <c r="O403" s="141" t="s">
        <v>83</v>
      </c>
      <c r="P403" s="141"/>
    </row>
    <row r="404" spans="1:16">
      <c r="A404" s="141" t="s">
        <v>1761</v>
      </c>
      <c r="B404" s="141" t="s">
        <v>1756</v>
      </c>
      <c r="C404" s="141" t="s">
        <v>1053</v>
      </c>
      <c r="D404" s="172">
        <v>56</v>
      </c>
      <c r="E404" s="141" t="s">
        <v>1749</v>
      </c>
      <c r="F404" s="141" t="s">
        <v>83</v>
      </c>
      <c r="G404" s="141" t="s">
        <v>1757</v>
      </c>
      <c r="H404" s="141" t="s">
        <v>318</v>
      </c>
      <c r="I404" s="141" t="s">
        <v>382</v>
      </c>
      <c r="J404" s="141" t="s">
        <v>988</v>
      </c>
      <c r="K404" s="141" t="s">
        <v>388</v>
      </c>
      <c r="L404" s="141" t="s">
        <v>386</v>
      </c>
      <c r="M404" s="141" t="s">
        <v>973</v>
      </c>
      <c r="N404" s="141" t="s">
        <v>1481</v>
      </c>
      <c r="O404" s="141" t="s">
        <v>83</v>
      </c>
      <c r="P404" s="141"/>
    </row>
    <row r="405" spans="1:16">
      <c r="A405" s="141" t="s">
        <v>1762</v>
      </c>
      <c r="B405" s="141" t="s">
        <v>1763</v>
      </c>
      <c r="C405" s="141" t="s">
        <v>976</v>
      </c>
      <c r="D405" s="172">
        <v>59</v>
      </c>
      <c r="E405" s="141" t="s">
        <v>1749</v>
      </c>
      <c r="F405" s="141" t="s">
        <v>55</v>
      </c>
      <c r="G405" s="141" t="s">
        <v>1757</v>
      </c>
      <c r="H405" s="141" t="s">
        <v>318</v>
      </c>
      <c r="I405" s="141" t="s">
        <v>382</v>
      </c>
      <c r="J405" s="141" t="s">
        <v>988</v>
      </c>
      <c r="K405" s="141" t="s">
        <v>388</v>
      </c>
      <c r="L405" s="141" t="s">
        <v>386</v>
      </c>
      <c r="M405" s="141" t="s">
        <v>973</v>
      </c>
      <c r="N405" s="141" t="s">
        <v>1017</v>
      </c>
      <c r="O405" s="141" t="s">
        <v>71</v>
      </c>
      <c r="P405" s="141"/>
    </row>
    <row r="406" spans="1:16">
      <c r="A406" s="141" t="s">
        <v>1764</v>
      </c>
      <c r="B406" s="141" t="s">
        <v>1763</v>
      </c>
      <c r="C406" s="141" t="s">
        <v>969</v>
      </c>
      <c r="D406" s="172">
        <v>57</v>
      </c>
      <c r="E406" s="141" t="s">
        <v>1749</v>
      </c>
      <c r="F406" s="141" t="s">
        <v>55</v>
      </c>
      <c r="G406" s="141" t="s">
        <v>1757</v>
      </c>
      <c r="H406" s="141" t="s">
        <v>318</v>
      </c>
      <c r="I406" s="141" t="s">
        <v>382</v>
      </c>
      <c r="J406" s="141" t="s">
        <v>988</v>
      </c>
      <c r="K406" s="141" t="s">
        <v>388</v>
      </c>
      <c r="L406" s="141" t="s">
        <v>386</v>
      </c>
      <c r="M406" s="141" t="s">
        <v>973</v>
      </c>
      <c r="N406" s="141" t="s">
        <v>1017</v>
      </c>
      <c r="O406" s="141" t="s">
        <v>71</v>
      </c>
      <c r="P406" s="141"/>
    </row>
    <row r="407" spans="1:16">
      <c r="A407" s="141" t="s">
        <v>1765</v>
      </c>
      <c r="B407" s="141" t="s">
        <v>1763</v>
      </c>
      <c r="C407" s="141" t="s">
        <v>1030</v>
      </c>
      <c r="D407" s="172">
        <v>61</v>
      </c>
      <c r="E407" s="141" t="s">
        <v>1749</v>
      </c>
      <c r="F407" s="141" t="s">
        <v>55</v>
      </c>
      <c r="G407" s="141" t="s">
        <v>1757</v>
      </c>
      <c r="H407" s="141" t="s">
        <v>318</v>
      </c>
      <c r="I407" s="141" t="s">
        <v>382</v>
      </c>
      <c r="J407" s="141" t="s">
        <v>988</v>
      </c>
      <c r="K407" s="141" t="s">
        <v>388</v>
      </c>
      <c r="L407" s="141" t="s">
        <v>386</v>
      </c>
      <c r="M407" s="141" t="s">
        <v>973</v>
      </c>
      <c r="N407" s="141" t="s">
        <v>1017</v>
      </c>
      <c r="O407" s="141" t="s">
        <v>71</v>
      </c>
      <c r="P407" s="141"/>
    </row>
    <row r="408" spans="1:16">
      <c r="A408" s="141" t="s">
        <v>1766</v>
      </c>
      <c r="B408" s="141" t="s">
        <v>1763</v>
      </c>
      <c r="C408" s="141" t="s">
        <v>1058</v>
      </c>
      <c r="D408" s="172">
        <v>60</v>
      </c>
      <c r="E408" s="141" t="s">
        <v>1749</v>
      </c>
      <c r="F408" s="141" t="s">
        <v>55</v>
      </c>
      <c r="G408" s="141" t="s">
        <v>1757</v>
      </c>
      <c r="H408" s="141" t="s">
        <v>318</v>
      </c>
      <c r="I408" s="141" t="s">
        <v>382</v>
      </c>
      <c r="J408" s="141" t="s">
        <v>988</v>
      </c>
      <c r="K408" s="141" t="s">
        <v>388</v>
      </c>
      <c r="L408" s="141" t="s">
        <v>386</v>
      </c>
      <c r="M408" s="141" t="s">
        <v>973</v>
      </c>
      <c r="N408" s="141" t="s">
        <v>1017</v>
      </c>
      <c r="O408" s="141" t="s">
        <v>71</v>
      </c>
      <c r="P408" s="141"/>
    </row>
    <row r="409" spans="1:16">
      <c r="A409" s="141" t="s">
        <v>1767</v>
      </c>
      <c r="B409" s="141" t="s">
        <v>1763</v>
      </c>
      <c r="C409" s="141" t="s">
        <v>1053</v>
      </c>
      <c r="D409" s="172">
        <v>56</v>
      </c>
      <c r="E409" s="141" t="s">
        <v>1749</v>
      </c>
      <c r="F409" s="141" t="s">
        <v>55</v>
      </c>
      <c r="G409" s="141" t="s">
        <v>1757</v>
      </c>
      <c r="H409" s="141" t="s">
        <v>318</v>
      </c>
      <c r="I409" s="141" t="s">
        <v>382</v>
      </c>
      <c r="J409" s="141" t="s">
        <v>988</v>
      </c>
      <c r="K409" s="141" t="s">
        <v>388</v>
      </c>
      <c r="L409" s="141" t="s">
        <v>386</v>
      </c>
      <c r="M409" s="141" t="s">
        <v>973</v>
      </c>
      <c r="N409" s="141" t="s">
        <v>1017</v>
      </c>
      <c r="O409" s="141" t="s">
        <v>71</v>
      </c>
      <c r="P409" s="141"/>
    </row>
    <row r="410" spans="1:16">
      <c r="A410" s="141" t="s">
        <v>1768</v>
      </c>
      <c r="B410" s="141" t="s">
        <v>1769</v>
      </c>
      <c r="C410" s="141" t="s">
        <v>909</v>
      </c>
      <c r="D410" s="142">
        <v>0</v>
      </c>
      <c r="E410" s="141" t="s">
        <v>1770</v>
      </c>
      <c r="F410" s="141" t="s">
        <v>293</v>
      </c>
      <c r="G410" s="141" t="s">
        <v>1221</v>
      </c>
      <c r="H410" s="141" t="s">
        <v>340</v>
      </c>
      <c r="I410" s="141" t="s">
        <v>382</v>
      </c>
      <c r="J410" s="141" t="s">
        <v>972</v>
      </c>
      <c r="K410" s="141" t="s">
        <v>389</v>
      </c>
      <c r="L410" s="141" t="s">
        <v>386</v>
      </c>
      <c r="M410" s="141" t="s">
        <v>973</v>
      </c>
      <c r="N410" s="141" t="s">
        <v>1005</v>
      </c>
      <c r="O410" s="141" t="s">
        <v>53</v>
      </c>
      <c r="P410" s="141"/>
    </row>
    <row r="411" spans="1:16">
      <c r="A411" s="141" t="s">
        <v>1771</v>
      </c>
      <c r="B411" s="141" t="s">
        <v>1772</v>
      </c>
      <c r="C411" s="141" t="s">
        <v>909</v>
      </c>
      <c r="D411" s="142">
        <v>0</v>
      </c>
      <c r="E411" s="141" t="s">
        <v>1770</v>
      </c>
      <c r="F411" s="141" t="s">
        <v>245</v>
      </c>
      <c r="G411" s="141" t="s">
        <v>1221</v>
      </c>
      <c r="H411" s="141" t="s">
        <v>340</v>
      </c>
      <c r="I411" s="141" t="s">
        <v>382</v>
      </c>
      <c r="J411" s="141" t="s">
        <v>972</v>
      </c>
      <c r="K411" s="141" t="s">
        <v>389</v>
      </c>
      <c r="L411" s="141" t="s">
        <v>386</v>
      </c>
      <c r="M411" s="141" t="s">
        <v>973</v>
      </c>
      <c r="N411" s="141" t="s">
        <v>1481</v>
      </c>
      <c r="O411" s="141" t="s">
        <v>83</v>
      </c>
      <c r="P411" s="141"/>
    </row>
    <row r="412" spans="1:16">
      <c r="A412" s="141" t="s">
        <v>1773</v>
      </c>
      <c r="B412" s="141" t="s">
        <v>1774</v>
      </c>
      <c r="C412" s="141" t="s">
        <v>909</v>
      </c>
      <c r="D412" s="142">
        <v>0</v>
      </c>
      <c r="E412" s="141" t="s">
        <v>1770</v>
      </c>
      <c r="F412" s="141" t="s">
        <v>280</v>
      </c>
      <c r="G412" s="141" t="s">
        <v>1221</v>
      </c>
      <c r="H412" s="141" t="s">
        <v>340</v>
      </c>
      <c r="I412" s="141" t="s">
        <v>382</v>
      </c>
      <c r="J412" s="141" t="s">
        <v>972</v>
      </c>
      <c r="K412" s="141" t="s">
        <v>389</v>
      </c>
      <c r="L412" s="141" t="s">
        <v>386</v>
      </c>
      <c r="M412" s="141" t="s">
        <v>973</v>
      </c>
      <c r="N412" s="141" t="s">
        <v>1017</v>
      </c>
      <c r="O412" s="141" t="s">
        <v>71</v>
      </c>
      <c r="P412" s="141"/>
    </row>
    <row r="413" spans="1:16">
      <c r="A413" s="141" t="s">
        <v>1775</v>
      </c>
      <c r="B413" s="141" t="s">
        <v>1776</v>
      </c>
      <c r="C413" s="141" t="s">
        <v>909</v>
      </c>
      <c r="D413" s="142">
        <v>0</v>
      </c>
      <c r="E413" s="141" t="s">
        <v>1777</v>
      </c>
      <c r="F413" s="141" t="s">
        <v>53</v>
      </c>
      <c r="G413" s="141" t="s">
        <v>1105</v>
      </c>
      <c r="H413" s="141" t="s">
        <v>340</v>
      </c>
      <c r="I413" s="141" t="s">
        <v>382</v>
      </c>
      <c r="J413" s="141" t="s">
        <v>972</v>
      </c>
      <c r="K413" s="141" t="s">
        <v>389</v>
      </c>
      <c r="L413" s="141" t="s">
        <v>539</v>
      </c>
      <c r="M413" s="141" t="s">
        <v>973</v>
      </c>
      <c r="N413" s="141" t="s">
        <v>1005</v>
      </c>
      <c r="O413" s="141" t="s">
        <v>53</v>
      </c>
      <c r="P413" s="141" t="s">
        <v>44</v>
      </c>
    </row>
    <row r="414" spans="1:16">
      <c r="A414" s="141" t="s">
        <v>1778</v>
      </c>
      <c r="B414" s="141" t="s">
        <v>1779</v>
      </c>
      <c r="C414" s="141" t="s">
        <v>909</v>
      </c>
      <c r="D414" s="142">
        <v>0</v>
      </c>
      <c r="E414" s="141" t="s">
        <v>1777</v>
      </c>
      <c r="F414" s="141" t="s">
        <v>83</v>
      </c>
      <c r="G414" s="141" t="s">
        <v>1105</v>
      </c>
      <c r="H414" s="141" t="s">
        <v>340</v>
      </c>
      <c r="I414" s="141" t="s">
        <v>382</v>
      </c>
      <c r="J414" s="141" t="s">
        <v>988</v>
      </c>
      <c r="K414" s="141" t="s">
        <v>389</v>
      </c>
      <c r="L414" s="141" t="s">
        <v>539</v>
      </c>
      <c r="M414" s="141" t="s">
        <v>973</v>
      </c>
      <c r="N414" s="141" t="s">
        <v>1119</v>
      </c>
      <c r="O414" s="141" t="s">
        <v>83</v>
      </c>
      <c r="P414" s="141" t="s">
        <v>44</v>
      </c>
    </row>
    <row r="415" spans="1:16">
      <c r="A415" s="141" t="s">
        <v>1780</v>
      </c>
      <c r="B415" s="141" t="s">
        <v>1781</v>
      </c>
      <c r="C415" s="141" t="s">
        <v>909</v>
      </c>
      <c r="D415" s="142">
        <v>0</v>
      </c>
      <c r="E415" s="141" t="s">
        <v>1777</v>
      </c>
      <c r="F415" s="141" t="s">
        <v>55</v>
      </c>
      <c r="G415" s="141" t="s">
        <v>1105</v>
      </c>
      <c r="H415" s="141" t="s">
        <v>340</v>
      </c>
      <c r="I415" s="141" t="s">
        <v>382</v>
      </c>
      <c r="J415" s="141" t="s">
        <v>988</v>
      </c>
      <c r="K415" s="141" t="s">
        <v>389</v>
      </c>
      <c r="L415" s="141" t="s">
        <v>539</v>
      </c>
      <c r="M415" s="141" t="s">
        <v>973</v>
      </c>
      <c r="N415" s="141" t="s">
        <v>1017</v>
      </c>
      <c r="O415" s="141" t="s">
        <v>71</v>
      </c>
      <c r="P415" s="141" t="s">
        <v>44</v>
      </c>
    </row>
    <row r="416" spans="1:16">
      <c r="A416" s="141" t="s">
        <v>1782</v>
      </c>
      <c r="B416" s="141" t="s">
        <v>1783</v>
      </c>
      <c r="C416" s="141" t="s">
        <v>909</v>
      </c>
      <c r="D416" s="142">
        <v>0</v>
      </c>
      <c r="E416" s="141" t="s">
        <v>1784</v>
      </c>
      <c r="F416" s="141" t="s">
        <v>308</v>
      </c>
      <c r="G416" s="141" t="s">
        <v>1221</v>
      </c>
      <c r="H416" s="141" t="s">
        <v>340</v>
      </c>
      <c r="I416" s="141" t="s">
        <v>382</v>
      </c>
      <c r="J416" s="141" t="s">
        <v>972</v>
      </c>
      <c r="K416" s="141" t="s">
        <v>389</v>
      </c>
      <c r="L416" s="141" t="s">
        <v>539</v>
      </c>
      <c r="M416" s="141" t="s">
        <v>973</v>
      </c>
      <c r="N416" s="141" t="s">
        <v>1005</v>
      </c>
      <c r="O416" s="141" t="s">
        <v>53</v>
      </c>
      <c r="P416" s="141"/>
    </row>
    <row r="417" spans="1:16">
      <c r="A417" s="141" t="s">
        <v>1785</v>
      </c>
      <c r="B417" s="141" t="s">
        <v>1786</v>
      </c>
      <c r="C417" s="141" t="s">
        <v>909</v>
      </c>
      <c r="D417" s="142">
        <v>0</v>
      </c>
      <c r="E417" s="141" t="s">
        <v>1784</v>
      </c>
      <c r="F417" s="141" t="s">
        <v>245</v>
      </c>
      <c r="G417" s="141" t="s">
        <v>1221</v>
      </c>
      <c r="H417" s="141" t="s">
        <v>340</v>
      </c>
      <c r="I417" s="141" t="s">
        <v>382</v>
      </c>
      <c r="J417" s="141" t="s">
        <v>972</v>
      </c>
      <c r="K417" s="141" t="s">
        <v>389</v>
      </c>
      <c r="L417" s="141" t="s">
        <v>539</v>
      </c>
      <c r="M417" s="141" t="s">
        <v>973</v>
      </c>
      <c r="N417" s="141" t="s">
        <v>1481</v>
      </c>
      <c r="O417" s="141" t="s">
        <v>83</v>
      </c>
      <c r="P417" s="141"/>
    </row>
    <row r="418" spans="1:16">
      <c r="A418" s="141" t="s">
        <v>1787</v>
      </c>
      <c r="B418" s="141" t="s">
        <v>1788</v>
      </c>
      <c r="C418" s="141" t="s">
        <v>909</v>
      </c>
      <c r="D418" s="142">
        <v>0</v>
      </c>
      <c r="E418" s="141" t="s">
        <v>1784</v>
      </c>
      <c r="F418" s="141" t="s">
        <v>259</v>
      </c>
      <c r="G418" s="141" t="s">
        <v>1221</v>
      </c>
      <c r="H418" s="141" t="s">
        <v>340</v>
      </c>
      <c r="I418" s="141" t="s">
        <v>382</v>
      </c>
      <c r="J418" s="141" t="s">
        <v>972</v>
      </c>
      <c r="K418" s="141" t="s">
        <v>389</v>
      </c>
      <c r="L418" s="141" t="s">
        <v>539</v>
      </c>
      <c r="M418" s="141" t="s">
        <v>973</v>
      </c>
      <c r="N418" s="141" t="s">
        <v>1789</v>
      </c>
      <c r="O418" s="141" t="s">
        <v>71</v>
      </c>
      <c r="P418" s="141"/>
    </row>
    <row r="419" spans="1:16">
      <c r="A419" s="141" t="s">
        <v>1790</v>
      </c>
      <c r="B419" s="141" t="s">
        <v>1791</v>
      </c>
      <c r="C419" s="141" t="s">
        <v>909</v>
      </c>
      <c r="D419" s="142">
        <v>0</v>
      </c>
      <c r="E419" s="141" t="s">
        <v>1792</v>
      </c>
      <c r="F419" s="141" t="s">
        <v>53</v>
      </c>
      <c r="G419" s="141" t="s">
        <v>1793</v>
      </c>
      <c r="H419" s="141" t="s">
        <v>340</v>
      </c>
      <c r="I419" s="141" t="s">
        <v>382</v>
      </c>
      <c r="J419" s="141" t="s">
        <v>972</v>
      </c>
      <c r="K419" s="141" t="s">
        <v>389</v>
      </c>
      <c r="L419" s="141" t="s">
        <v>539</v>
      </c>
      <c r="M419" s="141" t="s">
        <v>973</v>
      </c>
      <c r="N419" s="141" t="s">
        <v>1005</v>
      </c>
      <c r="O419" s="141" t="s">
        <v>53</v>
      </c>
      <c r="P419" s="141"/>
    </row>
    <row r="420" spans="1:16">
      <c r="A420" s="141" t="s">
        <v>1794</v>
      </c>
      <c r="B420" s="141" t="s">
        <v>1795</v>
      </c>
      <c r="C420" s="141" t="s">
        <v>909</v>
      </c>
      <c r="D420" s="142">
        <v>0</v>
      </c>
      <c r="E420" s="141" t="s">
        <v>1792</v>
      </c>
      <c r="F420" s="141" t="s">
        <v>63</v>
      </c>
      <c r="G420" s="141" t="s">
        <v>1793</v>
      </c>
      <c r="H420" s="141" t="s">
        <v>340</v>
      </c>
      <c r="I420" s="141" t="s">
        <v>382</v>
      </c>
      <c r="J420" s="141" t="s">
        <v>972</v>
      </c>
      <c r="K420" s="141" t="s">
        <v>389</v>
      </c>
      <c r="L420" s="141" t="s">
        <v>539</v>
      </c>
      <c r="M420" s="141" t="s">
        <v>973</v>
      </c>
      <c r="N420" s="141" t="s">
        <v>1796</v>
      </c>
      <c r="O420" s="141" t="s">
        <v>63</v>
      </c>
      <c r="P420" s="141"/>
    </row>
    <row r="421" spans="1:16">
      <c r="A421" s="141" t="s">
        <v>1797</v>
      </c>
      <c r="B421" s="141" t="s">
        <v>1798</v>
      </c>
      <c r="C421" s="141" t="s">
        <v>909</v>
      </c>
      <c r="D421" s="142">
        <v>0</v>
      </c>
      <c r="E421" s="141" t="s">
        <v>1792</v>
      </c>
      <c r="F421" s="141" t="s">
        <v>121</v>
      </c>
      <c r="G421" s="141" t="s">
        <v>1793</v>
      </c>
      <c r="H421" s="141" t="s">
        <v>340</v>
      </c>
      <c r="I421" s="141" t="s">
        <v>382</v>
      </c>
      <c r="J421" s="141" t="s">
        <v>972</v>
      </c>
      <c r="K421" s="141" t="s">
        <v>389</v>
      </c>
      <c r="L421" s="141" t="s">
        <v>539</v>
      </c>
      <c r="M421" s="141" t="s">
        <v>973</v>
      </c>
      <c r="N421" s="141" t="s">
        <v>1310</v>
      </c>
      <c r="O421" s="141" t="s">
        <v>121</v>
      </c>
      <c r="P421" s="141"/>
    </row>
    <row r="422" spans="1:16">
      <c r="A422" s="141" t="s">
        <v>1799</v>
      </c>
      <c r="B422" s="141" t="s">
        <v>1800</v>
      </c>
      <c r="C422" s="141" t="s">
        <v>1030</v>
      </c>
      <c r="D422" s="172">
        <v>61</v>
      </c>
      <c r="E422" s="141" t="s">
        <v>1699</v>
      </c>
      <c r="F422" s="141" t="s">
        <v>53</v>
      </c>
      <c r="G422" s="141" t="s">
        <v>1105</v>
      </c>
      <c r="H422" s="141" t="s">
        <v>334</v>
      </c>
      <c r="I422" s="141" t="s">
        <v>382</v>
      </c>
      <c r="J422" s="141" t="s">
        <v>988</v>
      </c>
      <c r="K422" s="141" t="s">
        <v>388</v>
      </c>
      <c r="L422" s="141" t="s">
        <v>386</v>
      </c>
      <c r="M422" s="141" t="s">
        <v>808</v>
      </c>
      <c r="N422" s="141" t="s">
        <v>1005</v>
      </c>
      <c r="O422" s="141" t="s">
        <v>53</v>
      </c>
      <c r="P422" s="141" t="s">
        <v>44</v>
      </c>
    </row>
    <row r="423" spans="1:16">
      <c r="A423" s="141" t="s">
        <v>1801</v>
      </c>
      <c r="B423" s="141" t="s">
        <v>1800</v>
      </c>
      <c r="C423" s="141" t="s">
        <v>1032</v>
      </c>
      <c r="D423" s="172">
        <v>55</v>
      </c>
      <c r="E423" s="141" t="s">
        <v>1699</v>
      </c>
      <c r="F423" s="141" t="s">
        <v>53</v>
      </c>
      <c r="G423" s="141" t="s">
        <v>1105</v>
      </c>
      <c r="H423" s="141" t="s">
        <v>334</v>
      </c>
      <c r="I423" s="141" t="s">
        <v>382</v>
      </c>
      <c r="J423" s="141" t="s">
        <v>988</v>
      </c>
      <c r="K423" s="141" t="s">
        <v>388</v>
      </c>
      <c r="L423" s="141" t="s">
        <v>386</v>
      </c>
      <c r="M423" s="141" t="s">
        <v>808</v>
      </c>
      <c r="N423" s="141" t="s">
        <v>1005</v>
      </c>
      <c r="O423" s="141" t="s">
        <v>53</v>
      </c>
      <c r="P423" s="141" t="s">
        <v>44</v>
      </c>
    </row>
    <row r="424" spans="1:16">
      <c r="A424" s="141" t="s">
        <v>1802</v>
      </c>
      <c r="B424" s="141" t="s">
        <v>1800</v>
      </c>
      <c r="C424" s="141" t="s">
        <v>976</v>
      </c>
      <c r="D424" s="172">
        <v>59</v>
      </c>
      <c r="E424" s="141" t="s">
        <v>1699</v>
      </c>
      <c r="F424" s="141" t="s">
        <v>53</v>
      </c>
      <c r="G424" s="141" t="s">
        <v>1105</v>
      </c>
      <c r="H424" s="141" t="s">
        <v>334</v>
      </c>
      <c r="I424" s="141" t="s">
        <v>382</v>
      </c>
      <c r="J424" s="141" t="s">
        <v>988</v>
      </c>
      <c r="K424" s="141" t="s">
        <v>388</v>
      </c>
      <c r="L424" s="141" t="s">
        <v>386</v>
      </c>
      <c r="M424" s="141" t="s">
        <v>808</v>
      </c>
      <c r="N424" s="141" t="s">
        <v>1005</v>
      </c>
      <c r="O424" s="141" t="s">
        <v>53</v>
      </c>
      <c r="P424" s="141" t="s">
        <v>44</v>
      </c>
    </row>
    <row r="425" spans="1:16">
      <c r="A425" s="141" t="s">
        <v>1803</v>
      </c>
      <c r="B425" s="141" t="s">
        <v>1800</v>
      </c>
      <c r="C425" s="141" t="s">
        <v>969</v>
      </c>
      <c r="D425" s="172">
        <v>57</v>
      </c>
      <c r="E425" s="141" t="s">
        <v>1699</v>
      </c>
      <c r="F425" s="141" t="s">
        <v>53</v>
      </c>
      <c r="G425" s="141" t="s">
        <v>1105</v>
      </c>
      <c r="H425" s="141" t="s">
        <v>334</v>
      </c>
      <c r="I425" s="141" t="s">
        <v>382</v>
      </c>
      <c r="J425" s="141" t="s">
        <v>988</v>
      </c>
      <c r="K425" s="141" t="s">
        <v>388</v>
      </c>
      <c r="L425" s="141" t="s">
        <v>386</v>
      </c>
      <c r="M425" s="141" t="s">
        <v>808</v>
      </c>
      <c r="N425" s="141" t="s">
        <v>1005</v>
      </c>
      <c r="O425" s="141" t="s">
        <v>53</v>
      </c>
      <c r="P425" s="141" t="s">
        <v>44</v>
      </c>
    </row>
    <row r="426" spans="1:16">
      <c r="A426" s="141" t="s">
        <v>1804</v>
      </c>
      <c r="B426" s="141" t="s">
        <v>1805</v>
      </c>
      <c r="C426" s="141" t="s">
        <v>1032</v>
      </c>
      <c r="D426" s="172">
        <v>55</v>
      </c>
      <c r="E426" s="141" t="s">
        <v>1118</v>
      </c>
      <c r="F426" s="141" t="s">
        <v>739</v>
      </c>
      <c r="G426" s="141" t="s">
        <v>1105</v>
      </c>
      <c r="H426" s="141" t="s">
        <v>320</v>
      </c>
      <c r="I426" s="141" t="s">
        <v>382</v>
      </c>
      <c r="J426" s="141" t="s">
        <v>988</v>
      </c>
      <c r="K426" s="141" t="s">
        <v>388</v>
      </c>
      <c r="L426" s="141" t="s">
        <v>386</v>
      </c>
      <c r="M426" s="141" t="s">
        <v>973</v>
      </c>
      <c r="N426" s="141" t="s">
        <v>1806</v>
      </c>
      <c r="O426" s="141" t="s">
        <v>71</v>
      </c>
      <c r="P426" s="141" t="s">
        <v>44</v>
      </c>
    </row>
    <row r="427" spans="1:16">
      <c r="A427" s="141" t="s">
        <v>1807</v>
      </c>
      <c r="B427" s="141" t="s">
        <v>1805</v>
      </c>
      <c r="C427" s="141" t="s">
        <v>976</v>
      </c>
      <c r="D427" s="172">
        <v>59</v>
      </c>
      <c r="E427" s="141" t="s">
        <v>1118</v>
      </c>
      <c r="F427" s="141" t="s">
        <v>739</v>
      </c>
      <c r="G427" s="141" t="s">
        <v>1105</v>
      </c>
      <c r="H427" s="141" t="s">
        <v>320</v>
      </c>
      <c r="I427" s="141" t="s">
        <v>382</v>
      </c>
      <c r="J427" s="141" t="s">
        <v>988</v>
      </c>
      <c r="K427" s="141" t="s">
        <v>388</v>
      </c>
      <c r="L427" s="141" t="s">
        <v>386</v>
      </c>
      <c r="M427" s="141" t="s">
        <v>973</v>
      </c>
      <c r="N427" s="141" t="s">
        <v>1806</v>
      </c>
      <c r="O427" s="141" t="s">
        <v>71</v>
      </c>
      <c r="P427" s="141" t="s">
        <v>44</v>
      </c>
    </row>
    <row r="428" spans="1:16">
      <c r="A428" s="141" t="s">
        <v>1808</v>
      </c>
      <c r="B428" s="141" t="s">
        <v>1805</v>
      </c>
      <c r="C428" s="141" t="s">
        <v>969</v>
      </c>
      <c r="D428" s="172">
        <v>57</v>
      </c>
      <c r="E428" s="141" t="s">
        <v>1118</v>
      </c>
      <c r="F428" s="141" t="s">
        <v>739</v>
      </c>
      <c r="G428" s="141" t="s">
        <v>1105</v>
      </c>
      <c r="H428" s="141" t="s">
        <v>320</v>
      </c>
      <c r="I428" s="141" t="s">
        <v>382</v>
      </c>
      <c r="J428" s="141" t="s">
        <v>988</v>
      </c>
      <c r="K428" s="141" t="s">
        <v>388</v>
      </c>
      <c r="L428" s="141" t="s">
        <v>386</v>
      </c>
      <c r="M428" s="141" t="s">
        <v>973</v>
      </c>
      <c r="N428" s="141" t="s">
        <v>1806</v>
      </c>
      <c r="O428" s="141" t="s">
        <v>71</v>
      </c>
      <c r="P428" s="141" t="s">
        <v>44</v>
      </c>
    </row>
    <row r="429" spans="1:16">
      <c r="A429" s="141" t="s">
        <v>1809</v>
      </c>
      <c r="B429" s="141" t="s">
        <v>1805</v>
      </c>
      <c r="C429" s="141" t="s">
        <v>1030</v>
      </c>
      <c r="D429" s="172">
        <v>61</v>
      </c>
      <c r="E429" s="141" t="s">
        <v>1118</v>
      </c>
      <c r="F429" s="141" t="s">
        <v>739</v>
      </c>
      <c r="G429" s="141" t="s">
        <v>1105</v>
      </c>
      <c r="H429" s="141" t="s">
        <v>320</v>
      </c>
      <c r="I429" s="141" t="s">
        <v>382</v>
      </c>
      <c r="J429" s="141" t="s">
        <v>988</v>
      </c>
      <c r="K429" s="141" t="s">
        <v>388</v>
      </c>
      <c r="L429" s="141" t="s">
        <v>386</v>
      </c>
      <c r="M429" s="141" t="s">
        <v>973</v>
      </c>
      <c r="N429" s="141" t="s">
        <v>1806</v>
      </c>
      <c r="O429" s="141" t="s">
        <v>71</v>
      </c>
      <c r="P429" s="141" t="s">
        <v>44</v>
      </c>
    </row>
    <row r="430" spans="1:16">
      <c r="A430" s="141" t="s">
        <v>1810</v>
      </c>
      <c r="B430" s="141" t="s">
        <v>1811</v>
      </c>
      <c r="C430" s="141" t="s">
        <v>976</v>
      </c>
      <c r="D430" s="172">
        <v>59</v>
      </c>
      <c r="E430" s="141" t="s">
        <v>1118</v>
      </c>
      <c r="F430" s="141" t="s">
        <v>65</v>
      </c>
      <c r="G430" s="141" t="s">
        <v>1105</v>
      </c>
      <c r="H430" s="141" t="s">
        <v>320</v>
      </c>
      <c r="I430" s="141" t="s">
        <v>382</v>
      </c>
      <c r="J430" s="141" t="s">
        <v>988</v>
      </c>
      <c r="K430" s="141" t="s">
        <v>388</v>
      </c>
      <c r="L430" s="141" t="s">
        <v>386</v>
      </c>
      <c r="M430" s="141" t="s">
        <v>973</v>
      </c>
      <c r="N430" s="141" t="s">
        <v>1812</v>
      </c>
      <c r="O430" s="141" t="s">
        <v>65</v>
      </c>
      <c r="P430" s="141" t="s">
        <v>44</v>
      </c>
    </row>
    <row r="431" spans="1:16">
      <c r="A431" s="141" t="s">
        <v>1813</v>
      </c>
      <c r="B431" s="141" t="s">
        <v>1811</v>
      </c>
      <c r="C431" s="141" t="s">
        <v>969</v>
      </c>
      <c r="D431" s="172">
        <v>57</v>
      </c>
      <c r="E431" s="141" t="s">
        <v>1118</v>
      </c>
      <c r="F431" s="141" t="s">
        <v>65</v>
      </c>
      <c r="G431" s="141" t="s">
        <v>1105</v>
      </c>
      <c r="H431" s="141" t="s">
        <v>320</v>
      </c>
      <c r="I431" s="141" t="s">
        <v>382</v>
      </c>
      <c r="J431" s="141" t="s">
        <v>988</v>
      </c>
      <c r="K431" s="141" t="s">
        <v>388</v>
      </c>
      <c r="L431" s="141" t="s">
        <v>386</v>
      </c>
      <c r="M431" s="141" t="s">
        <v>973</v>
      </c>
      <c r="N431" s="141" t="s">
        <v>1812</v>
      </c>
      <c r="O431" s="141" t="s">
        <v>65</v>
      </c>
      <c r="P431" s="141" t="s">
        <v>44</v>
      </c>
    </row>
    <row r="432" spans="1:16">
      <c r="A432" s="141" t="s">
        <v>1814</v>
      </c>
      <c r="B432" s="141" t="s">
        <v>1811</v>
      </c>
      <c r="C432" s="141" t="s">
        <v>1030</v>
      </c>
      <c r="D432" s="172">
        <v>61</v>
      </c>
      <c r="E432" s="141" t="s">
        <v>1118</v>
      </c>
      <c r="F432" s="141" t="s">
        <v>65</v>
      </c>
      <c r="G432" s="141" t="s">
        <v>1105</v>
      </c>
      <c r="H432" s="141" t="s">
        <v>320</v>
      </c>
      <c r="I432" s="141" t="s">
        <v>382</v>
      </c>
      <c r="J432" s="141" t="s">
        <v>988</v>
      </c>
      <c r="K432" s="141" t="s">
        <v>388</v>
      </c>
      <c r="L432" s="141" t="s">
        <v>386</v>
      </c>
      <c r="M432" s="141" t="s">
        <v>973</v>
      </c>
      <c r="N432" s="141" t="s">
        <v>1812</v>
      </c>
      <c r="O432" s="141" t="s">
        <v>65</v>
      </c>
      <c r="P432" s="141" t="s">
        <v>44</v>
      </c>
    </row>
    <row r="433" spans="1:16">
      <c r="A433" s="141" t="s">
        <v>1815</v>
      </c>
      <c r="B433" s="141" t="s">
        <v>1816</v>
      </c>
      <c r="C433" s="141" t="s">
        <v>976</v>
      </c>
      <c r="D433" s="172">
        <v>59</v>
      </c>
      <c r="E433" s="141" t="s">
        <v>1118</v>
      </c>
      <c r="F433" s="141" t="s">
        <v>63</v>
      </c>
      <c r="G433" s="141" t="s">
        <v>1105</v>
      </c>
      <c r="H433" s="141" t="s">
        <v>320</v>
      </c>
      <c r="I433" s="141" t="s">
        <v>382</v>
      </c>
      <c r="J433" s="141" t="s">
        <v>988</v>
      </c>
      <c r="K433" s="141" t="s">
        <v>388</v>
      </c>
      <c r="L433" s="141" t="s">
        <v>539</v>
      </c>
      <c r="M433" s="141" t="s">
        <v>808</v>
      </c>
      <c r="N433" s="141" t="s">
        <v>1704</v>
      </c>
      <c r="O433" s="141" t="s">
        <v>63</v>
      </c>
      <c r="P433" s="141" t="s">
        <v>44</v>
      </c>
    </row>
    <row r="434" spans="1:16">
      <c r="A434" s="141" t="s">
        <v>1817</v>
      </c>
      <c r="B434" s="141" t="s">
        <v>1816</v>
      </c>
      <c r="C434" s="141" t="s">
        <v>969</v>
      </c>
      <c r="D434" s="172">
        <v>57</v>
      </c>
      <c r="E434" s="141" t="s">
        <v>1118</v>
      </c>
      <c r="F434" s="141" t="s">
        <v>63</v>
      </c>
      <c r="G434" s="141" t="s">
        <v>1105</v>
      </c>
      <c r="H434" s="141" t="s">
        <v>320</v>
      </c>
      <c r="I434" s="141" t="s">
        <v>382</v>
      </c>
      <c r="J434" s="141" t="s">
        <v>988</v>
      </c>
      <c r="K434" s="141" t="s">
        <v>388</v>
      </c>
      <c r="L434" s="141" t="s">
        <v>539</v>
      </c>
      <c r="M434" s="141" t="s">
        <v>808</v>
      </c>
      <c r="N434" s="141" t="s">
        <v>1704</v>
      </c>
      <c r="O434" s="141" t="s">
        <v>63</v>
      </c>
      <c r="P434" s="141" t="s">
        <v>44</v>
      </c>
    </row>
    <row r="435" spans="1:16">
      <c r="A435" s="141" t="s">
        <v>1818</v>
      </c>
      <c r="B435" s="141" t="s">
        <v>1816</v>
      </c>
      <c r="C435" s="141" t="s">
        <v>1032</v>
      </c>
      <c r="D435" s="172">
        <v>55</v>
      </c>
      <c r="E435" s="141" t="s">
        <v>1118</v>
      </c>
      <c r="F435" s="141" t="s">
        <v>63</v>
      </c>
      <c r="G435" s="141" t="s">
        <v>1105</v>
      </c>
      <c r="H435" s="141" t="s">
        <v>320</v>
      </c>
      <c r="I435" s="141" t="s">
        <v>382</v>
      </c>
      <c r="J435" s="141" t="s">
        <v>988</v>
      </c>
      <c r="K435" s="141" t="s">
        <v>388</v>
      </c>
      <c r="L435" s="141" t="s">
        <v>539</v>
      </c>
      <c r="M435" s="141" t="s">
        <v>808</v>
      </c>
      <c r="N435" s="141" t="s">
        <v>1704</v>
      </c>
      <c r="O435" s="141" t="s">
        <v>63</v>
      </c>
      <c r="P435" s="141" t="s">
        <v>44</v>
      </c>
    </row>
    <row r="436" spans="1:16">
      <c r="A436" s="141" t="s">
        <v>1819</v>
      </c>
      <c r="B436" s="141" t="s">
        <v>1816</v>
      </c>
      <c r="C436" s="141" t="s">
        <v>1030</v>
      </c>
      <c r="D436" s="172">
        <v>61</v>
      </c>
      <c r="E436" s="141" t="s">
        <v>1118</v>
      </c>
      <c r="F436" s="141" t="s">
        <v>63</v>
      </c>
      <c r="G436" s="141" t="s">
        <v>1105</v>
      </c>
      <c r="H436" s="141" t="s">
        <v>320</v>
      </c>
      <c r="I436" s="141" t="s">
        <v>382</v>
      </c>
      <c r="J436" s="141" t="s">
        <v>988</v>
      </c>
      <c r="K436" s="141" t="s">
        <v>388</v>
      </c>
      <c r="L436" s="141" t="s">
        <v>539</v>
      </c>
      <c r="M436" s="141" t="s">
        <v>808</v>
      </c>
      <c r="N436" s="141" t="s">
        <v>1704</v>
      </c>
      <c r="O436" s="141" t="s">
        <v>63</v>
      </c>
      <c r="P436" s="141" t="s">
        <v>44</v>
      </c>
    </row>
    <row r="437" spans="1:16">
      <c r="A437" s="141" t="s">
        <v>1820</v>
      </c>
      <c r="B437" s="141" t="s">
        <v>1821</v>
      </c>
      <c r="C437" s="141" t="s">
        <v>1030</v>
      </c>
      <c r="D437" s="172">
        <v>61</v>
      </c>
      <c r="E437" s="141" t="s">
        <v>1118</v>
      </c>
      <c r="F437" s="141" t="s">
        <v>277</v>
      </c>
      <c r="G437" s="141" t="s">
        <v>1105</v>
      </c>
      <c r="H437" s="141" t="s">
        <v>320</v>
      </c>
      <c r="I437" s="141" t="s">
        <v>382</v>
      </c>
      <c r="J437" s="141" t="s">
        <v>988</v>
      </c>
      <c r="K437" s="141" t="s">
        <v>388</v>
      </c>
      <c r="L437" s="141" t="s">
        <v>539</v>
      </c>
      <c r="M437" s="141" t="s">
        <v>973</v>
      </c>
      <c r="N437" s="141" t="s">
        <v>1148</v>
      </c>
      <c r="O437" s="141" t="s">
        <v>83</v>
      </c>
      <c r="P437" s="141" t="s">
        <v>44</v>
      </c>
    </row>
    <row r="438" spans="1:16">
      <c r="A438" s="141" t="s">
        <v>1822</v>
      </c>
      <c r="B438" s="141" t="s">
        <v>1821</v>
      </c>
      <c r="C438" s="141" t="s">
        <v>1032</v>
      </c>
      <c r="D438" s="172">
        <v>55</v>
      </c>
      <c r="E438" s="141" t="s">
        <v>1118</v>
      </c>
      <c r="F438" s="141" t="s">
        <v>277</v>
      </c>
      <c r="G438" s="141" t="s">
        <v>1105</v>
      </c>
      <c r="H438" s="141" t="s">
        <v>320</v>
      </c>
      <c r="I438" s="141" t="s">
        <v>382</v>
      </c>
      <c r="J438" s="141" t="s">
        <v>988</v>
      </c>
      <c r="K438" s="141" t="s">
        <v>388</v>
      </c>
      <c r="L438" s="141" t="s">
        <v>539</v>
      </c>
      <c r="M438" s="141" t="s">
        <v>973</v>
      </c>
      <c r="N438" s="141" t="s">
        <v>1148</v>
      </c>
      <c r="O438" s="141" t="s">
        <v>83</v>
      </c>
      <c r="P438" s="141" t="s">
        <v>44</v>
      </c>
    </row>
    <row r="439" spans="1:16">
      <c r="A439" s="141" t="s">
        <v>1823</v>
      </c>
      <c r="B439" s="141" t="s">
        <v>1821</v>
      </c>
      <c r="C439" s="141" t="s">
        <v>969</v>
      </c>
      <c r="D439" s="172">
        <v>57</v>
      </c>
      <c r="E439" s="141" t="s">
        <v>1118</v>
      </c>
      <c r="F439" s="141" t="s">
        <v>277</v>
      </c>
      <c r="G439" s="141" t="s">
        <v>1105</v>
      </c>
      <c r="H439" s="141" t="s">
        <v>320</v>
      </c>
      <c r="I439" s="141" t="s">
        <v>382</v>
      </c>
      <c r="J439" s="141" t="s">
        <v>988</v>
      </c>
      <c r="K439" s="141" t="s">
        <v>388</v>
      </c>
      <c r="L439" s="141" t="s">
        <v>539</v>
      </c>
      <c r="M439" s="141" t="s">
        <v>973</v>
      </c>
      <c r="N439" s="141" t="s">
        <v>1148</v>
      </c>
      <c r="O439" s="141" t="s">
        <v>83</v>
      </c>
      <c r="P439" s="141" t="s">
        <v>44</v>
      </c>
    </row>
    <row r="440" spans="1:16">
      <c r="A440" s="141" t="s">
        <v>1824</v>
      </c>
      <c r="B440" s="141" t="s">
        <v>1821</v>
      </c>
      <c r="C440" s="141" t="s">
        <v>976</v>
      </c>
      <c r="D440" s="172">
        <v>59</v>
      </c>
      <c r="E440" s="141" t="s">
        <v>1118</v>
      </c>
      <c r="F440" s="141" t="s">
        <v>277</v>
      </c>
      <c r="G440" s="141" t="s">
        <v>1105</v>
      </c>
      <c r="H440" s="141" t="s">
        <v>320</v>
      </c>
      <c r="I440" s="141" t="s">
        <v>382</v>
      </c>
      <c r="J440" s="141" t="s">
        <v>988</v>
      </c>
      <c r="K440" s="141" t="s">
        <v>388</v>
      </c>
      <c r="L440" s="141" t="s">
        <v>539</v>
      </c>
      <c r="M440" s="141" t="s">
        <v>973</v>
      </c>
      <c r="N440" s="141" t="s">
        <v>1148</v>
      </c>
      <c r="O440" s="141" t="s">
        <v>83</v>
      </c>
      <c r="P440" s="141" t="s">
        <v>44</v>
      </c>
    </row>
    <row r="441" spans="1:16">
      <c r="A441" s="141" t="s">
        <v>1825</v>
      </c>
      <c r="B441" s="141" t="s">
        <v>1826</v>
      </c>
      <c r="C441" s="141" t="s">
        <v>969</v>
      </c>
      <c r="D441" s="172">
        <v>57</v>
      </c>
      <c r="E441" s="141" t="s">
        <v>1118</v>
      </c>
      <c r="F441" s="141" t="s">
        <v>78</v>
      </c>
      <c r="G441" s="141" t="s">
        <v>1105</v>
      </c>
      <c r="H441" s="141" t="s">
        <v>320</v>
      </c>
      <c r="I441" s="141" t="s">
        <v>382</v>
      </c>
      <c r="J441" s="141" t="s">
        <v>988</v>
      </c>
      <c r="K441" s="141" t="s">
        <v>388</v>
      </c>
      <c r="L441" s="141" t="s">
        <v>386</v>
      </c>
      <c r="M441" s="141" t="s">
        <v>973</v>
      </c>
      <c r="N441" s="141" t="s">
        <v>1255</v>
      </c>
      <c r="O441" s="141" t="s">
        <v>78</v>
      </c>
      <c r="P441" s="141" t="s">
        <v>44</v>
      </c>
    </row>
    <row r="442" spans="1:16">
      <c r="A442" s="141" t="s">
        <v>1827</v>
      </c>
      <c r="B442" s="141" t="s">
        <v>1826</v>
      </c>
      <c r="C442" s="141" t="s">
        <v>1032</v>
      </c>
      <c r="D442" s="172">
        <v>55</v>
      </c>
      <c r="E442" s="141" t="s">
        <v>1118</v>
      </c>
      <c r="F442" s="141" t="s">
        <v>78</v>
      </c>
      <c r="G442" s="141" t="s">
        <v>1105</v>
      </c>
      <c r="H442" s="141" t="s">
        <v>320</v>
      </c>
      <c r="I442" s="141" t="s">
        <v>382</v>
      </c>
      <c r="J442" s="141" t="s">
        <v>988</v>
      </c>
      <c r="K442" s="141" t="s">
        <v>388</v>
      </c>
      <c r="L442" s="141" t="s">
        <v>386</v>
      </c>
      <c r="M442" s="141" t="s">
        <v>973</v>
      </c>
      <c r="N442" s="141" t="s">
        <v>1255</v>
      </c>
      <c r="O442" s="141" t="s">
        <v>78</v>
      </c>
      <c r="P442" s="141" t="s">
        <v>44</v>
      </c>
    </row>
    <row r="443" spans="1:16">
      <c r="A443" s="141" t="s">
        <v>1828</v>
      </c>
      <c r="B443" s="141" t="s">
        <v>1826</v>
      </c>
      <c r="C443" s="141" t="s">
        <v>976</v>
      </c>
      <c r="D443" s="172">
        <v>59</v>
      </c>
      <c r="E443" s="141" t="s">
        <v>1118</v>
      </c>
      <c r="F443" s="141" t="s">
        <v>78</v>
      </c>
      <c r="G443" s="141" t="s">
        <v>1105</v>
      </c>
      <c r="H443" s="141" t="s">
        <v>320</v>
      </c>
      <c r="I443" s="141" t="s">
        <v>382</v>
      </c>
      <c r="J443" s="141" t="s">
        <v>988</v>
      </c>
      <c r="K443" s="141" t="s">
        <v>388</v>
      </c>
      <c r="L443" s="141" t="s">
        <v>386</v>
      </c>
      <c r="M443" s="141" t="s">
        <v>973</v>
      </c>
      <c r="N443" s="141" t="s">
        <v>1255</v>
      </c>
      <c r="O443" s="141" t="s">
        <v>78</v>
      </c>
      <c r="P443" s="141" t="s">
        <v>44</v>
      </c>
    </row>
    <row r="444" spans="1:16">
      <c r="A444" s="141" t="s">
        <v>1829</v>
      </c>
      <c r="B444" s="141" t="s">
        <v>1830</v>
      </c>
      <c r="C444" s="141" t="s">
        <v>1032</v>
      </c>
      <c r="D444" s="172">
        <v>55</v>
      </c>
      <c r="E444" s="141" t="s">
        <v>1118</v>
      </c>
      <c r="F444" s="141" t="s">
        <v>57</v>
      </c>
      <c r="G444" s="141" t="s">
        <v>1105</v>
      </c>
      <c r="H444" s="141" t="s">
        <v>320</v>
      </c>
      <c r="I444" s="141" t="s">
        <v>382</v>
      </c>
      <c r="J444" s="141" t="s">
        <v>988</v>
      </c>
      <c r="K444" s="141" t="s">
        <v>388</v>
      </c>
      <c r="L444" s="141" t="s">
        <v>539</v>
      </c>
      <c r="M444" s="141" t="s">
        <v>973</v>
      </c>
      <c r="N444" s="141" t="s">
        <v>989</v>
      </c>
      <c r="O444" s="141" t="s">
        <v>57</v>
      </c>
      <c r="P444" s="141" t="s">
        <v>44</v>
      </c>
    </row>
    <row r="445" spans="1:16">
      <c r="A445" s="141" t="s">
        <v>1831</v>
      </c>
      <c r="B445" s="141" t="s">
        <v>1830</v>
      </c>
      <c r="C445" s="141" t="s">
        <v>1030</v>
      </c>
      <c r="D445" s="172">
        <v>61</v>
      </c>
      <c r="E445" s="141" t="s">
        <v>1118</v>
      </c>
      <c r="F445" s="141" t="s">
        <v>57</v>
      </c>
      <c r="G445" s="141" t="s">
        <v>1105</v>
      </c>
      <c r="H445" s="141" t="s">
        <v>320</v>
      </c>
      <c r="I445" s="141" t="s">
        <v>382</v>
      </c>
      <c r="J445" s="141" t="s">
        <v>988</v>
      </c>
      <c r="K445" s="141" t="s">
        <v>388</v>
      </c>
      <c r="L445" s="141" t="s">
        <v>539</v>
      </c>
      <c r="M445" s="141" t="s">
        <v>973</v>
      </c>
      <c r="N445" s="141" t="s">
        <v>989</v>
      </c>
      <c r="O445" s="141" t="s">
        <v>57</v>
      </c>
      <c r="P445" s="141" t="s">
        <v>44</v>
      </c>
    </row>
    <row r="446" spans="1:16">
      <c r="A446" s="141" t="s">
        <v>1832</v>
      </c>
      <c r="B446" s="141" t="s">
        <v>1830</v>
      </c>
      <c r="C446" s="141" t="s">
        <v>969</v>
      </c>
      <c r="D446" s="172">
        <v>57</v>
      </c>
      <c r="E446" s="141" t="s">
        <v>1118</v>
      </c>
      <c r="F446" s="141" t="s">
        <v>57</v>
      </c>
      <c r="G446" s="141" t="s">
        <v>1105</v>
      </c>
      <c r="H446" s="141" t="s">
        <v>320</v>
      </c>
      <c r="I446" s="141" t="s">
        <v>382</v>
      </c>
      <c r="J446" s="141" t="s">
        <v>988</v>
      </c>
      <c r="K446" s="141" t="s">
        <v>388</v>
      </c>
      <c r="L446" s="141" t="s">
        <v>539</v>
      </c>
      <c r="M446" s="141" t="s">
        <v>973</v>
      </c>
      <c r="N446" s="141" t="s">
        <v>989</v>
      </c>
      <c r="O446" s="141" t="s">
        <v>57</v>
      </c>
      <c r="P446" s="141" t="s">
        <v>44</v>
      </c>
    </row>
    <row r="447" spans="1:16">
      <c r="A447" s="141" t="s">
        <v>1833</v>
      </c>
      <c r="B447" s="141" t="s">
        <v>1830</v>
      </c>
      <c r="C447" s="141" t="s">
        <v>976</v>
      </c>
      <c r="D447" s="172">
        <v>59</v>
      </c>
      <c r="E447" s="141" t="s">
        <v>1118</v>
      </c>
      <c r="F447" s="141" t="s">
        <v>57</v>
      </c>
      <c r="G447" s="141" t="s">
        <v>1105</v>
      </c>
      <c r="H447" s="141" t="s">
        <v>320</v>
      </c>
      <c r="I447" s="141" t="s">
        <v>382</v>
      </c>
      <c r="J447" s="141" t="s">
        <v>988</v>
      </c>
      <c r="K447" s="141" t="s">
        <v>388</v>
      </c>
      <c r="L447" s="141" t="s">
        <v>539</v>
      </c>
      <c r="M447" s="141" t="s">
        <v>973</v>
      </c>
      <c r="N447" s="141" t="s">
        <v>989</v>
      </c>
      <c r="O447" s="141" t="s">
        <v>57</v>
      </c>
      <c r="P447" s="141" t="s">
        <v>44</v>
      </c>
    </row>
    <row r="448" spans="1:16">
      <c r="A448" s="141" t="s">
        <v>1834</v>
      </c>
      <c r="B448" s="141" t="s">
        <v>1835</v>
      </c>
      <c r="C448" s="141" t="s">
        <v>1032</v>
      </c>
      <c r="D448" s="172">
        <v>55</v>
      </c>
      <c r="E448" s="141" t="s">
        <v>1193</v>
      </c>
      <c r="F448" s="141" t="s">
        <v>53</v>
      </c>
      <c r="G448" s="141" t="s">
        <v>1132</v>
      </c>
      <c r="H448" s="141" t="s">
        <v>348</v>
      </c>
      <c r="I448" s="141" t="s">
        <v>382</v>
      </c>
      <c r="J448" s="141" t="s">
        <v>988</v>
      </c>
      <c r="K448" s="141" t="s">
        <v>388</v>
      </c>
      <c r="L448" s="141" t="s">
        <v>539</v>
      </c>
      <c r="M448" s="141" t="s">
        <v>973</v>
      </c>
      <c r="N448" s="141" t="s">
        <v>1005</v>
      </c>
      <c r="O448" s="141" t="s">
        <v>53</v>
      </c>
      <c r="P448" s="141" t="s">
        <v>44</v>
      </c>
    </row>
    <row r="449" spans="1:16">
      <c r="A449" s="141" t="s">
        <v>1836</v>
      </c>
      <c r="B449" s="141" t="s">
        <v>1835</v>
      </c>
      <c r="C449" s="141" t="s">
        <v>1302</v>
      </c>
      <c r="D449" s="172">
        <v>63</v>
      </c>
      <c r="E449" s="141" t="s">
        <v>1193</v>
      </c>
      <c r="F449" s="141" t="s">
        <v>53</v>
      </c>
      <c r="G449" s="141" t="s">
        <v>1132</v>
      </c>
      <c r="H449" s="141" t="s">
        <v>348</v>
      </c>
      <c r="I449" s="141" t="s">
        <v>382</v>
      </c>
      <c r="J449" s="141" t="s">
        <v>988</v>
      </c>
      <c r="K449" s="141" t="s">
        <v>388</v>
      </c>
      <c r="L449" s="141" t="s">
        <v>539</v>
      </c>
      <c r="M449" s="141" t="s">
        <v>973</v>
      </c>
      <c r="N449" s="141" t="s">
        <v>1005</v>
      </c>
      <c r="O449" s="141" t="s">
        <v>53</v>
      </c>
      <c r="P449" s="141" t="s">
        <v>44</v>
      </c>
    </row>
    <row r="450" spans="1:16">
      <c r="A450" s="141" t="s">
        <v>1837</v>
      </c>
      <c r="B450" s="141" t="s">
        <v>1835</v>
      </c>
      <c r="C450" s="141" t="s">
        <v>976</v>
      </c>
      <c r="D450" s="172">
        <v>59</v>
      </c>
      <c r="E450" s="141" t="s">
        <v>1193</v>
      </c>
      <c r="F450" s="141" t="s">
        <v>53</v>
      </c>
      <c r="G450" s="141" t="s">
        <v>1132</v>
      </c>
      <c r="H450" s="141" t="s">
        <v>348</v>
      </c>
      <c r="I450" s="141" t="s">
        <v>382</v>
      </c>
      <c r="J450" s="141" t="s">
        <v>988</v>
      </c>
      <c r="K450" s="141" t="s">
        <v>388</v>
      </c>
      <c r="L450" s="141" t="s">
        <v>539</v>
      </c>
      <c r="M450" s="141" t="s">
        <v>973</v>
      </c>
      <c r="N450" s="141" t="s">
        <v>1005</v>
      </c>
      <c r="O450" s="141" t="s">
        <v>53</v>
      </c>
      <c r="P450" s="141" t="s">
        <v>44</v>
      </c>
    </row>
    <row r="451" spans="1:16">
      <c r="A451" s="141" t="s">
        <v>1838</v>
      </c>
      <c r="B451" s="141" t="s">
        <v>1835</v>
      </c>
      <c r="C451" s="141" t="s">
        <v>969</v>
      </c>
      <c r="D451" s="172">
        <v>57</v>
      </c>
      <c r="E451" s="141" t="s">
        <v>1193</v>
      </c>
      <c r="F451" s="141" t="s">
        <v>53</v>
      </c>
      <c r="G451" s="141" t="s">
        <v>1132</v>
      </c>
      <c r="H451" s="141" t="s">
        <v>348</v>
      </c>
      <c r="I451" s="141" t="s">
        <v>382</v>
      </c>
      <c r="J451" s="141" t="s">
        <v>988</v>
      </c>
      <c r="K451" s="141" t="s">
        <v>388</v>
      </c>
      <c r="L451" s="141" t="s">
        <v>539</v>
      </c>
      <c r="M451" s="141" t="s">
        <v>973</v>
      </c>
      <c r="N451" s="141" t="s">
        <v>1005</v>
      </c>
      <c r="O451" s="141" t="s">
        <v>53</v>
      </c>
      <c r="P451" s="141" t="s">
        <v>44</v>
      </c>
    </row>
    <row r="452" spans="1:16">
      <c r="A452" s="141" t="s">
        <v>1839</v>
      </c>
      <c r="B452" s="141" t="s">
        <v>1835</v>
      </c>
      <c r="C452" s="141" t="s">
        <v>1030</v>
      </c>
      <c r="D452" s="172">
        <v>61</v>
      </c>
      <c r="E452" s="141" t="s">
        <v>1193</v>
      </c>
      <c r="F452" s="141" t="s">
        <v>53</v>
      </c>
      <c r="G452" s="141" t="s">
        <v>1132</v>
      </c>
      <c r="H452" s="141" t="s">
        <v>348</v>
      </c>
      <c r="I452" s="141" t="s">
        <v>382</v>
      </c>
      <c r="J452" s="141" t="s">
        <v>988</v>
      </c>
      <c r="K452" s="141" t="s">
        <v>388</v>
      </c>
      <c r="L452" s="141" t="s">
        <v>539</v>
      </c>
      <c r="M452" s="141" t="s">
        <v>973</v>
      </c>
      <c r="N452" s="141" t="s">
        <v>1005</v>
      </c>
      <c r="O452" s="141" t="s">
        <v>53</v>
      </c>
      <c r="P452" s="141" t="s">
        <v>44</v>
      </c>
    </row>
    <row r="453" spans="1:16">
      <c r="A453" s="141" t="s">
        <v>1840</v>
      </c>
      <c r="B453" s="141" t="s">
        <v>1841</v>
      </c>
      <c r="C453" s="141" t="s">
        <v>976</v>
      </c>
      <c r="D453" s="172">
        <v>59</v>
      </c>
      <c r="E453" s="141" t="s">
        <v>1842</v>
      </c>
      <c r="F453" s="141" t="s">
        <v>86</v>
      </c>
      <c r="G453" s="141" t="s">
        <v>1843</v>
      </c>
      <c r="H453" s="141" t="s">
        <v>324</v>
      </c>
      <c r="I453" s="141" t="s">
        <v>382</v>
      </c>
      <c r="J453" s="141" t="s">
        <v>988</v>
      </c>
      <c r="K453" s="141" t="s">
        <v>388</v>
      </c>
      <c r="L453" s="141" t="s">
        <v>386</v>
      </c>
      <c r="M453" s="141" t="s">
        <v>973</v>
      </c>
      <c r="N453" s="141" t="s">
        <v>998</v>
      </c>
      <c r="O453" s="141" t="s">
        <v>86</v>
      </c>
      <c r="P453" s="141" t="s">
        <v>44</v>
      </c>
    </row>
    <row r="454" spans="1:16">
      <c r="A454" s="141" t="s">
        <v>1844</v>
      </c>
      <c r="B454" s="141" t="s">
        <v>1841</v>
      </c>
      <c r="C454" s="141" t="s">
        <v>969</v>
      </c>
      <c r="D454" s="172">
        <v>57</v>
      </c>
      <c r="E454" s="141" t="s">
        <v>1842</v>
      </c>
      <c r="F454" s="141" t="s">
        <v>86</v>
      </c>
      <c r="G454" s="141" t="s">
        <v>1843</v>
      </c>
      <c r="H454" s="141" t="s">
        <v>324</v>
      </c>
      <c r="I454" s="141" t="s">
        <v>382</v>
      </c>
      <c r="J454" s="141" t="s">
        <v>988</v>
      </c>
      <c r="K454" s="141" t="s">
        <v>388</v>
      </c>
      <c r="L454" s="141" t="s">
        <v>386</v>
      </c>
      <c r="M454" s="141" t="s">
        <v>973</v>
      </c>
      <c r="N454" s="141" t="s">
        <v>998</v>
      </c>
      <c r="O454" s="141" t="s">
        <v>86</v>
      </c>
      <c r="P454" s="141" t="s">
        <v>44</v>
      </c>
    </row>
    <row r="455" spans="1:16">
      <c r="A455" s="141" t="s">
        <v>1845</v>
      </c>
      <c r="B455" s="141" t="s">
        <v>1841</v>
      </c>
      <c r="C455" s="141" t="s">
        <v>1030</v>
      </c>
      <c r="D455" s="172">
        <v>61</v>
      </c>
      <c r="E455" s="141" t="s">
        <v>1842</v>
      </c>
      <c r="F455" s="141" t="s">
        <v>86</v>
      </c>
      <c r="G455" s="141" t="s">
        <v>1843</v>
      </c>
      <c r="H455" s="141" t="s">
        <v>324</v>
      </c>
      <c r="I455" s="141" t="s">
        <v>382</v>
      </c>
      <c r="J455" s="141" t="s">
        <v>988</v>
      </c>
      <c r="K455" s="141" t="s">
        <v>388</v>
      </c>
      <c r="L455" s="141" t="s">
        <v>386</v>
      </c>
      <c r="M455" s="141" t="s">
        <v>973</v>
      </c>
      <c r="N455" s="141" t="s">
        <v>998</v>
      </c>
      <c r="O455" s="141" t="s">
        <v>86</v>
      </c>
      <c r="P455" s="141" t="s">
        <v>44</v>
      </c>
    </row>
    <row r="456" spans="1:16">
      <c r="A456" s="141" t="s">
        <v>1846</v>
      </c>
      <c r="B456" s="141" t="s">
        <v>1847</v>
      </c>
      <c r="C456" s="141" t="s">
        <v>1032</v>
      </c>
      <c r="D456" s="172">
        <v>55</v>
      </c>
      <c r="E456" s="141" t="s">
        <v>1842</v>
      </c>
      <c r="F456" s="141" t="s">
        <v>71</v>
      </c>
      <c r="G456" s="141" t="s">
        <v>1843</v>
      </c>
      <c r="H456" s="141" t="s">
        <v>324</v>
      </c>
      <c r="I456" s="141" t="s">
        <v>382</v>
      </c>
      <c r="J456" s="141" t="s">
        <v>988</v>
      </c>
      <c r="K456" s="141" t="s">
        <v>388</v>
      </c>
      <c r="L456" s="141" t="s">
        <v>386</v>
      </c>
      <c r="M456" s="141" t="s">
        <v>973</v>
      </c>
      <c r="N456" s="141" t="s">
        <v>1848</v>
      </c>
      <c r="O456" s="141" t="s">
        <v>71</v>
      </c>
      <c r="P456" s="141" t="s">
        <v>44</v>
      </c>
    </row>
    <row r="457" spans="1:16">
      <c r="A457" s="141" t="s">
        <v>1849</v>
      </c>
      <c r="B457" s="141" t="s">
        <v>1847</v>
      </c>
      <c r="C457" s="141" t="s">
        <v>976</v>
      </c>
      <c r="D457" s="172">
        <v>59</v>
      </c>
      <c r="E457" s="141" t="s">
        <v>1842</v>
      </c>
      <c r="F457" s="141" t="s">
        <v>71</v>
      </c>
      <c r="G457" s="141" t="s">
        <v>1843</v>
      </c>
      <c r="H457" s="141" t="s">
        <v>324</v>
      </c>
      <c r="I457" s="141" t="s">
        <v>382</v>
      </c>
      <c r="J457" s="141" t="s">
        <v>988</v>
      </c>
      <c r="K457" s="141" t="s">
        <v>388</v>
      </c>
      <c r="L457" s="141" t="s">
        <v>386</v>
      </c>
      <c r="M457" s="141" t="s">
        <v>973</v>
      </c>
      <c r="N457" s="141" t="s">
        <v>1848</v>
      </c>
      <c r="O457" s="141" t="s">
        <v>71</v>
      </c>
      <c r="P457" s="141" t="s">
        <v>44</v>
      </c>
    </row>
    <row r="458" spans="1:16">
      <c r="A458" s="141" t="s">
        <v>1850</v>
      </c>
      <c r="B458" s="141" t="s">
        <v>1847</v>
      </c>
      <c r="C458" s="141" t="s">
        <v>969</v>
      </c>
      <c r="D458" s="172">
        <v>57</v>
      </c>
      <c r="E458" s="141" t="s">
        <v>1842</v>
      </c>
      <c r="F458" s="141" t="s">
        <v>71</v>
      </c>
      <c r="G458" s="141" t="s">
        <v>1843</v>
      </c>
      <c r="H458" s="141" t="s">
        <v>324</v>
      </c>
      <c r="I458" s="141" t="s">
        <v>382</v>
      </c>
      <c r="J458" s="141" t="s">
        <v>988</v>
      </c>
      <c r="K458" s="141" t="s">
        <v>388</v>
      </c>
      <c r="L458" s="141" t="s">
        <v>386</v>
      </c>
      <c r="M458" s="141" t="s">
        <v>973</v>
      </c>
      <c r="N458" s="141" t="s">
        <v>1848</v>
      </c>
      <c r="O458" s="141" t="s">
        <v>71</v>
      </c>
      <c r="P458" s="141" t="s">
        <v>44</v>
      </c>
    </row>
    <row r="459" spans="1:16">
      <c r="A459" s="141" t="s">
        <v>1851</v>
      </c>
      <c r="B459" s="141" t="s">
        <v>1847</v>
      </c>
      <c r="C459" s="141" t="s">
        <v>1030</v>
      </c>
      <c r="D459" s="172">
        <v>61</v>
      </c>
      <c r="E459" s="141" t="s">
        <v>1842</v>
      </c>
      <c r="F459" s="141" t="s">
        <v>71</v>
      </c>
      <c r="G459" s="141" t="s">
        <v>1843</v>
      </c>
      <c r="H459" s="141" t="s">
        <v>324</v>
      </c>
      <c r="I459" s="141" t="s">
        <v>382</v>
      </c>
      <c r="J459" s="141" t="s">
        <v>988</v>
      </c>
      <c r="K459" s="141" t="s">
        <v>388</v>
      </c>
      <c r="L459" s="141" t="s">
        <v>386</v>
      </c>
      <c r="M459" s="141" t="s">
        <v>973</v>
      </c>
      <c r="N459" s="141" t="s">
        <v>1848</v>
      </c>
      <c r="O459" s="141" t="s">
        <v>71</v>
      </c>
      <c r="P459" s="141" t="s">
        <v>44</v>
      </c>
    </row>
    <row r="460" spans="1:16">
      <c r="A460" s="141" t="s">
        <v>1852</v>
      </c>
      <c r="B460" s="141" t="s">
        <v>1853</v>
      </c>
      <c r="C460" s="141" t="s">
        <v>909</v>
      </c>
      <c r="D460" s="142">
        <v>0</v>
      </c>
      <c r="E460" s="141" t="s">
        <v>1854</v>
      </c>
      <c r="F460" s="141" t="s">
        <v>63</v>
      </c>
      <c r="G460" s="141" t="s">
        <v>1221</v>
      </c>
      <c r="H460" s="141" t="s">
        <v>340</v>
      </c>
      <c r="I460" s="141" t="s">
        <v>382</v>
      </c>
      <c r="J460" s="141" t="s">
        <v>981</v>
      </c>
      <c r="K460" s="141" t="s">
        <v>389</v>
      </c>
      <c r="L460" s="141" t="s">
        <v>386</v>
      </c>
      <c r="M460" s="141" t="s">
        <v>973</v>
      </c>
      <c r="N460" s="141" t="s">
        <v>1085</v>
      </c>
      <c r="O460" s="141" t="s">
        <v>63</v>
      </c>
      <c r="P460" s="141"/>
    </row>
    <row r="461" spans="1:16">
      <c r="A461" s="141" t="s">
        <v>1855</v>
      </c>
      <c r="B461" s="141" t="s">
        <v>1856</v>
      </c>
      <c r="C461" s="141" t="s">
        <v>909</v>
      </c>
      <c r="D461" s="142">
        <v>0</v>
      </c>
      <c r="E461" s="141" t="s">
        <v>1854</v>
      </c>
      <c r="F461" s="141" t="s">
        <v>53</v>
      </c>
      <c r="G461" s="141" t="s">
        <v>1221</v>
      </c>
      <c r="H461" s="141" t="s">
        <v>340</v>
      </c>
      <c r="I461" s="141" t="s">
        <v>382</v>
      </c>
      <c r="J461" s="141" t="s">
        <v>981</v>
      </c>
      <c r="K461" s="141" t="s">
        <v>389</v>
      </c>
      <c r="L461" s="141" t="s">
        <v>386</v>
      </c>
      <c r="M461" s="141" t="s">
        <v>973</v>
      </c>
      <c r="N461" s="141" t="s">
        <v>1005</v>
      </c>
      <c r="O461" s="141" t="s">
        <v>53</v>
      </c>
      <c r="P461" s="141"/>
    </row>
    <row r="462" spans="1:16">
      <c r="A462" s="141" t="s">
        <v>1857</v>
      </c>
      <c r="B462" s="141" t="s">
        <v>1858</v>
      </c>
      <c r="C462" s="141" t="s">
        <v>909</v>
      </c>
      <c r="D462" s="142">
        <v>0</v>
      </c>
      <c r="E462" s="141" t="s">
        <v>1854</v>
      </c>
      <c r="F462" s="141" t="s">
        <v>55</v>
      </c>
      <c r="G462" s="141" t="s">
        <v>1221</v>
      </c>
      <c r="H462" s="141" t="s">
        <v>340</v>
      </c>
      <c r="I462" s="141" t="s">
        <v>382</v>
      </c>
      <c r="J462" s="141" t="s">
        <v>981</v>
      </c>
      <c r="K462" s="141" t="s">
        <v>389</v>
      </c>
      <c r="L462" s="141" t="s">
        <v>386</v>
      </c>
      <c r="M462" s="141" t="s">
        <v>973</v>
      </c>
      <c r="N462" s="141" t="s">
        <v>1848</v>
      </c>
      <c r="O462" s="141" t="s">
        <v>71</v>
      </c>
      <c r="P462" s="141"/>
    </row>
    <row r="463" spans="1:16">
      <c r="A463" s="141" t="s">
        <v>1859</v>
      </c>
      <c r="B463" s="141" t="s">
        <v>1860</v>
      </c>
      <c r="C463" s="141" t="s">
        <v>909</v>
      </c>
      <c r="D463" s="142">
        <v>0</v>
      </c>
      <c r="E463" s="141" t="s">
        <v>1317</v>
      </c>
      <c r="F463" s="141" t="s">
        <v>53</v>
      </c>
      <c r="G463" s="141" t="s">
        <v>1221</v>
      </c>
      <c r="H463" s="141" t="s">
        <v>340</v>
      </c>
      <c r="I463" s="141" t="s">
        <v>382</v>
      </c>
      <c r="J463" s="141" t="s">
        <v>988</v>
      </c>
      <c r="K463" s="141" t="s">
        <v>389</v>
      </c>
      <c r="L463" s="141" t="s">
        <v>539</v>
      </c>
      <c r="M463" s="141" t="s">
        <v>973</v>
      </c>
      <c r="N463" s="141" t="s">
        <v>1005</v>
      </c>
      <c r="O463" s="141" t="s">
        <v>53</v>
      </c>
      <c r="P463" s="141"/>
    </row>
    <row r="464" spans="1:16">
      <c r="A464" s="141" t="s">
        <v>1861</v>
      </c>
      <c r="B464" s="141" t="s">
        <v>1862</v>
      </c>
      <c r="C464" s="141" t="s">
        <v>909</v>
      </c>
      <c r="D464" s="142">
        <v>0</v>
      </c>
      <c r="E464" s="141" t="s">
        <v>1317</v>
      </c>
      <c r="F464" s="141" t="s">
        <v>277</v>
      </c>
      <c r="G464" s="141" t="s">
        <v>1221</v>
      </c>
      <c r="H464" s="141" t="s">
        <v>340</v>
      </c>
      <c r="I464" s="141" t="s">
        <v>382</v>
      </c>
      <c r="J464" s="141" t="s">
        <v>988</v>
      </c>
      <c r="K464" s="141" t="s">
        <v>389</v>
      </c>
      <c r="L464" s="141" t="s">
        <v>539</v>
      </c>
      <c r="M464" s="141" t="s">
        <v>973</v>
      </c>
      <c r="N464" s="141" t="s">
        <v>1148</v>
      </c>
      <c r="O464" s="141" t="s">
        <v>83</v>
      </c>
      <c r="P464" s="141"/>
    </row>
    <row r="465" spans="1:16">
      <c r="A465" s="141" t="s">
        <v>1863</v>
      </c>
      <c r="B465" s="141" t="s">
        <v>1864</v>
      </c>
      <c r="C465" s="141" t="s">
        <v>909</v>
      </c>
      <c r="D465" s="142">
        <v>0</v>
      </c>
      <c r="E465" s="141" t="s">
        <v>1731</v>
      </c>
      <c r="F465" s="141" t="s">
        <v>63</v>
      </c>
      <c r="G465" s="141" t="s">
        <v>1105</v>
      </c>
      <c r="H465" s="141" t="s">
        <v>334</v>
      </c>
      <c r="I465" s="141" t="s">
        <v>382</v>
      </c>
      <c r="J465" s="141" t="s">
        <v>988</v>
      </c>
      <c r="K465" s="141" t="s">
        <v>388</v>
      </c>
      <c r="L465" s="141" t="s">
        <v>386</v>
      </c>
      <c r="M465" s="141" t="s">
        <v>973</v>
      </c>
      <c r="N465" s="141" t="s">
        <v>1704</v>
      </c>
      <c r="O465" s="141" t="s">
        <v>63</v>
      </c>
      <c r="P465" s="141" t="s">
        <v>44</v>
      </c>
    </row>
    <row r="466" spans="1:16">
      <c r="A466" s="141" t="s">
        <v>1865</v>
      </c>
      <c r="B466" s="141" t="s">
        <v>1866</v>
      </c>
      <c r="C466" s="141" t="s">
        <v>909</v>
      </c>
      <c r="D466" s="142">
        <v>0</v>
      </c>
      <c r="E466" s="141" t="s">
        <v>1731</v>
      </c>
      <c r="F466" s="141" t="s">
        <v>55</v>
      </c>
      <c r="G466" s="141" t="s">
        <v>1105</v>
      </c>
      <c r="H466" s="141" t="s">
        <v>334</v>
      </c>
      <c r="I466" s="141" t="s">
        <v>382</v>
      </c>
      <c r="J466" s="141" t="s">
        <v>988</v>
      </c>
      <c r="K466" s="141" t="s">
        <v>388</v>
      </c>
      <c r="L466" s="141" t="s">
        <v>386</v>
      </c>
      <c r="M466" s="141" t="s">
        <v>973</v>
      </c>
      <c r="N466" s="141" t="s">
        <v>1848</v>
      </c>
      <c r="O466" s="141" t="s">
        <v>71</v>
      </c>
      <c r="P466" s="141" t="s">
        <v>44</v>
      </c>
    </row>
    <row r="467" spans="1:16">
      <c r="A467" s="141" t="s">
        <v>1867</v>
      </c>
      <c r="B467" s="141" t="s">
        <v>1868</v>
      </c>
      <c r="C467" s="141" t="s">
        <v>909</v>
      </c>
      <c r="D467" s="142">
        <v>0</v>
      </c>
      <c r="E467" s="141" t="s">
        <v>1731</v>
      </c>
      <c r="F467" s="141" t="s">
        <v>277</v>
      </c>
      <c r="G467" s="141" t="s">
        <v>1105</v>
      </c>
      <c r="H467" s="141" t="s">
        <v>334</v>
      </c>
      <c r="I467" s="141" t="s">
        <v>382</v>
      </c>
      <c r="J467" s="141" t="s">
        <v>988</v>
      </c>
      <c r="K467" s="141" t="s">
        <v>389</v>
      </c>
      <c r="L467" s="141" t="s">
        <v>386</v>
      </c>
      <c r="M467" s="141" t="s">
        <v>973</v>
      </c>
      <c r="N467" s="141" t="s">
        <v>1148</v>
      </c>
      <c r="O467" s="141" t="s">
        <v>83</v>
      </c>
      <c r="P467" s="141" t="s">
        <v>44</v>
      </c>
    </row>
    <row r="468" spans="1:16">
      <c r="A468" s="141" t="s">
        <v>1869</v>
      </c>
      <c r="B468" s="141" t="s">
        <v>1870</v>
      </c>
      <c r="C468" s="141" t="s">
        <v>909</v>
      </c>
      <c r="D468" s="142">
        <v>0</v>
      </c>
      <c r="E468" s="141" t="s">
        <v>1731</v>
      </c>
      <c r="F468" s="141" t="s">
        <v>83</v>
      </c>
      <c r="G468" s="141" t="s">
        <v>1105</v>
      </c>
      <c r="H468" s="141" t="s">
        <v>334</v>
      </c>
      <c r="I468" s="141" t="s">
        <v>382</v>
      </c>
      <c r="J468" s="141" t="s">
        <v>988</v>
      </c>
      <c r="K468" s="141" t="s">
        <v>388</v>
      </c>
      <c r="L468" s="141" t="s">
        <v>386</v>
      </c>
      <c r="M468" s="141" t="s">
        <v>973</v>
      </c>
      <c r="N468" s="141" t="s">
        <v>1119</v>
      </c>
      <c r="O468" s="141" t="s">
        <v>83</v>
      </c>
      <c r="P468" s="141" t="s">
        <v>44</v>
      </c>
    </row>
    <row r="469" spans="1:16">
      <c r="A469" s="141" t="s">
        <v>1871</v>
      </c>
      <c r="B469" s="141" t="s">
        <v>1872</v>
      </c>
      <c r="C469" s="141" t="s">
        <v>909</v>
      </c>
      <c r="D469" s="142">
        <v>0</v>
      </c>
      <c r="E469" s="141" t="s">
        <v>1731</v>
      </c>
      <c r="F469" s="141" t="s">
        <v>78</v>
      </c>
      <c r="G469" s="141" t="s">
        <v>1105</v>
      </c>
      <c r="H469" s="141" t="s">
        <v>334</v>
      </c>
      <c r="I469" s="141" t="s">
        <v>387</v>
      </c>
      <c r="J469" s="141" t="s">
        <v>988</v>
      </c>
      <c r="K469" s="141" t="s">
        <v>388</v>
      </c>
      <c r="L469" s="141" t="s">
        <v>386</v>
      </c>
      <c r="M469" s="141" t="s">
        <v>973</v>
      </c>
      <c r="N469" s="141" t="s">
        <v>1255</v>
      </c>
      <c r="O469" s="141" t="s">
        <v>78</v>
      </c>
      <c r="P469" s="141" t="s">
        <v>44</v>
      </c>
    </row>
    <row r="470" spans="1:16">
      <c r="A470" s="141" t="s">
        <v>1873</v>
      </c>
      <c r="B470" s="141" t="s">
        <v>1874</v>
      </c>
      <c r="C470" s="141" t="s">
        <v>969</v>
      </c>
      <c r="D470" s="172">
        <v>57</v>
      </c>
      <c r="E470" s="141" t="s">
        <v>1875</v>
      </c>
      <c r="F470" s="141" t="s">
        <v>53</v>
      </c>
      <c r="G470" s="141" t="s">
        <v>1444</v>
      </c>
      <c r="H470" s="141" t="s">
        <v>362</v>
      </c>
      <c r="I470" s="141" t="s">
        <v>382</v>
      </c>
      <c r="J470" s="141" t="s">
        <v>972</v>
      </c>
      <c r="K470" s="141" t="s">
        <v>389</v>
      </c>
      <c r="L470" s="141" t="s">
        <v>386</v>
      </c>
      <c r="M470" s="141" t="s">
        <v>973</v>
      </c>
      <c r="N470" s="141" t="s">
        <v>1005</v>
      </c>
      <c r="O470" s="141" t="s">
        <v>53</v>
      </c>
      <c r="P470" s="141" t="s">
        <v>44</v>
      </c>
    </row>
    <row r="471" spans="1:16">
      <c r="A471" s="141" t="s">
        <v>1876</v>
      </c>
      <c r="B471" s="141" t="s">
        <v>1874</v>
      </c>
      <c r="C471" s="141" t="s">
        <v>976</v>
      </c>
      <c r="D471" s="172">
        <v>59</v>
      </c>
      <c r="E471" s="141" t="s">
        <v>1875</v>
      </c>
      <c r="F471" s="141" t="s">
        <v>53</v>
      </c>
      <c r="G471" s="141" t="s">
        <v>1444</v>
      </c>
      <c r="H471" s="141" t="s">
        <v>362</v>
      </c>
      <c r="I471" s="141" t="s">
        <v>382</v>
      </c>
      <c r="J471" s="141" t="s">
        <v>972</v>
      </c>
      <c r="K471" s="141" t="s">
        <v>389</v>
      </c>
      <c r="L471" s="141" t="s">
        <v>386</v>
      </c>
      <c r="M471" s="141" t="s">
        <v>973</v>
      </c>
      <c r="N471" s="141" t="s">
        <v>1005</v>
      </c>
      <c r="O471" s="141" t="s">
        <v>53</v>
      </c>
      <c r="P471" s="141" t="s">
        <v>44</v>
      </c>
    </row>
    <row r="472" spans="1:16">
      <c r="A472" s="141" t="s">
        <v>1877</v>
      </c>
      <c r="B472" s="141" t="s">
        <v>1878</v>
      </c>
      <c r="C472" s="141" t="s">
        <v>969</v>
      </c>
      <c r="D472" s="172">
        <v>57</v>
      </c>
      <c r="E472" s="141" t="s">
        <v>1131</v>
      </c>
      <c r="F472" s="141" t="s">
        <v>53</v>
      </c>
      <c r="G472" s="141" t="s">
        <v>1132</v>
      </c>
      <c r="H472" s="141" t="s">
        <v>320</v>
      </c>
      <c r="I472" s="141" t="s">
        <v>382</v>
      </c>
      <c r="J472" s="141" t="s">
        <v>988</v>
      </c>
      <c r="K472" s="141" t="s">
        <v>388</v>
      </c>
      <c r="L472" s="141" t="s">
        <v>539</v>
      </c>
      <c r="M472" s="141" t="s">
        <v>808</v>
      </c>
      <c r="N472" s="141" t="s">
        <v>1005</v>
      </c>
      <c r="O472" s="141" t="s">
        <v>53</v>
      </c>
      <c r="P472" s="141" t="s">
        <v>44</v>
      </c>
    </row>
    <row r="473" spans="1:16">
      <c r="A473" s="141" t="s">
        <v>1879</v>
      </c>
      <c r="B473" s="141" t="s">
        <v>1878</v>
      </c>
      <c r="C473" s="141" t="s">
        <v>1032</v>
      </c>
      <c r="D473" s="172">
        <v>55</v>
      </c>
      <c r="E473" s="141" t="s">
        <v>1131</v>
      </c>
      <c r="F473" s="141" t="s">
        <v>53</v>
      </c>
      <c r="G473" s="141" t="s">
        <v>1132</v>
      </c>
      <c r="H473" s="141" t="s">
        <v>320</v>
      </c>
      <c r="I473" s="141" t="s">
        <v>382</v>
      </c>
      <c r="J473" s="141" t="s">
        <v>988</v>
      </c>
      <c r="K473" s="141" t="s">
        <v>388</v>
      </c>
      <c r="L473" s="141" t="s">
        <v>539</v>
      </c>
      <c r="M473" s="141" t="s">
        <v>808</v>
      </c>
      <c r="N473" s="141" t="s">
        <v>1005</v>
      </c>
      <c r="O473" s="141" t="s">
        <v>53</v>
      </c>
      <c r="P473" s="141" t="s">
        <v>44</v>
      </c>
    </row>
    <row r="474" spans="1:16">
      <c r="A474" s="141" t="s">
        <v>1880</v>
      </c>
      <c r="B474" s="141" t="s">
        <v>1878</v>
      </c>
      <c r="C474" s="141" t="s">
        <v>976</v>
      </c>
      <c r="D474" s="172">
        <v>59</v>
      </c>
      <c r="E474" s="141" t="s">
        <v>1131</v>
      </c>
      <c r="F474" s="141" t="s">
        <v>53</v>
      </c>
      <c r="G474" s="141" t="s">
        <v>1132</v>
      </c>
      <c r="H474" s="141" t="s">
        <v>320</v>
      </c>
      <c r="I474" s="141" t="s">
        <v>382</v>
      </c>
      <c r="J474" s="141" t="s">
        <v>988</v>
      </c>
      <c r="K474" s="141" t="s">
        <v>388</v>
      </c>
      <c r="L474" s="141" t="s">
        <v>539</v>
      </c>
      <c r="M474" s="141" t="s">
        <v>808</v>
      </c>
      <c r="N474" s="141" t="s">
        <v>1005</v>
      </c>
      <c r="O474" s="141" t="s">
        <v>53</v>
      </c>
      <c r="P474" s="141" t="s">
        <v>44</v>
      </c>
    </row>
    <row r="475" spans="1:16">
      <c r="A475" s="141" t="s">
        <v>1881</v>
      </c>
      <c r="B475" s="141" t="s">
        <v>1878</v>
      </c>
      <c r="C475" s="141" t="s">
        <v>1030</v>
      </c>
      <c r="D475" s="172">
        <v>61</v>
      </c>
      <c r="E475" s="141" t="s">
        <v>1131</v>
      </c>
      <c r="F475" s="141" t="s">
        <v>53</v>
      </c>
      <c r="G475" s="141" t="s">
        <v>1132</v>
      </c>
      <c r="H475" s="141" t="s">
        <v>320</v>
      </c>
      <c r="I475" s="141" t="s">
        <v>382</v>
      </c>
      <c r="J475" s="141" t="s">
        <v>988</v>
      </c>
      <c r="K475" s="141" t="s">
        <v>388</v>
      </c>
      <c r="L475" s="141" t="s">
        <v>539</v>
      </c>
      <c r="M475" s="141" t="s">
        <v>808</v>
      </c>
      <c r="N475" s="141" t="s">
        <v>1005</v>
      </c>
      <c r="O475" s="141" t="s">
        <v>53</v>
      </c>
      <c r="P475" s="141" t="s">
        <v>44</v>
      </c>
    </row>
    <row r="476" spans="1:16">
      <c r="A476" s="141" t="s">
        <v>1882</v>
      </c>
      <c r="B476" s="141" t="s">
        <v>1883</v>
      </c>
      <c r="C476" s="141" t="s">
        <v>1032</v>
      </c>
      <c r="D476" s="172">
        <v>55</v>
      </c>
      <c r="E476" s="141" t="s">
        <v>1131</v>
      </c>
      <c r="F476" s="141" t="s">
        <v>300</v>
      </c>
      <c r="G476" s="141" t="s">
        <v>1132</v>
      </c>
      <c r="H476" s="141" t="s">
        <v>320</v>
      </c>
      <c r="I476" s="141" t="s">
        <v>382</v>
      </c>
      <c r="J476" s="141" t="s">
        <v>988</v>
      </c>
      <c r="K476" s="141" t="s">
        <v>388</v>
      </c>
      <c r="L476" s="141" t="s">
        <v>539</v>
      </c>
      <c r="M476" s="141" t="s">
        <v>973</v>
      </c>
      <c r="N476" s="141" t="s">
        <v>1884</v>
      </c>
      <c r="O476" s="141" t="s">
        <v>53</v>
      </c>
      <c r="P476" s="141" t="s">
        <v>44</v>
      </c>
    </row>
    <row r="477" spans="1:16">
      <c r="A477" s="141" t="s">
        <v>1885</v>
      </c>
      <c r="B477" s="141" t="s">
        <v>1883</v>
      </c>
      <c r="C477" s="141" t="s">
        <v>969</v>
      </c>
      <c r="D477" s="172">
        <v>57</v>
      </c>
      <c r="E477" s="141" t="s">
        <v>1131</v>
      </c>
      <c r="F477" s="141" t="s">
        <v>300</v>
      </c>
      <c r="G477" s="141" t="s">
        <v>1132</v>
      </c>
      <c r="H477" s="141" t="s">
        <v>320</v>
      </c>
      <c r="I477" s="141" t="s">
        <v>382</v>
      </c>
      <c r="J477" s="141" t="s">
        <v>988</v>
      </c>
      <c r="K477" s="141" t="s">
        <v>388</v>
      </c>
      <c r="L477" s="141" t="s">
        <v>539</v>
      </c>
      <c r="M477" s="141" t="s">
        <v>973</v>
      </c>
      <c r="N477" s="141" t="s">
        <v>1884</v>
      </c>
      <c r="O477" s="141" t="s">
        <v>53</v>
      </c>
      <c r="P477" s="141" t="s">
        <v>44</v>
      </c>
    </row>
    <row r="478" spans="1:16">
      <c r="A478" s="141" t="s">
        <v>1886</v>
      </c>
      <c r="B478" s="141" t="s">
        <v>1883</v>
      </c>
      <c r="C478" s="141" t="s">
        <v>976</v>
      </c>
      <c r="D478" s="172">
        <v>59</v>
      </c>
      <c r="E478" s="141" t="s">
        <v>1131</v>
      </c>
      <c r="F478" s="141" t="s">
        <v>300</v>
      </c>
      <c r="G478" s="141" t="s">
        <v>1132</v>
      </c>
      <c r="H478" s="141" t="s">
        <v>320</v>
      </c>
      <c r="I478" s="141" t="s">
        <v>382</v>
      </c>
      <c r="J478" s="141" t="s">
        <v>988</v>
      </c>
      <c r="K478" s="141" t="s">
        <v>388</v>
      </c>
      <c r="L478" s="141" t="s">
        <v>539</v>
      </c>
      <c r="M478" s="141" t="s">
        <v>973</v>
      </c>
      <c r="N478" s="141" t="s">
        <v>1884</v>
      </c>
      <c r="O478" s="141" t="s">
        <v>53</v>
      </c>
      <c r="P478" s="141" t="s">
        <v>44</v>
      </c>
    </row>
    <row r="479" spans="1:16">
      <c r="A479" s="141" t="s">
        <v>1887</v>
      </c>
      <c r="B479" s="141" t="s">
        <v>1883</v>
      </c>
      <c r="C479" s="141" t="s">
        <v>1030</v>
      </c>
      <c r="D479" s="172">
        <v>61</v>
      </c>
      <c r="E479" s="141" t="s">
        <v>1131</v>
      </c>
      <c r="F479" s="141" t="s">
        <v>300</v>
      </c>
      <c r="G479" s="141" t="s">
        <v>1132</v>
      </c>
      <c r="H479" s="141" t="s">
        <v>320</v>
      </c>
      <c r="I479" s="141" t="s">
        <v>382</v>
      </c>
      <c r="J479" s="141" t="s">
        <v>988</v>
      </c>
      <c r="K479" s="141" t="s">
        <v>388</v>
      </c>
      <c r="L479" s="141" t="s">
        <v>539</v>
      </c>
      <c r="M479" s="141" t="s">
        <v>973</v>
      </c>
      <c r="N479" s="141" t="s">
        <v>1884</v>
      </c>
      <c r="O479" s="141" t="s">
        <v>53</v>
      </c>
      <c r="P479" s="141" t="s">
        <v>44</v>
      </c>
    </row>
    <row r="480" spans="1:16">
      <c r="A480" s="141" t="s">
        <v>1888</v>
      </c>
      <c r="B480" s="141" t="s">
        <v>1889</v>
      </c>
      <c r="C480" s="141" t="s">
        <v>1032</v>
      </c>
      <c r="D480" s="172">
        <v>55</v>
      </c>
      <c r="E480" s="141" t="s">
        <v>1131</v>
      </c>
      <c r="F480" s="141" t="s">
        <v>55</v>
      </c>
      <c r="G480" s="141" t="s">
        <v>1132</v>
      </c>
      <c r="H480" s="141" t="s">
        <v>320</v>
      </c>
      <c r="I480" s="141" t="s">
        <v>382</v>
      </c>
      <c r="J480" s="141" t="s">
        <v>988</v>
      </c>
      <c r="K480" s="141" t="s">
        <v>388</v>
      </c>
      <c r="L480" s="141" t="s">
        <v>539</v>
      </c>
      <c r="M480" s="141" t="s">
        <v>973</v>
      </c>
      <c r="N480" s="141" t="s">
        <v>1848</v>
      </c>
      <c r="O480" s="141" t="s">
        <v>71</v>
      </c>
      <c r="P480" s="141" t="s">
        <v>44</v>
      </c>
    </row>
    <row r="481" spans="1:16">
      <c r="A481" s="141" t="s">
        <v>1890</v>
      </c>
      <c r="B481" s="141" t="s">
        <v>1889</v>
      </c>
      <c r="C481" s="141" t="s">
        <v>1030</v>
      </c>
      <c r="D481" s="172">
        <v>61</v>
      </c>
      <c r="E481" s="141" t="s">
        <v>1131</v>
      </c>
      <c r="F481" s="141" t="s">
        <v>55</v>
      </c>
      <c r="G481" s="141" t="s">
        <v>1132</v>
      </c>
      <c r="H481" s="141" t="s">
        <v>320</v>
      </c>
      <c r="I481" s="141" t="s">
        <v>382</v>
      </c>
      <c r="J481" s="141" t="s">
        <v>988</v>
      </c>
      <c r="K481" s="141" t="s">
        <v>388</v>
      </c>
      <c r="L481" s="141" t="s">
        <v>539</v>
      </c>
      <c r="M481" s="141" t="s">
        <v>973</v>
      </c>
      <c r="N481" s="141" t="s">
        <v>1848</v>
      </c>
      <c r="O481" s="141" t="s">
        <v>71</v>
      </c>
      <c r="P481" s="141" t="s">
        <v>44</v>
      </c>
    </row>
    <row r="482" spans="1:16">
      <c r="A482" s="141" t="s">
        <v>1891</v>
      </c>
      <c r="B482" s="141" t="s">
        <v>1889</v>
      </c>
      <c r="C482" s="141" t="s">
        <v>976</v>
      </c>
      <c r="D482" s="172">
        <v>59</v>
      </c>
      <c r="E482" s="141" t="s">
        <v>1131</v>
      </c>
      <c r="F482" s="141" t="s">
        <v>55</v>
      </c>
      <c r="G482" s="141" t="s">
        <v>1132</v>
      </c>
      <c r="H482" s="141" t="s">
        <v>320</v>
      </c>
      <c r="I482" s="141" t="s">
        <v>382</v>
      </c>
      <c r="J482" s="141" t="s">
        <v>988</v>
      </c>
      <c r="K482" s="141" t="s">
        <v>388</v>
      </c>
      <c r="L482" s="141" t="s">
        <v>539</v>
      </c>
      <c r="M482" s="141" t="s">
        <v>973</v>
      </c>
      <c r="N482" s="141" t="s">
        <v>1848</v>
      </c>
      <c r="O482" s="141" t="s">
        <v>71</v>
      </c>
      <c r="P482" s="141" t="s">
        <v>44</v>
      </c>
    </row>
    <row r="483" spans="1:16">
      <c r="A483" s="141" t="s">
        <v>1892</v>
      </c>
      <c r="B483" s="141" t="s">
        <v>1889</v>
      </c>
      <c r="C483" s="141" t="s">
        <v>969</v>
      </c>
      <c r="D483" s="172">
        <v>57</v>
      </c>
      <c r="E483" s="141" t="s">
        <v>1131</v>
      </c>
      <c r="F483" s="141" t="s">
        <v>55</v>
      </c>
      <c r="G483" s="141" t="s">
        <v>1132</v>
      </c>
      <c r="H483" s="141" t="s">
        <v>320</v>
      </c>
      <c r="I483" s="141" t="s">
        <v>382</v>
      </c>
      <c r="J483" s="141" t="s">
        <v>988</v>
      </c>
      <c r="K483" s="141" t="s">
        <v>388</v>
      </c>
      <c r="L483" s="141" t="s">
        <v>539</v>
      </c>
      <c r="M483" s="141" t="s">
        <v>973</v>
      </c>
      <c r="N483" s="141" t="s">
        <v>1848</v>
      </c>
      <c r="O483" s="141" t="s">
        <v>71</v>
      </c>
      <c r="P483" s="141" t="s">
        <v>44</v>
      </c>
    </row>
    <row r="484" spans="1:16">
      <c r="A484" s="141" t="s">
        <v>1893</v>
      </c>
      <c r="B484" s="141" t="s">
        <v>1894</v>
      </c>
      <c r="C484" s="141" t="s">
        <v>1032</v>
      </c>
      <c r="D484" s="172">
        <v>55</v>
      </c>
      <c r="E484" s="141" t="s">
        <v>1131</v>
      </c>
      <c r="F484" s="141" t="s">
        <v>277</v>
      </c>
      <c r="G484" s="141" t="s">
        <v>1132</v>
      </c>
      <c r="H484" s="141" t="s">
        <v>320</v>
      </c>
      <c r="I484" s="141" t="s">
        <v>382</v>
      </c>
      <c r="J484" s="141" t="s">
        <v>988</v>
      </c>
      <c r="K484" s="141" t="s">
        <v>388</v>
      </c>
      <c r="L484" s="141" t="s">
        <v>539</v>
      </c>
      <c r="M484" s="141" t="s">
        <v>973</v>
      </c>
      <c r="N484" s="141" t="s">
        <v>1148</v>
      </c>
      <c r="O484" s="141" t="s">
        <v>83</v>
      </c>
      <c r="P484" s="141" t="s">
        <v>44</v>
      </c>
    </row>
    <row r="485" spans="1:16">
      <c r="A485" s="141" t="s">
        <v>1895</v>
      </c>
      <c r="B485" s="141" t="s">
        <v>1894</v>
      </c>
      <c r="C485" s="141" t="s">
        <v>1030</v>
      </c>
      <c r="D485" s="172">
        <v>61</v>
      </c>
      <c r="E485" s="141" t="s">
        <v>1131</v>
      </c>
      <c r="F485" s="141" t="s">
        <v>277</v>
      </c>
      <c r="G485" s="141" t="s">
        <v>1132</v>
      </c>
      <c r="H485" s="141" t="s">
        <v>320</v>
      </c>
      <c r="I485" s="141" t="s">
        <v>382</v>
      </c>
      <c r="J485" s="141" t="s">
        <v>988</v>
      </c>
      <c r="K485" s="141" t="s">
        <v>388</v>
      </c>
      <c r="L485" s="141" t="s">
        <v>539</v>
      </c>
      <c r="M485" s="141" t="s">
        <v>973</v>
      </c>
      <c r="N485" s="141" t="s">
        <v>1148</v>
      </c>
      <c r="O485" s="141" t="s">
        <v>83</v>
      </c>
      <c r="P485" s="141" t="s">
        <v>44</v>
      </c>
    </row>
    <row r="486" spans="1:16">
      <c r="A486" s="141" t="s">
        <v>1896</v>
      </c>
      <c r="B486" s="141" t="s">
        <v>1894</v>
      </c>
      <c r="C486" s="141" t="s">
        <v>976</v>
      </c>
      <c r="D486" s="172">
        <v>59</v>
      </c>
      <c r="E486" s="141" t="s">
        <v>1131</v>
      </c>
      <c r="F486" s="141" t="s">
        <v>277</v>
      </c>
      <c r="G486" s="141" t="s">
        <v>1132</v>
      </c>
      <c r="H486" s="141" t="s">
        <v>320</v>
      </c>
      <c r="I486" s="141" t="s">
        <v>382</v>
      </c>
      <c r="J486" s="141" t="s">
        <v>988</v>
      </c>
      <c r="K486" s="141" t="s">
        <v>388</v>
      </c>
      <c r="L486" s="141" t="s">
        <v>539</v>
      </c>
      <c r="M486" s="141" t="s">
        <v>973</v>
      </c>
      <c r="N486" s="141" t="s">
        <v>1148</v>
      </c>
      <c r="O486" s="141" t="s">
        <v>83</v>
      </c>
      <c r="P486" s="141" t="s">
        <v>44</v>
      </c>
    </row>
    <row r="487" spans="1:16">
      <c r="A487" s="141" t="s">
        <v>1897</v>
      </c>
      <c r="B487" s="141" t="s">
        <v>1894</v>
      </c>
      <c r="C487" s="141" t="s">
        <v>969</v>
      </c>
      <c r="D487" s="172">
        <v>57</v>
      </c>
      <c r="E487" s="141" t="s">
        <v>1131</v>
      </c>
      <c r="F487" s="141" t="s">
        <v>277</v>
      </c>
      <c r="G487" s="141" t="s">
        <v>1132</v>
      </c>
      <c r="H487" s="141" t="s">
        <v>320</v>
      </c>
      <c r="I487" s="141" t="s">
        <v>382</v>
      </c>
      <c r="J487" s="141" t="s">
        <v>988</v>
      </c>
      <c r="K487" s="141" t="s">
        <v>388</v>
      </c>
      <c r="L487" s="141" t="s">
        <v>539</v>
      </c>
      <c r="M487" s="141" t="s">
        <v>973</v>
      </c>
      <c r="N487" s="141" t="s">
        <v>1148</v>
      </c>
      <c r="O487" s="141" t="s">
        <v>83</v>
      </c>
      <c r="P487" s="141" t="s">
        <v>44</v>
      </c>
    </row>
    <row r="488" spans="1:16">
      <c r="A488" s="141" t="s">
        <v>1898</v>
      </c>
      <c r="B488" s="141" t="s">
        <v>1899</v>
      </c>
      <c r="C488" s="141" t="s">
        <v>976</v>
      </c>
      <c r="D488" s="172">
        <v>59</v>
      </c>
      <c r="E488" s="141" t="s">
        <v>1900</v>
      </c>
      <c r="F488" s="141" t="s">
        <v>53</v>
      </c>
      <c r="G488" s="141" t="s">
        <v>1843</v>
      </c>
      <c r="H488" s="141" t="s">
        <v>320</v>
      </c>
      <c r="I488" s="141" t="s">
        <v>382</v>
      </c>
      <c r="J488" s="141" t="s">
        <v>988</v>
      </c>
      <c r="K488" s="141" t="s">
        <v>388</v>
      </c>
      <c r="L488" s="141" t="s">
        <v>386</v>
      </c>
      <c r="M488" s="141" t="s">
        <v>973</v>
      </c>
      <c r="N488" s="141" t="s">
        <v>1005</v>
      </c>
      <c r="O488" s="141" t="s">
        <v>53</v>
      </c>
      <c r="P488" s="141" t="s">
        <v>44</v>
      </c>
    </row>
    <row r="489" spans="1:16">
      <c r="A489" s="141" t="s">
        <v>1901</v>
      </c>
      <c r="B489" s="141" t="s">
        <v>1899</v>
      </c>
      <c r="C489" s="141" t="s">
        <v>969</v>
      </c>
      <c r="D489" s="172">
        <v>57</v>
      </c>
      <c r="E489" s="141" t="s">
        <v>1900</v>
      </c>
      <c r="F489" s="141" t="s">
        <v>53</v>
      </c>
      <c r="G489" s="141" t="s">
        <v>1843</v>
      </c>
      <c r="H489" s="141" t="s">
        <v>320</v>
      </c>
      <c r="I489" s="141" t="s">
        <v>382</v>
      </c>
      <c r="J489" s="141" t="s">
        <v>988</v>
      </c>
      <c r="K489" s="141" t="s">
        <v>388</v>
      </c>
      <c r="L489" s="141" t="s">
        <v>386</v>
      </c>
      <c r="M489" s="141" t="s">
        <v>973</v>
      </c>
      <c r="N489" s="141" t="s">
        <v>1005</v>
      </c>
      <c r="O489" s="141" t="s">
        <v>53</v>
      </c>
      <c r="P489" s="141" t="s">
        <v>44</v>
      </c>
    </row>
    <row r="490" spans="1:16">
      <c r="A490" s="141" t="s">
        <v>1902</v>
      </c>
      <c r="B490" s="141" t="s">
        <v>1899</v>
      </c>
      <c r="C490" s="141" t="s">
        <v>1030</v>
      </c>
      <c r="D490" s="172">
        <v>61</v>
      </c>
      <c r="E490" s="141" t="s">
        <v>1900</v>
      </c>
      <c r="F490" s="141" t="s">
        <v>53</v>
      </c>
      <c r="G490" s="141" t="s">
        <v>1843</v>
      </c>
      <c r="H490" s="141" t="s">
        <v>320</v>
      </c>
      <c r="I490" s="141" t="s">
        <v>382</v>
      </c>
      <c r="J490" s="141" t="s">
        <v>988</v>
      </c>
      <c r="K490" s="141" t="s">
        <v>388</v>
      </c>
      <c r="L490" s="141" t="s">
        <v>386</v>
      </c>
      <c r="M490" s="141" t="s">
        <v>973</v>
      </c>
      <c r="N490" s="141" t="s">
        <v>1005</v>
      </c>
      <c r="O490" s="141" t="s">
        <v>53</v>
      </c>
      <c r="P490" s="141" t="s">
        <v>44</v>
      </c>
    </row>
    <row r="491" spans="1:16">
      <c r="A491" s="141" t="s">
        <v>1903</v>
      </c>
      <c r="B491" s="141" t="s">
        <v>1904</v>
      </c>
      <c r="C491" s="141" t="s">
        <v>969</v>
      </c>
      <c r="D491" s="172">
        <v>57</v>
      </c>
      <c r="E491" s="141" t="s">
        <v>1900</v>
      </c>
      <c r="F491" s="141" t="s">
        <v>86</v>
      </c>
      <c r="G491" s="141" t="s">
        <v>1843</v>
      </c>
      <c r="H491" s="141" t="s">
        <v>320</v>
      </c>
      <c r="I491" s="141" t="s">
        <v>382</v>
      </c>
      <c r="J491" s="141" t="s">
        <v>988</v>
      </c>
      <c r="K491" s="141" t="s">
        <v>388</v>
      </c>
      <c r="L491" s="141" t="s">
        <v>386</v>
      </c>
      <c r="M491" s="141" t="s">
        <v>973</v>
      </c>
      <c r="N491" s="141" t="s">
        <v>998</v>
      </c>
      <c r="O491" s="141" t="s">
        <v>86</v>
      </c>
      <c r="P491" s="141"/>
    </row>
    <row r="492" spans="1:16">
      <c r="A492" s="141" t="s">
        <v>1905</v>
      </c>
      <c r="B492" s="141" t="s">
        <v>1904</v>
      </c>
      <c r="C492" s="141" t="s">
        <v>976</v>
      </c>
      <c r="D492" s="172">
        <v>59</v>
      </c>
      <c r="E492" s="141" t="s">
        <v>1900</v>
      </c>
      <c r="F492" s="141" t="s">
        <v>86</v>
      </c>
      <c r="G492" s="141" t="s">
        <v>1843</v>
      </c>
      <c r="H492" s="141" t="s">
        <v>320</v>
      </c>
      <c r="I492" s="141" t="s">
        <v>382</v>
      </c>
      <c r="J492" s="141" t="s">
        <v>988</v>
      </c>
      <c r="K492" s="141" t="s">
        <v>388</v>
      </c>
      <c r="L492" s="141" t="s">
        <v>386</v>
      </c>
      <c r="M492" s="141" t="s">
        <v>973</v>
      </c>
      <c r="N492" s="141" t="s">
        <v>998</v>
      </c>
      <c r="O492" s="141" t="s">
        <v>86</v>
      </c>
      <c r="P492" s="141"/>
    </row>
    <row r="493" spans="1:16">
      <c r="A493" s="141" t="s">
        <v>1906</v>
      </c>
      <c r="B493" s="141" t="s">
        <v>1904</v>
      </c>
      <c r="C493" s="141" t="s">
        <v>1030</v>
      </c>
      <c r="D493" s="172">
        <v>61</v>
      </c>
      <c r="E493" s="141" t="s">
        <v>1900</v>
      </c>
      <c r="F493" s="141" t="s">
        <v>86</v>
      </c>
      <c r="G493" s="141" t="s">
        <v>1843</v>
      </c>
      <c r="H493" s="141" t="s">
        <v>320</v>
      </c>
      <c r="I493" s="141" t="s">
        <v>382</v>
      </c>
      <c r="J493" s="141" t="s">
        <v>988</v>
      </c>
      <c r="K493" s="141" t="s">
        <v>388</v>
      </c>
      <c r="L493" s="141" t="s">
        <v>386</v>
      </c>
      <c r="M493" s="141" t="s">
        <v>973</v>
      </c>
      <c r="N493" s="141" t="s">
        <v>998</v>
      </c>
      <c r="O493" s="141" t="s">
        <v>86</v>
      </c>
      <c r="P493" s="141"/>
    </row>
    <row r="494" spans="1:16">
      <c r="A494" s="141" t="s">
        <v>1907</v>
      </c>
      <c r="B494" s="141" t="s">
        <v>1908</v>
      </c>
      <c r="C494" s="141" t="s">
        <v>1030</v>
      </c>
      <c r="D494" s="172">
        <v>61</v>
      </c>
      <c r="E494" s="141" t="s">
        <v>1900</v>
      </c>
      <c r="F494" s="141" t="s">
        <v>55</v>
      </c>
      <c r="G494" s="141" t="s">
        <v>1843</v>
      </c>
      <c r="H494" s="141" t="s">
        <v>320</v>
      </c>
      <c r="I494" s="141" t="s">
        <v>382</v>
      </c>
      <c r="J494" s="141" t="s">
        <v>988</v>
      </c>
      <c r="K494" s="141" t="s">
        <v>388</v>
      </c>
      <c r="L494" s="141" t="s">
        <v>386</v>
      </c>
      <c r="M494" s="141" t="s">
        <v>973</v>
      </c>
      <c r="N494" s="141" t="s">
        <v>1848</v>
      </c>
      <c r="O494" s="141" t="s">
        <v>71</v>
      </c>
      <c r="P494" s="141" t="s">
        <v>44</v>
      </c>
    </row>
    <row r="495" spans="1:16">
      <c r="A495" s="141" t="s">
        <v>1909</v>
      </c>
      <c r="B495" s="141" t="s">
        <v>1908</v>
      </c>
      <c r="C495" s="141" t="s">
        <v>976</v>
      </c>
      <c r="D495" s="172">
        <v>59</v>
      </c>
      <c r="E495" s="141" t="s">
        <v>1900</v>
      </c>
      <c r="F495" s="141" t="s">
        <v>55</v>
      </c>
      <c r="G495" s="141" t="s">
        <v>1843</v>
      </c>
      <c r="H495" s="141" t="s">
        <v>320</v>
      </c>
      <c r="I495" s="141" t="s">
        <v>382</v>
      </c>
      <c r="J495" s="141" t="s">
        <v>988</v>
      </c>
      <c r="K495" s="141" t="s">
        <v>388</v>
      </c>
      <c r="L495" s="141" t="s">
        <v>386</v>
      </c>
      <c r="M495" s="141" t="s">
        <v>973</v>
      </c>
      <c r="N495" s="141" t="s">
        <v>1848</v>
      </c>
      <c r="O495" s="141" t="s">
        <v>71</v>
      </c>
      <c r="P495" s="141" t="s">
        <v>44</v>
      </c>
    </row>
    <row r="496" spans="1:16">
      <c r="A496" s="141" t="s">
        <v>1910</v>
      </c>
      <c r="B496" s="141" t="s">
        <v>1908</v>
      </c>
      <c r="C496" s="141" t="s">
        <v>969</v>
      </c>
      <c r="D496" s="172">
        <v>57</v>
      </c>
      <c r="E496" s="141" t="s">
        <v>1900</v>
      </c>
      <c r="F496" s="141" t="s">
        <v>55</v>
      </c>
      <c r="G496" s="141" t="s">
        <v>1843</v>
      </c>
      <c r="H496" s="141" t="s">
        <v>320</v>
      </c>
      <c r="I496" s="141" t="s">
        <v>382</v>
      </c>
      <c r="J496" s="141" t="s">
        <v>988</v>
      </c>
      <c r="K496" s="141" t="s">
        <v>388</v>
      </c>
      <c r="L496" s="141" t="s">
        <v>386</v>
      </c>
      <c r="M496" s="141" t="s">
        <v>973</v>
      </c>
      <c r="N496" s="141" t="s">
        <v>1848</v>
      </c>
      <c r="O496" s="141" t="s">
        <v>71</v>
      </c>
      <c r="P496" s="141" t="s">
        <v>44</v>
      </c>
    </row>
    <row r="497" spans="1:16">
      <c r="A497" s="141" t="s">
        <v>1911</v>
      </c>
      <c r="B497" s="141" t="s">
        <v>1912</v>
      </c>
      <c r="C497" s="141" t="s">
        <v>909</v>
      </c>
      <c r="D497" s="142">
        <v>0</v>
      </c>
      <c r="E497" s="141" t="s">
        <v>1734</v>
      </c>
      <c r="F497" s="141" t="s">
        <v>53</v>
      </c>
      <c r="G497" s="141" t="s">
        <v>1221</v>
      </c>
      <c r="H497" s="141" t="s">
        <v>340</v>
      </c>
      <c r="I497" s="141" t="s">
        <v>382</v>
      </c>
      <c r="J497" s="141" t="s">
        <v>972</v>
      </c>
      <c r="K497" s="141" t="s">
        <v>389</v>
      </c>
      <c r="L497" s="141" t="s">
        <v>386</v>
      </c>
      <c r="M497" s="141" t="s">
        <v>973</v>
      </c>
      <c r="N497" s="141" t="s">
        <v>1005</v>
      </c>
      <c r="O497" s="141" t="s">
        <v>53</v>
      </c>
      <c r="P497" s="141"/>
    </row>
    <row r="498" spans="1:16">
      <c r="A498" s="141" t="s">
        <v>1913</v>
      </c>
      <c r="B498" s="141" t="s">
        <v>1914</v>
      </c>
      <c r="C498" s="141" t="s">
        <v>1032</v>
      </c>
      <c r="D498" s="172">
        <v>55</v>
      </c>
      <c r="E498" s="141" t="s">
        <v>1675</v>
      </c>
      <c r="F498" s="141" t="s">
        <v>53</v>
      </c>
      <c r="G498" s="141" t="s">
        <v>1676</v>
      </c>
      <c r="H498" s="141" t="s">
        <v>320</v>
      </c>
      <c r="I498" s="141" t="s">
        <v>382</v>
      </c>
      <c r="J498" s="141" t="s">
        <v>972</v>
      </c>
      <c r="K498" s="141" t="s">
        <v>388</v>
      </c>
      <c r="L498" s="141" t="s">
        <v>386</v>
      </c>
      <c r="M498" s="141" t="s">
        <v>973</v>
      </c>
      <c r="N498" s="141" t="s">
        <v>1005</v>
      </c>
      <c r="O498" s="141" t="s">
        <v>53</v>
      </c>
      <c r="P498" s="141" t="s">
        <v>44</v>
      </c>
    </row>
    <row r="499" spans="1:16">
      <c r="A499" s="141" t="s">
        <v>1915</v>
      </c>
      <c r="B499" s="141" t="s">
        <v>1914</v>
      </c>
      <c r="C499" s="141" t="s">
        <v>976</v>
      </c>
      <c r="D499" s="172">
        <v>59</v>
      </c>
      <c r="E499" s="141" t="s">
        <v>1675</v>
      </c>
      <c r="F499" s="141" t="s">
        <v>53</v>
      </c>
      <c r="G499" s="141" t="s">
        <v>1676</v>
      </c>
      <c r="H499" s="141" t="s">
        <v>320</v>
      </c>
      <c r="I499" s="141" t="s">
        <v>382</v>
      </c>
      <c r="J499" s="141" t="s">
        <v>972</v>
      </c>
      <c r="K499" s="141" t="s">
        <v>388</v>
      </c>
      <c r="L499" s="141" t="s">
        <v>386</v>
      </c>
      <c r="M499" s="141" t="s">
        <v>973</v>
      </c>
      <c r="N499" s="141" t="s">
        <v>1005</v>
      </c>
      <c r="O499" s="141" t="s">
        <v>53</v>
      </c>
      <c r="P499" s="141" t="s">
        <v>44</v>
      </c>
    </row>
    <row r="500" spans="1:16">
      <c r="A500" s="141" t="s">
        <v>1916</v>
      </c>
      <c r="B500" s="141" t="s">
        <v>1914</v>
      </c>
      <c r="C500" s="141" t="s">
        <v>969</v>
      </c>
      <c r="D500" s="172">
        <v>57</v>
      </c>
      <c r="E500" s="141" t="s">
        <v>1675</v>
      </c>
      <c r="F500" s="141" t="s">
        <v>53</v>
      </c>
      <c r="G500" s="141" t="s">
        <v>1676</v>
      </c>
      <c r="H500" s="141" t="s">
        <v>320</v>
      </c>
      <c r="I500" s="141" t="s">
        <v>382</v>
      </c>
      <c r="J500" s="141" t="s">
        <v>972</v>
      </c>
      <c r="K500" s="141" t="s">
        <v>388</v>
      </c>
      <c r="L500" s="141" t="s">
        <v>386</v>
      </c>
      <c r="M500" s="141" t="s">
        <v>973</v>
      </c>
      <c r="N500" s="141" t="s">
        <v>1005</v>
      </c>
      <c r="O500" s="141" t="s">
        <v>53</v>
      </c>
      <c r="P500" s="141" t="s">
        <v>44</v>
      </c>
    </row>
    <row r="501" spans="1:16">
      <c r="A501" s="141" t="s">
        <v>1917</v>
      </c>
      <c r="B501" s="141" t="s">
        <v>1918</v>
      </c>
      <c r="C501" s="141" t="s">
        <v>976</v>
      </c>
      <c r="D501" s="172">
        <v>59</v>
      </c>
      <c r="E501" s="141" t="s">
        <v>1675</v>
      </c>
      <c r="F501" s="141" t="s">
        <v>57</v>
      </c>
      <c r="G501" s="141" t="s">
        <v>1676</v>
      </c>
      <c r="H501" s="141" t="s">
        <v>320</v>
      </c>
      <c r="I501" s="141" t="s">
        <v>382</v>
      </c>
      <c r="J501" s="141" t="s">
        <v>972</v>
      </c>
      <c r="K501" s="141" t="s">
        <v>388</v>
      </c>
      <c r="L501" s="141" t="s">
        <v>386</v>
      </c>
      <c r="M501" s="141" t="s">
        <v>973</v>
      </c>
      <c r="N501" s="141" t="s">
        <v>1550</v>
      </c>
      <c r="O501" s="141" t="s">
        <v>57</v>
      </c>
      <c r="P501" s="141" t="s">
        <v>44</v>
      </c>
    </row>
    <row r="502" spans="1:16">
      <c r="A502" s="141" t="s">
        <v>1919</v>
      </c>
      <c r="B502" s="141" t="s">
        <v>1918</v>
      </c>
      <c r="C502" s="141" t="s">
        <v>969</v>
      </c>
      <c r="D502" s="172">
        <v>57</v>
      </c>
      <c r="E502" s="141" t="s">
        <v>1675</v>
      </c>
      <c r="F502" s="141" t="s">
        <v>57</v>
      </c>
      <c r="G502" s="141" t="s">
        <v>1676</v>
      </c>
      <c r="H502" s="141" t="s">
        <v>320</v>
      </c>
      <c r="I502" s="141" t="s">
        <v>382</v>
      </c>
      <c r="J502" s="141" t="s">
        <v>972</v>
      </c>
      <c r="K502" s="141" t="s">
        <v>388</v>
      </c>
      <c r="L502" s="141" t="s">
        <v>386</v>
      </c>
      <c r="M502" s="141" t="s">
        <v>973</v>
      </c>
      <c r="N502" s="141" t="s">
        <v>1550</v>
      </c>
      <c r="O502" s="141" t="s">
        <v>57</v>
      </c>
      <c r="P502" s="141" t="s">
        <v>44</v>
      </c>
    </row>
    <row r="503" spans="1:16">
      <c r="A503" s="141" t="s">
        <v>1920</v>
      </c>
      <c r="B503" s="141" t="s">
        <v>1918</v>
      </c>
      <c r="C503" s="141" t="s">
        <v>1032</v>
      </c>
      <c r="D503" s="172">
        <v>55</v>
      </c>
      <c r="E503" s="141" t="s">
        <v>1675</v>
      </c>
      <c r="F503" s="141" t="s">
        <v>57</v>
      </c>
      <c r="G503" s="141" t="s">
        <v>1676</v>
      </c>
      <c r="H503" s="141" t="s">
        <v>320</v>
      </c>
      <c r="I503" s="141" t="s">
        <v>382</v>
      </c>
      <c r="J503" s="141" t="s">
        <v>972</v>
      </c>
      <c r="K503" s="141" t="s">
        <v>388</v>
      </c>
      <c r="L503" s="141" t="s">
        <v>386</v>
      </c>
      <c r="M503" s="141" t="s">
        <v>973</v>
      </c>
      <c r="N503" s="141" t="s">
        <v>1550</v>
      </c>
      <c r="O503" s="141" t="s">
        <v>57</v>
      </c>
      <c r="P503" s="141" t="s">
        <v>44</v>
      </c>
    </row>
    <row r="504" spans="1:16">
      <c r="A504" s="141" t="s">
        <v>1921</v>
      </c>
      <c r="B504" s="141" t="s">
        <v>1922</v>
      </c>
      <c r="C504" s="141" t="s">
        <v>969</v>
      </c>
      <c r="D504" s="172">
        <v>57</v>
      </c>
      <c r="E504" s="141" t="s">
        <v>1675</v>
      </c>
      <c r="F504" s="141" t="s">
        <v>83</v>
      </c>
      <c r="G504" s="141" t="s">
        <v>1676</v>
      </c>
      <c r="H504" s="141" t="s">
        <v>320</v>
      </c>
      <c r="I504" s="141" t="s">
        <v>382</v>
      </c>
      <c r="J504" s="141" t="s">
        <v>972</v>
      </c>
      <c r="K504" s="141" t="s">
        <v>388</v>
      </c>
      <c r="L504" s="141" t="s">
        <v>386</v>
      </c>
      <c r="M504" s="141" t="s">
        <v>973</v>
      </c>
      <c r="N504" s="141" t="s">
        <v>1923</v>
      </c>
      <c r="O504" s="141" t="s">
        <v>83</v>
      </c>
      <c r="P504" s="141" t="s">
        <v>44</v>
      </c>
    </row>
    <row r="505" spans="1:16">
      <c r="A505" s="141" t="s">
        <v>1924</v>
      </c>
      <c r="B505" s="141" t="s">
        <v>1925</v>
      </c>
      <c r="C505" s="141" t="s">
        <v>1030</v>
      </c>
      <c r="D505" s="172">
        <v>61</v>
      </c>
      <c r="E505" s="141" t="s">
        <v>1582</v>
      </c>
      <c r="F505" s="141" t="s">
        <v>53</v>
      </c>
      <c r="G505" s="141" t="s">
        <v>1583</v>
      </c>
      <c r="H505" s="141" t="s">
        <v>325</v>
      </c>
      <c r="I505" s="141" t="s">
        <v>382</v>
      </c>
      <c r="J505" s="141" t="s">
        <v>1539</v>
      </c>
      <c r="K505" s="141" t="s">
        <v>388</v>
      </c>
      <c r="L505" s="141" t="s">
        <v>539</v>
      </c>
      <c r="M505" s="141" t="s">
        <v>808</v>
      </c>
      <c r="N505" s="141" t="s">
        <v>1005</v>
      </c>
      <c r="O505" s="141" t="s">
        <v>53</v>
      </c>
      <c r="P505" s="141" t="s">
        <v>44</v>
      </c>
    </row>
    <row r="506" spans="1:16">
      <c r="A506" s="141" t="s">
        <v>1926</v>
      </c>
      <c r="B506" s="141" t="s">
        <v>1925</v>
      </c>
      <c r="C506" s="141" t="s">
        <v>969</v>
      </c>
      <c r="D506" s="172">
        <v>57</v>
      </c>
      <c r="E506" s="141" t="s">
        <v>1582</v>
      </c>
      <c r="F506" s="141" t="s">
        <v>53</v>
      </c>
      <c r="G506" s="141" t="s">
        <v>1583</v>
      </c>
      <c r="H506" s="141" t="s">
        <v>325</v>
      </c>
      <c r="I506" s="141" t="s">
        <v>382</v>
      </c>
      <c r="J506" s="141" t="s">
        <v>1539</v>
      </c>
      <c r="K506" s="141" t="s">
        <v>388</v>
      </c>
      <c r="L506" s="141" t="s">
        <v>539</v>
      </c>
      <c r="M506" s="141" t="s">
        <v>808</v>
      </c>
      <c r="N506" s="141" t="s">
        <v>1005</v>
      </c>
      <c r="O506" s="141" t="s">
        <v>53</v>
      </c>
      <c r="P506" s="141" t="s">
        <v>44</v>
      </c>
    </row>
    <row r="507" spans="1:16">
      <c r="A507" s="141" t="s">
        <v>1927</v>
      </c>
      <c r="B507" s="141" t="s">
        <v>1925</v>
      </c>
      <c r="C507" s="141" t="s">
        <v>976</v>
      </c>
      <c r="D507" s="172">
        <v>59</v>
      </c>
      <c r="E507" s="141" t="s">
        <v>1582</v>
      </c>
      <c r="F507" s="141" t="s">
        <v>53</v>
      </c>
      <c r="G507" s="141" t="s">
        <v>1583</v>
      </c>
      <c r="H507" s="141" t="s">
        <v>325</v>
      </c>
      <c r="I507" s="141" t="s">
        <v>382</v>
      </c>
      <c r="J507" s="141" t="s">
        <v>1539</v>
      </c>
      <c r="K507" s="141" t="s">
        <v>388</v>
      </c>
      <c r="L507" s="141" t="s">
        <v>539</v>
      </c>
      <c r="M507" s="141" t="s">
        <v>808</v>
      </c>
      <c r="N507" s="141" t="s">
        <v>1005</v>
      </c>
      <c r="O507" s="141" t="s">
        <v>53</v>
      </c>
      <c r="P507" s="141" t="s">
        <v>44</v>
      </c>
    </row>
    <row r="508" spans="1:16">
      <c r="A508" s="141" t="s">
        <v>1928</v>
      </c>
      <c r="B508" s="141" t="s">
        <v>1925</v>
      </c>
      <c r="C508" s="141" t="s">
        <v>1032</v>
      </c>
      <c r="D508" s="172">
        <v>55</v>
      </c>
      <c r="E508" s="141" t="s">
        <v>1582</v>
      </c>
      <c r="F508" s="141" t="s">
        <v>53</v>
      </c>
      <c r="G508" s="141" t="s">
        <v>1583</v>
      </c>
      <c r="H508" s="141" t="s">
        <v>325</v>
      </c>
      <c r="I508" s="141" t="s">
        <v>382</v>
      </c>
      <c r="J508" s="141" t="s">
        <v>1539</v>
      </c>
      <c r="K508" s="141" t="s">
        <v>388</v>
      </c>
      <c r="L508" s="141" t="s">
        <v>539</v>
      </c>
      <c r="M508" s="141" t="s">
        <v>808</v>
      </c>
      <c r="N508" s="141" t="s">
        <v>1005</v>
      </c>
      <c r="O508" s="141" t="s">
        <v>53</v>
      </c>
      <c r="P508" s="141" t="s">
        <v>44</v>
      </c>
    </row>
    <row r="509" spans="1:16">
      <c r="A509" s="141" t="s">
        <v>1929</v>
      </c>
      <c r="B509" s="141" t="s">
        <v>1930</v>
      </c>
      <c r="C509" s="141" t="s">
        <v>976</v>
      </c>
      <c r="D509" s="172">
        <v>59</v>
      </c>
      <c r="E509" s="141" t="s">
        <v>1582</v>
      </c>
      <c r="F509" s="141" t="s">
        <v>57</v>
      </c>
      <c r="G509" s="141" t="s">
        <v>1676</v>
      </c>
      <c r="H509" s="141" t="s">
        <v>325</v>
      </c>
      <c r="I509" s="141" t="s">
        <v>382</v>
      </c>
      <c r="J509" s="141" t="s">
        <v>972</v>
      </c>
      <c r="K509" s="141" t="s">
        <v>388</v>
      </c>
      <c r="L509" s="141" t="s">
        <v>386</v>
      </c>
      <c r="M509" s="141" t="s">
        <v>973</v>
      </c>
      <c r="N509" s="141" t="s">
        <v>1550</v>
      </c>
      <c r="O509" s="141" t="s">
        <v>57</v>
      </c>
      <c r="P509" s="141" t="s">
        <v>44</v>
      </c>
    </row>
    <row r="510" spans="1:16">
      <c r="A510" s="141" t="s">
        <v>1931</v>
      </c>
      <c r="B510" s="141" t="s">
        <v>1930</v>
      </c>
      <c r="C510" s="141" t="s">
        <v>969</v>
      </c>
      <c r="D510" s="172">
        <v>57</v>
      </c>
      <c r="E510" s="141" t="s">
        <v>1582</v>
      </c>
      <c r="F510" s="141" t="s">
        <v>57</v>
      </c>
      <c r="G510" s="141" t="s">
        <v>1676</v>
      </c>
      <c r="H510" s="141" t="s">
        <v>325</v>
      </c>
      <c r="I510" s="141" t="s">
        <v>382</v>
      </c>
      <c r="J510" s="141" t="s">
        <v>972</v>
      </c>
      <c r="K510" s="141" t="s">
        <v>388</v>
      </c>
      <c r="L510" s="141" t="s">
        <v>386</v>
      </c>
      <c r="M510" s="141" t="s">
        <v>973</v>
      </c>
      <c r="N510" s="141" t="s">
        <v>1550</v>
      </c>
      <c r="O510" s="141" t="s">
        <v>57</v>
      </c>
      <c r="P510" s="141" t="s">
        <v>44</v>
      </c>
    </row>
    <row r="511" spans="1:16">
      <c r="A511" s="141" t="s">
        <v>1932</v>
      </c>
      <c r="B511" s="141" t="s">
        <v>1930</v>
      </c>
      <c r="C511" s="141" t="s">
        <v>1032</v>
      </c>
      <c r="D511" s="172">
        <v>55</v>
      </c>
      <c r="E511" s="141" t="s">
        <v>1582</v>
      </c>
      <c r="F511" s="141" t="s">
        <v>57</v>
      </c>
      <c r="G511" s="141" t="s">
        <v>1676</v>
      </c>
      <c r="H511" s="141" t="s">
        <v>325</v>
      </c>
      <c r="I511" s="141" t="s">
        <v>382</v>
      </c>
      <c r="J511" s="141" t="s">
        <v>972</v>
      </c>
      <c r="K511" s="141" t="s">
        <v>388</v>
      </c>
      <c r="L511" s="141" t="s">
        <v>386</v>
      </c>
      <c r="M511" s="141" t="s">
        <v>973</v>
      </c>
      <c r="N511" s="141" t="s">
        <v>1550</v>
      </c>
      <c r="O511" s="141" t="s">
        <v>57</v>
      </c>
      <c r="P511" s="141" t="s">
        <v>44</v>
      </c>
    </row>
    <row r="512" spans="1:16">
      <c r="A512" s="141" t="s">
        <v>1933</v>
      </c>
      <c r="B512" s="141" t="s">
        <v>1934</v>
      </c>
      <c r="C512" s="141" t="s">
        <v>1032</v>
      </c>
      <c r="D512" s="172">
        <v>55</v>
      </c>
      <c r="E512" s="141" t="s">
        <v>1582</v>
      </c>
      <c r="F512" s="141" t="s">
        <v>78</v>
      </c>
      <c r="G512" s="141" t="s">
        <v>1676</v>
      </c>
      <c r="H512" s="141" t="s">
        <v>325</v>
      </c>
      <c r="I512" s="141" t="s">
        <v>382</v>
      </c>
      <c r="J512" s="141" t="s">
        <v>972</v>
      </c>
      <c r="K512" s="141" t="s">
        <v>388</v>
      </c>
      <c r="L512" s="141" t="s">
        <v>386</v>
      </c>
      <c r="M512" s="141" t="s">
        <v>973</v>
      </c>
      <c r="N512" s="141" t="s">
        <v>1502</v>
      </c>
      <c r="O512" s="141" t="s">
        <v>78</v>
      </c>
      <c r="P512" s="141" t="s">
        <v>44</v>
      </c>
    </row>
    <row r="513" spans="1:16">
      <c r="A513" s="141" t="s">
        <v>1935</v>
      </c>
      <c r="B513" s="141" t="s">
        <v>1934</v>
      </c>
      <c r="C513" s="141" t="s">
        <v>976</v>
      </c>
      <c r="D513" s="172">
        <v>59</v>
      </c>
      <c r="E513" s="141" t="s">
        <v>1582</v>
      </c>
      <c r="F513" s="141" t="s">
        <v>78</v>
      </c>
      <c r="G513" s="141" t="s">
        <v>1676</v>
      </c>
      <c r="H513" s="141" t="s">
        <v>325</v>
      </c>
      <c r="I513" s="141" t="s">
        <v>382</v>
      </c>
      <c r="J513" s="141" t="s">
        <v>972</v>
      </c>
      <c r="K513" s="141" t="s">
        <v>388</v>
      </c>
      <c r="L513" s="141" t="s">
        <v>386</v>
      </c>
      <c r="M513" s="141" t="s">
        <v>973</v>
      </c>
      <c r="N513" s="141" t="s">
        <v>1502</v>
      </c>
      <c r="O513" s="141" t="s">
        <v>78</v>
      </c>
      <c r="P513" s="141" t="s">
        <v>44</v>
      </c>
    </row>
    <row r="514" spans="1:16">
      <c r="A514" s="141" t="s">
        <v>1936</v>
      </c>
      <c r="B514" s="141" t="s">
        <v>1934</v>
      </c>
      <c r="C514" s="141" t="s">
        <v>969</v>
      </c>
      <c r="D514" s="172">
        <v>57</v>
      </c>
      <c r="E514" s="141" t="s">
        <v>1582</v>
      </c>
      <c r="F514" s="141" t="s">
        <v>78</v>
      </c>
      <c r="G514" s="141" t="s">
        <v>1676</v>
      </c>
      <c r="H514" s="141" t="s">
        <v>325</v>
      </c>
      <c r="I514" s="141" t="s">
        <v>382</v>
      </c>
      <c r="J514" s="141" t="s">
        <v>972</v>
      </c>
      <c r="K514" s="141" t="s">
        <v>388</v>
      </c>
      <c r="L514" s="141" t="s">
        <v>386</v>
      </c>
      <c r="M514" s="141" t="s">
        <v>973</v>
      </c>
      <c r="N514" s="141" t="s">
        <v>1502</v>
      </c>
      <c r="O514" s="141" t="s">
        <v>78</v>
      </c>
      <c r="P514" s="141" t="s">
        <v>44</v>
      </c>
    </row>
    <row r="515" spans="1:16">
      <c r="A515" s="141" t="s">
        <v>1937</v>
      </c>
      <c r="B515" s="141" t="s">
        <v>1938</v>
      </c>
      <c r="C515" s="141" t="s">
        <v>969</v>
      </c>
      <c r="D515" s="172">
        <v>57</v>
      </c>
      <c r="E515" s="141" t="s">
        <v>1582</v>
      </c>
      <c r="F515" s="141" t="s">
        <v>83</v>
      </c>
      <c r="G515" s="141" t="s">
        <v>1676</v>
      </c>
      <c r="H515" s="141" t="s">
        <v>325</v>
      </c>
      <c r="I515" s="141" t="s">
        <v>382</v>
      </c>
      <c r="J515" s="141" t="s">
        <v>972</v>
      </c>
      <c r="K515" s="141" t="s">
        <v>388</v>
      </c>
      <c r="L515" s="141" t="s">
        <v>386</v>
      </c>
      <c r="M515" s="141" t="s">
        <v>973</v>
      </c>
      <c r="N515" s="141" t="s">
        <v>1923</v>
      </c>
      <c r="O515" s="141" t="s">
        <v>83</v>
      </c>
      <c r="P515" s="141" t="s">
        <v>44</v>
      </c>
    </row>
    <row r="516" spans="1:16">
      <c r="A516" s="141" t="s">
        <v>1939</v>
      </c>
      <c r="B516" s="141" t="s">
        <v>1940</v>
      </c>
      <c r="C516" s="141" t="s">
        <v>909</v>
      </c>
      <c r="D516" s="142">
        <v>0</v>
      </c>
      <c r="E516" s="141" t="s">
        <v>1425</v>
      </c>
      <c r="F516" s="141" t="s">
        <v>57</v>
      </c>
      <c r="G516" s="141" t="s">
        <v>1426</v>
      </c>
      <c r="H516" s="141" t="s">
        <v>340</v>
      </c>
      <c r="I516" s="141" t="s">
        <v>387</v>
      </c>
      <c r="J516" s="141" t="s">
        <v>972</v>
      </c>
      <c r="K516" s="141" t="s">
        <v>389</v>
      </c>
      <c r="L516" s="141" t="s">
        <v>539</v>
      </c>
      <c r="M516" s="141" t="s">
        <v>973</v>
      </c>
      <c r="N516" s="141" t="s">
        <v>1550</v>
      </c>
      <c r="O516" s="141" t="s">
        <v>57</v>
      </c>
      <c r="P516" s="141" t="s">
        <v>44</v>
      </c>
    </row>
    <row r="517" spans="1:16">
      <c r="A517" s="141" t="s">
        <v>1941</v>
      </c>
      <c r="B517" s="141" t="s">
        <v>1942</v>
      </c>
      <c r="C517" s="141" t="s">
        <v>909</v>
      </c>
      <c r="D517" s="142">
        <v>0</v>
      </c>
      <c r="E517" s="141" t="s">
        <v>1669</v>
      </c>
      <c r="F517" s="141" t="s">
        <v>53</v>
      </c>
      <c r="G517" s="141" t="s">
        <v>1221</v>
      </c>
      <c r="H517" s="141" t="s">
        <v>340</v>
      </c>
      <c r="I517" s="141" t="s">
        <v>382</v>
      </c>
      <c r="J517" s="141" t="s">
        <v>972</v>
      </c>
      <c r="K517" s="141" t="s">
        <v>389</v>
      </c>
      <c r="L517" s="141" t="s">
        <v>386</v>
      </c>
      <c r="M517" s="141" t="s">
        <v>973</v>
      </c>
      <c r="N517" s="141" t="s">
        <v>1005</v>
      </c>
      <c r="O517" s="141" t="s">
        <v>53</v>
      </c>
      <c r="P517" s="141"/>
    </row>
    <row r="518" spans="1:16">
      <c r="A518" s="141" t="s">
        <v>1943</v>
      </c>
      <c r="B518" s="141" t="s">
        <v>1944</v>
      </c>
      <c r="C518" s="141" t="s">
        <v>1032</v>
      </c>
      <c r="D518" s="172">
        <v>55</v>
      </c>
      <c r="E518" s="141" t="s">
        <v>1842</v>
      </c>
      <c r="F518" s="141" t="s">
        <v>53</v>
      </c>
      <c r="G518" s="141" t="s">
        <v>1843</v>
      </c>
      <c r="H518" s="141" t="s">
        <v>324</v>
      </c>
      <c r="I518" s="141" t="s">
        <v>382</v>
      </c>
      <c r="J518" s="141" t="s">
        <v>988</v>
      </c>
      <c r="K518" s="141" t="s">
        <v>388</v>
      </c>
      <c r="L518" s="141" t="s">
        <v>386</v>
      </c>
      <c r="M518" s="141" t="s">
        <v>973</v>
      </c>
      <c r="N518" s="141" t="s">
        <v>1005</v>
      </c>
      <c r="O518" s="141" t="s">
        <v>53</v>
      </c>
      <c r="P518" s="141" t="s">
        <v>44</v>
      </c>
    </row>
    <row r="519" spans="1:16">
      <c r="A519" s="141" t="s">
        <v>1945</v>
      </c>
      <c r="B519" s="141" t="s">
        <v>1944</v>
      </c>
      <c r="C519" s="141" t="s">
        <v>1030</v>
      </c>
      <c r="D519" s="172">
        <v>61</v>
      </c>
      <c r="E519" s="141" t="s">
        <v>1842</v>
      </c>
      <c r="F519" s="141" t="s">
        <v>53</v>
      </c>
      <c r="G519" s="141" t="s">
        <v>1843</v>
      </c>
      <c r="H519" s="141" t="s">
        <v>324</v>
      </c>
      <c r="I519" s="141" t="s">
        <v>382</v>
      </c>
      <c r="J519" s="141" t="s">
        <v>988</v>
      </c>
      <c r="K519" s="141" t="s">
        <v>388</v>
      </c>
      <c r="L519" s="141" t="s">
        <v>386</v>
      </c>
      <c r="M519" s="141" t="s">
        <v>973</v>
      </c>
      <c r="N519" s="141" t="s">
        <v>1005</v>
      </c>
      <c r="O519" s="141" t="s">
        <v>53</v>
      </c>
      <c r="P519" s="141" t="s">
        <v>44</v>
      </c>
    </row>
    <row r="520" spans="1:16">
      <c r="A520" s="141" t="s">
        <v>1946</v>
      </c>
      <c r="B520" s="141" t="s">
        <v>1944</v>
      </c>
      <c r="C520" s="141" t="s">
        <v>976</v>
      </c>
      <c r="D520" s="172">
        <v>59</v>
      </c>
      <c r="E520" s="141" t="s">
        <v>1842</v>
      </c>
      <c r="F520" s="141" t="s">
        <v>53</v>
      </c>
      <c r="G520" s="141" t="s">
        <v>1843</v>
      </c>
      <c r="H520" s="141" t="s">
        <v>324</v>
      </c>
      <c r="I520" s="141" t="s">
        <v>382</v>
      </c>
      <c r="J520" s="141" t="s">
        <v>988</v>
      </c>
      <c r="K520" s="141" t="s">
        <v>388</v>
      </c>
      <c r="L520" s="141" t="s">
        <v>386</v>
      </c>
      <c r="M520" s="141" t="s">
        <v>973</v>
      </c>
      <c r="N520" s="141" t="s">
        <v>1005</v>
      </c>
      <c r="O520" s="141" t="s">
        <v>53</v>
      </c>
      <c r="P520" s="141" t="s">
        <v>44</v>
      </c>
    </row>
    <row r="521" spans="1:16">
      <c r="A521" s="141" t="s">
        <v>1947</v>
      </c>
      <c r="B521" s="141" t="s">
        <v>1944</v>
      </c>
      <c r="C521" s="141" t="s">
        <v>969</v>
      </c>
      <c r="D521" s="172">
        <v>57</v>
      </c>
      <c r="E521" s="141" t="s">
        <v>1842</v>
      </c>
      <c r="F521" s="141" t="s">
        <v>53</v>
      </c>
      <c r="G521" s="141" t="s">
        <v>1843</v>
      </c>
      <c r="H521" s="141" t="s">
        <v>324</v>
      </c>
      <c r="I521" s="141" t="s">
        <v>382</v>
      </c>
      <c r="J521" s="141" t="s">
        <v>988</v>
      </c>
      <c r="K521" s="141" t="s">
        <v>388</v>
      </c>
      <c r="L521" s="141" t="s">
        <v>386</v>
      </c>
      <c r="M521" s="141" t="s">
        <v>973</v>
      </c>
      <c r="N521" s="141" t="s">
        <v>1005</v>
      </c>
      <c r="O521" s="141" t="s">
        <v>53</v>
      </c>
      <c r="P521" s="141" t="s">
        <v>44</v>
      </c>
    </row>
    <row r="522" spans="1:16">
      <c r="A522" s="141" t="s">
        <v>1948</v>
      </c>
      <c r="B522" s="141" t="s">
        <v>1949</v>
      </c>
      <c r="C522" s="141" t="s">
        <v>1032</v>
      </c>
      <c r="D522" s="172">
        <v>55</v>
      </c>
      <c r="E522" s="141" t="s">
        <v>1118</v>
      </c>
      <c r="F522" s="141" t="s">
        <v>300</v>
      </c>
      <c r="G522" s="141" t="s">
        <v>1105</v>
      </c>
      <c r="H522" s="141" t="s">
        <v>320</v>
      </c>
      <c r="I522" s="141" t="s">
        <v>382</v>
      </c>
      <c r="J522" s="141" t="s">
        <v>988</v>
      </c>
      <c r="K522" s="141" t="s">
        <v>388</v>
      </c>
      <c r="L522" s="141" t="s">
        <v>539</v>
      </c>
      <c r="M522" s="141" t="s">
        <v>808</v>
      </c>
      <c r="N522" s="141" t="s">
        <v>1884</v>
      </c>
      <c r="O522" s="141" t="s">
        <v>53</v>
      </c>
      <c r="P522" s="141" t="s">
        <v>44</v>
      </c>
    </row>
    <row r="523" spans="1:16">
      <c r="A523" s="141" t="s">
        <v>1950</v>
      </c>
      <c r="B523" s="141" t="s">
        <v>1949</v>
      </c>
      <c r="C523" s="141" t="s">
        <v>976</v>
      </c>
      <c r="D523" s="172">
        <v>59</v>
      </c>
      <c r="E523" s="141" t="s">
        <v>1118</v>
      </c>
      <c r="F523" s="141" t="s">
        <v>300</v>
      </c>
      <c r="G523" s="141" t="s">
        <v>1105</v>
      </c>
      <c r="H523" s="141" t="s">
        <v>320</v>
      </c>
      <c r="I523" s="141" t="s">
        <v>382</v>
      </c>
      <c r="J523" s="141" t="s">
        <v>988</v>
      </c>
      <c r="K523" s="141" t="s">
        <v>388</v>
      </c>
      <c r="L523" s="141" t="s">
        <v>539</v>
      </c>
      <c r="M523" s="141" t="s">
        <v>808</v>
      </c>
      <c r="N523" s="141" t="s">
        <v>1884</v>
      </c>
      <c r="O523" s="141" t="s">
        <v>53</v>
      </c>
      <c r="P523" s="141" t="s">
        <v>44</v>
      </c>
    </row>
    <row r="524" spans="1:16">
      <c r="A524" s="141" t="s">
        <v>1951</v>
      </c>
      <c r="B524" s="141" t="s">
        <v>1949</v>
      </c>
      <c r="C524" s="141" t="s">
        <v>969</v>
      </c>
      <c r="D524" s="172">
        <v>57</v>
      </c>
      <c r="E524" s="141" t="s">
        <v>1118</v>
      </c>
      <c r="F524" s="141" t="s">
        <v>300</v>
      </c>
      <c r="G524" s="141" t="s">
        <v>1105</v>
      </c>
      <c r="H524" s="141" t="s">
        <v>320</v>
      </c>
      <c r="I524" s="141" t="s">
        <v>382</v>
      </c>
      <c r="J524" s="141" t="s">
        <v>988</v>
      </c>
      <c r="K524" s="141" t="s">
        <v>388</v>
      </c>
      <c r="L524" s="141" t="s">
        <v>539</v>
      </c>
      <c r="M524" s="141" t="s">
        <v>808</v>
      </c>
      <c r="N524" s="141" t="s">
        <v>1884</v>
      </c>
      <c r="O524" s="141" t="s">
        <v>53</v>
      </c>
      <c r="P524" s="141" t="s">
        <v>44</v>
      </c>
    </row>
    <row r="525" spans="1:16">
      <c r="A525" s="141" t="s">
        <v>1952</v>
      </c>
      <c r="B525" s="141" t="s">
        <v>1949</v>
      </c>
      <c r="C525" s="141" t="s">
        <v>1030</v>
      </c>
      <c r="D525" s="172">
        <v>61</v>
      </c>
      <c r="E525" s="141" t="s">
        <v>1118</v>
      </c>
      <c r="F525" s="141" t="s">
        <v>300</v>
      </c>
      <c r="G525" s="141" t="s">
        <v>1105</v>
      </c>
      <c r="H525" s="141" t="s">
        <v>320</v>
      </c>
      <c r="I525" s="141" t="s">
        <v>382</v>
      </c>
      <c r="J525" s="141" t="s">
        <v>988</v>
      </c>
      <c r="K525" s="141" t="s">
        <v>388</v>
      </c>
      <c r="L525" s="141" t="s">
        <v>539</v>
      </c>
      <c r="M525" s="141" t="s">
        <v>808</v>
      </c>
      <c r="N525" s="141" t="s">
        <v>1884</v>
      </c>
      <c r="O525" s="141" t="s">
        <v>53</v>
      </c>
      <c r="P525" s="141" t="s">
        <v>44</v>
      </c>
    </row>
    <row r="526" spans="1:16">
      <c r="A526" s="141" t="s">
        <v>1953</v>
      </c>
      <c r="B526" s="141" t="s">
        <v>1954</v>
      </c>
      <c r="C526" s="141" t="s">
        <v>969</v>
      </c>
      <c r="D526" s="172">
        <v>57</v>
      </c>
      <c r="E526" s="141" t="s">
        <v>1009</v>
      </c>
      <c r="F526" s="141" t="s">
        <v>63</v>
      </c>
      <c r="G526" s="141" t="s">
        <v>1010</v>
      </c>
      <c r="H526" s="141" t="s">
        <v>320</v>
      </c>
      <c r="I526" s="141" t="s">
        <v>382</v>
      </c>
      <c r="J526" s="141" t="s">
        <v>988</v>
      </c>
      <c r="K526" s="141" t="s">
        <v>384</v>
      </c>
      <c r="L526" s="141" t="s">
        <v>539</v>
      </c>
      <c r="M526" s="141" t="s">
        <v>973</v>
      </c>
      <c r="N526" s="141" t="s">
        <v>1955</v>
      </c>
      <c r="O526" s="141" t="s">
        <v>63</v>
      </c>
      <c r="P526" s="141"/>
    </row>
    <row r="527" spans="1:16">
      <c r="A527" s="141" t="s">
        <v>1956</v>
      </c>
      <c r="B527" s="141" t="s">
        <v>1954</v>
      </c>
      <c r="C527" s="141" t="s">
        <v>976</v>
      </c>
      <c r="D527" s="172">
        <v>59</v>
      </c>
      <c r="E527" s="141" t="s">
        <v>1009</v>
      </c>
      <c r="F527" s="141" t="s">
        <v>63</v>
      </c>
      <c r="G527" s="141" t="s">
        <v>1010</v>
      </c>
      <c r="H527" s="141" t="s">
        <v>320</v>
      </c>
      <c r="I527" s="141" t="s">
        <v>382</v>
      </c>
      <c r="J527" s="141" t="s">
        <v>988</v>
      </c>
      <c r="K527" s="141" t="s">
        <v>384</v>
      </c>
      <c r="L527" s="141" t="s">
        <v>539</v>
      </c>
      <c r="M527" s="141" t="s">
        <v>973</v>
      </c>
      <c r="N527" s="141" t="s">
        <v>1955</v>
      </c>
      <c r="O527" s="141" t="s">
        <v>63</v>
      </c>
      <c r="P527" s="141"/>
    </row>
    <row r="528" spans="1:16">
      <c r="A528" s="141" t="s">
        <v>1957</v>
      </c>
      <c r="B528" s="141" t="s">
        <v>1958</v>
      </c>
      <c r="C528" s="141" t="s">
        <v>976</v>
      </c>
      <c r="D528" s="172">
        <v>59</v>
      </c>
      <c r="E528" s="141" t="s">
        <v>1009</v>
      </c>
      <c r="F528" s="141" t="s">
        <v>53</v>
      </c>
      <c r="G528" s="141" t="s">
        <v>997</v>
      </c>
      <c r="H528" s="141" t="s">
        <v>320</v>
      </c>
      <c r="I528" s="141" t="s">
        <v>382</v>
      </c>
      <c r="J528" s="141" t="s">
        <v>1004</v>
      </c>
      <c r="K528" s="141" t="s">
        <v>384</v>
      </c>
      <c r="L528" s="141" t="s">
        <v>386</v>
      </c>
      <c r="M528" s="141" t="s">
        <v>808</v>
      </c>
      <c r="N528" s="141" t="s">
        <v>1005</v>
      </c>
      <c r="O528" s="141" t="s">
        <v>53</v>
      </c>
      <c r="P528" s="141"/>
    </row>
    <row r="529" spans="1:16">
      <c r="A529" s="141" t="s">
        <v>1959</v>
      </c>
      <c r="B529" s="141" t="s">
        <v>1958</v>
      </c>
      <c r="C529" s="141" t="s">
        <v>969</v>
      </c>
      <c r="D529" s="172">
        <v>57</v>
      </c>
      <c r="E529" s="141" t="s">
        <v>1009</v>
      </c>
      <c r="F529" s="141" t="s">
        <v>53</v>
      </c>
      <c r="G529" s="141" t="s">
        <v>997</v>
      </c>
      <c r="H529" s="141" t="s">
        <v>320</v>
      </c>
      <c r="I529" s="141" t="s">
        <v>382</v>
      </c>
      <c r="J529" s="141" t="s">
        <v>1004</v>
      </c>
      <c r="K529" s="141" t="s">
        <v>384</v>
      </c>
      <c r="L529" s="141" t="s">
        <v>386</v>
      </c>
      <c r="M529" s="141" t="s">
        <v>808</v>
      </c>
      <c r="N529" s="141" t="s">
        <v>1005</v>
      </c>
      <c r="O529" s="141" t="s">
        <v>53</v>
      </c>
      <c r="P529" s="141"/>
    </row>
    <row r="530" spans="1:16">
      <c r="A530" s="141" t="s">
        <v>1960</v>
      </c>
      <c r="B530" s="141" t="s">
        <v>1958</v>
      </c>
      <c r="C530" s="141" t="s">
        <v>1030</v>
      </c>
      <c r="D530" s="172">
        <v>61</v>
      </c>
      <c r="E530" s="141" t="s">
        <v>1009</v>
      </c>
      <c r="F530" s="141" t="s">
        <v>53</v>
      </c>
      <c r="G530" s="141" t="s">
        <v>997</v>
      </c>
      <c r="H530" s="141" t="s">
        <v>320</v>
      </c>
      <c r="I530" s="141" t="s">
        <v>382</v>
      </c>
      <c r="J530" s="141" t="s">
        <v>1004</v>
      </c>
      <c r="K530" s="141" t="s">
        <v>384</v>
      </c>
      <c r="L530" s="141" t="s">
        <v>386</v>
      </c>
      <c r="M530" s="141" t="s">
        <v>808</v>
      </c>
      <c r="N530" s="141" t="s">
        <v>1005</v>
      </c>
      <c r="O530" s="141" t="s">
        <v>53</v>
      </c>
      <c r="P530" s="141"/>
    </row>
    <row r="531" spans="1:16">
      <c r="A531" s="141" t="s">
        <v>1961</v>
      </c>
      <c r="B531" s="141" t="s">
        <v>1962</v>
      </c>
      <c r="C531" s="141" t="s">
        <v>976</v>
      </c>
      <c r="D531" s="172">
        <v>59</v>
      </c>
      <c r="E531" s="141" t="s">
        <v>1009</v>
      </c>
      <c r="F531" s="141" t="s">
        <v>91</v>
      </c>
      <c r="G531" s="141" t="s">
        <v>997</v>
      </c>
      <c r="H531" s="141" t="s">
        <v>320</v>
      </c>
      <c r="I531" s="141" t="s">
        <v>382</v>
      </c>
      <c r="J531" s="141" t="s">
        <v>988</v>
      </c>
      <c r="K531" s="141" t="s">
        <v>384</v>
      </c>
      <c r="L531" s="141" t="s">
        <v>539</v>
      </c>
      <c r="M531" s="141" t="s">
        <v>973</v>
      </c>
      <c r="N531" s="141" t="s">
        <v>1963</v>
      </c>
      <c r="O531" s="141" t="s">
        <v>91</v>
      </c>
      <c r="P531" s="141"/>
    </row>
    <row r="532" spans="1:16">
      <c r="A532" s="141" t="s">
        <v>1964</v>
      </c>
      <c r="B532" s="141" t="s">
        <v>1962</v>
      </c>
      <c r="C532" s="141" t="s">
        <v>969</v>
      </c>
      <c r="D532" s="172">
        <v>57</v>
      </c>
      <c r="E532" s="141" t="s">
        <v>1009</v>
      </c>
      <c r="F532" s="141" t="s">
        <v>91</v>
      </c>
      <c r="G532" s="141" t="s">
        <v>997</v>
      </c>
      <c r="H532" s="141" t="s">
        <v>320</v>
      </c>
      <c r="I532" s="141" t="s">
        <v>382</v>
      </c>
      <c r="J532" s="141" t="s">
        <v>988</v>
      </c>
      <c r="K532" s="141" t="s">
        <v>384</v>
      </c>
      <c r="L532" s="141" t="s">
        <v>539</v>
      </c>
      <c r="M532" s="141" t="s">
        <v>973</v>
      </c>
      <c r="N532" s="141" t="s">
        <v>1963</v>
      </c>
      <c r="O532" s="141" t="s">
        <v>91</v>
      </c>
      <c r="P532" s="141"/>
    </row>
    <row r="533" spans="1:16">
      <c r="A533" s="141" t="s">
        <v>1965</v>
      </c>
      <c r="B533" s="141" t="s">
        <v>1962</v>
      </c>
      <c r="C533" s="141" t="s">
        <v>1030</v>
      </c>
      <c r="D533" s="172">
        <v>61</v>
      </c>
      <c r="E533" s="141" t="s">
        <v>1009</v>
      </c>
      <c r="F533" s="141" t="s">
        <v>91</v>
      </c>
      <c r="G533" s="141" t="s">
        <v>997</v>
      </c>
      <c r="H533" s="141" t="s">
        <v>320</v>
      </c>
      <c r="I533" s="141" t="s">
        <v>382</v>
      </c>
      <c r="J533" s="141" t="s">
        <v>988</v>
      </c>
      <c r="K533" s="141" t="s">
        <v>384</v>
      </c>
      <c r="L533" s="141" t="s">
        <v>539</v>
      </c>
      <c r="M533" s="141" t="s">
        <v>973</v>
      </c>
      <c r="N533" s="141" t="s">
        <v>1963</v>
      </c>
      <c r="O533" s="141" t="s">
        <v>91</v>
      </c>
      <c r="P533" s="141"/>
    </row>
    <row r="534" spans="1:16">
      <c r="A534" s="141" t="s">
        <v>1966</v>
      </c>
      <c r="B534" s="141" t="s">
        <v>1967</v>
      </c>
      <c r="C534" s="141" t="s">
        <v>969</v>
      </c>
      <c r="D534" s="172">
        <v>57</v>
      </c>
      <c r="E534" s="141" t="s">
        <v>1009</v>
      </c>
      <c r="F534" s="141" t="s">
        <v>55</v>
      </c>
      <c r="G534" s="141" t="s">
        <v>997</v>
      </c>
      <c r="H534" s="141" t="s">
        <v>320</v>
      </c>
      <c r="I534" s="141" t="s">
        <v>382</v>
      </c>
      <c r="J534" s="141" t="s">
        <v>1004</v>
      </c>
      <c r="K534" s="141" t="s">
        <v>384</v>
      </c>
      <c r="L534" s="141" t="s">
        <v>386</v>
      </c>
      <c r="M534" s="141" t="s">
        <v>808</v>
      </c>
      <c r="N534" s="141" t="s">
        <v>1017</v>
      </c>
      <c r="O534" s="141" t="s">
        <v>71</v>
      </c>
      <c r="P534" s="141"/>
    </row>
    <row r="535" spans="1:16">
      <c r="A535" s="141" t="s">
        <v>1968</v>
      </c>
      <c r="B535" s="141" t="s">
        <v>1967</v>
      </c>
      <c r="C535" s="141" t="s">
        <v>976</v>
      </c>
      <c r="D535" s="172">
        <v>59</v>
      </c>
      <c r="E535" s="141" t="s">
        <v>1009</v>
      </c>
      <c r="F535" s="141" t="s">
        <v>55</v>
      </c>
      <c r="G535" s="141" t="s">
        <v>997</v>
      </c>
      <c r="H535" s="141" t="s">
        <v>320</v>
      </c>
      <c r="I535" s="141" t="s">
        <v>382</v>
      </c>
      <c r="J535" s="141" t="s">
        <v>1004</v>
      </c>
      <c r="K535" s="141" t="s">
        <v>384</v>
      </c>
      <c r="L535" s="141" t="s">
        <v>386</v>
      </c>
      <c r="M535" s="141" t="s">
        <v>808</v>
      </c>
      <c r="N535" s="141" t="s">
        <v>1017</v>
      </c>
      <c r="O535" s="141" t="s">
        <v>71</v>
      </c>
      <c r="P535" s="141"/>
    </row>
    <row r="536" spans="1:16">
      <c r="A536" s="141" t="s">
        <v>1969</v>
      </c>
      <c r="B536" s="141" t="s">
        <v>1967</v>
      </c>
      <c r="C536" s="141" t="s">
        <v>1030</v>
      </c>
      <c r="D536" s="172">
        <v>61</v>
      </c>
      <c r="E536" s="141" t="s">
        <v>1009</v>
      </c>
      <c r="F536" s="141" t="s">
        <v>55</v>
      </c>
      <c r="G536" s="141" t="s">
        <v>997</v>
      </c>
      <c r="H536" s="141" t="s">
        <v>320</v>
      </c>
      <c r="I536" s="141" t="s">
        <v>382</v>
      </c>
      <c r="J536" s="141" t="s">
        <v>1004</v>
      </c>
      <c r="K536" s="141" t="s">
        <v>384</v>
      </c>
      <c r="L536" s="141" t="s">
        <v>386</v>
      </c>
      <c r="M536" s="141" t="s">
        <v>808</v>
      </c>
      <c r="N536" s="141" t="s">
        <v>1017</v>
      </c>
      <c r="O536" s="141" t="s">
        <v>71</v>
      </c>
      <c r="P536" s="141"/>
    </row>
    <row r="537" spans="1:16">
      <c r="A537" s="141" t="s">
        <v>1970</v>
      </c>
      <c r="B537" s="141" t="s">
        <v>1971</v>
      </c>
      <c r="C537" s="141" t="s">
        <v>976</v>
      </c>
      <c r="D537" s="172">
        <v>59</v>
      </c>
      <c r="E537" s="141" t="s">
        <v>1009</v>
      </c>
      <c r="F537" s="141" t="s">
        <v>57</v>
      </c>
      <c r="G537" s="141" t="s">
        <v>912</v>
      </c>
      <c r="H537" s="141" t="s">
        <v>320</v>
      </c>
      <c r="I537" s="141" t="s">
        <v>382</v>
      </c>
      <c r="J537" s="141" t="s">
        <v>988</v>
      </c>
      <c r="K537" s="141" t="s">
        <v>384</v>
      </c>
      <c r="L537" s="141" t="s">
        <v>539</v>
      </c>
      <c r="M537" s="141" t="s">
        <v>973</v>
      </c>
      <c r="N537" s="141" t="s">
        <v>989</v>
      </c>
      <c r="O537" s="141" t="s">
        <v>57</v>
      </c>
      <c r="P537" s="141"/>
    </row>
    <row r="538" spans="1:16">
      <c r="A538" s="141" t="s">
        <v>1972</v>
      </c>
      <c r="B538" s="141" t="s">
        <v>1971</v>
      </c>
      <c r="C538" s="141" t="s">
        <v>969</v>
      </c>
      <c r="D538" s="172">
        <v>57</v>
      </c>
      <c r="E538" s="141" t="s">
        <v>1009</v>
      </c>
      <c r="F538" s="141" t="s">
        <v>57</v>
      </c>
      <c r="G538" s="141" t="s">
        <v>912</v>
      </c>
      <c r="H538" s="141" t="s">
        <v>320</v>
      </c>
      <c r="I538" s="141" t="s">
        <v>382</v>
      </c>
      <c r="J538" s="141" t="s">
        <v>988</v>
      </c>
      <c r="K538" s="141" t="s">
        <v>384</v>
      </c>
      <c r="L538" s="141" t="s">
        <v>539</v>
      </c>
      <c r="M538" s="141" t="s">
        <v>973</v>
      </c>
      <c r="N538" s="141" t="s">
        <v>989</v>
      </c>
      <c r="O538" s="141" t="s">
        <v>57</v>
      </c>
      <c r="P538" s="141"/>
    </row>
    <row r="539" spans="1:16">
      <c r="A539" s="141" t="s">
        <v>1973</v>
      </c>
      <c r="B539" s="141" t="s">
        <v>1974</v>
      </c>
      <c r="C539" s="141" t="s">
        <v>976</v>
      </c>
      <c r="D539" s="172">
        <v>59</v>
      </c>
      <c r="E539" s="141" t="s">
        <v>970</v>
      </c>
      <c r="F539" s="141" t="s">
        <v>53</v>
      </c>
      <c r="G539" s="141" t="s">
        <v>971</v>
      </c>
      <c r="H539" s="141" t="s">
        <v>325</v>
      </c>
      <c r="I539" s="141" t="s">
        <v>382</v>
      </c>
      <c r="J539" s="141" t="s">
        <v>972</v>
      </c>
      <c r="K539" s="141" t="s">
        <v>384</v>
      </c>
      <c r="L539" s="141" t="s">
        <v>539</v>
      </c>
      <c r="M539" s="141" t="s">
        <v>973</v>
      </c>
      <c r="N539" s="141" t="s">
        <v>1005</v>
      </c>
      <c r="O539" s="141" t="s">
        <v>53</v>
      </c>
      <c r="P539" s="141"/>
    </row>
    <row r="540" spans="1:16">
      <c r="A540" s="141" t="s">
        <v>1975</v>
      </c>
      <c r="B540" s="141" t="s">
        <v>1974</v>
      </c>
      <c r="C540" s="141" t="s">
        <v>969</v>
      </c>
      <c r="D540" s="172">
        <v>57</v>
      </c>
      <c r="E540" s="141" t="s">
        <v>970</v>
      </c>
      <c r="F540" s="141" t="s">
        <v>53</v>
      </c>
      <c r="G540" s="141" t="s">
        <v>971</v>
      </c>
      <c r="H540" s="141" t="s">
        <v>325</v>
      </c>
      <c r="I540" s="141" t="s">
        <v>382</v>
      </c>
      <c r="J540" s="141" t="s">
        <v>972</v>
      </c>
      <c r="K540" s="141" t="s">
        <v>384</v>
      </c>
      <c r="L540" s="141" t="s">
        <v>539</v>
      </c>
      <c r="M540" s="141" t="s">
        <v>973</v>
      </c>
      <c r="N540" s="141" t="s">
        <v>1005</v>
      </c>
      <c r="O540" s="141" t="s">
        <v>53</v>
      </c>
      <c r="P540" s="141"/>
    </row>
    <row r="541" spans="1:16">
      <c r="A541" s="141" t="s">
        <v>1976</v>
      </c>
      <c r="B541" s="141" t="s">
        <v>1977</v>
      </c>
      <c r="C541" s="141" t="s">
        <v>976</v>
      </c>
      <c r="D541" s="172">
        <v>59</v>
      </c>
      <c r="E541" s="141" t="s">
        <v>970</v>
      </c>
      <c r="F541" s="141" t="s">
        <v>57</v>
      </c>
      <c r="G541" s="141" t="s">
        <v>971</v>
      </c>
      <c r="H541" s="141" t="s">
        <v>325</v>
      </c>
      <c r="I541" s="141" t="s">
        <v>382</v>
      </c>
      <c r="J541" s="141" t="s">
        <v>972</v>
      </c>
      <c r="K541" s="141" t="s">
        <v>384</v>
      </c>
      <c r="L541" s="141" t="s">
        <v>539</v>
      </c>
      <c r="M541" s="141" t="s">
        <v>973</v>
      </c>
      <c r="N541" s="141" t="s">
        <v>989</v>
      </c>
      <c r="O541" s="141" t="s">
        <v>57</v>
      </c>
      <c r="P541" s="141"/>
    </row>
    <row r="542" spans="1:16">
      <c r="A542" s="141" t="s">
        <v>1978</v>
      </c>
      <c r="B542" s="141" t="s">
        <v>1977</v>
      </c>
      <c r="C542" s="141" t="s">
        <v>969</v>
      </c>
      <c r="D542" s="172">
        <v>57</v>
      </c>
      <c r="E542" s="141" t="s">
        <v>970</v>
      </c>
      <c r="F542" s="141" t="s">
        <v>57</v>
      </c>
      <c r="G542" s="141" t="s">
        <v>971</v>
      </c>
      <c r="H542" s="141" t="s">
        <v>325</v>
      </c>
      <c r="I542" s="141" t="s">
        <v>382</v>
      </c>
      <c r="J542" s="141" t="s">
        <v>972</v>
      </c>
      <c r="K542" s="141" t="s">
        <v>384</v>
      </c>
      <c r="L542" s="141" t="s">
        <v>539</v>
      </c>
      <c r="M542" s="141" t="s">
        <v>973</v>
      </c>
      <c r="N542" s="141" t="s">
        <v>989</v>
      </c>
      <c r="O542" s="141" t="s">
        <v>57</v>
      </c>
      <c r="P542" s="141"/>
    </row>
    <row r="543" spans="1:16">
      <c r="A543" s="141" t="s">
        <v>1979</v>
      </c>
      <c r="B543" s="141" t="s">
        <v>1980</v>
      </c>
      <c r="C543" s="141" t="s">
        <v>976</v>
      </c>
      <c r="D543" s="172">
        <v>59</v>
      </c>
      <c r="E543" s="141" t="s">
        <v>1015</v>
      </c>
      <c r="F543" s="141" t="s">
        <v>53</v>
      </c>
      <c r="G543" s="141" t="s">
        <v>1016</v>
      </c>
      <c r="H543" s="141" t="s">
        <v>327</v>
      </c>
      <c r="I543" s="141" t="s">
        <v>382</v>
      </c>
      <c r="J543" s="141" t="s">
        <v>1004</v>
      </c>
      <c r="K543" s="141" t="s">
        <v>384</v>
      </c>
      <c r="L543" s="141" t="s">
        <v>539</v>
      </c>
      <c r="M543" s="141" t="s">
        <v>808</v>
      </c>
      <c r="N543" s="141" t="s">
        <v>1005</v>
      </c>
      <c r="O543" s="141" t="s">
        <v>53</v>
      </c>
      <c r="P543" s="141"/>
    </row>
    <row r="544" spans="1:16">
      <c r="A544" s="141" t="s">
        <v>1981</v>
      </c>
      <c r="B544" s="141" t="s">
        <v>1980</v>
      </c>
      <c r="C544" s="141" t="s">
        <v>969</v>
      </c>
      <c r="D544" s="172">
        <v>57</v>
      </c>
      <c r="E544" s="141" t="s">
        <v>1015</v>
      </c>
      <c r="F544" s="141" t="s">
        <v>53</v>
      </c>
      <c r="G544" s="141" t="s">
        <v>1016</v>
      </c>
      <c r="H544" s="141" t="s">
        <v>327</v>
      </c>
      <c r="I544" s="141" t="s">
        <v>382</v>
      </c>
      <c r="J544" s="141" t="s">
        <v>1004</v>
      </c>
      <c r="K544" s="141" t="s">
        <v>384</v>
      </c>
      <c r="L544" s="141" t="s">
        <v>539</v>
      </c>
      <c r="M544" s="141" t="s">
        <v>808</v>
      </c>
      <c r="N544" s="141" t="s">
        <v>1005</v>
      </c>
      <c r="O544" s="141" t="s">
        <v>53</v>
      </c>
      <c r="P544" s="141"/>
    </row>
    <row r="545" spans="1:16">
      <c r="A545" s="141" t="s">
        <v>1982</v>
      </c>
      <c r="B545" s="141" t="s">
        <v>1983</v>
      </c>
      <c r="C545" s="141" t="s">
        <v>1058</v>
      </c>
      <c r="D545" s="172">
        <v>60</v>
      </c>
      <c r="E545" s="141" t="s">
        <v>1506</v>
      </c>
      <c r="F545" s="141" t="s">
        <v>83</v>
      </c>
      <c r="G545" s="141" t="s">
        <v>1393</v>
      </c>
      <c r="H545" s="141" t="s">
        <v>327</v>
      </c>
      <c r="I545" s="141" t="s">
        <v>382</v>
      </c>
      <c r="J545" s="141" t="s">
        <v>981</v>
      </c>
      <c r="K545" s="141" t="s">
        <v>384</v>
      </c>
      <c r="L545" s="141" t="s">
        <v>533</v>
      </c>
      <c r="M545" s="141" t="s">
        <v>973</v>
      </c>
      <c r="N545" s="141" t="s">
        <v>1119</v>
      </c>
      <c r="O545" s="141" t="s">
        <v>83</v>
      </c>
      <c r="P545" s="141"/>
    </row>
    <row r="546" spans="1:16">
      <c r="A546" s="141" t="s">
        <v>1984</v>
      </c>
      <c r="B546" s="141" t="s">
        <v>1983</v>
      </c>
      <c r="C546" s="141" t="s">
        <v>1053</v>
      </c>
      <c r="D546" s="172">
        <v>56</v>
      </c>
      <c r="E546" s="141" t="s">
        <v>1506</v>
      </c>
      <c r="F546" s="141" t="s">
        <v>83</v>
      </c>
      <c r="G546" s="141" t="s">
        <v>1393</v>
      </c>
      <c r="H546" s="141" t="s">
        <v>327</v>
      </c>
      <c r="I546" s="141" t="s">
        <v>382</v>
      </c>
      <c r="J546" s="141" t="s">
        <v>981</v>
      </c>
      <c r="K546" s="141" t="s">
        <v>384</v>
      </c>
      <c r="L546" s="141" t="s">
        <v>533</v>
      </c>
      <c r="M546" s="141" t="s">
        <v>973</v>
      </c>
      <c r="N546" s="141" t="s">
        <v>1119</v>
      </c>
      <c r="O546" s="141" t="s">
        <v>83</v>
      </c>
      <c r="P546" s="141"/>
    </row>
    <row r="547" spans="1:16">
      <c r="A547" s="141" t="s">
        <v>1985</v>
      </c>
      <c r="B547" s="141" t="s">
        <v>1986</v>
      </c>
      <c r="C547" s="141" t="s">
        <v>976</v>
      </c>
      <c r="D547" s="172">
        <v>59</v>
      </c>
      <c r="E547" s="141" t="s">
        <v>1660</v>
      </c>
      <c r="F547" s="141" t="s">
        <v>53</v>
      </c>
      <c r="G547" s="141" t="s">
        <v>1661</v>
      </c>
      <c r="H547" s="141" t="s">
        <v>320</v>
      </c>
      <c r="I547" s="141" t="s">
        <v>382</v>
      </c>
      <c r="J547" s="141" t="s">
        <v>988</v>
      </c>
      <c r="K547" s="141" t="s">
        <v>384</v>
      </c>
      <c r="L547" s="141" t="s">
        <v>539</v>
      </c>
      <c r="M547" s="141" t="s">
        <v>973</v>
      </c>
      <c r="N547" s="141" t="s">
        <v>1005</v>
      </c>
      <c r="O547" s="141" t="s">
        <v>53</v>
      </c>
      <c r="P547" s="141"/>
    </row>
    <row r="548" spans="1:16">
      <c r="A548" s="141" t="s">
        <v>1987</v>
      </c>
      <c r="B548" s="141" t="s">
        <v>1986</v>
      </c>
      <c r="C548" s="141" t="s">
        <v>969</v>
      </c>
      <c r="D548" s="172">
        <v>57</v>
      </c>
      <c r="E548" s="141" t="s">
        <v>1660</v>
      </c>
      <c r="F548" s="141" t="s">
        <v>53</v>
      </c>
      <c r="G548" s="141" t="s">
        <v>1661</v>
      </c>
      <c r="H548" s="141" t="s">
        <v>320</v>
      </c>
      <c r="I548" s="141" t="s">
        <v>382</v>
      </c>
      <c r="J548" s="141" t="s">
        <v>988</v>
      </c>
      <c r="K548" s="141" t="s">
        <v>384</v>
      </c>
      <c r="L548" s="141" t="s">
        <v>539</v>
      </c>
      <c r="M548" s="141" t="s">
        <v>973</v>
      </c>
      <c r="N548" s="141" t="s">
        <v>1005</v>
      </c>
      <c r="O548" s="141" t="s">
        <v>53</v>
      </c>
      <c r="P548" s="141"/>
    </row>
    <row r="549" spans="1:16">
      <c r="A549" s="141" t="s">
        <v>1988</v>
      </c>
      <c r="B549" s="141" t="s">
        <v>1986</v>
      </c>
      <c r="C549" s="141" t="s">
        <v>1030</v>
      </c>
      <c r="D549" s="172">
        <v>61</v>
      </c>
      <c r="E549" s="141" t="s">
        <v>1660</v>
      </c>
      <c r="F549" s="141" t="s">
        <v>53</v>
      </c>
      <c r="G549" s="141" t="s">
        <v>1661</v>
      </c>
      <c r="H549" s="141" t="s">
        <v>320</v>
      </c>
      <c r="I549" s="141" t="s">
        <v>382</v>
      </c>
      <c r="J549" s="141" t="s">
        <v>988</v>
      </c>
      <c r="K549" s="141" t="s">
        <v>384</v>
      </c>
      <c r="L549" s="141" t="s">
        <v>539</v>
      </c>
      <c r="M549" s="141" t="s">
        <v>973</v>
      </c>
      <c r="N549" s="141" t="s">
        <v>1005</v>
      </c>
      <c r="O549" s="141" t="s">
        <v>53</v>
      </c>
      <c r="P549" s="141"/>
    </row>
    <row r="550" spans="1:16">
      <c r="A550" s="141" t="s">
        <v>1989</v>
      </c>
      <c r="B550" s="141" t="s">
        <v>1990</v>
      </c>
      <c r="C550" s="141" t="s">
        <v>976</v>
      </c>
      <c r="D550" s="172">
        <v>59</v>
      </c>
      <c r="E550" s="141" t="s">
        <v>1660</v>
      </c>
      <c r="F550" s="141" t="s">
        <v>55</v>
      </c>
      <c r="G550" s="141" t="s">
        <v>1661</v>
      </c>
      <c r="H550" s="141" t="s">
        <v>320</v>
      </c>
      <c r="I550" s="141" t="s">
        <v>382</v>
      </c>
      <c r="J550" s="141" t="s">
        <v>988</v>
      </c>
      <c r="K550" s="141" t="s">
        <v>384</v>
      </c>
      <c r="L550" s="141" t="s">
        <v>539</v>
      </c>
      <c r="M550" s="141" t="s">
        <v>973</v>
      </c>
      <c r="N550" s="141" t="s">
        <v>1017</v>
      </c>
      <c r="O550" s="141" t="s">
        <v>71</v>
      </c>
      <c r="P550" s="141"/>
    </row>
    <row r="551" spans="1:16">
      <c r="A551" s="141" t="s">
        <v>1991</v>
      </c>
      <c r="B551" s="141" t="s">
        <v>1990</v>
      </c>
      <c r="C551" s="141" t="s">
        <v>969</v>
      </c>
      <c r="D551" s="172">
        <v>57</v>
      </c>
      <c r="E551" s="141" t="s">
        <v>1660</v>
      </c>
      <c r="F551" s="141" t="s">
        <v>55</v>
      </c>
      <c r="G551" s="141" t="s">
        <v>1661</v>
      </c>
      <c r="H551" s="141" t="s">
        <v>320</v>
      </c>
      <c r="I551" s="141" t="s">
        <v>382</v>
      </c>
      <c r="J551" s="141" t="s">
        <v>988</v>
      </c>
      <c r="K551" s="141" t="s">
        <v>384</v>
      </c>
      <c r="L551" s="141" t="s">
        <v>539</v>
      </c>
      <c r="M551" s="141" t="s">
        <v>973</v>
      </c>
      <c r="N551" s="141" t="s">
        <v>1017</v>
      </c>
      <c r="O551" s="141" t="s">
        <v>71</v>
      </c>
      <c r="P551" s="141"/>
    </row>
    <row r="552" spans="1:16">
      <c r="A552" s="141" t="s">
        <v>1992</v>
      </c>
      <c r="B552" s="141" t="s">
        <v>1993</v>
      </c>
      <c r="C552" s="141" t="s">
        <v>976</v>
      </c>
      <c r="D552" s="172">
        <v>59</v>
      </c>
      <c r="E552" s="141" t="s">
        <v>1994</v>
      </c>
      <c r="F552" s="141" t="s">
        <v>63</v>
      </c>
      <c r="G552" s="141" t="s">
        <v>1010</v>
      </c>
      <c r="H552" s="141" t="s">
        <v>320</v>
      </c>
      <c r="I552" s="141" t="s">
        <v>382</v>
      </c>
      <c r="J552" s="141" t="s">
        <v>988</v>
      </c>
      <c r="K552" s="141" t="s">
        <v>384</v>
      </c>
      <c r="L552" s="141" t="s">
        <v>386</v>
      </c>
      <c r="M552" s="141" t="s">
        <v>973</v>
      </c>
      <c r="N552" s="141" t="s">
        <v>1085</v>
      </c>
      <c r="O552" s="141" t="s">
        <v>63</v>
      </c>
      <c r="P552" s="141"/>
    </row>
    <row r="553" spans="1:16">
      <c r="A553" s="141" t="s">
        <v>1995</v>
      </c>
      <c r="B553" s="141" t="s">
        <v>1993</v>
      </c>
      <c r="C553" s="141" t="s">
        <v>969</v>
      </c>
      <c r="D553" s="172">
        <v>57</v>
      </c>
      <c r="E553" s="141" t="s">
        <v>1994</v>
      </c>
      <c r="F553" s="141" t="s">
        <v>63</v>
      </c>
      <c r="G553" s="141" t="s">
        <v>1010</v>
      </c>
      <c r="H553" s="141" t="s">
        <v>320</v>
      </c>
      <c r="I553" s="141" t="s">
        <v>382</v>
      </c>
      <c r="J553" s="141" t="s">
        <v>988</v>
      </c>
      <c r="K553" s="141" t="s">
        <v>384</v>
      </c>
      <c r="L553" s="141" t="s">
        <v>386</v>
      </c>
      <c r="M553" s="141" t="s">
        <v>973</v>
      </c>
      <c r="N553" s="141" t="s">
        <v>1085</v>
      </c>
      <c r="O553" s="141" t="s">
        <v>63</v>
      </c>
      <c r="P553" s="141"/>
    </row>
    <row r="554" spans="1:16">
      <c r="A554" s="141" t="s">
        <v>1996</v>
      </c>
      <c r="B554" s="141" t="s">
        <v>1997</v>
      </c>
      <c r="C554" s="141" t="s">
        <v>976</v>
      </c>
      <c r="D554" s="172">
        <v>59</v>
      </c>
      <c r="E554" s="141" t="s">
        <v>1994</v>
      </c>
      <c r="F554" s="141" t="s">
        <v>53</v>
      </c>
      <c r="G554" s="141" t="s">
        <v>1010</v>
      </c>
      <c r="H554" s="141" t="s">
        <v>320</v>
      </c>
      <c r="I554" s="141" t="s">
        <v>382</v>
      </c>
      <c r="J554" s="141" t="s">
        <v>988</v>
      </c>
      <c r="K554" s="141" t="s">
        <v>384</v>
      </c>
      <c r="L554" s="141" t="s">
        <v>386</v>
      </c>
      <c r="M554" s="141" t="s">
        <v>973</v>
      </c>
      <c r="N554" s="141" t="s">
        <v>1005</v>
      </c>
      <c r="O554" s="141" t="s">
        <v>53</v>
      </c>
      <c r="P554" s="141"/>
    </row>
    <row r="555" spans="1:16">
      <c r="A555" s="141" t="s">
        <v>1998</v>
      </c>
      <c r="B555" s="141" t="s">
        <v>1997</v>
      </c>
      <c r="C555" s="141" t="s">
        <v>969</v>
      </c>
      <c r="D555" s="172">
        <v>57</v>
      </c>
      <c r="E555" s="141" t="s">
        <v>1994</v>
      </c>
      <c r="F555" s="141" t="s">
        <v>53</v>
      </c>
      <c r="G555" s="141" t="s">
        <v>1010</v>
      </c>
      <c r="H555" s="141" t="s">
        <v>320</v>
      </c>
      <c r="I555" s="141" t="s">
        <v>382</v>
      </c>
      <c r="J555" s="141" t="s">
        <v>988</v>
      </c>
      <c r="K555" s="141" t="s">
        <v>384</v>
      </c>
      <c r="L555" s="141" t="s">
        <v>386</v>
      </c>
      <c r="M555" s="141" t="s">
        <v>973</v>
      </c>
      <c r="N555" s="141" t="s">
        <v>1005</v>
      </c>
      <c r="O555" s="141" t="s">
        <v>53</v>
      </c>
      <c r="P555" s="141"/>
    </row>
    <row r="556" spans="1:16">
      <c r="A556" s="141" t="s">
        <v>1999</v>
      </c>
      <c r="B556" s="141" t="s">
        <v>1997</v>
      </c>
      <c r="C556" s="141" t="s">
        <v>1030</v>
      </c>
      <c r="D556" s="172">
        <v>61</v>
      </c>
      <c r="E556" s="141" t="s">
        <v>1994</v>
      </c>
      <c r="F556" s="141" t="s">
        <v>53</v>
      </c>
      <c r="G556" s="141" t="s">
        <v>1010</v>
      </c>
      <c r="H556" s="141" t="s">
        <v>320</v>
      </c>
      <c r="I556" s="141" t="s">
        <v>382</v>
      </c>
      <c r="J556" s="141" t="s">
        <v>988</v>
      </c>
      <c r="K556" s="141" t="s">
        <v>384</v>
      </c>
      <c r="L556" s="141" t="s">
        <v>386</v>
      </c>
      <c r="M556" s="141" t="s">
        <v>973</v>
      </c>
      <c r="N556" s="141" t="s">
        <v>1005</v>
      </c>
      <c r="O556" s="141" t="s">
        <v>53</v>
      </c>
      <c r="P556" s="141"/>
    </row>
    <row r="557" spans="1:16">
      <c r="A557" s="141" t="s">
        <v>2000</v>
      </c>
      <c r="B557" s="141" t="s">
        <v>2001</v>
      </c>
      <c r="C557" s="141" t="s">
        <v>969</v>
      </c>
      <c r="D557" s="172">
        <v>57</v>
      </c>
      <c r="E557" s="141" t="s">
        <v>1994</v>
      </c>
      <c r="F557" s="141" t="s">
        <v>55</v>
      </c>
      <c r="G557" s="141" t="s">
        <v>1016</v>
      </c>
      <c r="H557" s="141" t="s">
        <v>320</v>
      </c>
      <c r="I557" s="141" t="s">
        <v>382</v>
      </c>
      <c r="J557" s="141" t="s">
        <v>988</v>
      </c>
      <c r="K557" s="141" t="s">
        <v>384</v>
      </c>
      <c r="L557" s="141" t="s">
        <v>539</v>
      </c>
      <c r="M557" s="141" t="s">
        <v>973</v>
      </c>
      <c r="N557" s="141" t="s">
        <v>1017</v>
      </c>
      <c r="O557" s="141" t="s">
        <v>71</v>
      </c>
      <c r="P557" s="141"/>
    </row>
    <row r="558" spans="1:16">
      <c r="A558" s="141" t="s">
        <v>2002</v>
      </c>
      <c r="B558" s="141" t="s">
        <v>2001</v>
      </c>
      <c r="C558" s="141" t="s">
        <v>976</v>
      </c>
      <c r="D558" s="172">
        <v>59</v>
      </c>
      <c r="E558" s="141" t="s">
        <v>1994</v>
      </c>
      <c r="F558" s="141" t="s">
        <v>55</v>
      </c>
      <c r="G558" s="141" t="s">
        <v>1016</v>
      </c>
      <c r="H558" s="141" t="s">
        <v>320</v>
      </c>
      <c r="I558" s="141" t="s">
        <v>382</v>
      </c>
      <c r="J558" s="141" t="s">
        <v>988</v>
      </c>
      <c r="K558" s="141" t="s">
        <v>384</v>
      </c>
      <c r="L558" s="141" t="s">
        <v>539</v>
      </c>
      <c r="M558" s="141" t="s">
        <v>973</v>
      </c>
      <c r="N558" s="141" t="s">
        <v>1017</v>
      </c>
      <c r="O558" s="141" t="s">
        <v>71</v>
      </c>
      <c r="P558" s="141"/>
    </row>
    <row r="559" spans="1:16">
      <c r="A559" s="141" t="s">
        <v>2003</v>
      </c>
      <c r="B559" s="141" t="s">
        <v>2004</v>
      </c>
      <c r="C559" s="141" t="s">
        <v>909</v>
      </c>
      <c r="D559" s="142">
        <v>0</v>
      </c>
      <c r="E559" s="141" t="s">
        <v>2005</v>
      </c>
      <c r="F559" s="141" t="s">
        <v>306</v>
      </c>
      <c r="G559" s="141" t="s">
        <v>1393</v>
      </c>
      <c r="H559" s="141" t="s">
        <v>783</v>
      </c>
      <c r="I559" s="141" t="s">
        <v>382</v>
      </c>
      <c r="J559" s="141" t="s">
        <v>981</v>
      </c>
      <c r="K559" s="141" t="s">
        <v>384</v>
      </c>
      <c r="L559" s="141" t="s">
        <v>533</v>
      </c>
      <c r="M559" s="141" t="s">
        <v>973</v>
      </c>
      <c r="N559" s="141" t="s">
        <v>2006</v>
      </c>
      <c r="O559" s="141" t="s">
        <v>53</v>
      </c>
      <c r="P559" s="141"/>
    </row>
    <row r="560" spans="1:16">
      <c r="A560" s="141" t="s">
        <v>2007</v>
      </c>
      <c r="B560" s="141" t="s">
        <v>2008</v>
      </c>
      <c r="C560" s="141" t="s">
        <v>909</v>
      </c>
      <c r="D560" s="142">
        <v>0</v>
      </c>
      <c r="E560" s="141" t="s">
        <v>2005</v>
      </c>
      <c r="F560" s="141" t="s">
        <v>245</v>
      </c>
      <c r="G560" s="141" t="s">
        <v>1393</v>
      </c>
      <c r="H560" s="141" t="s">
        <v>783</v>
      </c>
      <c r="I560" s="141" t="s">
        <v>382</v>
      </c>
      <c r="J560" s="141" t="s">
        <v>981</v>
      </c>
      <c r="K560" s="141" t="s">
        <v>384</v>
      </c>
      <c r="L560" s="141" t="s">
        <v>533</v>
      </c>
      <c r="M560" s="141" t="s">
        <v>973</v>
      </c>
      <c r="N560" s="141" t="s">
        <v>2009</v>
      </c>
      <c r="O560" s="141" t="s">
        <v>83</v>
      </c>
      <c r="P560" s="141"/>
    </row>
    <row r="561" spans="1:16">
      <c r="A561" s="141" t="s">
        <v>2010</v>
      </c>
      <c r="B561" s="141" t="s">
        <v>2011</v>
      </c>
      <c r="C561" s="141" t="s">
        <v>909</v>
      </c>
      <c r="D561" s="142">
        <v>0</v>
      </c>
      <c r="E561" s="141" t="s">
        <v>2005</v>
      </c>
      <c r="F561" s="141" t="s">
        <v>252</v>
      </c>
      <c r="G561" s="141" t="s">
        <v>1393</v>
      </c>
      <c r="H561" s="141" t="s">
        <v>783</v>
      </c>
      <c r="I561" s="141" t="s">
        <v>382</v>
      </c>
      <c r="J561" s="141" t="s">
        <v>981</v>
      </c>
      <c r="K561" s="141" t="s">
        <v>384</v>
      </c>
      <c r="L561" s="141" t="s">
        <v>533</v>
      </c>
      <c r="M561" s="141" t="s">
        <v>973</v>
      </c>
      <c r="N561" s="141" t="s">
        <v>2012</v>
      </c>
      <c r="O561" s="141" t="s">
        <v>71</v>
      </c>
      <c r="P561" s="141"/>
    </row>
    <row r="562" spans="1:16">
      <c r="A562" s="141" t="s">
        <v>2013</v>
      </c>
      <c r="B562" s="141" t="s">
        <v>2014</v>
      </c>
      <c r="C562" s="141" t="s">
        <v>969</v>
      </c>
      <c r="D562" s="172">
        <v>57</v>
      </c>
      <c r="E562" s="141" t="s">
        <v>1656</v>
      </c>
      <c r="F562" s="141" t="s">
        <v>53</v>
      </c>
      <c r="G562" s="141" t="s">
        <v>971</v>
      </c>
      <c r="H562" s="141" t="s">
        <v>325</v>
      </c>
      <c r="I562" s="141" t="s">
        <v>382</v>
      </c>
      <c r="J562" s="141" t="s">
        <v>972</v>
      </c>
      <c r="K562" s="141" t="s">
        <v>384</v>
      </c>
      <c r="L562" s="141" t="s">
        <v>539</v>
      </c>
      <c r="M562" s="141" t="s">
        <v>808</v>
      </c>
      <c r="N562" s="141" t="s">
        <v>1005</v>
      </c>
      <c r="O562" s="141" t="s">
        <v>53</v>
      </c>
      <c r="P562" s="141"/>
    </row>
    <row r="563" spans="1:16">
      <c r="A563" s="141" t="s">
        <v>2015</v>
      </c>
      <c r="B563" s="141" t="s">
        <v>2014</v>
      </c>
      <c r="C563" s="141" t="s">
        <v>976</v>
      </c>
      <c r="D563" s="172">
        <v>59</v>
      </c>
      <c r="E563" s="141" t="s">
        <v>1656</v>
      </c>
      <c r="F563" s="141" t="s">
        <v>53</v>
      </c>
      <c r="G563" s="141" t="s">
        <v>971</v>
      </c>
      <c r="H563" s="141" t="s">
        <v>325</v>
      </c>
      <c r="I563" s="141" t="s">
        <v>382</v>
      </c>
      <c r="J563" s="141" t="s">
        <v>972</v>
      </c>
      <c r="K563" s="141" t="s">
        <v>384</v>
      </c>
      <c r="L563" s="141" t="s">
        <v>539</v>
      </c>
      <c r="M563" s="141" t="s">
        <v>808</v>
      </c>
      <c r="N563" s="141" t="s">
        <v>1005</v>
      </c>
      <c r="O563" s="141" t="s">
        <v>53</v>
      </c>
      <c r="P563" s="141"/>
    </row>
    <row r="564" spans="1:16">
      <c r="A564" s="141" t="s">
        <v>2016</v>
      </c>
      <c r="B564" s="141" t="s">
        <v>2017</v>
      </c>
      <c r="C564" s="141" t="s">
        <v>976</v>
      </c>
      <c r="D564" s="172">
        <v>59</v>
      </c>
      <c r="E564" s="141" t="s">
        <v>1656</v>
      </c>
      <c r="F564" s="141" t="s">
        <v>78</v>
      </c>
      <c r="G564" s="141" t="s">
        <v>2018</v>
      </c>
      <c r="H564" s="141" t="s">
        <v>325</v>
      </c>
      <c r="I564" s="141" t="s">
        <v>382</v>
      </c>
      <c r="J564" s="141" t="s">
        <v>972</v>
      </c>
      <c r="K564" s="141" t="s">
        <v>384</v>
      </c>
      <c r="L564" s="141" t="s">
        <v>539</v>
      </c>
      <c r="M564" s="141" t="s">
        <v>973</v>
      </c>
      <c r="N564" s="141" t="s">
        <v>1502</v>
      </c>
      <c r="O564" s="141" t="s">
        <v>78</v>
      </c>
      <c r="P564" s="141"/>
    </row>
    <row r="565" spans="1:16">
      <c r="A565" s="141" t="s">
        <v>2019</v>
      </c>
      <c r="B565" s="141" t="s">
        <v>2017</v>
      </c>
      <c r="C565" s="141" t="s">
        <v>969</v>
      </c>
      <c r="D565" s="172">
        <v>57</v>
      </c>
      <c r="E565" s="141" t="s">
        <v>1656</v>
      </c>
      <c r="F565" s="141" t="s">
        <v>78</v>
      </c>
      <c r="G565" s="141" t="s">
        <v>2018</v>
      </c>
      <c r="H565" s="141" t="s">
        <v>325</v>
      </c>
      <c r="I565" s="141" t="s">
        <v>382</v>
      </c>
      <c r="J565" s="141" t="s">
        <v>972</v>
      </c>
      <c r="K565" s="141" t="s">
        <v>384</v>
      </c>
      <c r="L565" s="141" t="s">
        <v>539</v>
      </c>
      <c r="M565" s="141" t="s">
        <v>973</v>
      </c>
      <c r="N565" s="141" t="s">
        <v>1502</v>
      </c>
      <c r="O565" s="141" t="s">
        <v>78</v>
      </c>
      <c r="P565" s="141"/>
    </row>
    <row r="566" spans="1:16">
      <c r="A566" s="141" t="s">
        <v>2020</v>
      </c>
      <c r="B566" s="141" t="s">
        <v>2021</v>
      </c>
      <c r="C566" s="141" t="s">
        <v>976</v>
      </c>
      <c r="D566" s="172">
        <v>59</v>
      </c>
      <c r="E566" s="141" t="s">
        <v>1656</v>
      </c>
      <c r="F566" s="141" t="s">
        <v>57</v>
      </c>
      <c r="G566" s="141" t="s">
        <v>2018</v>
      </c>
      <c r="H566" s="141" t="s">
        <v>325</v>
      </c>
      <c r="I566" s="141" t="s">
        <v>382</v>
      </c>
      <c r="J566" s="141" t="s">
        <v>972</v>
      </c>
      <c r="K566" s="141" t="s">
        <v>384</v>
      </c>
      <c r="L566" s="141" t="s">
        <v>539</v>
      </c>
      <c r="M566" s="141" t="s">
        <v>973</v>
      </c>
      <c r="N566" s="141" t="s">
        <v>989</v>
      </c>
      <c r="O566" s="141" t="s">
        <v>57</v>
      </c>
      <c r="P566" s="141"/>
    </row>
    <row r="567" spans="1:16">
      <c r="A567" s="141" t="s">
        <v>2022</v>
      </c>
      <c r="B567" s="141" t="s">
        <v>2021</v>
      </c>
      <c r="C567" s="141" t="s">
        <v>969</v>
      </c>
      <c r="D567" s="172">
        <v>57</v>
      </c>
      <c r="E567" s="141" t="s">
        <v>1656</v>
      </c>
      <c r="F567" s="141" t="s">
        <v>57</v>
      </c>
      <c r="G567" s="141" t="s">
        <v>2018</v>
      </c>
      <c r="H567" s="141" t="s">
        <v>325</v>
      </c>
      <c r="I567" s="141" t="s">
        <v>382</v>
      </c>
      <c r="J567" s="141" t="s">
        <v>972</v>
      </c>
      <c r="K567" s="141" t="s">
        <v>384</v>
      </c>
      <c r="L567" s="141" t="s">
        <v>539</v>
      </c>
      <c r="M567" s="141" t="s">
        <v>973</v>
      </c>
      <c r="N567" s="141" t="s">
        <v>989</v>
      </c>
      <c r="O567" s="141" t="s">
        <v>57</v>
      </c>
      <c r="P567" s="141"/>
    </row>
    <row r="568" spans="1:16">
      <c r="A568" s="141" t="s">
        <v>2023</v>
      </c>
      <c r="B568" s="141" t="s">
        <v>2024</v>
      </c>
      <c r="C568" s="141" t="s">
        <v>969</v>
      </c>
      <c r="D568" s="172">
        <v>57</v>
      </c>
      <c r="E568" s="141" t="s">
        <v>2025</v>
      </c>
      <c r="F568" s="141" t="s">
        <v>78</v>
      </c>
      <c r="G568" s="141" t="s">
        <v>2018</v>
      </c>
      <c r="H568" s="141" t="s">
        <v>320</v>
      </c>
      <c r="I568" s="141" t="s">
        <v>382</v>
      </c>
      <c r="J568" s="141" t="s">
        <v>972</v>
      </c>
      <c r="K568" s="141" t="s">
        <v>384</v>
      </c>
      <c r="L568" s="141" t="s">
        <v>539</v>
      </c>
      <c r="M568" s="141" t="s">
        <v>973</v>
      </c>
      <c r="N568" s="141" t="s">
        <v>1502</v>
      </c>
      <c r="O568" s="141" t="s">
        <v>78</v>
      </c>
      <c r="P568" s="141"/>
    </row>
    <row r="569" spans="1:16">
      <c r="A569" s="141" t="s">
        <v>2026</v>
      </c>
      <c r="B569" s="141" t="s">
        <v>2024</v>
      </c>
      <c r="C569" s="141" t="s">
        <v>1032</v>
      </c>
      <c r="D569" s="172">
        <v>55</v>
      </c>
      <c r="E569" s="141" t="s">
        <v>2025</v>
      </c>
      <c r="F569" s="141" t="s">
        <v>78</v>
      </c>
      <c r="G569" s="141" t="s">
        <v>2018</v>
      </c>
      <c r="H569" s="141" t="s">
        <v>320</v>
      </c>
      <c r="I569" s="141" t="s">
        <v>382</v>
      </c>
      <c r="J569" s="141" t="s">
        <v>972</v>
      </c>
      <c r="K569" s="141" t="s">
        <v>384</v>
      </c>
      <c r="L569" s="141" t="s">
        <v>539</v>
      </c>
      <c r="M569" s="141" t="s">
        <v>973</v>
      </c>
      <c r="N569" s="141" t="s">
        <v>1502</v>
      </c>
      <c r="O569" s="141" t="s">
        <v>78</v>
      </c>
      <c r="P569" s="141"/>
    </row>
    <row r="570" spans="1:16">
      <c r="A570" s="141" t="s">
        <v>2027</v>
      </c>
      <c r="B570" s="141" t="s">
        <v>2028</v>
      </c>
      <c r="C570" s="141" t="s">
        <v>969</v>
      </c>
      <c r="D570" s="172">
        <v>57</v>
      </c>
      <c r="E570" s="141" t="s">
        <v>2025</v>
      </c>
      <c r="F570" s="141" t="s">
        <v>57</v>
      </c>
      <c r="G570" s="141" t="s">
        <v>2018</v>
      </c>
      <c r="H570" s="141" t="s">
        <v>320</v>
      </c>
      <c r="I570" s="141" t="s">
        <v>382</v>
      </c>
      <c r="J570" s="141" t="s">
        <v>972</v>
      </c>
      <c r="K570" s="141" t="s">
        <v>384</v>
      </c>
      <c r="L570" s="141" t="s">
        <v>539</v>
      </c>
      <c r="M570" s="141" t="s">
        <v>973</v>
      </c>
      <c r="N570" s="141" t="s">
        <v>989</v>
      </c>
      <c r="O570" s="141" t="s">
        <v>57</v>
      </c>
      <c r="P570" s="141"/>
    </row>
    <row r="571" spans="1:16">
      <c r="A571" s="141" t="s">
        <v>2029</v>
      </c>
      <c r="B571" s="141" t="s">
        <v>2028</v>
      </c>
      <c r="C571" s="141" t="s">
        <v>1032</v>
      </c>
      <c r="D571" s="172">
        <v>55</v>
      </c>
      <c r="E571" s="141" t="s">
        <v>2025</v>
      </c>
      <c r="F571" s="141" t="s">
        <v>57</v>
      </c>
      <c r="G571" s="141" t="s">
        <v>2018</v>
      </c>
      <c r="H571" s="141" t="s">
        <v>320</v>
      </c>
      <c r="I571" s="141" t="s">
        <v>382</v>
      </c>
      <c r="J571" s="141" t="s">
        <v>972</v>
      </c>
      <c r="K571" s="141" t="s">
        <v>384</v>
      </c>
      <c r="L571" s="141" t="s">
        <v>539</v>
      </c>
      <c r="M571" s="141" t="s">
        <v>973</v>
      </c>
      <c r="N571" s="141" t="s">
        <v>989</v>
      </c>
      <c r="O571" s="141" t="s">
        <v>57</v>
      </c>
      <c r="P571" s="141"/>
    </row>
    <row r="572" spans="1:16">
      <c r="A572" s="141" t="s">
        <v>2030</v>
      </c>
      <c r="B572" s="141" t="s">
        <v>2031</v>
      </c>
      <c r="C572" s="141" t="s">
        <v>976</v>
      </c>
      <c r="D572" s="172">
        <v>59</v>
      </c>
      <c r="E572" s="141" t="s">
        <v>2032</v>
      </c>
      <c r="F572" s="141" t="s">
        <v>53</v>
      </c>
      <c r="G572" s="141" t="s">
        <v>1042</v>
      </c>
      <c r="H572" s="141" t="s">
        <v>320</v>
      </c>
      <c r="I572" s="141" t="s">
        <v>382</v>
      </c>
      <c r="J572" s="141" t="s">
        <v>988</v>
      </c>
      <c r="K572" s="141" t="s">
        <v>384</v>
      </c>
      <c r="L572" s="141" t="s">
        <v>386</v>
      </c>
      <c r="M572" s="141" t="s">
        <v>973</v>
      </c>
      <c r="N572" s="141" t="s">
        <v>1005</v>
      </c>
      <c r="O572" s="141" t="s">
        <v>53</v>
      </c>
      <c r="P572" s="141"/>
    </row>
    <row r="573" spans="1:16">
      <c r="A573" s="141" t="s">
        <v>2033</v>
      </c>
      <c r="B573" s="141" t="s">
        <v>2034</v>
      </c>
      <c r="C573" s="141" t="s">
        <v>976</v>
      </c>
      <c r="D573" s="172">
        <v>59</v>
      </c>
      <c r="E573" s="141" t="s">
        <v>2032</v>
      </c>
      <c r="F573" s="141" t="s">
        <v>55</v>
      </c>
      <c r="G573" s="141" t="s">
        <v>1042</v>
      </c>
      <c r="H573" s="141" t="s">
        <v>320</v>
      </c>
      <c r="I573" s="141" t="s">
        <v>382</v>
      </c>
      <c r="J573" s="141" t="s">
        <v>988</v>
      </c>
      <c r="K573" s="141" t="s">
        <v>384</v>
      </c>
      <c r="L573" s="141" t="s">
        <v>386</v>
      </c>
      <c r="M573" s="141" t="s">
        <v>973</v>
      </c>
      <c r="N573" s="141" t="s">
        <v>1017</v>
      </c>
      <c r="O573" s="141" t="s">
        <v>71</v>
      </c>
      <c r="P573" s="141"/>
    </row>
    <row r="574" spans="1:16">
      <c r="A574" s="141" t="s">
        <v>2035</v>
      </c>
      <c r="B574" s="141" t="s">
        <v>2034</v>
      </c>
      <c r="C574" s="141" t="s">
        <v>969</v>
      </c>
      <c r="D574" s="172">
        <v>57</v>
      </c>
      <c r="E574" s="141" t="s">
        <v>2032</v>
      </c>
      <c r="F574" s="141" t="s">
        <v>55</v>
      </c>
      <c r="G574" s="141" t="s">
        <v>1042</v>
      </c>
      <c r="H574" s="141" t="s">
        <v>320</v>
      </c>
      <c r="I574" s="141" t="s">
        <v>382</v>
      </c>
      <c r="J574" s="141" t="s">
        <v>988</v>
      </c>
      <c r="K574" s="141" t="s">
        <v>384</v>
      </c>
      <c r="L574" s="141" t="s">
        <v>386</v>
      </c>
      <c r="M574" s="141" t="s">
        <v>973</v>
      </c>
      <c r="N574" s="141" t="s">
        <v>1017</v>
      </c>
      <c r="O574" s="141" t="s">
        <v>71</v>
      </c>
      <c r="P574" s="141"/>
    </row>
    <row r="575" spans="1:16">
      <c r="A575" s="141" t="s">
        <v>2036</v>
      </c>
      <c r="B575" s="141" t="s">
        <v>2037</v>
      </c>
      <c r="C575" s="141" t="s">
        <v>969</v>
      </c>
      <c r="D575" s="172">
        <v>57</v>
      </c>
      <c r="E575" s="141" t="s">
        <v>986</v>
      </c>
      <c r="F575" s="141" t="s">
        <v>55</v>
      </c>
      <c r="G575" s="141" t="s">
        <v>2038</v>
      </c>
      <c r="H575" s="141" t="s">
        <v>320</v>
      </c>
      <c r="I575" s="141" t="s">
        <v>382</v>
      </c>
      <c r="J575" s="141" t="s">
        <v>988</v>
      </c>
      <c r="K575" s="141" t="s">
        <v>384</v>
      </c>
      <c r="L575" s="141" t="s">
        <v>386</v>
      </c>
      <c r="M575" s="141" t="s">
        <v>973</v>
      </c>
      <c r="N575" s="141" t="s">
        <v>1017</v>
      </c>
      <c r="O575" s="141" t="s">
        <v>71</v>
      </c>
      <c r="P575" s="141"/>
    </row>
    <row r="576" spans="1:16">
      <c r="A576" s="141" t="s">
        <v>2039</v>
      </c>
      <c r="B576" s="141" t="s">
        <v>2040</v>
      </c>
      <c r="C576" s="141" t="s">
        <v>969</v>
      </c>
      <c r="D576" s="172">
        <v>57</v>
      </c>
      <c r="E576" s="141" t="s">
        <v>2041</v>
      </c>
      <c r="F576" s="141" t="s">
        <v>71</v>
      </c>
      <c r="G576" s="141" t="s">
        <v>2042</v>
      </c>
      <c r="H576" s="141" t="s">
        <v>348</v>
      </c>
      <c r="I576" s="141" t="s">
        <v>382</v>
      </c>
      <c r="J576" s="141" t="s">
        <v>988</v>
      </c>
      <c r="K576" s="141" t="s">
        <v>384</v>
      </c>
      <c r="L576" s="141" t="s">
        <v>386</v>
      </c>
      <c r="M576" s="141" t="s">
        <v>973</v>
      </c>
      <c r="N576" s="141" t="s">
        <v>1098</v>
      </c>
      <c r="O576" s="141" t="s">
        <v>71</v>
      </c>
      <c r="P576" s="141" t="s">
        <v>43</v>
      </c>
    </row>
    <row r="577" spans="1:16">
      <c r="A577" s="141" t="s">
        <v>2043</v>
      </c>
      <c r="B577" s="141" t="s">
        <v>2044</v>
      </c>
      <c r="C577" s="141" t="s">
        <v>976</v>
      </c>
      <c r="D577" s="172">
        <v>59</v>
      </c>
      <c r="E577" s="141" t="s">
        <v>2045</v>
      </c>
      <c r="F577" s="141" t="s">
        <v>293</v>
      </c>
      <c r="G577" s="141" t="s">
        <v>997</v>
      </c>
      <c r="H577" s="141" t="s">
        <v>327</v>
      </c>
      <c r="I577" s="141" t="s">
        <v>382</v>
      </c>
      <c r="J577" s="141" t="s">
        <v>972</v>
      </c>
      <c r="K577" s="141" t="s">
        <v>384</v>
      </c>
      <c r="L577" s="141" t="s">
        <v>539</v>
      </c>
      <c r="M577" s="141" t="s">
        <v>973</v>
      </c>
      <c r="N577" s="141" t="s">
        <v>2046</v>
      </c>
      <c r="O577" s="141" t="s">
        <v>53</v>
      </c>
      <c r="P577" s="141"/>
    </row>
    <row r="578" spans="1:16">
      <c r="A578" s="141" t="s">
        <v>2047</v>
      </c>
      <c r="B578" s="141" t="s">
        <v>2048</v>
      </c>
      <c r="C578" s="141" t="s">
        <v>969</v>
      </c>
      <c r="D578" s="172">
        <v>57</v>
      </c>
      <c r="E578" s="141" t="s">
        <v>979</v>
      </c>
      <c r="F578" s="141" t="s">
        <v>293</v>
      </c>
      <c r="G578" s="141" t="s">
        <v>980</v>
      </c>
      <c r="H578" s="141" t="s">
        <v>325</v>
      </c>
      <c r="I578" s="141" t="s">
        <v>382</v>
      </c>
      <c r="J578" s="141" t="s">
        <v>981</v>
      </c>
      <c r="K578" s="141" t="s">
        <v>384</v>
      </c>
      <c r="L578" s="141" t="s">
        <v>386</v>
      </c>
      <c r="M578" s="141" t="s">
        <v>973</v>
      </c>
      <c r="N578" s="141" t="s">
        <v>2049</v>
      </c>
      <c r="O578" s="141" t="s">
        <v>53</v>
      </c>
      <c r="P578" s="141"/>
    </row>
    <row r="579" spans="1:16">
      <c r="A579" s="141" t="s">
        <v>2050</v>
      </c>
      <c r="B579" s="141" t="s">
        <v>2048</v>
      </c>
      <c r="C579" s="141" t="s">
        <v>976</v>
      </c>
      <c r="D579" s="172">
        <v>59</v>
      </c>
      <c r="E579" s="141" t="s">
        <v>979</v>
      </c>
      <c r="F579" s="141" t="s">
        <v>293</v>
      </c>
      <c r="G579" s="141" t="s">
        <v>980</v>
      </c>
      <c r="H579" s="141" t="s">
        <v>325</v>
      </c>
      <c r="I579" s="141" t="s">
        <v>382</v>
      </c>
      <c r="J579" s="141" t="s">
        <v>981</v>
      </c>
      <c r="K579" s="141" t="s">
        <v>384</v>
      </c>
      <c r="L579" s="141" t="s">
        <v>386</v>
      </c>
      <c r="M579" s="141" t="s">
        <v>973</v>
      </c>
      <c r="N579" s="141" t="s">
        <v>2049</v>
      </c>
      <c r="O579" s="141" t="s">
        <v>53</v>
      </c>
      <c r="P579" s="141"/>
    </row>
    <row r="580" spans="1:16">
      <c r="A580" s="141" t="s">
        <v>2051</v>
      </c>
      <c r="B580" s="141" t="s">
        <v>2052</v>
      </c>
      <c r="C580" s="141" t="s">
        <v>1032</v>
      </c>
      <c r="D580" s="172">
        <v>55</v>
      </c>
      <c r="E580" s="141" t="s">
        <v>2053</v>
      </c>
      <c r="F580" s="141" t="s">
        <v>151</v>
      </c>
      <c r="G580" s="141" t="s">
        <v>912</v>
      </c>
      <c r="H580" s="141" t="s">
        <v>325</v>
      </c>
      <c r="I580" s="141" t="s">
        <v>382</v>
      </c>
      <c r="J580" s="141" t="s">
        <v>972</v>
      </c>
      <c r="K580" s="141" t="s">
        <v>384</v>
      </c>
      <c r="L580" s="141" t="s">
        <v>386</v>
      </c>
      <c r="M580" s="141" t="s">
        <v>973</v>
      </c>
      <c r="N580" s="141" t="s">
        <v>974</v>
      </c>
      <c r="O580" s="141" t="s">
        <v>60</v>
      </c>
      <c r="P580" s="141"/>
    </row>
    <row r="581" spans="1:16">
      <c r="A581" s="141" t="s">
        <v>2054</v>
      </c>
      <c r="B581" s="141" t="s">
        <v>2052</v>
      </c>
      <c r="C581" s="141" t="s">
        <v>969</v>
      </c>
      <c r="D581" s="172">
        <v>57</v>
      </c>
      <c r="E581" s="141" t="s">
        <v>2053</v>
      </c>
      <c r="F581" s="141" t="s">
        <v>151</v>
      </c>
      <c r="G581" s="141" t="s">
        <v>912</v>
      </c>
      <c r="H581" s="141" t="s">
        <v>325</v>
      </c>
      <c r="I581" s="141" t="s">
        <v>382</v>
      </c>
      <c r="J581" s="141" t="s">
        <v>972</v>
      </c>
      <c r="K581" s="141" t="s">
        <v>384</v>
      </c>
      <c r="L581" s="141" t="s">
        <v>386</v>
      </c>
      <c r="M581" s="141" t="s">
        <v>973</v>
      </c>
      <c r="N581" s="141" t="s">
        <v>974</v>
      </c>
      <c r="O581" s="141" t="s">
        <v>60</v>
      </c>
      <c r="P581" s="141"/>
    </row>
    <row r="582" spans="1:16">
      <c r="A582" s="141" t="s">
        <v>2055</v>
      </c>
      <c r="B582" s="141" t="s">
        <v>2052</v>
      </c>
      <c r="C582" s="141" t="s">
        <v>976</v>
      </c>
      <c r="D582" s="172">
        <v>59</v>
      </c>
      <c r="E582" s="141" t="s">
        <v>2053</v>
      </c>
      <c r="F582" s="141" t="s">
        <v>151</v>
      </c>
      <c r="G582" s="141" t="s">
        <v>912</v>
      </c>
      <c r="H582" s="141" t="s">
        <v>325</v>
      </c>
      <c r="I582" s="141" t="s">
        <v>382</v>
      </c>
      <c r="J582" s="141" t="s">
        <v>972</v>
      </c>
      <c r="K582" s="141" t="s">
        <v>384</v>
      </c>
      <c r="L582" s="141" t="s">
        <v>386</v>
      </c>
      <c r="M582" s="141" t="s">
        <v>973</v>
      </c>
      <c r="N582" s="141" t="s">
        <v>974</v>
      </c>
      <c r="O582" s="141" t="s">
        <v>60</v>
      </c>
      <c r="P582" s="141"/>
    </row>
    <row r="583" spans="1:16">
      <c r="A583" s="141" t="s">
        <v>2056</v>
      </c>
      <c r="B583" s="141" t="s">
        <v>2052</v>
      </c>
      <c r="C583" s="141" t="s">
        <v>1030</v>
      </c>
      <c r="D583" s="172">
        <v>61</v>
      </c>
      <c r="E583" s="141" t="s">
        <v>2053</v>
      </c>
      <c r="F583" s="141" t="s">
        <v>151</v>
      </c>
      <c r="G583" s="141" t="s">
        <v>912</v>
      </c>
      <c r="H583" s="141" t="s">
        <v>325</v>
      </c>
      <c r="I583" s="141" t="s">
        <v>382</v>
      </c>
      <c r="J583" s="141" t="s">
        <v>972</v>
      </c>
      <c r="K583" s="141" t="s">
        <v>384</v>
      </c>
      <c r="L583" s="141" t="s">
        <v>386</v>
      </c>
      <c r="M583" s="141" t="s">
        <v>973</v>
      </c>
      <c r="N583" s="141" t="s">
        <v>974</v>
      </c>
      <c r="O583" s="141" t="s">
        <v>60</v>
      </c>
      <c r="P583" s="141"/>
    </row>
    <row r="584" spans="1:16">
      <c r="A584" s="141" t="s">
        <v>2057</v>
      </c>
      <c r="B584" s="141" t="s">
        <v>2058</v>
      </c>
      <c r="C584" s="141" t="s">
        <v>969</v>
      </c>
      <c r="D584" s="172">
        <v>57</v>
      </c>
      <c r="E584" s="141" t="s">
        <v>2053</v>
      </c>
      <c r="F584" s="141" t="s">
        <v>252</v>
      </c>
      <c r="G584" s="141" t="s">
        <v>912</v>
      </c>
      <c r="H584" s="141" t="s">
        <v>325</v>
      </c>
      <c r="I584" s="141" t="s">
        <v>382</v>
      </c>
      <c r="J584" s="141" t="s">
        <v>972</v>
      </c>
      <c r="K584" s="141" t="s">
        <v>384</v>
      </c>
      <c r="L584" s="141" t="s">
        <v>386</v>
      </c>
      <c r="M584" s="141" t="s">
        <v>973</v>
      </c>
      <c r="N584" s="141" t="s">
        <v>1017</v>
      </c>
      <c r="O584" s="141" t="s">
        <v>71</v>
      </c>
      <c r="P584" s="141"/>
    </row>
    <row r="585" spans="1:16">
      <c r="A585" s="141" t="s">
        <v>2059</v>
      </c>
      <c r="B585" s="141" t="s">
        <v>2058</v>
      </c>
      <c r="C585" s="141" t="s">
        <v>976</v>
      </c>
      <c r="D585" s="172">
        <v>59</v>
      </c>
      <c r="E585" s="141" t="s">
        <v>2053</v>
      </c>
      <c r="F585" s="141" t="s">
        <v>252</v>
      </c>
      <c r="G585" s="141" t="s">
        <v>912</v>
      </c>
      <c r="H585" s="141" t="s">
        <v>325</v>
      </c>
      <c r="I585" s="141" t="s">
        <v>382</v>
      </c>
      <c r="J585" s="141" t="s">
        <v>972</v>
      </c>
      <c r="K585" s="141" t="s">
        <v>384</v>
      </c>
      <c r="L585" s="141" t="s">
        <v>386</v>
      </c>
      <c r="M585" s="141" t="s">
        <v>973</v>
      </c>
      <c r="N585" s="141" t="s">
        <v>1017</v>
      </c>
      <c r="O585" s="141" t="s">
        <v>71</v>
      </c>
      <c r="P585" s="141"/>
    </row>
    <row r="586" spans="1:16">
      <c r="A586" s="141" t="s">
        <v>2060</v>
      </c>
      <c r="B586" s="141" t="s">
        <v>2061</v>
      </c>
      <c r="C586" s="141" t="s">
        <v>909</v>
      </c>
      <c r="D586" s="142">
        <v>0</v>
      </c>
      <c r="E586" s="141" t="s">
        <v>1021</v>
      </c>
      <c r="F586" s="141" t="s">
        <v>60</v>
      </c>
      <c r="G586" s="141" t="s">
        <v>910</v>
      </c>
      <c r="H586" s="141" t="s">
        <v>327</v>
      </c>
      <c r="I586" s="141" t="s">
        <v>382</v>
      </c>
      <c r="J586" s="141" t="s">
        <v>988</v>
      </c>
      <c r="K586" s="141" t="s">
        <v>384</v>
      </c>
      <c r="L586" s="141" t="s">
        <v>533</v>
      </c>
      <c r="M586" s="141" t="s">
        <v>973</v>
      </c>
      <c r="N586" s="141" t="s">
        <v>1011</v>
      </c>
      <c r="O586" s="141" t="s">
        <v>60</v>
      </c>
      <c r="P586" s="141" t="s">
        <v>43</v>
      </c>
    </row>
    <row r="587" spans="1:16">
      <c r="A587" s="141" t="s">
        <v>2062</v>
      </c>
      <c r="B587" s="141" t="s">
        <v>2063</v>
      </c>
      <c r="C587" s="141" t="s">
        <v>909</v>
      </c>
      <c r="D587" s="142">
        <v>0</v>
      </c>
      <c r="E587" s="141" t="s">
        <v>1021</v>
      </c>
      <c r="F587" s="141" t="s">
        <v>53</v>
      </c>
      <c r="G587" s="141" t="s">
        <v>910</v>
      </c>
      <c r="H587" s="141" t="s">
        <v>327</v>
      </c>
      <c r="I587" s="141" t="s">
        <v>382</v>
      </c>
      <c r="J587" s="141" t="s">
        <v>1004</v>
      </c>
      <c r="K587" s="141" t="s">
        <v>384</v>
      </c>
      <c r="L587" s="141" t="s">
        <v>386</v>
      </c>
      <c r="M587" s="141" t="s">
        <v>808</v>
      </c>
      <c r="N587" s="141" t="s">
        <v>1005</v>
      </c>
      <c r="O587" s="141" t="s">
        <v>53</v>
      </c>
      <c r="P587" s="141" t="s">
        <v>43</v>
      </c>
    </row>
    <row r="588" spans="1:16">
      <c r="A588" s="141" t="s">
        <v>2064</v>
      </c>
      <c r="B588" s="141" t="s">
        <v>2065</v>
      </c>
      <c r="C588" s="141" t="s">
        <v>909</v>
      </c>
      <c r="D588" s="142">
        <v>0</v>
      </c>
      <c r="E588" s="141" t="s">
        <v>1021</v>
      </c>
      <c r="F588" s="141" t="s">
        <v>63</v>
      </c>
      <c r="G588" s="141" t="s">
        <v>910</v>
      </c>
      <c r="H588" s="141" t="s">
        <v>327</v>
      </c>
      <c r="I588" s="141" t="s">
        <v>382</v>
      </c>
      <c r="J588" s="141" t="s">
        <v>988</v>
      </c>
      <c r="K588" s="141" t="s">
        <v>384</v>
      </c>
      <c r="L588" s="141" t="s">
        <v>533</v>
      </c>
      <c r="M588" s="141" t="s">
        <v>973</v>
      </c>
      <c r="N588" s="141" t="s">
        <v>2066</v>
      </c>
      <c r="O588" s="141" t="s">
        <v>63</v>
      </c>
      <c r="P588" s="141" t="s">
        <v>43</v>
      </c>
    </row>
    <row r="589" spans="1:16">
      <c r="A589" s="141" t="s">
        <v>2067</v>
      </c>
      <c r="B589" s="141" t="s">
        <v>2068</v>
      </c>
      <c r="C589" s="141" t="s">
        <v>909</v>
      </c>
      <c r="D589" s="142">
        <v>0</v>
      </c>
      <c r="E589" s="141" t="s">
        <v>1021</v>
      </c>
      <c r="F589" s="141" t="s">
        <v>55</v>
      </c>
      <c r="G589" s="141" t="s">
        <v>910</v>
      </c>
      <c r="H589" s="141" t="s">
        <v>327</v>
      </c>
      <c r="I589" s="141" t="s">
        <v>382</v>
      </c>
      <c r="J589" s="141" t="s">
        <v>1004</v>
      </c>
      <c r="K589" s="141" t="s">
        <v>384</v>
      </c>
      <c r="L589" s="141" t="s">
        <v>533</v>
      </c>
      <c r="M589" s="141" t="s">
        <v>808</v>
      </c>
      <c r="N589" s="141" t="s">
        <v>1017</v>
      </c>
      <c r="O589" s="141" t="s">
        <v>71</v>
      </c>
      <c r="P589" s="141" t="s">
        <v>43</v>
      </c>
    </row>
    <row r="590" spans="1:16">
      <c r="A590" s="141" t="s">
        <v>2069</v>
      </c>
      <c r="B590" s="141" t="s">
        <v>2070</v>
      </c>
      <c r="C590" s="141" t="s">
        <v>1058</v>
      </c>
      <c r="D590" s="172">
        <v>60</v>
      </c>
      <c r="E590" s="141" t="s">
        <v>2071</v>
      </c>
      <c r="F590" s="141" t="s">
        <v>63</v>
      </c>
      <c r="G590" s="141" t="s">
        <v>1511</v>
      </c>
      <c r="H590" s="141" t="s">
        <v>320</v>
      </c>
      <c r="I590" s="141" t="s">
        <v>382</v>
      </c>
      <c r="J590" s="141" t="s">
        <v>988</v>
      </c>
      <c r="K590" s="141" t="s">
        <v>384</v>
      </c>
      <c r="L590" s="141" t="s">
        <v>533</v>
      </c>
      <c r="M590" s="141" t="s">
        <v>973</v>
      </c>
      <c r="N590" s="141" t="s">
        <v>2072</v>
      </c>
      <c r="O590" s="141" t="s">
        <v>63</v>
      </c>
      <c r="P590" s="141" t="s">
        <v>43</v>
      </c>
    </row>
    <row r="591" spans="1:16">
      <c r="A591" s="141" t="s">
        <v>2073</v>
      </c>
      <c r="B591" s="141" t="s">
        <v>2070</v>
      </c>
      <c r="C591" s="141" t="s">
        <v>1053</v>
      </c>
      <c r="D591" s="172">
        <v>56</v>
      </c>
      <c r="E591" s="141" t="s">
        <v>2071</v>
      </c>
      <c r="F591" s="141" t="s">
        <v>63</v>
      </c>
      <c r="G591" s="141" t="s">
        <v>1511</v>
      </c>
      <c r="H591" s="141" t="s">
        <v>320</v>
      </c>
      <c r="I591" s="141" t="s">
        <v>382</v>
      </c>
      <c r="J591" s="141" t="s">
        <v>988</v>
      </c>
      <c r="K591" s="141" t="s">
        <v>384</v>
      </c>
      <c r="L591" s="141" t="s">
        <v>533</v>
      </c>
      <c r="M591" s="141" t="s">
        <v>973</v>
      </c>
      <c r="N591" s="141" t="s">
        <v>2072</v>
      </c>
      <c r="O591" s="141" t="s">
        <v>63</v>
      </c>
      <c r="P591" s="141" t="s">
        <v>43</v>
      </c>
    </row>
    <row r="592" spans="1:16">
      <c r="A592" s="141" t="s">
        <v>2074</v>
      </c>
      <c r="B592" s="141" t="s">
        <v>2075</v>
      </c>
      <c r="C592" s="141" t="s">
        <v>1058</v>
      </c>
      <c r="D592" s="172">
        <v>60</v>
      </c>
      <c r="E592" s="141" t="s">
        <v>2071</v>
      </c>
      <c r="F592" s="141" t="s">
        <v>91</v>
      </c>
      <c r="G592" s="141" t="s">
        <v>1511</v>
      </c>
      <c r="H592" s="141" t="s">
        <v>320</v>
      </c>
      <c r="I592" s="141" t="s">
        <v>382</v>
      </c>
      <c r="J592" s="141" t="s">
        <v>988</v>
      </c>
      <c r="K592" s="141" t="s">
        <v>384</v>
      </c>
      <c r="L592" s="141" t="s">
        <v>533</v>
      </c>
      <c r="M592" s="141" t="s">
        <v>973</v>
      </c>
      <c r="N592" s="141" t="s">
        <v>2076</v>
      </c>
      <c r="O592" s="141" t="s">
        <v>91</v>
      </c>
      <c r="P592" s="141" t="s">
        <v>43</v>
      </c>
    </row>
    <row r="593" spans="1:16">
      <c r="A593" s="141" t="s">
        <v>2077</v>
      </c>
      <c r="B593" s="141" t="s">
        <v>2075</v>
      </c>
      <c r="C593" s="141" t="s">
        <v>1053</v>
      </c>
      <c r="D593" s="172">
        <v>56</v>
      </c>
      <c r="E593" s="141" t="s">
        <v>2071</v>
      </c>
      <c r="F593" s="141" t="s">
        <v>91</v>
      </c>
      <c r="G593" s="141" t="s">
        <v>1511</v>
      </c>
      <c r="H593" s="141" t="s">
        <v>320</v>
      </c>
      <c r="I593" s="141" t="s">
        <v>382</v>
      </c>
      <c r="J593" s="141" t="s">
        <v>988</v>
      </c>
      <c r="K593" s="141" t="s">
        <v>384</v>
      </c>
      <c r="L593" s="141" t="s">
        <v>533</v>
      </c>
      <c r="M593" s="141" t="s">
        <v>973</v>
      </c>
      <c r="N593" s="141" t="s">
        <v>2076</v>
      </c>
      <c r="O593" s="141" t="s">
        <v>91</v>
      </c>
      <c r="P593" s="141" t="s">
        <v>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71FE6-33D9-494F-AA30-344D3185F96F}">
  <sheetPr>
    <outlinePr summaryBelow="0" summaryRight="0"/>
    <pageSetUpPr autoPageBreaks="0" fitToPage="1"/>
  </sheetPr>
  <dimension ref="B1:AY52"/>
  <sheetViews>
    <sheetView topLeftCell="A13" workbookViewId="0">
      <selection activeCell="AW25" sqref="AW25:AW36"/>
    </sheetView>
  </sheetViews>
  <sheetFormatPr defaultRowHeight="11.25"/>
  <cols>
    <col min="1" max="1" width="1" style="173" customWidth="1"/>
    <col min="2" max="36" width="3" style="173" customWidth="1"/>
    <col min="37" max="37" width="3.5703125" style="173" customWidth="1"/>
    <col min="38" max="38" width="0.140625" style="173" customWidth="1"/>
    <col min="39" max="39" width="2.85546875" style="173" customWidth="1"/>
    <col min="40" max="40" width="0.140625" style="173" customWidth="1"/>
    <col min="41" max="41" width="2.85546875" style="173" customWidth="1"/>
    <col min="42" max="42" width="0.140625" style="173" customWidth="1"/>
    <col min="43" max="43" width="2.85546875" style="173" customWidth="1"/>
    <col min="44" max="44" width="0.140625" style="173" customWidth="1"/>
    <col min="45" max="46" width="9.140625" style="173" customWidth="1"/>
    <col min="47" max="47" width="20.28515625" style="173" bestFit="1" customWidth="1"/>
    <col min="48" max="48" width="9.140625" style="173" customWidth="1"/>
    <col min="49" max="49" width="7.5703125" style="173" bestFit="1" customWidth="1"/>
    <col min="50" max="50" width="10.85546875" style="173" bestFit="1" customWidth="1"/>
    <col min="51" max="256" width="9.140625" style="173" customWidth="1"/>
    <col min="257" max="257" width="1" style="173" customWidth="1"/>
    <col min="258" max="292" width="3" style="173" customWidth="1"/>
    <col min="293" max="293" width="3.5703125" style="173" customWidth="1"/>
    <col min="294" max="294" width="0.140625" style="173" customWidth="1"/>
    <col min="295" max="295" width="2.85546875" style="173" customWidth="1"/>
    <col min="296" max="296" width="0.140625" style="173" customWidth="1"/>
    <col min="297" max="297" width="2.85546875" style="173" customWidth="1"/>
    <col min="298" max="298" width="0.140625" style="173" customWidth="1"/>
    <col min="299" max="299" width="2.85546875" style="173" customWidth="1"/>
    <col min="300" max="300" width="0.140625" style="173" customWidth="1"/>
    <col min="301" max="301" width="0.85546875" style="173" customWidth="1"/>
    <col min="302" max="512" width="9.140625" style="173"/>
    <col min="513" max="513" width="1" style="173" customWidth="1"/>
    <col min="514" max="548" width="3" style="173" customWidth="1"/>
    <col min="549" max="549" width="3.5703125" style="173" customWidth="1"/>
    <col min="550" max="550" width="0.140625" style="173" customWidth="1"/>
    <col min="551" max="551" width="2.85546875" style="173" customWidth="1"/>
    <col min="552" max="552" width="0.140625" style="173" customWidth="1"/>
    <col min="553" max="553" width="2.85546875" style="173" customWidth="1"/>
    <col min="554" max="554" width="0.140625" style="173" customWidth="1"/>
    <col min="555" max="555" width="2.85546875" style="173" customWidth="1"/>
    <col min="556" max="556" width="0.140625" style="173" customWidth="1"/>
    <col min="557" max="557" width="0.85546875" style="173" customWidth="1"/>
    <col min="558" max="768" width="9.140625" style="173"/>
    <col min="769" max="769" width="1" style="173" customWidth="1"/>
    <col min="770" max="804" width="3" style="173" customWidth="1"/>
    <col min="805" max="805" width="3.5703125" style="173" customWidth="1"/>
    <col min="806" max="806" width="0.140625" style="173" customWidth="1"/>
    <col min="807" max="807" width="2.85546875" style="173" customWidth="1"/>
    <col min="808" max="808" width="0.140625" style="173" customWidth="1"/>
    <col min="809" max="809" width="2.85546875" style="173" customWidth="1"/>
    <col min="810" max="810" width="0.140625" style="173" customWidth="1"/>
    <col min="811" max="811" width="2.85546875" style="173" customWidth="1"/>
    <col min="812" max="812" width="0.140625" style="173" customWidth="1"/>
    <col min="813" max="813" width="0.85546875" style="173" customWidth="1"/>
    <col min="814" max="1024" width="9.140625" style="173"/>
    <col min="1025" max="1025" width="1" style="173" customWidth="1"/>
    <col min="1026" max="1060" width="3" style="173" customWidth="1"/>
    <col min="1061" max="1061" width="3.5703125" style="173" customWidth="1"/>
    <col min="1062" max="1062" width="0.140625" style="173" customWidth="1"/>
    <col min="1063" max="1063" width="2.85546875" style="173" customWidth="1"/>
    <col min="1064" max="1064" width="0.140625" style="173" customWidth="1"/>
    <col min="1065" max="1065" width="2.85546875" style="173" customWidth="1"/>
    <col min="1066" max="1066" width="0.140625" style="173" customWidth="1"/>
    <col min="1067" max="1067" width="2.85546875" style="173" customWidth="1"/>
    <col min="1068" max="1068" width="0.140625" style="173" customWidth="1"/>
    <col min="1069" max="1069" width="0.85546875" style="173" customWidth="1"/>
    <col min="1070" max="1280" width="9.140625" style="173"/>
    <col min="1281" max="1281" width="1" style="173" customWidth="1"/>
    <col min="1282" max="1316" width="3" style="173" customWidth="1"/>
    <col min="1317" max="1317" width="3.5703125" style="173" customWidth="1"/>
    <col min="1318" max="1318" width="0.140625" style="173" customWidth="1"/>
    <col min="1319" max="1319" width="2.85546875" style="173" customWidth="1"/>
    <col min="1320" max="1320" width="0.140625" style="173" customWidth="1"/>
    <col min="1321" max="1321" width="2.85546875" style="173" customWidth="1"/>
    <col min="1322" max="1322" width="0.140625" style="173" customWidth="1"/>
    <col min="1323" max="1323" width="2.85546875" style="173" customWidth="1"/>
    <col min="1324" max="1324" width="0.140625" style="173" customWidth="1"/>
    <col min="1325" max="1325" width="0.85546875" style="173" customWidth="1"/>
    <col min="1326" max="1536" width="9.140625" style="173"/>
    <col min="1537" max="1537" width="1" style="173" customWidth="1"/>
    <col min="1538" max="1572" width="3" style="173" customWidth="1"/>
    <col min="1573" max="1573" width="3.5703125" style="173" customWidth="1"/>
    <col min="1574" max="1574" width="0.140625" style="173" customWidth="1"/>
    <col min="1575" max="1575" width="2.85546875" style="173" customWidth="1"/>
    <col min="1576" max="1576" width="0.140625" style="173" customWidth="1"/>
    <col min="1577" max="1577" width="2.85546875" style="173" customWidth="1"/>
    <col min="1578" max="1578" width="0.140625" style="173" customWidth="1"/>
    <col min="1579" max="1579" width="2.85546875" style="173" customWidth="1"/>
    <col min="1580" max="1580" width="0.140625" style="173" customWidth="1"/>
    <col min="1581" max="1581" width="0.85546875" style="173" customWidth="1"/>
    <col min="1582" max="1792" width="9.140625" style="173"/>
    <col min="1793" max="1793" width="1" style="173" customWidth="1"/>
    <col min="1794" max="1828" width="3" style="173" customWidth="1"/>
    <col min="1829" max="1829" width="3.5703125" style="173" customWidth="1"/>
    <col min="1830" max="1830" width="0.140625" style="173" customWidth="1"/>
    <col min="1831" max="1831" width="2.85546875" style="173" customWidth="1"/>
    <col min="1832" max="1832" width="0.140625" style="173" customWidth="1"/>
    <col min="1833" max="1833" width="2.85546875" style="173" customWidth="1"/>
    <col min="1834" max="1834" width="0.140625" style="173" customWidth="1"/>
    <col min="1835" max="1835" width="2.85546875" style="173" customWidth="1"/>
    <col min="1836" max="1836" width="0.140625" style="173" customWidth="1"/>
    <col min="1837" max="1837" width="0.85546875" style="173" customWidth="1"/>
    <col min="1838" max="2048" width="9.140625" style="173"/>
    <col min="2049" max="2049" width="1" style="173" customWidth="1"/>
    <col min="2050" max="2084" width="3" style="173" customWidth="1"/>
    <col min="2085" max="2085" width="3.5703125" style="173" customWidth="1"/>
    <col min="2086" max="2086" width="0.140625" style="173" customWidth="1"/>
    <col min="2087" max="2087" width="2.85546875" style="173" customWidth="1"/>
    <col min="2088" max="2088" width="0.140625" style="173" customWidth="1"/>
    <col min="2089" max="2089" width="2.85546875" style="173" customWidth="1"/>
    <col min="2090" max="2090" width="0.140625" style="173" customWidth="1"/>
    <col min="2091" max="2091" width="2.85546875" style="173" customWidth="1"/>
    <col min="2092" max="2092" width="0.140625" style="173" customWidth="1"/>
    <col min="2093" max="2093" width="0.85546875" style="173" customWidth="1"/>
    <col min="2094" max="2304" width="9.140625" style="173"/>
    <col min="2305" max="2305" width="1" style="173" customWidth="1"/>
    <col min="2306" max="2340" width="3" style="173" customWidth="1"/>
    <col min="2341" max="2341" width="3.5703125" style="173" customWidth="1"/>
    <col min="2342" max="2342" width="0.140625" style="173" customWidth="1"/>
    <col min="2343" max="2343" width="2.85546875" style="173" customWidth="1"/>
    <col min="2344" max="2344" width="0.140625" style="173" customWidth="1"/>
    <col min="2345" max="2345" width="2.85546875" style="173" customWidth="1"/>
    <col min="2346" max="2346" width="0.140625" style="173" customWidth="1"/>
    <col min="2347" max="2347" width="2.85546875" style="173" customWidth="1"/>
    <col min="2348" max="2348" width="0.140625" style="173" customWidth="1"/>
    <col min="2349" max="2349" width="0.85546875" style="173" customWidth="1"/>
    <col min="2350" max="2560" width="9.140625" style="173"/>
    <col min="2561" max="2561" width="1" style="173" customWidth="1"/>
    <col min="2562" max="2596" width="3" style="173" customWidth="1"/>
    <col min="2597" max="2597" width="3.5703125" style="173" customWidth="1"/>
    <col min="2598" max="2598" width="0.140625" style="173" customWidth="1"/>
    <col min="2599" max="2599" width="2.85546875" style="173" customWidth="1"/>
    <col min="2600" max="2600" width="0.140625" style="173" customWidth="1"/>
    <col min="2601" max="2601" width="2.85546875" style="173" customWidth="1"/>
    <col min="2602" max="2602" width="0.140625" style="173" customWidth="1"/>
    <col min="2603" max="2603" width="2.85546875" style="173" customWidth="1"/>
    <col min="2604" max="2604" width="0.140625" style="173" customWidth="1"/>
    <col min="2605" max="2605" width="0.85546875" style="173" customWidth="1"/>
    <col min="2606" max="2816" width="9.140625" style="173"/>
    <col min="2817" max="2817" width="1" style="173" customWidth="1"/>
    <col min="2818" max="2852" width="3" style="173" customWidth="1"/>
    <col min="2853" max="2853" width="3.5703125" style="173" customWidth="1"/>
    <col min="2854" max="2854" width="0.140625" style="173" customWidth="1"/>
    <col min="2855" max="2855" width="2.85546875" style="173" customWidth="1"/>
    <col min="2856" max="2856" width="0.140625" style="173" customWidth="1"/>
    <col min="2857" max="2857" width="2.85546875" style="173" customWidth="1"/>
    <col min="2858" max="2858" width="0.140625" style="173" customWidth="1"/>
    <col min="2859" max="2859" width="2.85546875" style="173" customWidth="1"/>
    <col min="2860" max="2860" width="0.140625" style="173" customWidth="1"/>
    <col min="2861" max="2861" width="0.85546875" style="173" customWidth="1"/>
    <col min="2862" max="3072" width="9.140625" style="173"/>
    <col min="3073" max="3073" width="1" style="173" customWidth="1"/>
    <col min="3074" max="3108" width="3" style="173" customWidth="1"/>
    <col min="3109" max="3109" width="3.5703125" style="173" customWidth="1"/>
    <col min="3110" max="3110" width="0.140625" style="173" customWidth="1"/>
    <col min="3111" max="3111" width="2.85546875" style="173" customWidth="1"/>
    <col min="3112" max="3112" width="0.140625" style="173" customWidth="1"/>
    <col min="3113" max="3113" width="2.85546875" style="173" customWidth="1"/>
    <col min="3114" max="3114" width="0.140625" style="173" customWidth="1"/>
    <col min="3115" max="3115" width="2.85546875" style="173" customWidth="1"/>
    <col min="3116" max="3116" width="0.140625" style="173" customWidth="1"/>
    <col min="3117" max="3117" width="0.85546875" style="173" customWidth="1"/>
    <col min="3118" max="3328" width="9.140625" style="173"/>
    <col min="3329" max="3329" width="1" style="173" customWidth="1"/>
    <col min="3330" max="3364" width="3" style="173" customWidth="1"/>
    <col min="3365" max="3365" width="3.5703125" style="173" customWidth="1"/>
    <col min="3366" max="3366" width="0.140625" style="173" customWidth="1"/>
    <col min="3367" max="3367" width="2.85546875" style="173" customWidth="1"/>
    <col min="3368" max="3368" width="0.140625" style="173" customWidth="1"/>
    <col min="3369" max="3369" width="2.85546875" style="173" customWidth="1"/>
    <col min="3370" max="3370" width="0.140625" style="173" customWidth="1"/>
    <col min="3371" max="3371" width="2.85546875" style="173" customWidth="1"/>
    <col min="3372" max="3372" width="0.140625" style="173" customWidth="1"/>
    <col min="3373" max="3373" width="0.85546875" style="173" customWidth="1"/>
    <col min="3374" max="3584" width="9.140625" style="173"/>
    <col min="3585" max="3585" width="1" style="173" customWidth="1"/>
    <col min="3586" max="3620" width="3" style="173" customWidth="1"/>
    <col min="3621" max="3621" width="3.5703125" style="173" customWidth="1"/>
    <col min="3622" max="3622" width="0.140625" style="173" customWidth="1"/>
    <col min="3623" max="3623" width="2.85546875" style="173" customWidth="1"/>
    <col min="3624" max="3624" width="0.140625" style="173" customWidth="1"/>
    <col min="3625" max="3625" width="2.85546875" style="173" customWidth="1"/>
    <col min="3626" max="3626" width="0.140625" style="173" customWidth="1"/>
    <col min="3627" max="3627" width="2.85546875" style="173" customWidth="1"/>
    <col min="3628" max="3628" width="0.140625" style="173" customWidth="1"/>
    <col min="3629" max="3629" width="0.85546875" style="173" customWidth="1"/>
    <col min="3630" max="3840" width="9.140625" style="173"/>
    <col min="3841" max="3841" width="1" style="173" customWidth="1"/>
    <col min="3842" max="3876" width="3" style="173" customWidth="1"/>
    <col min="3877" max="3877" width="3.5703125" style="173" customWidth="1"/>
    <col min="3878" max="3878" width="0.140625" style="173" customWidth="1"/>
    <col min="3879" max="3879" width="2.85546875" style="173" customWidth="1"/>
    <col min="3880" max="3880" width="0.140625" style="173" customWidth="1"/>
    <col min="3881" max="3881" width="2.85546875" style="173" customWidth="1"/>
    <col min="3882" max="3882" width="0.140625" style="173" customWidth="1"/>
    <col min="3883" max="3883" width="2.85546875" style="173" customWidth="1"/>
    <col min="3884" max="3884" width="0.140625" style="173" customWidth="1"/>
    <col min="3885" max="3885" width="0.85546875" style="173" customWidth="1"/>
    <col min="3886" max="4096" width="9.140625" style="173"/>
    <col min="4097" max="4097" width="1" style="173" customWidth="1"/>
    <col min="4098" max="4132" width="3" style="173" customWidth="1"/>
    <col min="4133" max="4133" width="3.5703125" style="173" customWidth="1"/>
    <col min="4134" max="4134" width="0.140625" style="173" customWidth="1"/>
    <col min="4135" max="4135" width="2.85546875" style="173" customWidth="1"/>
    <col min="4136" max="4136" width="0.140625" style="173" customWidth="1"/>
    <col min="4137" max="4137" width="2.85546875" style="173" customWidth="1"/>
    <col min="4138" max="4138" width="0.140625" style="173" customWidth="1"/>
    <col min="4139" max="4139" width="2.85546875" style="173" customWidth="1"/>
    <col min="4140" max="4140" width="0.140625" style="173" customWidth="1"/>
    <col min="4141" max="4141" width="0.85546875" style="173" customWidth="1"/>
    <col min="4142" max="4352" width="9.140625" style="173"/>
    <col min="4353" max="4353" width="1" style="173" customWidth="1"/>
    <col min="4354" max="4388" width="3" style="173" customWidth="1"/>
    <col min="4389" max="4389" width="3.5703125" style="173" customWidth="1"/>
    <col min="4390" max="4390" width="0.140625" style="173" customWidth="1"/>
    <col min="4391" max="4391" width="2.85546875" style="173" customWidth="1"/>
    <col min="4392" max="4392" width="0.140625" style="173" customWidth="1"/>
    <col min="4393" max="4393" width="2.85546875" style="173" customWidth="1"/>
    <col min="4394" max="4394" width="0.140625" style="173" customWidth="1"/>
    <col min="4395" max="4395" width="2.85546875" style="173" customWidth="1"/>
    <col min="4396" max="4396" width="0.140625" style="173" customWidth="1"/>
    <col min="4397" max="4397" width="0.85546875" style="173" customWidth="1"/>
    <col min="4398" max="4608" width="9.140625" style="173"/>
    <col min="4609" max="4609" width="1" style="173" customWidth="1"/>
    <col min="4610" max="4644" width="3" style="173" customWidth="1"/>
    <col min="4645" max="4645" width="3.5703125" style="173" customWidth="1"/>
    <col min="4646" max="4646" width="0.140625" style="173" customWidth="1"/>
    <col min="4647" max="4647" width="2.85546875" style="173" customWidth="1"/>
    <col min="4648" max="4648" width="0.140625" style="173" customWidth="1"/>
    <col min="4649" max="4649" width="2.85546875" style="173" customWidth="1"/>
    <col min="4650" max="4650" width="0.140625" style="173" customWidth="1"/>
    <col min="4651" max="4651" width="2.85546875" style="173" customWidth="1"/>
    <col min="4652" max="4652" width="0.140625" style="173" customWidth="1"/>
    <col min="4653" max="4653" width="0.85546875" style="173" customWidth="1"/>
    <col min="4654" max="4864" width="9.140625" style="173"/>
    <col min="4865" max="4865" width="1" style="173" customWidth="1"/>
    <col min="4866" max="4900" width="3" style="173" customWidth="1"/>
    <col min="4901" max="4901" width="3.5703125" style="173" customWidth="1"/>
    <col min="4902" max="4902" width="0.140625" style="173" customWidth="1"/>
    <col min="4903" max="4903" width="2.85546875" style="173" customWidth="1"/>
    <col min="4904" max="4904" width="0.140625" style="173" customWidth="1"/>
    <col min="4905" max="4905" width="2.85546875" style="173" customWidth="1"/>
    <col min="4906" max="4906" width="0.140625" style="173" customWidth="1"/>
    <col min="4907" max="4907" width="2.85546875" style="173" customWidth="1"/>
    <col min="4908" max="4908" width="0.140625" style="173" customWidth="1"/>
    <col min="4909" max="4909" width="0.85546875" style="173" customWidth="1"/>
    <col min="4910" max="5120" width="9.140625" style="173"/>
    <col min="5121" max="5121" width="1" style="173" customWidth="1"/>
    <col min="5122" max="5156" width="3" style="173" customWidth="1"/>
    <col min="5157" max="5157" width="3.5703125" style="173" customWidth="1"/>
    <col min="5158" max="5158" width="0.140625" style="173" customWidth="1"/>
    <col min="5159" max="5159" width="2.85546875" style="173" customWidth="1"/>
    <col min="5160" max="5160" width="0.140625" style="173" customWidth="1"/>
    <col min="5161" max="5161" width="2.85546875" style="173" customWidth="1"/>
    <col min="5162" max="5162" width="0.140625" style="173" customWidth="1"/>
    <col min="5163" max="5163" width="2.85546875" style="173" customWidth="1"/>
    <col min="5164" max="5164" width="0.140625" style="173" customWidth="1"/>
    <col min="5165" max="5165" width="0.85546875" style="173" customWidth="1"/>
    <col min="5166" max="5376" width="9.140625" style="173"/>
    <col min="5377" max="5377" width="1" style="173" customWidth="1"/>
    <col min="5378" max="5412" width="3" style="173" customWidth="1"/>
    <col min="5413" max="5413" width="3.5703125" style="173" customWidth="1"/>
    <col min="5414" max="5414" width="0.140625" style="173" customWidth="1"/>
    <col min="5415" max="5415" width="2.85546875" style="173" customWidth="1"/>
    <col min="5416" max="5416" width="0.140625" style="173" customWidth="1"/>
    <col min="5417" max="5417" width="2.85546875" style="173" customWidth="1"/>
    <col min="5418" max="5418" width="0.140625" style="173" customWidth="1"/>
    <col min="5419" max="5419" width="2.85546875" style="173" customWidth="1"/>
    <col min="5420" max="5420" width="0.140625" style="173" customWidth="1"/>
    <col min="5421" max="5421" width="0.85546875" style="173" customWidth="1"/>
    <col min="5422" max="5632" width="9.140625" style="173"/>
    <col min="5633" max="5633" width="1" style="173" customWidth="1"/>
    <col min="5634" max="5668" width="3" style="173" customWidth="1"/>
    <col min="5669" max="5669" width="3.5703125" style="173" customWidth="1"/>
    <col min="5670" max="5670" width="0.140625" style="173" customWidth="1"/>
    <col min="5671" max="5671" width="2.85546875" style="173" customWidth="1"/>
    <col min="5672" max="5672" width="0.140625" style="173" customWidth="1"/>
    <col min="5673" max="5673" width="2.85546875" style="173" customWidth="1"/>
    <col min="5674" max="5674" width="0.140625" style="173" customWidth="1"/>
    <col min="5675" max="5675" width="2.85546875" style="173" customWidth="1"/>
    <col min="5676" max="5676" width="0.140625" style="173" customWidth="1"/>
    <col min="5677" max="5677" width="0.85546875" style="173" customWidth="1"/>
    <col min="5678" max="5888" width="9.140625" style="173"/>
    <col min="5889" max="5889" width="1" style="173" customWidth="1"/>
    <col min="5890" max="5924" width="3" style="173" customWidth="1"/>
    <col min="5925" max="5925" width="3.5703125" style="173" customWidth="1"/>
    <col min="5926" max="5926" width="0.140625" style="173" customWidth="1"/>
    <col min="5927" max="5927" width="2.85546875" style="173" customWidth="1"/>
    <col min="5928" max="5928" width="0.140625" style="173" customWidth="1"/>
    <col min="5929" max="5929" width="2.85546875" style="173" customWidth="1"/>
    <col min="5930" max="5930" width="0.140625" style="173" customWidth="1"/>
    <col min="5931" max="5931" width="2.85546875" style="173" customWidth="1"/>
    <col min="5932" max="5932" width="0.140625" style="173" customWidth="1"/>
    <col min="5933" max="5933" width="0.85546875" style="173" customWidth="1"/>
    <col min="5934" max="6144" width="9.140625" style="173"/>
    <col min="6145" max="6145" width="1" style="173" customWidth="1"/>
    <col min="6146" max="6180" width="3" style="173" customWidth="1"/>
    <col min="6181" max="6181" width="3.5703125" style="173" customWidth="1"/>
    <col min="6182" max="6182" width="0.140625" style="173" customWidth="1"/>
    <col min="6183" max="6183" width="2.85546875" style="173" customWidth="1"/>
    <col min="6184" max="6184" width="0.140625" style="173" customWidth="1"/>
    <col min="6185" max="6185" width="2.85546875" style="173" customWidth="1"/>
    <col min="6186" max="6186" width="0.140625" style="173" customWidth="1"/>
    <col min="6187" max="6187" width="2.85546875" style="173" customWidth="1"/>
    <col min="6188" max="6188" width="0.140625" style="173" customWidth="1"/>
    <col min="6189" max="6189" width="0.85546875" style="173" customWidth="1"/>
    <col min="6190" max="6400" width="9.140625" style="173"/>
    <col min="6401" max="6401" width="1" style="173" customWidth="1"/>
    <col min="6402" max="6436" width="3" style="173" customWidth="1"/>
    <col min="6437" max="6437" width="3.5703125" style="173" customWidth="1"/>
    <col min="6438" max="6438" width="0.140625" style="173" customWidth="1"/>
    <col min="6439" max="6439" width="2.85546875" style="173" customWidth="1"/>
    <col min="6440" max="6440" width="0.140625" style="173" customWidth="1"/>
    <col min="6441" max="6441" width="2.85546875" style="173" customWidth="1"/>
    <col min="6442" max="6442" width="0.140625" style="173" customWidth="1"/>
    <col min="6443" max="6443" width="2.85546875" style="173" customWidth="1"/>
    <col min="6444" max="6444" width="0.140625" style="173" customWidth="1"/>
    <col min="6445" max="6445" width="0.85546875" style="173" customWidth="1"/>
    <col min="6446" max="6656" width="9.140625" style="173"/>
    <col min="6657" max="6657" width="1" style="173" customWidth="1"/>
    <col min="6658" max="6692" width="3" style="173" customWidth="1"/>
    <col min="6693" max="6693" width="3.5703125" style="173" customWidth="1"/>
    <col min="6694" max="6694" width="0.140625" style="173" customWidth="1"/>
    <col min="6695" max="6695" width="2.85546875" style="173" customWidth="1"/>
    <col min="6696" max="6696" width="0.140625" style="173" customWidth="1"/>
    <col min="6697" max="6697" width="2.85546875" style="173" customWidth="1"/>
    <col min="6698" max="6698" width="0.140625" style="173" customWidth="1"/>
    <col min="6699" max="6699" width="2.85546875" style="173" customWidth="1"/>
    <col min="6700" max="6700" width="0.140625" style="173" customWidth="1"/>
    <col min="6701" max="6701" width="0.85546875" style="173" customWidth="1"/>
    <col min="6702" max="6912" width="9.140625" style="173"/>
    <col min="6913" max="6913" width="1" style="173" customWidth="1"/>
    <col min="6914" max="6948" width="3" style="173" customWidth="1"/>
    <col min="6949" max="6949" width="3.5703125" style="173" customWidth="1"/>
    <col min="6950" max="6950" width="0.140625" style="173" customWidth="1"/>
    <col min="6951" max="6951" width="2.85546875" style="173" customWidth="1"/>
    <col min="6952" max="6952" width="0.140625" style="173" customWidth="1"/>
    <col min="6953" max="6953" width="2.85546875" style="173" customWidth="1"/>
    <col min="6954" max="6954" width="0.140625" style="173" customWidth="1"/>
    <col min="6955" max="6955" width="2.85546875" style="173" customWidth="1"/>
    <col min="6956" max="6956" width="0.140625" style="173" customWidth="1"/>
    <col min="6957" max="6957" width="0.85546875" style="173" customWidth="1"/>
    <col min="6958" max="7168" width="9.140625" style="173"/>
    <col min="7169" max="7169" width="1" style="173" customWidth="1"/>
    <col min="7170" max="7204" width="3" style="173" customWidth="1"/>
    <col min="7205" max="7205" width="3.5703125" style="173" customWidth="1"/>
    <col min="7206" max="7206" width="0.140625" style="173" customWidth="1"/>
    <col min="7207" max="7207" width="2.85546875" style="173" customWidth="1"/>
    <col min="7208" max="7208" width="0.140625" style="173" customWidth="1"/>
    <col min="7209" max="7209" width="2.85546875" style="173" customWidth="1"/>
    <col min="7210" max="7210" width="0.140625" style="173" customWidth="1"/>
    <col min="7211" max="7211" width="2.85546875" style="173" customWidth="1"/>
    <col min="7212" max="7212" width="0.140625" style="173" customWidth="1"/>
    <col min="7213" max="7213" width="0.85546875" style="173" customWidth="1"/>
    <col min="7214" max="7424" width="9.140625" style="173"/>
    <col min="7425" max="7425" width="1" style="173" customWidth="1"/>
    <col min="7426" max="7460" width="3" style="173" customWidth="1"/>
    <col min="7461" max="7461" width="3.5703125" style="173" customWidth="1"/>
    <col min="7462" max="7462" width="0.140625" style="173" customWidth="1"/>
    <col min="7463" max="7463" width="2.85546875" style="173" customWidth="1"/>
    <col min="7464" max="7464" width="0.140625" style="173" customWidth="1"/>
    <col min="7465" max="7465" width="2.85546875" style="173" customWidth="1"/>
    <col min="7466" max="7466" width="0.140625" style="173" customWidth="1"/>
    <col min="7467" max="7467" width="2.85546875" style="173" customWidth="1"/>
    <col min="7468" max="7468" width="0.140625" style="173" customWidth="1"/>
    <col min="7469" max="7469" width="0.85546875" style="173" customWidth="1"/>
    <col min="7470" max="7680" width="9.140625" style="173"/>
    <col min="7681" max="7681" width="1" style="173" customWidth="1"/>
    <col min="7682" max="7716" width="3" style="173" customWidth="1"/>
    <col min="7717" max="7717" width="3.5703125" style="173" customWidth="1"/>
    <col min="7718" max="7718" width="0.140625" style="173" customWidth="1"/>
    <col min="7719" max="7719" width="2.85546875" style="173" customWidth="1"/>
    <col min="7720" max="7720" width="0.140625" style="173" customWidth="1"/>
    <col min="7721" max="7721" width="2.85546875" style="173" customWidth="1"/>
    <col min="7722" max="7722" width="0.140625" style="173" customWidth="1"/>
    <col min="7723" max="7723" width="2.85546875" style="173" customWidth="1"/>
    <col min="7724" max="7724" width="0.140625" style="173" customWidth="1"/>
    <col min="7725" max="7725" width="0.85546875" style="173" customWidth="1"/>
    <col min="7726" max="7936" width="9.140625" style="173"/>
    <col min="7937" max="7937" width="1" style="173" customWidth="1"/>
    <col min="7938" max="7972" width="3" style="173" customWidth="1"/>
    <col min="7973" max="7973" width="3.5703125" style="173" customWidth="1"/>
    <col min="7974" max="7974" width="0.140625" style="173" customWidth="1"/>
    <col min="7975" max="7975" width="2.85546875" style="173" customWidth="1"/>
    <col min="7976" max="7976" width="0.140625" style="173" customWidth="1"/>
    <col min="7977" max="7977" width="2.85546875" style="173" customWidth="1"/>
    <col min="7978" max="7978" width="0.140625" style="173" customWidth="1"/>
    <col min="7979" max="7979" width="2.85546875" style="173" customWidth="1"/>
    <col min="7980" max="7980" width="0.140625" style="173" customWidth="1"/>
    <col min="7981" max="7981" width="0.85546875" style="173" customWidth="1"/>
    <col min="7982" max="8192" width="9.140625" style="173"/>
    <col min="8193" max="8193" width="1" style="173" customWidth="1"/>
    <col min="8194" max="8228" width="3" style="173" customWidth="1"/>
    <col min="8229" max="8229" width="3.5703125" style="173" customWidth="1"/>
    <col min="8230" max="8230" width="0.140625" style="173" customWidth="1"/>
    <col min="8231" max="8231" width="2.85546875" style="173" customWidth="1"/>
    <col min="8232" max="8232" width="0.140625" style="173" customWidth="1"/>
    <col min="8233" max="8233" width="2.85546875" style="173" customWidth="1"/>
    <col min="8234" max="8234" width="0.140625" style="173" customWidth="1"/>
    <col min="8235" max="8235" width="2.85546875" style="173" customWidth="1"/>
    <col min="8236" max="8236" width="0.140625" style="173" customWidth="1"/>
    <col min="8237" max="8237" width="0.85546875" style="173" customWidth="1"/>
    <col min="8238" max="8448" width="9.140625" style="173"/>
    <col min="8449" max="8449" width="1" style="173" customWidth="1"/>
    <col min="8450" max="8484" width="3" style="173" customWidth="1"/>
    <col min="8485" max="8485" width="3.5703125" style="173" customWidth="1"/>
    <col min="8486" max="8486" width="0.140625" style="173" customWidth="1"/>
    <col min="8487" max="8487" width="2.85546875" style="173" customWidth="1"/>
    <col min="8488" max="8488" width="0.140625" style="173" customWidth="1"/>
    <col min="8489" max="8489" width="2.85546875" style="173" customWidth="1"/>
    <col min="8490" max="8490" width="0.140625" style="173" customWidth="1"/>
    <col min="8491" max="8491" width="2.85546875" style="173" customWidth="1"/>
    <col min="8492" max="8492" width="0.140625" style="173" customWidth="1"/>
    <col min="8493" max="8493" width="0.85546875" style="173" customWidth="1"/>
    <col min="8494" max="8704" width="9.140625" style="173"/>
    <col min="8705" max="8705" width="1" style="173" customWidth="1"/>
    <col min="8706" max="8740" width="3" style="173" customWidth="1"/>
    <col min="8741" max="8741" width="3.5703125" style="173" customWidth="1"/>
    <col min="8742" max="8742" width="0.140625" style="173" customWidth="1"/>
    <col min="8743" max="8743" width="2.85546875" style="173" customWidth="1"/>
    <col min="8744" max="8744" width="0.140625" style="173" customWidth="1"/>
    <col min="8745" max="8745" width="2.85546875" style="173" customWidth="1"/>
    <col min="8746" max="8746" width="0.140625" style="173" customWidth="1"/>
    <col min="8747" max="8747" width="2.85546875" style="173" customWidth="1"/>
    <col min="8748" max="8748" width="0.140625" style="173" customWidth="1"/>
    <col min="8749" max="8749" width="0.85546875" style="173" customWidth="1"/>
    <col min="8750" max="8960" width="9.140625" style="173"/>
    <col min="8961" max="8961" width="1" style="173" customWidth="1"/>
    <col min="8962" max="8996" width="3" style="173" customWidth="1"/>
    <col min="8997" max="8997" width="3.5703125" style="173" customWidth="1"/>
    <col min="8998" max="8998" width="0.140625" style="173" customWidth="1"/>
    <col min="8999" max="8999" width="2.85546875" style="173" customWidth="1"/>
    <col min="9000" max="9000" width="0.140625" style="173" customWidth="1"/>
    <col min="9001" max="9001" width="2.85546875" style="173" customWidth="1"/>
    <col min="9002" max="9002" width="0.140625" style="173" customWidth="1"/>
    <col min="9003" max="9003" width="2.85546875" style="173" customWidth="1"/>
    <col min="9004" max="9004" width="0.140625" style="173" customWidth="1"/>
    <col min="9005" max="9005" width="0.85546875" style="173" customWidth="1"/>
    <col min="9006" max="9216" width="9.140625" style="173"/>
    <col min="9217" max="9217" width="1" style="173" customWidth="1"/>
    <col min="9218" max="9252" width="3" style="173" customWidth="1"/>
    <col min="9253" max="9253" width="3.5703125" style="173" customWidth="1"/>
    <col min="9254" max="9254" width="0.140625" style="173" customWidth="1"/>
    <col min="9255" max="9255" width="2.85546875" style="173" customWidth="1"/>
    <col min="9256" max="9256" width="0.140625" style="173" customWidth="1"/>
    <col min="9257" max="9257" width="2.85546875" style="173" customWidth="1"/>
    <col min="9258" max="9258" width="0.140625" style="173" customWidth="1"/>
    <col min="9259" max="9259" width="2.85546875" style="173" customWidth="1"/>
    <col min="9260" max="9260" width="0.140625" style="173" customWidth="1"/>
    <col min="9261" max="9261" width="0.85546875" style="173" customWidth="1"/>
    <col min="9262" max="9472" width="9.140625" style="173"/>
    <col min="9473" max="9473" width="1" style="173" customWidth="1"/>
    <col min="9474" max="9508" width="3" style="173" customWidth="1"/>
    <col min="9509" max="9509" width="3.5703125" style="173" customWidth="1"/>
    <col min="9510" max="9510" width="0.140625" style="173" customWidth="1"/>
    <col min="9511" max="9511" width="2.85546875" style="173" customWidth="1"/>
    <col min="9512" max="9512" width="0.140625" style="173" customWidth="1"/>
    <col min="9513" max="9513" width="2.85546875" style="173" customWidth="1"/>
    <col min="9514" max="9514" width="0.140625" style="173" customWidth="1"/>
    <col min="9515" max="9515" width="2.85546875" style="173" customWidth="1"/>
    <col min="9516" max="9516" width="0.140625" style="173" customWidth="1"/>
    <col min="9517" max="9517" width="0.85546875" style="173" customWidth="1"/>
    <col min="9518" max="9728" width="9.140625" style="173"/>
    <col min="9729" max="9729" width="1" style="173" customWidth="1"/>
    <col min="9730" max="9764" width="3" style="173" customWidth="1"/>
    <col min="9765" max="9765" width="3.5703125" style="173" customWidth="1"/>
    <col min="9766" max="9766" width="0.140625" style="173" customWidth="1"/>
    <col min="9767" max="9767" width="2.85546875" style="173" customWidth="1"/>
    <col min="9768" max="9768" width="0.140625" style="173" customWidth="1"/>
    <col min="9769" max="9769" width="2.85546875" style="173" customWidth="1"/>
    <col min="9770" max="9770" width="0.140625" style="173" customWidth="1"/>
    <col min="9771" max="9771" width="2.85546875" style="173" customWidth="1"/>
    <col min="9772" max="9772" width="0.140625" style="173" customWidth="1"/>
    <col min="9773" max="9773" width="0.85546875" style="173" customWidth="1"/>
    <col min="9774" max="9984" width="9.140625" style="173"/>
    <col min="9985" max="9985" width="1" style="173" customWidth="1"/>
    <col min="9986" max="10020" width="3" style="173" customWidth="1"/>
    <col min="10021" max="10021" width="3.5703125" style="173" customWidth="1"/>
    <col min="10022" max="10022" width="0.140625" style="173" customWidth="1"/>
    <col min="10023" max="10023" width="2.85546875" style="173" customWidth="1"/>
    <col min="10024" max="10024" width="0.140625" style="173" customWidth="1"/>
    <col min="10025" max="10025" width="2.85546875" style="173" customWidth="1"/>
    <col min="10026" max="10026" width="0.140625" style="173" customWidth="1"/>
    <col min="10027" max="10027" width="2.85546875" style="173" customWidth="1"/>
    <col min="10028" max="10028" width="0.140625" style="173" customWidth="1"/>
    <col min="10029" max="10029" width="0.85546875" style="173" customWidth="1"/>
    <col min="10030" max="10240" width="9.140625" style="173"/>
    <col min="10241" max="10241" width="1" style="173" customWidth="1"/>
    <col min="10242" max="10276" width="3" style="173" customWidth="1"/>
    <col min="10277" max="10277" width="3.5703125" style="173" customWidth="1"/>
    <col min="10278" max="10278" width="0.140625" style="173" customWidth="1"/>
    <col min="10279" max="10279" width="2.85546875" style="173" customWidth="1"/>
    <col min="10280" max="10280" width="0.140625" style="173" customWidth="1"/>
    <col min="10281" max="10281" width="2.85546875" style="173" customWidth="1"/>
    <col min="10282" max="10282" width="0.140625" style="173" customWidth="1"/>
    <col min="10283" max="10283" width="2.85546875" style="173" customWidth="1"/>
    <col min="10284" max="10284" width="0.140625" style="173" customWidth="1"/>
    <col min="10285" max="10285" width="0.85546875" style="173" customWidth="1"/>
    <col min="10286" max="10496" width="9.140625" style="173"/>
    <col min="10497" max="10497" width="1" style="173" customWidth="1"/>
    <col min="10498" max="10532" width="3" style="173" customWidth="1"/>
    <col min="10533" max="10533" width="3.5703125" style="173" customWidth="1"/>
    <col min="10534" max="10534" width="0.140625" style="173" customWidth="1"/>
    <col min="10535" max="10535" width="2.85546875" style="173" customWidth="1"/>
    <col min="10536" max="10536" width="0.140625" style="173" customWidth="1"/>
    <col min="10537" max="10537" width="2.85546875" style="173" customWidth="1"/>
    <col min="10538" max="10538" width="0.140625" style="173" customWidth="1"/>
    <col min="10539" max="10539" width="2.85546875" style="173" customWidth="1"/>
    <col min="10540" max="10540" width="0.140625" style="173" customWidth="1"/>
    <col min="10541" max="10541" width="0.85546875" style="173" customWidth="1"/>
    <col min="10542" max="10752" width="9.140625" style="173"/>
    <col min="10753" max="10753" width="1" style="173" customWidth="1"/>
    <col min="10754" max="10788" width="3" style="173" customWidth="1"/>
    <col min="10789" max="10789" width="3.5703125" style="173" customWidth="1"/>
    <col min="10790" max="10790" width="0.140625" style="173" customWidth="1"/>
    <col min="10791" max="10791" width="2.85546875" style="173" customWidth="1"/>
    <col min="10792" max="10792" width="0.140625" style="173" customWidth="1"/>
    <col min="10793" max="10793" width="2.85546875" style="173" customWidth="1"/>
    <col min="10794" max="10794" width="0.140625" style="173" customWidth="1"/>
    <col min="10795" max="10795" width="2.85546875" style="173" customWidth="1"/>
    <col min="10796" max="10796" width="0.140625" style="173" customWidth="1"/>
    <col min="10797" max="10797" width="0.85546875" style="173" customWidth="1"/>
    <col min="10798" max="11008" width="9.140625" style="173"/>
    <col min="11009" max="11009" width="1" style="173" customWidth="1"/>
    <col min="11010" max="11044" width="3" style="173" customWidth="1"/>
    <col min="11045" max="11045" width="3.5703125" style="173" customWidth="1"/>
    <col min="11046" max="11046" width="0.140625" style="173" customWidth="1"/>
    <col min="11047" max="11047" width="2.85546875" style="173" customWidth="1"/>
    <col min="11048" max="11048" width="0.140625" style="173" customWidth="1"/>
    <col min="11049" max="11049" width="2.85546875" style="173" customWidth="1"/>
    <col min="11050" max="11050" width="0.140625" style="173" customWidth="1"/>
    <col min="11051" max="11051" width="2.85546875" style="173" customWidth="1"/>
    <col min="11052" max="11052" width="0.140625" style="173" customWidth="1"/>
    <col min="11053" max="11053" width="0.85546875" style="173" customWidth="1"/>
    <col min="11054" max="11264" width="9.140625" style="173"/>
    <col min="11265" max="11265" width="1" style="173" customWidth="1"/>
    <col min="11266" max="11300" width="3" style="173" customWidth="1"/>
    <col min="11301" max="11301" width="3.5703125" style="173" customWidth="1"/>
    <col min="11302" max="11302" width="0.140625" style="173" customWidth="1"/>
    <col min="11303" max="11303" width="2.85546875" style="173" customWidth="1"/>
    <col min="11304" max="11304" width="0.140625" style="173" customWidth="1"/>
    <col min="11305" max="11305" width="2.85546875" style="173" customWidth="1"/>
    <col min="11306" max="11306" width="0.140625" style="173" customWidth="1"/>
    <col min="11307" max="11307" width="2.85546875" style="173" customWidth="1"/>
    <col min="11308" max="11308" width="0.140625" style="173" customWidth="1"/>
    <col min="11309" max="11309" width="0.85546875" style="173" customWidth="1"/>
    <col min="11310" max="11520" width="9.140625" style="173"/>
    <col min="11521" max="11521" width="1" style="173" customWidth="1"/>
    <col min="11522" max="11556" width="3" style="173" customWidth="1"/>
    <col min="11557" max="11557" width="3.5703125" style="173" customWidth="1"/>
    <col min="11558" max="11558" width="0.140625" style="173" customWidth="1"/>
    <col min="11559" max="11559" width="2.85546875" style="173" customWidth="1"/>
    <col min="11560" max="11560" width="0.140625" style="173" customWidth="1"/>
    <col min="11561" max="11561" width="2.85546875" style="173" customWidth="1"/>
    <col min="11562" max="11562" width="0.140625" style="173" customWidth="1"/>
    <col min="11563" max="11563" width="2.85546875" style="173" customWidth="1"/>
    <col min="11564" max="11564" width="0.140625" style="173" customWidth="1"/>
    <col min="11565" max="11565" width="0.85546875" style="173" customWidth="1"/>
    <col min="11566" max="11776" width="9.140625" style="173"/>
    <col min="11777" max="11777" width="1" style="173" customWidth="1"/>
    <col min="11778" max="11812" width="3" style="173" customWidth="1"/>
    <col min="11813" max="11813" width="3.5703125" style="173" customWidth="1"/>
    <col min="11814" max="11814" width="0.140625" style="173" customWidth="1"/>
    <col min="11815" max="11815" width="2.85546875" style="173" customWidth="1"/>
    <col min="11816" max="11816" width="0.140625" style="173" customWidth="1"/>
    <col min="11817" max="11817" width="2.85546875" style="173" customWidth="1"/>
    <col min="11818" max="11818" width="0.140625" style="173" customWidth="1"/>
    <col min="11819" max="11819" width="2.85546875" style="173" customWidth="1"/>
    <col min="11820" max="11820" width="0.140625" style="173" customWidth="1"/>
    <col min="11821" max="11821" width="0.85546875" style="173" customWidth="1"/>
    <col min="11822" max="12032" width="9.140625" style="173"/>
    <col min="12033" max="12033" width="1" style="173" customWidth="1"/>
    <col min="12034" max="12068" width="3" style="173" customWidth="1"/>
    <col min="12069" max="12069" width="3.5703125" style="173" customWidth="1"/>
    <col min="12070" max="12070" width="0.140625" style="173" customWidth="1"/>
    <col min="12071" max="12071" width="2.85546875" style="173" customWidth="1"/>
    <col min="12072" max="12072" width="0.140625" style="173" customWidth="1"/>
    <col min="12073" max="12073" width="2.85546875" style="173" customWidth="1"/>
    <col min="12074" max="12074" width="0.140625" style="173" customWidth="1"/>
    <col min="12075" max="12075" width="2.85546875" style="173" customWidth="1"/>
    <col min="12076" max="12076" width="0.140625" style="173" customWidth="1"/>
    <col min="12077" max="12077" width="0.85546875" style="173" customWidth="1"/>
    <col min="12078" max="12288" width="9.140625" style="173"/>
    <col min="12289" max="12289" width="1" style="173" customWidth="1"/>
    <col min="12290" max="12324" width="3" style="173" customWidth="1"/>
    <col min="12325" max="12325" width="3.5703125" style="173" customWidth="1"/>
    <col min="12326" max="12326" width="0.140625" style="173" customWidth="1"/>
    <col min="12327" max="12327" width="2.85546875" style="173" customWidth="1"/>
    <col min="12328" max="12328" width="0.140625" style="173" customWidth="1"/>
    <col min="12329" max="12329" width="2.85546875" style="173" customWidth="1"/>
    <col min="12330" max="12330" width="0.140625" style="173" customWidth="1"/>
    <col min="12331" max="12331" width="2.85546875" style="173" customWidth="1"/>
    <col min="12332" max="12332" width="0.140625" style="173" customWidth="1"/>
    <col min="12333" max="12333" width="0.85546875" style="173" customWidth="1"/>
    <col min="12334" max="12544" width="9.140625" style="173"/>
    <col min="12545" max="12545" width="1" style="173" customWidth="1"/>
    <col min="12546" max="12580" width="3" style="173" customWidth="1"/>
    <col min="12581" max="12581" width="3.5703125" style="173" customWidth="1"/>
    <col min="12582" max="12582" width="0.140625" style="173" customWidth="1"/>
    <col min="12583" max="12583" width="2.85546875" style="173" customWidth="1"/>
    <col min="12584" max="12584" width="0.140625" style="173" customWidth="1"/>
    <col min="12585" max="12585" width="2.85546875" style="173" customWidth="1"/>
    <col min="12586" max="12586" width="0.140625" style="173" customWidth="1"/>
    <col min="12587" max="12587" width="2.85546875" style="173" customWidth="1"/>
    <col min="12588" max="12588" width="0.140625" style="173" customWidth="1"/>
    <col min="12589" max="12589" width="0.85546875" style="173" customWidth="1"/>
    <col min="12590" max="12800" width="9.140625" style="173"/>
    <col min="12801" max="12801" width="1" style="173" customWidth="1"/>
    <col min="12802" max="12836" width="3" style="173" customWidth="1"/>
    <col min="12837" max="12837" width="3.5703125" style="173" customWidth="1"/>
    <col min="12838" max="12838" width="0.140625" style="173" customWidth="1"/>
    <col min="12839" max="12839" width="2.85546875" style="173" customWidth="1"/>
    <col min="12840" max="12840" width="0.140625" style="173" customWidth="1"/>
    <col min="12841" max="12841" width="2.85546875" style="173" customWidth="1"/>
    <col min="12842" max="12842" width="0.140625" style="173" customWidth="1"/>
    <col min="12843" max="12843" width="2.85546875" style="173" customWidth="1"/>
    <col min="12844" max="12844" width="0.140625" style="173" customWidth="1"/>
    <col min="12845" max="12845" width="0.85546875" style="173" customWidth="1"/>
    <col min="12846" max="13056" width="9.140625" style="173"/>
    <col min="13057" max="13057" width="1" style="173" customWidth="1"/>
    <col min="13058" max="13092" width="3" style="173" customWidth="1"/>
    <col min="13093" max="13093" width="3.5703125" style="173" customWidth="1"/>
    <col min="13094" max="13094" width="0.140625" style="173" customWidth="1"/>
    <col min="13095" max="13095" width="2.85546875" style="173" customWidth="1"/>
    <col min="13096" max="13096" width="0.140625" style="173" customWidth="1"/>
    <col min="13097" max="13097" width="2.85546875" style="173" customWidth="1"/>
    <col min="13098" max="13098" width="0.140625" style="173" customWidth="1"/>
    <col min="13099" max="13099" width="2.85546875" style="173" customWidth="1"/>
    <col min="13100" max="13100" width="0.140625" style="173" customWidth="1"/>
    <col min="13101" max="13101" width="0.85546875" style="173" customWidth="1"/>
    <col min="13102" max="13312" width="9.140625" style="173"/>
    <col min="13313" max="13313" width="1" style="173" customWidth="1"/>
    <col min="13314" max="13348" width="3" style="173" customWidth="1"/>
    <col min="13349" max="13349" width="3.5703125" style="173" customWidth="1"/>
    <col min="13350" max="13350" width="0.140625" style="173" customWidth="1"/>
    <col min="13351" max="13351" width="2.85546875" style="173" customWidth="1"/>
    <col min="13352" max="13352" width="0.140625" style="173" customWidth="1"/>
    <col min="13353" max="13353" width="2.85546875" style="173" customWidth="1"/>
    <col min="13354" max="13354" width="0.140625" style="173" customWidth="1"/>
    <col min="13355" max="13355" width="2.85546875" style="173" customWidth="1"/>
    <col min="13356" max="13356" width="0.140625" style="173" customWidth="1"/>
    <col min="13357" max="13357" width="0.85546875" style="173" customWidth="1"/>
    <col min="13358" max="13568" width="9.140625" style="173"/>
    <col min="13569" max="13569" width="1" style="173" customWidth="1"/>
    <col min="13570" max="13604" width="3" style="173" customWidth="1"/>
    <col min="13605" max="13605" width="3.5703125" style="173" customWidth="1"/>
    <col min="13606" max="13606" width="0.140625" style="173" customWidth="1"/>
    <col min="13607" max="13607" width="2.85546875" style="173" customWidth="1"/>
    <col min="13608" max="13608" width="0.140625" style="173" customWidth="1"/>
    <col min="13609" max="13609" width="2.85546875" style="173" customWidth="1"/>
    <col min="13610" max="13610" width="0.140625" style="173" customWidth="1"/>
    <col min="13611" max="13611" width="2.85546875" style="173" customWidth="1"/>
    <col min="13612" max="13612" width="0.140625" style="173" customWidth="1"/>
    <col min="13613" max="13613" width="0.85546875" style="173" customWidth="1"/>
    <col min="13614" max="13824" width="9.140625" style="173"/>
    <col min="13825" max="13825" width="1" style="173" customWidth="1"/>
    <col min="13826" max="13860" width="3" style="173" customWidth="1"/>
    <col min="13861" max="13861" width="3.5703125" style="173" customWidth="1"/>
    <col min="13862" max="13862" width="0.140625" style="173" customWidth="1"/>
    <col min="13863" max="13863" width="2.85546875" style="173" customWidth="1"/>
    <col min="13864" max="13864" width="0.140625" style="173" customWidth="1"/>
    <col min="13865" max="13865" width="2.85546875" style="173" customWidth="1"/>
    <col min="13866" max="13866" width="0.140625" style="173" customWidth="1"/>
    <col min="13867" max="13867" width="2.85546875" style="173" customWidth="1"/>
    <col min="13868" max="13868" width="0.140625" style="173" customWidth="1"/>
    <col min="13869" max="13869" width="0.85546875" style="173" customWidth="1"/>
    <col min="13870" max="14080" width="9.140625" style="173"/>
    <col min="14081" max="14081" width="1" style="173" customWidth="1"/>
    <col min="14082" max="14116" width="3" style="173" customWidth="1"/>
    <col min="14117" max="14117" width="3.5703125" style="173" customWidth="1"/>
    <col min="14118" max="14118" width="0.140625" style="173" customWidth="1"/>
    <col min="14119" max="14119" width="2.85546875" style="173" customWidth="1"/>
    <col min="14120" max="14120" width="0.140625" style="173" customWidth="1"/>
    <col min="14121" max="14121" width="2.85546875" style="173" customWidth="1"/>
    <col min="14122" max="14122" width="0.140625" style="173" customWidth="1"/>
    <col min="14123" max="14123" width="2.85546875" style="173" customWidth="1"/>
    <col min="14124" max="14124" width="0.140625" style="173" customWidth="1"/>
    <col min="14125" max="14125" width="0.85546875" style="173" customWidth="1"/>
    <col min="14126" max="14336" width="9.140625" style="173"/>
    <col min="14337" max="14337" width="1" style="173" customWidth="1"/>
    <col min="14338" max="14372" width="3" style="173" customWidth="1"/>
    <col min="14373" max="14373" width="3.5703125" style="173" customWidth="1"/>
    <col min="14374" max="14374" width="0.140625" style="173" customWidth="1"/>
    <col min="14375" max="14375" width="2.85546875" style="173" customWidth="1"/>
    <col min="14376" max="14376" width="0.140625" style="173" customWidth="1"/>
    <col min="14377" max="14377" width="2.85546875" style="173" customWidth="1"/>
    <col min="14378" max="14378" width="0.140625" style="173" customWidth="1"/>
    <col min="14379" max="14379" width="2.85546875" style="173" customWidth="1"/>
    <col min="14380" max="14380" width="0.140625" style="173" customWidth="1"/>
    <col min="14381" max="14381" width="0.85546875" style="173" customWidth="1"/>
    <col min="14382" max="14592" width="9.140625" style="173"/>
    <col min="14593" max="14593" width="1" style="173" customWidth="1"/>
    <col min="14594" max="14628" width="3" style="173" customWidth="1"/>
    <col min="14629" max="14629" width="3.5703125" style="173" customWidth="1"/>
    <col min="14630" max="14630" width="0.140625" style="173" customWidth="1"/>
    <col min="14631" max="14631" width="2.85546875" style="173" customWidth="1"/>
    <col min="14632" max="14632" width="0.140625" style="173" customWidth="1"/>
    <col min="14633" max="14633" width="2.85546875" style="173" customWidth="1"/>
    <col min="14634" max="14634" width="0.140625" style="173" customWidth="1"/>
    <col min="14635" max="14635" width="2.85546875" style="173" customWidth="1"/>
    <col min="14636" max="14636" width="0.140625" style="173" customWidth="1"/>
    <col min="14637" max="14637" width="0.85546875" style="173" customWidth="1"/>
    <col min="14638" max="14848" width="9.140625" style="173"/>
    <col min="14849" max="14849" width="1" style="173" customWidth="1"/>
    <col min="14850" max="14884" width="3" style="173" customWidth="1"/>
    <col min="14885" max="14885" width="3.5703125" style="173" customWidth="1"/>
    <col min="14886" max="14886" width="0.140625" style="173" customWidth="1"/>
    <col min="14887" max="14887" width="2.85546875" style="173" customWidth="1"/>
    <col min="14888" max="14888" width="0.140625" style="173" customWidth="1"/>
    <col min="14889" max="14889" width="2.85546875" style="173" customWidth="1"/>
    <col min="14890" max="14890" width="0.140625" style="173" customWidth="1"/>
    <col min="14891" max="14891" width="2.85546875" style="173" customWidth="1"/>
    <col min="14892" max="14892" width="0.140625" style="173" customWidth="1"/>
    <col min="14893" max="14893" width="0.85546875" style="173" customWidth="1"/>
    <col min="14894" max="15104" width="9.140625" style="173"/>
    <col min="15105" max="15105" width="1" style="173" customWidth="1"/>
    <col min="15106" max="15140" width="3" style="173" customWidth="1"/>
    <col min="15141" max="15141" width="3.5703125" style="173" customWidth="1"/>
    <col min="15142" max="15142" width="0.140625" style="173" customWidth="1"/>
    <col min="15143" max="15143" width="2.85546875" style="173" customWidth="1"/>
    <col min="15144" max="15144" width="0.140625" style="173" customWidth="1"/>
    <col min="15145" max="15145" width="2.85546875" style="173" customWidth="1"/>
    <col min="15146" max="15146" width="0.140625" style="173" customWidth="1"/>
    <col min="15147" max="15147" width="2.85546875" style="173" customWidth="1"/>
    <col min="15148" max="15148" width="0.140625" style="173" customWidth="1"/>
    <col min="15149" max="15149" width="0.85546875" style="173" customWidth="1"/>
    <col min="15150" max="15360" width="9.140625" style="173"/>
    <col min="15361" max="15361" width="1" style="173" customWidth="1"/>
    <col min="15362" max="15396" width="3" style="173" customWidth="1"/>
    <col min="15397" max="15397" width="3.5703125" style="173" customWidth="1"/>
    <col min="15398" max="15398" width="0.140625" style="173" customWidth="1"/>
    <col min="15399" max="15399" width="2.85546875" style="173" customWidth="1"/>
    <col min="15400" max="15400" width="0.140625" style="173" customWidth="1"/>
    <col min="15401" max="15401" width="2.85546875" style="173" customWidth="1"/>
    <col min="15402" max="15402" width="0.140625" style="173" customWidth="1"/>
    <col min="15403" max="15403" width="2.85546875" style="173" customWidth="1"/>
    <col min="15404" max="15404" width="0.140625" style="173" customWidth="1"/>
    <col min="15405" max="15405" width="0.85546875" style="173" customWidth="1"/>
    <col min="15406" max="15616" width="9.140625" style="173"/>
    <col min="15617" max="15617" width="1" style="173" customWidth="1"/>
    <col min="15618" max="15652" width="3" style="173" customWidth="1"/>
    <col min="15653" max="15653" width="3.5703125" style="173" customWidth="1"/>
    <col min="15654" max="15654" width="0.140625" style="173" customWidth="1"/>
    <col min="15655" max="15655" width="2.85546875" style="173" customWidth="1"/>
    <col min="15656" max="15656" width="0.140625" style="173" customWidth="1"/>
    <col min="15657" max="15657" width="2.85546875" style="173" customWidth="1"/>
    <col min="15658" max="15658" width="0.140625" style="173" customWidth="1"/>
    <col min="15659" max="15659" width="2.85546875" style="173" customWidth="1"/>
    <col min="15660" max="15660" width="0.140625" style="173" customWidth="1"/>
    <col min="15661" max="15661" width="0.85546875" style="173" customWidth="1"/>
    <col min="15662" max="15872" width="9.140625" style="173"/>
    <col min="15873" max="15873" width="1" style="173" customWidth="1"/>
    <col min="15874" max="15908" width="3" style="173" customWidth="1"/>
    <col min="15909" max="15909" width="3.5703125" style="173" customWidth="1"/>
    <col min="15910" max="15910" width="0.140625" style="173" customWidth="1"/>
    <col min="15911" max="15911" width="2.85546875" style="173" customWidth="1"/>
    <col min="15912" max="15912" width="0.140625" style="173" customWidth="1"/>
    <col min="15913" max="15913" width="2.85546875" style="173" customWidth="1"/>
    <col min="15914" max="15914" width="0.140625" style="173" customWidth="1"/>
    <col min="15915" max="15915" width="2.85546875" style="173" customWidth="1"/>
    <col min="15916" max="15916" width="0.140625" style="173" customWidth="1"/>
    <col min="15917" max="15917" width="0.85546875" style="173" customWidth="1"/>
    <col min="15918" max="16128" width="9.140625" style="173"/>
    <col min="16129" max="16129" width="1" style="173" customWidth="1"/>
    <col min="16130" max="16164" width="3" style="173" customWidth="1"/>
    <col min="16165" max="16165" width="3.5703125" style="173" customWidth="1"/>
    <col min="16166" max="16166" width="0.140625" style="173" customWidth="1"/>
    <col min="16167" max="16167" width="2.85546875" style="173" customWidth="1"/>
    <col min="16168" max="16168" width="0.140625" style="173" customWidth="1"/>
    <col min="16169" max="16169" width="2.85546875" style="173" customWidth="1"/>
    <col min="16170" max="16170" width="0.140625" style="173" customWidth="1"/>
    <col min="16171" max="16171" width="2.85546875" style="173" customWidth="1"/>
    <col min="16172" max="16172" width="0.140625" style="173" customWidth="1"/>
    <col min="16173" max="16173" width="0.85546875" style="173" customWidth="1"/>
    <col min="16174" max="16384" width="9.140625" style="173"/>
  </cols>
  <sheetData>
    <row r="1" spans="2:43" ht="56.25" customHeight="1">
      <c r="G1" s="174" t="s">
        <v>2078</v>
      </c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</row>
    <row r="2" spans="2:43" ht="11.25" customHeight="1"/>
    <row r="3" spans="2:43" ht="11.25" customHeight="1"/>
    <row r="4" spans="2:43" ht="12.75" customHeight="1">
      <c r="B4" s="175" t="s">
        <v>2079</v>
      </c>
      <c r="C4" s="175"/>
      <c r="D4" s="175"/>
      <c r="E4" s="175"/>
      <c r="F4" s="175"/>
      <c r="G4" s="175"/>
      <c r="H4" s="175"/>
      <c r="I4" s="175"/>
      <c r="J4" s="175"/>
      <c r="K4" s="175"/>
      <c r="L4" s="175"/>
      <c r="M4" s="175"/>
      <c r="N4" s="175"/>
      <c r="O4" s="175"/>
      <c r="P4" s="175"/>
      <c r="Q4" s="175"/>
      <c r="R4" s="175"/>
      <c r="S4" s="175"/>
      <c r="T4" s="175"/>
      <c r="U4" s="175"/>
      <c r="V4" s="175"/>
      <c r="W4" s="175"/>
      <c r="X4" s="175"/>
      <c r="Y4" s="175"/>
      <c r="Z4" s="175"/>
      <c r="AA4" s="175"/>
      <c r="AB4" s="175"/>
      <c r="AC4" s="175"/>
      <c r="AD4" s="175"/>
      <c r="AE4" s="175"/>
      <c r="AF4" s="175"/>
      <c r="AG4" s="175"/>
      <c r="AH4" s="175"/>
      <c r="AI4" s="175"/>
      <c r="AJ4" s="175"/>
      <c r="AK4" s="175"/>
      <c r="AL4" s="175"/>
      <c r="AM4" s="175"/>
      <c r="AN4" s="175"/>
      <c r="AO4" s="175"/>
      <c r="AP4" s="175"/>
      <c r="AQ4" s="175"/>
    </row>
    <row r="5" spans="2:43" ht="12.75" customHeight="1">
      <c r="B5" s="176" t="s">
        <v>2080</v>
      </c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76"/>
      <c r="Q5" s="176"/>
      <c r="R5" s="176"/>
      <c r="S5" s="176"/>
      <c r="T5" s="177" t="s">
        <v>2081</v>
      </c>
      <c r="U5" s="177"/>
      <c r="V5" s="177"/>
      <c r="W5" s="178" t="s">
        <v>2082</v>
      </c>
      <c r="X5" s="178"/>
      <c r="Y5" s="178"/>
      <c r="Z5" s="178"/>
      <c r="AA5" s="178"/>
      <c r="AB5" s="178"/>
      <c r="AC5" s="178"/>
      <c r="AD5" s="178"/>
      <c r="AE5" s="178"/>
      <c r="AF5" s="178"/>
      <c r="AG5" s="178"/>
      <c r="AH5" s="178"/>
      <c r="AI5" s="178"/>
      <c r="AJ5" s="178"/>
      <c r="AK5" s="178"/>
      <c r="AL5" s="178"/>
      <c r="AM5" s="178"/>
      <c r="AN5" s="178"/>
      <c r="AO5" s="178"/>
      <c r="AP5" s="178"/>
      <c r="AQ5" s="178"/>
    </row>
    <row r="6" spans="2:43" ht="11.25" customHeight="1">
      <c r="B6" s="179"/>
      <c r="C6" s="180"/>
      <c r="D6" s="180"/>
      <c r="E6" s="180"/>
      <c r="F6" s="180"/>
      <c r="G6" s="180"/>
      <c r="H6" s="180"/>
      <c r="I6" s="180"/>
      <c r="J6" s="180"/>
      <c r="K6" s="180"/>
      <c r="L6" s="180"/>
      <c r="M6" s="180"/>
      <c r="N6" s="180"/>
      <c r="O6" s="180"/>
      <c r="P6" s="180"/>
      <c r="Q6" s="180"/>
      <c r="R6" s="180"/>
      <c r="S6" s="181"/>
      <c r="T6" s="182" t="s">
        <v>2083</v>
      </c>
      <c r="U6" s="182"/>
      <c r="V6" s="182"/>
      <c r="W6" s="183" t="s">
        <v>2084</v>
      </c>
      <c r="X6" s="183"/>
      <c r="Y6" s="183"/>
      <c r="Z6" s="183"/>
      <c r="AA6" s="183"/>
      <c r="AB6" s="183"/>
      <c r="AC6" s="183"/>
      <c r="AD6" s="183"/>
      <c r="AE6" s="183"/>
      <c r="AF6" s="183"/>
      <c r="AG6" s="183"/>
      <c r="AH6" s="183"/>
      <c r="AI6" s="183"/>
      <c r="AJ6" s="183"/>
      <c r="AK6" s="183"/>
      <c r="AL6" s="183"/>
      <c r="AM6" s="183"/>
      <c r="AN6" s="183"/>
      <c r="AO6" s="183"/>
      <c r="AP6" s="183"/>
      <c r="AQ6" s="183"/>
    </row>
    <row r="7" spans="2:43" ht="11.25" customHeight="1">
      <c r="B7" s="184" t="s">
        <v>2085</v>
      </c>
      <c r="C7" s="184"/>
      <c r="D7" s="184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5"/>
      <c r="U7" s="186"/>
      <c r="V7" s="187"/>
      <c r="W7" s="188"/>
      <c r="X7" s="189"/>
      <c r="Y7" s="189"/>
      <c r="Z7" s="189"/>
      <c r="AA7" s="189"/>
      <c r="AB7" s="189"/>
      <c r="AC7" s="189"/>
      <c r="AD7" s="189"/>
      <c r="AE7" s="189"/>
      <c r="AF7" s="189"/>
      <c r="AG7" s="189"/>
      <c r="AH7" s="189"/>
      <c r="AI7" s="189"/>
      <c r="AJ7" s="189"/>
      <c r="AK7" s="189"/>
      <c r="AL7" s="189"/>
      <c r="AM7" s="189"/>
      <c r="AN7" s="189"/>
      <c r="AO7" s="189"/>
      <c r="AP7" s="189"/>
      <c r="AQ7" s="190"/>
    </row>
    <row r="8" spans="2:43" ht="12.75" customHeight="1">
      <c r="B8" s="191" t="s">
        <v>2086</v>
      </c>
      <c r="C8" s="191"/>
      <c r="D8" s="192" t="s">
        <v>2087</v>
      </c>
      <c r="E8" s="192"/>
      <c r="F8" s="192"/>
      <c r="G8" s="192"/>
      <c r="H8" s="192"/>
      <c r="I8" s="192"/>
      <c r="J8" s="192"/>
      <c r="K8" s="191" t="s">
        <v>2088</v>
      </c>
      <c r="L8" s="191"/>
      <c r="M8" s="192"/>
      <c r="N8" s="192"/>
      <c r="O8" s="192"/>
      <c r="P8" s="192"/>
      <c r="Q8" s="192"/>
      <c r="R8" s="192"/>
      <c r="S8" s="192"/>
      <c r="T8" s="182" t="s">
        <v>2083</v>
      </c>
      <c r="U8" s="182"/>
      <c r="V8" s="182"/>
      <c r="W8" s="193" t="s">
        <v>2089</v>
      </c>
      <c r="X8" s="193"/>
      <c r="Y8" s="193"/>
      <c r="Z8" s="193"/>
      <c r="AA8" s="193"/>
      <c r="AB8" s="193"/>
      <c r="AC8" s="193"/>
      <c r="AD8" s="193"/>
      <c r="AE8" s="193"/>
      <c r="AF8" s="193"/>
      <c r="AG8" s="193"/>
      <c r="AH8" s="193"/>
      <c r="AI8" s="193"/>
      <c r="AJ8" s="193"/>
      <c r="AK8" s="193"/>
      <c r="AL8" s="193"/>
      <c r="AM8" s="193"/>
      <c r="AN8" s="193"/>
      <c r="AO8" s="193"/>
      <c r="AP8" s="193"/>
      <c r="AQ8" s="193"/>
    </row>
    <row r="9" spans="2:43" ht="12.75" customHeight="1">
      <c r="B9" s="176" t="s">
        <v>2090</v>
      </c>
      <c r="C9" s="176"/>
      <c r="D9" s="176"/>
      <c r="E9" s="176"/>
      <c r="F9" s="176"/>
      <c r="G9" s="176"/>
      <c r="H9" s="176"/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94" t="s">
        <v>2091</v>
      </c>
      <c r="U9" s="194"/>
      <c r="V9" s="194"/>
      <c r="W9" s="195" t="s">
        <v>663</v>
      </c>
      <c r="X9" s="195"/>
      <c r="Y9" s="195"/>
      <c r="Z9" s="196" t="s">
        <v>2092</v>
      </c>
      <c r="AA9" s="196"/>
      <c r="AB9" s="196"/>
      <c r="AC9" s="195"/>
      <c r="AD9" s="195"/>
      <c r="AE9" s="195"/>
      <c r="AF9" s="195"/>
      <c r="AG9" s="195"/>
      <c r="AH9" s="195"/>
      <c r="AI9" s="195"/>
      <c r="AJ9" s="195"/>
      <c r="AK9" s="195"/>
      <c r="AL9" s="195"/>
      <c r="AM9" s="195"/>
      <c r="AN9" s="195"/>
      <c r="AO9" s="195"/>
      <c r="AP9" s="195"/>
      <c r="AQ9" s="195"/>
    </row>
    <row r="10" spans="2:43" ht="12.75" customHeight="1">
      <c r="B10" s="179"/>
      <c r="C10" s="180"/>
      <c r="D10" s="180"/>
      <c r="E10" s="180"/>
      <c r="F10" s="180"/>
      <c r="G10" s="180"/>
      <c r="H10" s="180"/>
      <c r="I10" s="180"/>
      <c r="J10" s="180"/>
      <c r="K10" s="180"/>
      <c r="L10" s="180"/>
      <c r="M10" s="180"/>
      <c r="N10" s="180"/>
      <c r="O10" s="180"/>
      <c r="P10" s="180"/>
      <c r="Q10" s="180"/>
      <c r="R10" s="180"/>
      <c r="S10" s="181"/>
      <c r="T10" s="194" t="s">
        <v>2093</v>
      </c>
      <c r="U10" s="194"/>
      <c r="V10" s="194"/>
      <c r="W10" s="197"/>
      <c r="X10" s="197"/>
      <c r="Y10" s="197"/>
      <c r="Z10" s="198" t="s">
        <v>2094</v>
      </c>
      <c r="AA10" s="198"/>
      <c r="AB10" s="198"/>
      <c r="AC10" s="197" t="s">
        <v>2095</v>
      </c>
      <c r="AD10" s="197"/>
      <c r="AE10" s="197"/>
      <c r="AF10" s="197"/>
      <c r="AG10" s="197"/>
      <c r="AH10" s="197"/>
      <c r="AI10" s="197"/>
      <c r="AJ10" s="197"/>
      <c r="AK10" s="197"/>
      <c r="AL10" s="197"/>
      <c r="AM10" s="197"/>
      <c r="AN10" s="197"/>
      <c r="AO10" s="197"/>
      <c r="AP10" s="197"/>
      <c r="AQ10" s="197"/>
    </row>
    <row r="11" spans="2:43" ht="11.25" customHeight="1">
      <c r="B11" s="179"/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180"/>
      <c r="S11" s="181"/>
      <c r="T11" s="194" t="s">
        <v>49</v>
      </c>
      <c r="U11" s="194"/>
      <c r="V11" s="194"/>
      <c r="W11" s="199" t="s">
        <v>2096</v>
      </c>
      <c r="X11" s="199"/>
      <c r="Y11" s="199"/>
      <c r="Z11" s="200" t="s">
        <v>2097</v>
      </c>
      <c r="AA11" s="200"/>
      <c r="AB11" s="200"/>
      <c r="AC11" s="197"/>
      <c r="AD11" s="197"/>
      <c r="AE11" s="197"/>
      <c r="AF11" s="197"/>
      <c r="AG11" s="197"/>
      <c r="AH11" s="197"/>
      <c r="AI11" s="197"/>
      <c r="AJ11" s="197"/>
      <c r="AK11" s="197"/>
      <c r="AL11" s="197"/>
      <c r="AM11" s="197"/>
      <c r="AN11" s="197"/>
      <c r="AO11" s="197"/>
      <c r="AP11" s="197"/>
      <c r="AQ11" s="197"/>
    </row>
    <row r="12" spans="2:43" ht="11.25" customHeight="1">
      <c r="B12" s="184" t="s">
        <v>2098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201"/>
      <c r="U12" s="201"/>
      <c r="V12" s="201"/>
      <c r="W12" s="202"/>
      <c r="X12" s="203"/>
      <c r="Y12" s="204"/>
      <c r="Z12" s="205"/>
      <c r="AA12" s="206"/>
      <c r="AB12" s="207"/>
      <c r="AC12" s="208"/>
      <c r="AD12" s="209"/>
      <c r="AE12" s="209"/>
      <c r="AF12" s="209"/>
      <c r="AG12" s="209"/>
      <c r="AH12" s="209"/>
      <c r="AI12" s="209"/>
      <c r="AJ12" s="209"/>
      <c r="AK12" s="209"/>
      <c r="AL12" s="209"/>
      <c r="AM12" s="209"/>
      <c r="AN12" s="209"/>
      <c r="AO12" s="209"/>
      <c r="AP12" s="209"/>
      <c r="AQ12" s="210"/>
    </row>
    <row r="13" spans="2:43" ht="11.25" customHeight="1">
      <c r="B13" s="211" t="s">
        <v>2099</v>
      </c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  <c r="AA13" s="211"/>
      <c r="AB13" s="211"/>
      <c r="AC13" s="211"/>
      <c r="AD13" s="211"/>
      <c r="AE13" s="211"/>
      <c r="AF13" s="211"/>
      <c r="AG13" s="211"/>
      <c r="AH13" s="211"/>
      <c r="AI13" s="211"/>
      <c r="AJ13" s="211"/>
      <c r="AK13" s="211"/>
      <c r="AL13" s="211"/>
      <c r="AM13" s="211"/>
      <c r="AN13" s="211"/>
      <c r="AO13" s="211"/>
      <c r="AP13" s="211"/>
      <c r="AQ13" s="211"/>
    </row>
    <row r="14" spans="2:43" ht="11.25" customHeight="1">
      <c r="B14" s="212"/>
      <c r="C14" s="213"/>
      <c r="D14" s="213"/>
      <c r="E14" s="213"/>
      <c r="F14" s="213"/>
      <c r="G14" s="213"/>
      <c r="H14" s="213"/>
      <c r="I14" s="213"/>
      <c r="J14" s="213"/>
      <c r="K14" s="213"/>
      <c r="L14" s="213"/>
      <c r="M14" s="213"/>
      <c r="N14" s="213"/>
      <c r="O14" s="213"/>
      <c r="P14" s="213"/>
      <c r="Q14" s="213"/>
      <c r="R14" s="213"/>
      <c r="S14" s="213"/>
      <c r="T14" s="213"/>
      <c r="U14" s="213"/>
      <c r="V14" s="213"/>
      <c r="W14" s="213"/>
      <c r="X14" s="213"/>
      <c r="Y14" s="213"/>
      <c r="Z14" s="213"/>
      <c r="AA14" s="213"/>
      <c r="AB14" s="213"/>
      <c r="AC14" s="213"/>
      <c r="AD14" s="213"/>
      <c r="AE14" s="213"/>
      <c r="AF14" s="213"/>
      <c r="AG14" s="213"/>
      <c r="AH14" s="213"/>
      <c r="AI14" s="213"/>
      <c r="AJ14" s="213"/>
      <c r="AK14" s="213"/>
      <c r="AL14" s="213"/>
      <c r="AM14" s="213"/>
      <c r="AN14" s="213"/>
      <c r="AO14" s="213"/>
      <c r="AP14" s="213"/>
      <c r="AQ14" s="214"/>
    </row>
    <row r="15" spans="2:43" ht="11.25" customHeight="1">
      <c r="B15" s="184" t="s">
        <v>2100</v>
      </c>
      <c r="C15" s="184"/>
      <c r="D15" s="184"/>
      <c r="E15" s="184"/>
      <c r="F15" s="184"/>
      <c r="G15" s="184"/>
      <c r="H15" s="184"/>
      <c r="I15" s="184"/>
      <c r="J15" s="184"/>
      <c r="K15" s="184"/>
      <c r="L15" s="184"/>
      <c r="M15" s="184"/>
      <c r="N15" s="184"/>
      <c r="O15" s="184"/>
      <c r="P15" s="184"/>
      <c r="Q15" s="184"/>
      <c r="R15" s="184"/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/>
      <c r="AF15" s="184"/>
      <c r="AG15" s="184"/>
      <c r="AH15" s="184"/>
      <c r="AI15" s="184"/>
      <c r="AJ15" s="184"/>
      <c r="AK15" s="184"/>
      <c r="AL15" s="184"/>
      <c r="AM15" s="184"/>
      <c r="AN15" s="184"/>
      <c r="AO15" s="184"/>
      <c r="AP15" s="184"/>
      <c r="AQ15" s="184"/>
    </row>
    <row r="16" spans="2:43" ht="11.25" customHeight="1"/>
    <row r="17" spans="2:51" ht="34.5" customHeight="1" thickBot="1">
      <c r="B17" s="215" t="s">
        <v>2101</v>
      </c>
      <c r="C17" s="215"/>
      <c r="D17" s="215"/>
      <c r="E17" s="215"/>
      <c r="F17" s="215"/>
      <c r="G17" s="215"/>
      <c r="H17" s="215"/>
      <c r="I17" s="215"/>
      <c r="J17" s="215"/>
      <c r="K17" s="215"/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</row>
    <row r="18" spans="2:51" ht="11.25" customHeight="1"/>
    <row r="19" spans="2:51" ht="12.75" customHeight="1">
      <c r="B19" s="216" t="s">
        <v>2102</v>
      </c>
      <c r="C19" s="216"/>
      <c r="D19" s="216"/>
      <c r="E19" s="216"/>
      <c r="F19" s="217" t="s">
        <v>2103</v>
      </c>
      <c r="G19" s="217"/>
      <c r="H19" s="217"/>
      <c r="I19" s="217"/>
      <c r="J19" s="217"/>
      <c r="K19" s="217"/>
      <c r="L19" s="217"/>
      <c r="M19" s="217"/>
      <c r="N19" s="217"/>
      <c r="O19" s="217"/>
      <c r="P19" s="217"/>
      <c r="Q19" s="217"/>
      <c r="R19" s="217"/>
      <c r="S19" s="217"/>
      <c r="T19" s="217"/>
      <c r="U19" s="217"/>
      <c r="V19" s="217"/>
      <c r="W19" s="217"/>
      <c r="X19" s="217"/>
      <c r="Y19" s="217"/>
      <c r="Z19" s="217"/>
      <c r="AA19" s="217"/>
      <c r="AB19" s="217"/>
      <c r="AC19" s="217"/>
      <c r="AD19" s="217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217"/>
      <c r="AP19" s="217"/>
      <c r="AQ19" s="217"/>
    </row>
    <row r="20" spans="2:51" ht="11.25" customHeight="1"/>
    <row r="21" spans="2:51" ht="12.75" customHeight="1">
      <c r="B21" s="216" t="s">
        <v>2104</v>
      </c>
      <c r="C21" s="216"/>
      <c r="D21" s="216"/>
      <c r="E21" s="216"/>
      <c r="F21" s="217" t="s">
        <v>2105</v>
      </c>
      <c r="G21" s="217"/>
      <c r="H21" s="217"/>
      <c r="I21" s="217"/>
      <c r="J21" s="217"/>
      <c r="K21" s="217"/>
      <c r="L21" s="217"/>
      <c r="M21" s="217"/>
      <c r="N21" s="217"/>
      <c r="O21" s="217"/>
      <c r="P21" s="217"/>
      <c r="Q21" s="217"/>
      <c r="R21" s="217"/>
      <c r="S21" s="217"/>
      <c r="T21" s="217"/>
      <c r="U21" s="217"/>
      <c r="V21" s="217"/>
      <c r="W21" s="217"/>
      <c r="X21" s="217"/>
      <c r="Y21" s="217"/>
      <c r="Z21" s="217"/>
      <c r="AA21" s="217"/>
      <c r="AB21" s="217"/>
      <c r="AC21" s="217"/>
      <c r="AD21" s="217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217"/>
      <c r="AP21" s="217"/>
      <c r="AQ21" s="217"/>
    </row>
    <row r="22" spans="2:51" ht="11.25" customHeight="1" thickBot="1"/>
    <row r="23" spans="2:51" ht="11.25" customHeight="1">
      <c r="B23" s="218" t="s">
        <v>2106</v>
      </c>
      <c r="C23" s="218"/>
      <c r="D23" s="219" t="s">
        <v>365</v>
      </c>
      <c r="E23" s="219"/>
      <c r="F23" s="219"/>
      <c r="G23" s="219" t="s">
        <v>2107</v>
      </c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 t="s">
        <v>2108</v>
      </c>
      <c r="AC23" s="219"/>
      <c r="AD23" s="219"/>
      <c r="AE23" s="219"/>
      <c r="AF23" s="219"/>
      <c r="AG23" s="219" t="s">
        <v>499</v>
      </c>
      <c r="AH23" s="219"/>
      <c r="AI23" s="219"/>
      <c r="AJ23" s="219"/>
      <c r="AK23" s="220" t="s">
        <v>473</v>
      </c>
      <c r="AL23" s="220"/>
      <c r="AM23" s="220"/>
      <c r="AN23" s="220"/>
      <c r="AO23" s="220"/>
      <c r="AP23" s="220"/>
      <c r="AQ23" s="220"/>
      <c r="AR23" s="220"/>
    </row>
    <row r="24" spans="2:51" ht="11.25" customHeight="1">
      <c r="B24" s="221"/>
      <c r="C24" s="222"/>
      <c r="D24" s="223"/>
      <c r="E24" s="224"/>
      <c r="F24" s="222"/>
      <c r="G24" s="223"/>
      <c r="H24" s="224"/>
      <c r="I24" s="224"/>
      <c r="J24" s="224"/>
      <c r="K24" s="224"/>
      <c r="L24" s="224"/>
      <c r="M24" s="224"/>
      <c r="N24" s="224"/>
      <c r="O24" s="224"/>
      <c r="P24" s="224"/>
      <c r="Q24" s="224"/>
      <c r="R24" s="224"/>
      <c r="S24" s="224"/>
      <c r="T24" s="224"/>
      <c r="U24" s="224"/>
      <c r="V24" s="224"/>
      <c r="W24" s="224"/>
      <c r="X24" s="224"/>
      <c r="Y24" s="224"/>
      <c r="Z24" s="224"/>
      <c r="AA24" s="222"/>
      <c r="AB24" s="223"/>
      <c r="AC24" s="224"/>
      <c r="AD24" s="224"/>
      <c r="AE24" s="224"/>
      <c r="AF24" s="222"/>
      <c r="AG24" s="223"/>
      <c r="AH24" s="224"/>
      <c r="AI24" s="224"/>
      <c r="AJ24" s="222"/>
      <c r="AK24" s="223"/>
      <c r="AL24" s="224"/>
      <c r="AM24" s="224"/>
      <c r="AN24" s="224"/>
      <c r="AO24" s="224"/>
      <c r="AP24" s="224"/>
      <c r="AQ24" s="224"/>
      <c r="AR24" s="225"/>
      <c r="AS24" s="247" t="s">
        <v>2159</v>
      </c>
      <c r="AT24" s="247" t="s">
        <v>474</v>
      </c>
      <c r="AU24" s="247" t="s">
        <v>475</v>
      </c>
      <c r="AV24" s="247" t="s">
        <v>2155</v>
      </c>
      <c r="AW24" s="247" t="s">
        <v>2156</v>
      </c>
      <c r="AX24" s="247" t="s">
        <v>2157</v>
      </c>
      <c r="AY24" s="247" t="s">
        <v>2158</v>
      </c>
    </row>
    <row r="25" spans="2:51" ht="11.25" customHeight="1">
      <c r="B25" s="226">
        <v>1</v>
      </c>
      <c r="C25" s="226"/>
      <c r="D25" s="227" t="s">
        <v>2109</v>
      </c>
      <c r="E25" s="227"/>
      <c r="F25" s="227"/>
      <c r="G25" s="228" t="s">
        <v>2110</v>
      </c>
      <c r="H25" s="228"/>
      <c r="I25" s="228"/>
      <c r="J25" s="228"/>
      <c r="K25" s="228"/>
      <c r="L25" s="228"/>
      <c r="M25" s="228"/>
      <c r="N25" s="228"/>
      <c r="O25" s="228"/>
      <c r="P25" s="228"/>
      <c r="Q25" s="228"/>
      <c r="R25" s="228"/>
      <c r="S25" s="228"/>
      <c r="T25" s="228"/>
      <c r="U25" s="228"/>
      <c r="V25" s="228"/>
      <c r="W25" s="228"/>
      <c r="X25" s="228"/>
      <c r="Y25" s="228"/>
      <c r="Z25" s="228"/>
      <c r="AA25" s="228"/>
      <c r="AB25" s="229">
        <v>2</v>
      </c>
      <c r="AC25" s="229"/>
      <c r="AD25" s="230" t="s">
        <v>2111</v>
      </c>
      <c r="AE25" s="230"/>
      <c r="AF25" s="230"/>
      <c r="AG25" s="231">
        <v>2403.5</v>
      </c>
      <c r="AH25" s="231"/>
      <c r="AI25" s="231"/>
      <c r="AJ25" s="231"/>
      <c r="AK25" s="232">
        <v>4807</v>
      </c>
      <c r="AL25" s="232"/>
      <c r="AM25" s="232"/>
      <c r="AN25" s="232"/>
      <c r="AO25" s="232"/>
      <c r="AP25" s="232"/>
      <c r="AQ25" s="232"/>
      <c r="AR25" s="232"/>
      <c r="AS25" s="246" t="str">
        <f>AT25&amp;AX25</f>
        <v>0287BCBLACK</v>
      </c>
      <c r="AT25" s="246" t="s">
        <v>2109</v>
      </c>
      <c r="AU25" s="246" t="s">
        <v>2148</v>
      </c>
      <c r="AV25" s="246">
        <v>2</v>
      </c>
      <c r="AW25" s="246">
        <v>2403.5</v>
      </c>
      <c r="AX25" s="246" t="s">
        <v>2140</v>
      </c>
      <c r="AY25" s="246" t="s">
        <v>2144</v>
      </c>
    </row>
    <row r="26" spans="2:51" ht="11.25" customHeight="1">
      <c r="B26" s="226">
        <v>2</v>
      </c>
      <c r="C26" s="226"/>
      <c r="D26" s="227" t="s">
        <v>2109</v>
      </c>
      <c r="E26" s="227"/>
      <c r="F26" s="227"/>
      <c r="G26" s="228" t="s">
        <v>2112</v>
      </c>
      <c r="H26" s="228"/>
      <c r="I26" s="228"/>
      <c r="J26" s="228"/>
      <c r="K26" s="228"/>
      <c r="L26" s="228"/>
      <c r="M26" s="228"/>
      <c r="N26" s="228"/>
      <c r="O26" s="228"/>
      <c r="P26" s="228"/>
      <c r="Q26" s="228"/>
      <c r="R26" s="228"/>
      <c r="S26" s="228"/>
      <c r="T26" s="228"/>
      <c r="U26" s="228"/>
      <c r="V26" s="228"/>
      <c r="W26" s="228"/>
      <c r="X26" s="228"/>
      <c r="Y26" s="228"/>
      <c r="Z26" s="228"/>
      <c r="AA26" s="228"/>
      <c r="AB26" s="229">
        <v>2</v>
      </c>
      <c r="AC26" s="229"/>
      <c r="AD26" s="230" t="s">
        <v>2111</v>
      </c>
      <c r="AE26" s="230"/>
      <c r="AF26" s="230"/>
      <c r="AG26" s="231">
        <v>2403.5</v>
      </c>
      <c r="AH26" s="231"/>
      <c r="AI26" s="231"/>
      <c r="AJ26" s="231"/>
      <c r="AK26" s="232">
        <v>4807</v>
      </c>
      <c r="AL26" s="232"/>
      <c r="AM26" s="232"/>
      <c r="AN26" s="232"/>
      <c r="AO26" s="232"/>
      <c r="AP26" s="232"/>
      <c r="AQ26" s="232"/>
      <c r="AR26" s="232"/>
      <c r="AS26" s="246" t="str">
        <f t="shared" ref="AS26:AS36" si="0">AT26&amp;AX26</f>
        <v>0287BCBLACK</v>
      </c>
      <c r="AT26" s="246" t="s">
        <v>2109</v>
      </c>
      <c r="AU26" s="246" t="s">
        <v>2148</v>
      </c>
      <c r="AV26" s="246">
        <v>2</v>
      </c>
      <c r="AW26" s="246">
        <v>2403.5</v>
      </c>
      <c r="AX26" s="246" t="s">
        <v>2140</v>
      </c>
      <c r="AY26" s="246" t="s">
        <v>2145</v>
      </c>
    </row>
    <row r="27" spans="2:51" ht="11.25" customHeight="1">
      <c r="B27" s="226">
        <v>3</v>
      </c>
      <c r="C27" s="226"/>
      <c r="D27" s="227" t="s">
        <v>2113</v>
      </c>
      <c r="E27" s="227"/>
      <c r="F27" s="227"/>
      <c r="G27" s="228" t="s">
        <v>2114</v>
      </c>
      <c r="H27" s="228"/>
      <c r="I27" s="228"/>
      <c r="J27" s="228"/>
      <c r="K27" s="228"/>
      <c r="L27" s="228"/>
      <c r="M27" s="228"/>
      <c r="N27" s="228"/>
      <c r="O27" s="228"/>
      <c r="P27" s="228"/>
      <c r="Q27" s="228"/>
      <c r="R27" s="228"/>
      <c r="S27" s="228"/>
      <c r="T27" s="228"/>
      <c r="U27" s="228"/>
      <c r="V27" s="228"/>
      <c r="W27" s="228"/>
      <c r="X27" s="228"/>
      <c r="Y27" s="228"/>
      <c r="Z27" s="228"/>
      <c r="AA27" s="228"/>
      <c r="AB27" s="229">
        <v>1</v>
      </c>
      <c r="AC27" s="229"/>
      <c r="AD27" s="230" t="s">
        <v>2111</v>
      </c>
      <c r="AE27" s="230"/>
      <c r="AF27" s="230"/>
      <c r="AG27" s="231">
        <v>2812</v>
      </c>
      <c r="AH27" s="231"/>
      <c r="AI27" s="231"/>
      <c r="AJ27" s="231"/>
      <c r="AK27" s="232">
        <v>2812</v>
      </c>
      <c r="AL27" s="232"/>
      <c r="AM27" s="232"/>
      <c r="AN27" s="232"/>
      <c r="AO27" s="232"/>
      <c r="AP27" s="232"/>
      <c r="AQ27" s="232"/>
      <c r="AR27" s="232"/>
      <c r="AS27" s="246" t="str">
        <f t="shared" si="0"/>
        <v>K3156HTINDIGO WASH</v>
      </c>
      <c r="AT27" s="246" t="s">
        <v>2113</v>
      </c>
      <c r="AU27" s="246" t="s">
        <v>2149</v>
      </c>
      <c r="AV27" s="246">
        <v>1</v>
      </c>
      <c r="AW27" s="246">
        <v>2812</v>
      </c>
      <c r="AX27" s="246" t="s">
        <v>2141</v>
      </c>
      <c r="AY27" s="246" t="s">
        <v>2145</v>
      </c>
    </row>
    <row r="28" spans="2:51" ht="11.25" customHeight="1">
      <c r="B28" s="226">
        <v>4</v>
      </c>
      <c r="C28" s="226"/>
      <c r="D28" s="227" t="s">
        <v>2115</v>
      </c>
      <c r="E28" s="227"/>
      <c r="F28" s="227"/>
      <c r="G28" s="228" t="s">
        <v>2116</v>
      </c>
      <c r="H28" s="228"/>
      <c r="I28" s="228"/>
      <c r="J28" s="228"/>
      <c r="K28" s="228"/>
      <c r="L28" s="228"/>
      <c r="M28" s="228"/>
      <c r="N28" s="228"/>
      <c r="O28" s="228"/>
      <c r="P28" s="228"/>
      <c r="Q28" s="228"/>
      <c r="R28" s="228"/>
      <c r="S28" s="228"/>
      <c r="T28" s="228"/>
      <c r="U28" s="228"/>
      <c r="V28" s="228"/>
      <c r="W28" s="228"/>
      <c r="X28" s="228"/>
      <c r="Y28" s="228"/>
      <c r="Z28" s="228"/>
      <c r="AA28" s="228"/>
      <c r="AB28" s="229">
        <v>2</v>
      </c>
      <c r="AC28" s="229"/>
      <c r="AD28" s="230" t="s">
        <v>2111</v>
      </c>
      <c r="AE28" s="230"/>
      <c r="AF28" s="230"/>
      <c r="AG28" s="231">
        <v>2403.5</v>
      </c>
      <c r="AH28" s="231"/>
      <c r="AI28" s="231"/>
      <c r="AJ28" s="231"/>
      <c r="AK28" s="232">
        <v>4807</v>
      </c>
      <c r="AL28" s="232"/>
      <c r="AM28" s="232"/>
      <c r="AN28" s="232"/>
      <c r="AO28" s="232"/>
      <c r="AP28" s="232"/>
      <c r="AQ28" s="232"/>
      <c r="AR28" s="232"/>
      <c r="AS28" s="246" t="str">
        <f t="shared" si="0"/>
        <v>K3208HTBLACK</v>
      </c>
      <c r="AT28" s="246" t="s">
        <v>2115</v>
      </c>
      <c r="AU28" s="246" t="s">
        <v>2150</v>
      </c>
      <c r="AV28" s="246">
        <v>2</v>
      </c>
      <c r="AW28" s="246">
        <v>2403.5</v>
      </c>
      <c r="AX28" s="246" t="s">
        <v>2140</v>
      </c>
      <c r="AY28" s="246" t="s">
        <v>2145</v>
      </c>
    </row>
    <row r="29" spans="2:51" ht="11.25" customHeight="1">
      <c r="B29" s="226">
        <v>5</v>
      </c>
      <c r="C29" s="226"/>
      <c r="D29" s="227" t="s">
        <v>2117</v>
      </c>
      <c r="E29" s="227"/>
      <c r="F29" s="227"/>
      <c r="G29" s="228" t="s">
        <v>2118</v>
      </c>
      <c r="H29" s="228"/>
      <c r="I29" s="228"/>
      <c r="J29" s="228"/>
      <c r="K29" s="228"/>
      <c r="L29" s="228"/>
      <c r="M29" s="228"/>
      <c r="N29" s="228"/>
      <c r="O29" s="228"/>
      <c r="P29" s="228"/>
      <c r="Q29" s="228"/>
      <c r="R29" s="228"/>
      <c r="S29" s="228"/>
      <c r="T29" s="228"/>
      <c r="U29" s="228"/>
      <c r="V29" s="228"/>
      <c r="W29" s="228"/>
      <c r="X29" s="228"/>
      <c r="Y29" s="228"/>
      <c r="Z29" s="228"/>
      <c r="AA29" s="228"/>
      <c r="AB29" s="229">
        <v>1</v>
      </c>
      <c r="AC29" s="229"/>
      <c r="AD29" s="230" t="s">
        <v>2111</v>
      </c>
      <c r="AE29" s="230"/>
      <c r="AF29" s="230"/>
      <c r="AG29" s="231">
        <v>2185</v>
      </c>
      <c r="AH29" s="231"/>
      <c r="AI29" s="231"/>
      <c r="AJ29" s="231"/>
      <c r="AK29" s="232">
        <v>2185</v>
      </c>
      <c r="AL29" s="232"/>
      <c r="AM29" s="232"/>
      <c r="AN29" s="232"/>
      <c r="AO29" s="232"/>
      <c r="AP29" s="232"/>
      <c r="AQ29" s="232"/>
      <c r="AR29" s="232"/>
      <c r="AS29" s="246" t="str">
        <f t="shared" si="0"/>
        <v>K0533COBLACK</v>
      </c>
      <c r="AT29" s="246" t="s">
        <v>2117</v>
      </c>
      <c r="AU29" s="246" t="s">
        <v>2151</v>
      </c>
      <c r="AV29" s="246">
        <v>1</v>
      </c>
      <c r="AW29" s="246">
        <v>2185</v>
      </c>
      <c r="AX29" s="246" t="s">
        <v>2140</v>
      </c>
      <c r="AY29" s="246" t="s">
        <v>2146</v>
      </c>
    </row>
    <row r="30" spans="2:51" ht="11.25" customHeight="1">
      <c r="B30" s="226">
        <v>6</v>
      </c>
      <c r="C30" s="226"/>
      <c r="D30" s="227" t="s">
        <v>2117</v>
      </c>
      <c r="E30" s="227"/>
      <c r="F30" s="227"/>
      <c r="G30" s="228" t="s">
        <v>2119</v>
      </c>
      <c r="H30" s="228"/>
      <c r="I30" s="228"/>
      <c r="J30" s="228"/>
      <c r="K30" s="228"/>
      <c r="L30" s="228"/>
      <c r="M30" s="228"/>
      <c r="N30" s="228"/>
      <c r="O30" s="228"/>
      <c r="P30" s="228"/>
      <c r="Q30" s="228"/>
      <c r="R30" s="228"/>
      <c r="S30" s="228"/>
      <c r="T30" s="228"/>
      <c r="U30" s="228"/>
      <c r="V30" s="228"/>
      <c r="W30" s="228"/>
      <c r="X30" s="228"/>
      <c r="Y30" s="228"/>
      <c r="Z30" s="228"/>
      <c r="AA30" s="228"/>
      <c r="AB30" s="229">
        <v>2</v>
      </c>
      <c r="AC30" s="229"/>
      <c r="AD30" s="230" t="s">
        <v>2111</v>
      </c>
      <c r="AE30" s="230"/>
      <c r="AF30" s="230"/>
      <c r="AG30" s="231">
        <v>2185</v>
      </c>
      <c r="AH30" s="231"/>
      <c r="AI30" s="231"/>
      <c r="AJ30" s="231"/>
      <c r="AK30" s="232">
        <v>4370</v>
      </c>
      <c r="AL30" s="232"/>
      <c r="AM30" s="232"/>
      <c r="AN30" s="232"/>
      <c r="AO30" s="232"/>
      <c r="AP30" s="232"/>
      <c r="AQ30" s="232"/>
      <c r="AR30" s="232"/>
      <c r="AS30" s="246" t="str">
        <f t="shared" si="0"/>
        <v>K0533COBLACK</v>
      </c>
      <c r="AT30" s="246" t="s">
        <v>2117</v>
      </c>
      <c r="AU30" s="246" t="s">
        <v>2151</v>
      </c>
      <c r="AV30" s="246">
        <v>2</v>
      </c>
      <c r="AW30" s="246">
        <v>2185</v>
      </c>
      <c r="AX30" s="246" t="s">
        <v>2140</v>
      </c>
      <c r="AY30" s="246" t="s">
        <v>2147</v>
      </c>
    </row>
    <row r="31" spans="2:51" ht="11.25" customHeight="1">
      <c r="B31" s="226">
        <v>7</v>
      </c>
      <c r="C31" s="226"/>
      <c r="D31" s="227" t="s">
        <v>2120</v>
      </c>
      <c r="E31" s="227"/>
      <c r="F31" s="227"/>
      <c r="G31" s="228" t="s">
        <v>2121</v>
      </c>
      <c r="H31" s="228"/>
      <c r="I31" s="228"/>
      <c r="J31" s="228"/>
      <c r="K31" s="228"/>
      <c r="L31" s="228"/>
      <c r="M31" s="228"/>
      <c r="N31" s="228"/>
      <c r="O31" s="228"/>
      <c r="P31" s="228"/>
      <c r="Q31" s="228"/>
      <c r="R31" s="228"/>
      <c r="S31" s="228"/>
      <c r="T31" s="228"/>
      <c r="U31" s="228"/>
      <c r="V31" s="228"/>
      <c r="W31" s="228"/>
      <c r="X31" s="228"/>
      <c r="Y31" s="228"/>
      <c r="Z31" s="228"/>
      <c r="AA31" s="228"/>
      <c r="AB31" s="229">
        <v>2</v>
      </c>
      <c r="AC31" s="229"/>
      <c r="AD31" s="230" t="s">
        <v>2111</v>
      </c>
      <c r="AE31" s="230"/>
      <c r="AF31" s="230"/>
      <c r="AG31" s="231">
        <v>2204</v>
      </c>
      <c r="AH31" s="231"/>
      <c r="AI31" s="231"/>
      <c r="AJ31" s="231"/>
      <c r="AK31" s="232">
        <v>4408</v>
      </c>
      <c r="AL31" s="232"/>
      <c r="AM31" s="232"/>
      <c r="AN31" s="232"/>
      <c r="AO31" s="232"/>
      <c r="AP31" s="232"/>
      <c r="AQ31" s="232"/>
      <c r="AR31" s="232"/>
      <c r="AS31" s="246" t="str">
        <f t="shared" si="0"/>
        <v>9720BCNAVY</v>
      </c>
      <c r="AT31" s="246" t="s">
        <v>2120</v>
      </c>
      <c r="AU31" s="246" t="s">
        <v>2152</v>
      </c>
      <c r="AV31" s="246">
        <v>2</v>
      </c>
      <c r="AW31" s="246">
        <v>2204</v>
      </c>
      <c r="AX31" s="246" t="s">
        <v>2142</v>
      </c>
      <c r="AY31" s="246" t="s">
        <v>2147</v>
      </c>
    </row>
    <row r="32" spans="2:51" ht="11.25" customHeight="1">
      <c r="B32" s="226">
        <v>8</v>
      </c>
      <c r="C32" s="226"/>
      <c r="D32" s="227" t="s">
        <v>2122</v>
      </c>
      <c r="E32" s="227"/>
      <c r="F32" s="227"/>
      <c r="G32" s="228" t="s">
        <v>2123</v>
      </c>
      <c r="H32" s="228"/>
      <c r="I32" s="228"/>
      <c r="J32" s="228"/>
      <c r="K32" s="228"/>
      <c r="L32" s="228"/>
      <c r="M32" s="228"/>
      <c r="N32" s="228"/>
      <c r="O32" s="228"/>
      <c r="P32" s="228"/>
      <c r="Q32" s="228"/>
      <c r="R32" s="228"/>
      <c r="S32" s="228"/>
      <c r="T32" s="228"/>
      <c r="U32" s="228"/>
      <c r="V32" s="228"/>
      <c r="W32" s="228"/>
      <c r="X32" s="228"/>
      <c r="Y32" s="228"/>
      <c r="Z32" s="228"/>
      <c r="AA32" s="228"/>
      <c r="AB32" s="229">
        <v>2</v>
      </c>
      <c r="AC32" s="229"/>
      <c r="AD32" s="230" t="s">
        <v>2111</v>
      </c>
      <c r="AE32" s="230"/>
      <c r="AF32" s="230"/>
      <c r="AG32" s="231">
        <v>2242</v>
      </c>
      <c r="AH32" s="231"/>
      <c r="AI32" s="231"/>
      <c r="AJ32" s="231"/>
      <c r="AK32" s="232">
        <v>4484</v>
      </c>
      <c r="AL32" s="232"/>
      <c r="AM32" s="232"/>
      <c r="AN32" s="232"/>
      <c r="AO32" s="232"/>
      <c r="AP32" s="232"/>
      <c r="AQ32" s="232"/>
      <c r="AR32" s="232"/>
      <c r="AS32" s="246" t="str">
        <f t="shared" si="0"/>
        <v>K5165HTCORDOVAN</v>
      </c>
      <c r="AT32" s="246" t="s">
        <v>2122</v>
      </c>
      <c r="AU32" s="246" t="s">
        <v>2153</v>
      </c>
      <c r="AV32" s="246">
        <v>2</v>
      </c>
      <c r="AW32" s="246">
        <v>2242</v>
      </c>
      <c r="AX32" s="246" t="s">
        <v>2143</v>
      </c>
      <c r="AY32" s="246" t="s">
        <v>2160</v>
      </c>
    </row>
    <row r="33" spans="2:51" ht="11.25" customHeight="1">
      <c r="B33" s="226">
        <v>9</v>
      </c>
      <c r="C33" s="226"/>
      <c r="D33" s="227" t="s">
        <v>2124</v>
      </c>
      <c r="E33" s="227"/>
      <c r="F33" s="227"/>
      <c r="G33" s="228" t="s">
        <v>2125</v>
      </c>
      <c r="H33" s="228"/>
      <c r="I33" s="228"/>
      <c r="J33" s="228"/>
      <c r="K33" s="228"/>
      <c r="L33" s="228"/>
      <c r="M33" s="228"/>
      <c r="N33" s="228"/>
      <c r="O33" s="228"/>
      <c r="P33" s="228"/>
      <c r="Q33" s="228"/>
      <c r="R33" s="228"/>
      <c r="S33" s="228"/>
      <c r="T33" s="228"/>
      <c r="U33" s="228"/>
      <c r="V33" s="228"/>
      <c r="W33" s="228"/>
      <c r="X33" s="228"/>
      <c r="Y33" s="228"/>
      <c r="Z33" s="228"/>
      <c r="AA33" s="228"/>
      <c r="AB33" s="229">
        <v>1</v>
      </c>
      <c r="AC33" s="229"/>
      <c r="AD33" s="230" t="s">
        <v>2111</v>
      </c>
      <c r="AE33" s="230"/>
      <c r="AF33" s="230"/>
      <c r="AG33" s="231">
        <v>2498.5</v>
      </c>
      <c r="AH33" s="231"/>
      <c r="AI33" s="231"/>
      <c r="AJ33" s="231"/>
      <c r="AK33" s="232">
        <v>2498.5</v>
      </c>
      <c r="AL33" s="232"/>
      <c r="AM33" s="232"/>
      <c r="AN33" s="232"/>
      <c r="AO33" s="232"/>
      <c r="AP33" s="232"/>
      <c r="AQ33" s="232"/>
      <c r="AR33" s="232"/>
      <c r="AS33" s="246" t="str">
        <f t="shared" si="0"/>
        <v>K4224HTNAVY</v>
      </c>
      <c r="AT33" s="246" t="s">
        <v>2124</v>
      </c>
      <c r="AU33" s="246" t="s">
        <v>2154</v>
      </c>
      <c r="AV33" s="246">
        <v>1</v>
      </c>
      <c r="AW33" s="246">
        <v>2498.5</v>
      </c>
      <c r="AX33" s="246" t="s">
        <v>2142</v>
      </c>
      <c r="AY33" s="246" t="s">
        <v>2144</v>
      </c>
    </row>
    <row r="34" spans="2:51" ht="11.25" customHeight="1">
      <c r="B34" s="226">
        <v>10</v>
      </c>
      <c r="C34" s="226"/>
      <c r="D34" s="227" t="s">
        <v>2124</v>
      </c>
      <c r="E34" s="227"/>
      <c r="F34" s="227"/>
      <c r="G34" s="228" t="s">
        <v>2126</v>
      </c>
      <c r="H34" s="228"/>
      <c r="I34" s="228"/>
      <c r="J34" s="228"/>
      <c r="K34" s="228"/>
      <c r="L34" s="228"/>
      <c r="M34" s="228"/>
      <c r="N34" s="228"/>
      <c r="O34" s="228"/>
      <c r="P34" s="228"/>
      <c r="Q34" s="228"/>
      <c r="R34" s="228"/>
      <c r="S34" s="228"/>
      <c r="T34" s="228"/>
      <c r="U34" s="228"/>
      <c r="V34" s="228"/>
      <c r="W34" s="228"/>
      <c r="X34" s="228"/>
      <c r="Y34" s="228"/>
      <c r="Z34" s="228"/>
      <c r="AA34" s="228"/>
      <c r="AB34" s="229">
        <v>1</v>
      </c>
      <c r="AC34" s="229"/>
      <c r="AD34" s="230" t="s">
        <v>2111</v>
      </c>
      <c r="AE34" s="230"/>
      <c r="AF34" s="230"/>
      <c r="AG34" s="231">
        <v>2498.5</v>
      </c>
      <c r="AH34" s="231"/>
      <c r="AI34" s="231"/>
      <c r="AJ34" s="231"/>
      <c r="AK34" s="232">
        <v>2498.5</v>
      </c>
      <c r="AL34" s="232"/>
      <c r="AM34" s="232"/>
      <c r="AN34" s="232"/>
      <c r="AO34" s="232"/>
      <c r="AP34" s="232"/>
      <c r="AQ34" s="232"/>
      <c r="AR34" s="232"/>
      <c r="AS34" s="246" t="str">
        <f t="shared" si="0"/>
        <v>K4224HTNAVY</v>
      </c>
      <c r="AT34" s="246" t="s">
        <v>2124</v>
      </c>
      <c r="AU34" s="246" t="s">
        <v>2154</v>
      </c>
      <c r="AV34" s="246">
        <v>1</v>
      </c>
      <c r="AW34" s="246">
        <v>2498.5</v>
      </c>
      <c r="AX34" s="246" t="s">
        <v>2142</v>
      </c>
      <c r="AY34" s="246" t="s">
        <v>2145</v>
      </c>
    </row>
    <row r="35" spans="2:51" ht="11.25" customHeight="1">
      <c r="B35" s="226">
        <v>11</v>
      </c>
      <c r="C35" s="226"/>
      <c r="D35" s="227" t="s">
        <v>2124</v>
      </c>
      <c r="E35" s="227"/>
      <c r="F35" s="227"/>
      <c r="G35" s="228" t="s">
        <v>2127</v>
      </c>
      <c r="H35" s="228"/>
      <c r="I35" s="228"/>
      <c r="J35" s="228"/>
      <c r="K35" s="228"/>
      <c r="L35" s="228"/>
      <c r="M35" s="228"/>
      <c r="N35" s="228"/>
      <c r="O35" s="228"/>
      <c r="P35" s="228"/>
      <c r="Q35" s="228"/>
      <c r="R35" s="228"/>
      <c r="S35" s="228"/>
      <c r="T35" s="228"/>
      <c r="U35" s="228"/>
      <c r="V35" s="228"/>
      <c r="W35" s="228"/>
      <c r="X35" s="228"/>
      <c r="Y35" s="228"/>
      <c r="Z35" s="228"/>
      <c r="AA35" s="228"/>
      <c r="AB35" s="229">
        <v>1</v>
      </c>
      <c r="AC35" s="229"/>
      <c r="AD35" s="230" t="s">
        <v>2111</v>
      </c>
      <c r="AE35" s="230"/>
      <c r="AF35" s="230"/>
      <c r="AG35" s="231">
        <v>2498.5</v>
      </c>
      <c r="AH35" s="231"/>
      <c r="AI35" s="231"/>
      <c r="AJ35" s="231"/>
      <c r="AK35" s="232">
        <v>2498.5</v>
      </c>
      <c r="AL35" s="232"/>
      <c r="AM35" s="232"/>
      <c r="AN35" s="232"/>
      <c r="AO35" s="232"/>
      <c r="AP35" s="232"/>
      <c r="AQ35" s="232"/>
      <c r="AR35" s="232"/>
      <c r="AS35" s="246" t="str">
        <f t="shared" si="0"/>
        <v>K4224HTBLACK</v>
      </c>
      <c r="AT35" s="246" t="s">
        <v>2124</v>
      </c>
      <c r="AU35" s="246" t="s">
        <v>2154</v>
      </c>
      <c r="AV35" s="246">
        <v>1</v>
      </c>
      <c r="AW35" s="246">
        <v>2498.5</v>
      </c>
      <c r="AX35" s="246" t="s">
        <v>2140</v>
      </c>
      <c r="AY35" s="246" t="s">
        <v>2144</v>
      </c>
    </row>
    <row r="36" spans="2:51" ht="11.25" customHeight="1" thickBot="1">
      <c r="B36" s="226">
        <v>12</v>
      </c>
      <c r="C36" s="226"/>
      <c r="D36" s="227" t="s">
        <v>2124</v>
      </c>
      <c r="E36" s="227"/>
      <c r="F36" s="227"/>
      <c r="G36" s="228" t="s">
        <v>2128</v>
      </c>
      <c r="H36" s="228"/>
      <c r="I36" s="228"/>
      <c r="J36" s="228"/>
      <c r="K36" s="228"/>
      <c r="L36" s="228"/>
      <c r="M36" s="228"/>
      <c r="N36" s="228"/>
      <c r="O36" s="228"/>
      <c r="P36" s="228"/>
      <c r="Q36" s="228"/>
      <c r="R36" s="228"/>
      <c r="S36" s="228"/>
      <c r="T36" s="228"/>
      <c r="U36" s="228"/>
      <c r="V36" s="228"/>
      <c r="W36" s="228"/>
      <c r="X36" s="228"/>
      <c r="Y36" s="228"/>
      <c r="Z36" s="228"/>
      <c r="AA36" s="228"/>
      <c r="AB36" s="229">
        <v>1</v>
      </c>
      <c r="AC36" s="229"/>
      <c r="AD36" s="230" t="s">
        <v>2111</v>
      </c>
      <c r="AE36" s="230"/>
      <c r="AF36" s="230"/>
      <c r="AG36" s="231">
        <v>2498.5</v>
      </c>
      <c r="AH36" s="231"/>
      <c r="AI36" s="231"/>
      <c r="AJ36" s="231"/>
      <c r="AK36" s="232">
        <v>2498.5</v>
      </c>
      <c r="AL36" s="232"/>
      <c r="AM36" s="232"/>
      <c r="AN36" s="232"/>
      <c r="AO36" s="232"/>
      <c r="AP36" s="232"/>
      <c r="AQ36" s="232"/>
      <c r="AR36" s="232"/>
      <c r="AS36" s="246" t="str">
        <f t="shared" si="0"/>
        <v>K4224HTBLACK</v>
      </c>
      <c r="AT36" s="246" t="s">
        <v>2124</v>
      </c>
      <c r="AU36" s="246" t="s">
        <v>2154</v>
      </c>
      <c r="AV36" s="246">
        <v>1</v>
      </c>
      <c r="AW36" s="246">
        <v>2498.5</v>
      </c>
      <c r="AX36" s="246" t="s">
        <v>2140</v>
      </c>
      <c r="AY36" s="246" t="s">
        <v>2145</v>
      </c>
    </row>
    <row r="37" spans="2:51" ht="5.0999999999999996" customHeight="1">
      <c r="B37" s="233"/>
      <c r="C37" s="233"/>
      <c r="D37" s="233"/>
      <c r="E37" s="233"/>
      <c r="F37" s="233"/>
      <c r="G37" s="233"/>
      <c r="H37" s="233"/>
      <c r="I37" s="233"/>
      <c r="J37" s="233"/>
      <c r="K37" s="233"/>
      <c r="L37" s="233"/>
      <c r="M37" s="233"/>
      <c r="N37" s="233"/>
      <c r="O37" s="233"/>
      <c r="P37" s="233"/>
      <c r="Q37" s="233"/>
      <c r="R37" s="233"/>
      <c r="S37" s="233"/>
      <c r="T37" s="233"/>
      <c r="U37" s="233"/>
      <c r="V37" s="233"/>
      <c r="W37" s="233"/>
      <c r="X37" s="233"/>
      <c r="Y37" s="233"/>
      <c r="Z37" s="233"/>
      <c r="AA37" s="233"/>
      <c r="AB37" s="233"/>
      <c r="AC37" s="233"/>
      <c r="AD37" s="233"/>
      <c r="AE37" s="233"/>
      <c r="AF37" s="233"/>
      <c r="AG37" s="233"/>
      <c r="AH37" s="233"/>
      <c r="AI37" s="233"/>
      <c r="AJ37" s="233"/>
      <c r="AK37" s="233"/>
      <c r="AL37" s="233"/>
      <c r="AM37" s="233"/>
      <c r="AN37" s="233"/>
      <c r="AO37" s="233"/>
      <c r="AP37" s="233"/>
      <c r="AQ37" s="233"/>
      <c r="AR37" s="233"/>
    </row>
    <row r="38" spans="2:51" ht="12.75" customHeight="1">
      <c r="AG38" s="234" t="s">
        <v>2129</v>
      </c>
      <c r="AH38" s="234"/>
      <c r="AI38" s="234"/>
      <c r="AJ38" s="234"/>
      <c r="AK38" s="235">
        <v>42674</v>
      </c>
      <c r="AL38" s="235"/>
      <c r="AM38" s="235"/>
      <c r="AN38" s="235"/>
      <c r="AO38" s="235"/>
      <c r="AP38" s="235"/>
      <c r="AQ38" s="235"/>
      <c r="AR38" s="235"/>
    </row>
    <row r="39" spans="2:51" ht="12.75" customHeight="1">
      <c r="AJ39" s="236" t="s">
        <v>2130</v>
      </c>
      <c r="AK39" s="237" t="s">
        <v>868</v>
      </c>
      <c r="AL39" s="237"/>
      <c r="AM39" s="237"/>
      <c r="AN39" s="237"/>
      <c r="AO39" s="237"/>
      <c r="AP39" s="237"/>
      <c r="AQ39" s="237"/>
    </row>
    <row r="40" spans="2:51" ht="12.75" customHeight="1">
      <c r="B40" s="238" t="s">
        <v>2131</v>
      </c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  <c r="R40" s="238"/>
      <c r="S40" s="238"/>
      <c r="T40" s="238"/>
      <c r="U40" s="238"/>
      <c r="V40" s="238"/>
      <c r="W40" s="238"/>
      <c r="X40" s="238"/>
      <c r="Y40" s="238"/>
      <c r="Z40" s="238"/>
      <c r="AA40" s="238"/>
      <c r="AB40" s="238"/>
      <c r="AC40" s="238"/>
      <c r="AD40" s="238"/>
      <c r="AE40" s="238"/>
      <c r="AF40" s="238"/>
      <c r="AG40" s="238"/>
      <c r="AH40" s="238"/>
      <c r="AI40" s="238"/>
      <c r="AJ40" s="238"/>
      <c r="AK40" s="238"/>
      <c r="AL40" s="238"/>
      <c r="AM40" s="238"/>
      <c r="AN40" s="238"/>
      <c r="AO40" s="238"/>
      <c r="AP40" s="238"/>
      <c r="AQ40" s="238"/>
    </row>
    <row r="41" spans="2:51" ht="12.75" customHeight="1">
      <c r="B41" s="239" t="s">
        <v>2132</v>
      </c>
      <c r="C41" s="239"/>
      <c r="D41" s="239"/>
      <c r="E41" s="239"/>
      <c r="F41" s="239"/>
      <c r="G41" s="239"/>
      <c r="H41" s="239"/>
      <c r="I41" s="239"/>
      <c r="J41" s="239"/>
      <c r="K41" s="239"/>
      <c r="L41" s="239"/>
      <c r="M41" s="239"/>
      <c r="N41" s="239"/>
      <c r="O41" s="239"/>
      <c r="P41" s="239"/>
      <c r="Q41" s="239"/>
      <c r="R41" s="239"/>
      <c r="S41" s="239"/>
      <c r="T41" s="239"/>
      <c r="U41" s="239"/>
      <c r="V41" s="239"/>
      <c r="W41" s="239"/>
      <c r="X41" s="239"/>
      <c r="Y41" s="239"/>
      <c r="Z41" s="239"/>
      <c r="AA41" s="239"/>
      <c r="AB41" s="239"/>
      <c r="AC41" s="239"/>
      <c r="AD41" s="239"/>
      <c r="AE41" s="239"/>
      <c r="AF41" s="239"/>
      <c r="AG41" s="239"/>
      <c r="AH41" s="239"/>
      <c r="AI41" s="239"/>
      <c r="AJ41" s="239"/>
      <c r="AK41" s="239"/>
      <c r="AL41" s="239"/>
      <c r="AM41" s="239"/>
      <c r="AN41" s="239"/>
      <c r="AO41" s="239"/>
      <c r="AP41" s="239"/>
      <c r="AQ41" s="239"/>
    </row>
    <row r="42" spans="2:51" ht="6.95" customHeight="1" thickBot="1"/>
    <row r="43" spans="2:51" ht="6.75" customHeight="1">
      <c r="B43" s="233"/>
      <c r="C43" s="233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3"/>
      <c r="U43" s="233"/>
      <c r="V43" s="233"/>
      <c r="W43" s="233"/>
      <c r="X43" s="233"/>
      <c r="Y43" s="233"/>
      <c r="Z43" s="233"/>
      <c r="AA43" s="233"/>
      <c r="AB43" s="233"/>
      <c r="AC43" s="233"/>
      <c r="AD43" s="233"/>
      <c r="AE43" s="233"/>
      <c r="AF43" s="233"/>
      <c r="AG43" s="233"/>
      <c r="AH43" s="233"/>
      <c r="AI43" s="233"/>
      <c r="AJ43" s="233"/>
      <c r="AK43" s="233"/>
      <c r="AL43" s="233"/>
      <c r="AM43" s="233"/>
      <c r="AN43" s="233"/>
      <c r="AO43" s="233"/>
      <c r="AP43" s="233"/>
      <c r="AQ43" s="233"/>
    </row>
    <row r="44" spans="2:51" ht="11.25" customHeight="1"/>
    <row r="45" spans="2:51" ht="12.75" customHeight="1">
      <c r="B45" s="240" t="s">
        <v>2133</v>
      </c>
      <c r="C45" s="240"/>
      <c r="D45" s="240"/>
      <c r="E45" s="240"/>
      <c r="F45" s="240"/>
      <c r="H45" s="241"/>
      <c r="I45" s="241"/>
      <c r="J45" s="241"/>
      <c r="K45" s="241"/>
      <c r="L45" s="241"/>
      <c r="M45" s="241"/>
      <c r="N45" s="241"/>
      <c r="O45" s="241"/>
      <c r="P45" s="241"/>
      <c r="Q45" s="241"/>
      <c r="R45" s="241"/>
      <c r="S45" s="242"/>
      <c r="V45" s="243" t="s">
        <v>2134</v>
      </c>
      <c r="W45" s="243"/>
      <c r="X45" s="243"/>
      <c r="Y45" s="243"/>
      <c r="Z45" s="243"/>
      <c r="AA45" s="243"/>
      <c r="AB45" s="243"/>
      <c r="AC45" s="243"/>
      <c r="AD45" s="243"/>
      <c r="AE45" s="243"/>
      <c r="AF45" s="243"/>
      <c r="AG45" s="243"/>
      <c r="AH45" s="243"/>
      <c r="AI45" s="243"/>
    </row>
    <row r="46" spans="2:51" ht="11.25" customHeight="1">
      <c r="H46" s="244" t="s">
        <v>2135</v>
      </c>
      <c r="I46" s="244"/>
      <c r="J46" s="244"/>
      <c r="K46" s="244"/>
      <c r="L46" s="244"/>
      <c r="M46" s="244"/>
      <c r="N46" s="244"/>
      <c r="O46" s="244"/>
      <c r="P46" s="244"/>
      <c r="Q46" s="244"/>
      <c r="R46" s="244"/>
      <c r="S46" s="244"/>
      <c r="X46" s="244" t="s">
        <v>2136</v>
      </c>
      <c r="Y46" s="244"/>
      <c r="Z46" s="244"/>
      <c r="AA46" s="244"/>
      <c r="AB46" s="244"/>
      <c r="AC46" s="244"/>
      <c r="AD46" s="244"/>
      <c r="AE46" s="244"/>
      <c r="AF46" s="244"/>
      <c r="AG46" s="244"/>
      <c r="AH46" s="244"/>
      <c r="AI46" s="244"/>
    </row>
    <row r="47" spans="2:51" ht="12.75" customHeight="1"/>
    <row r="48" spans="2:51" ht="12.75" customHeight="1">
      <c r="B48" s="245" t="s">
        <v>2137</v>
      </c>
      <c r="H48" s="241"/>
      <c r="I48" s="241"/>
      <c r="J48" s="241"/>
      <c r="K48" s="241"/>
      <c r="L48" s="241"/>
      <c r="M48" s="241"/>
      <c r="N48" s="241"/>
      <c r="O48" s="241"/>
      <c r="P48" s="241"/>
      <c r="Q48" s="241"/>
      <c r="R48" s="241"/>
      <c r="S48" s="242"/>
      <c r="V48" s="243"/>
      <c r="W48" s="243"/>
      <c r="X48" s="243"/>
      <c r="Y48" s="243"/>
      <c r="Z48" s="243"/>
      <c r="AA48" s="243"/>
      <c r="AB48" s="243"/>
      <c r="AC48" s="243"/>
      <c r="AD48" s="243"/>
      <c r="AE48" s="243"/>
      <c r="AF48" s="243"/>
      <c r="AG48" s="243"/>
      <c r="AH48" s="243"/>
      <c r="AI48" s="243"/>
    </row>
    <row r="49" spans="2:35" ht="11.25" customHeight="1">
      <c r="H49" s="244" t="s">
        <v>2135</v>
      </c>
      <c r="I49" s="244"/>
      <c r="J49" s="244"/>
      <c r="K49" s="244"/>
      <c r="L49" s="244"/>
      <c r="M49" s="244"/>
      <c r="N49" s="244"/>
      <c r="O49" s="244"/>
      <c r="P49" s="244"/>
      <c r="Q49" s="244"/>
      <c r="R49" s="244"/>
      <c r="S49" s="244"/>
      <c r="X49" s="244" t="s">
        <v>2136</v>
      </c>
      <c r="Y49" s="244"/>
      <c r="Z49" s="244"/>
      <c r="AA49" s="244"/>
      <c r="AB49" s="244"/>
      <c r="AC49" s="244"/>
      <c r="AD49" s="244"/>
      <c r="AE49" s="244"/>
      <c r="AF49" s="244"/>
      <c r="AG49" s="244"/>
      <c r="AH49" s="244"/>
      <c r="AI49" s="244"/>
    </row>
    <row r="50" spans="2:35" ht="12.75" customHeight="1"/>
    <row r="51" spans="2:35" ht="12.75" customHeight="1">
      <c r="B51" s="245" t="s">
        <v>2138</v>
      </c>
      <c r="H51" s="241"/>
      <c r="I51" s="241"/>
      <c r="J51" s="241"/>
      <c r="K51" s="241"/>
      <c r="L51" s="241"/>
      <c r="M51" s="241"/>
      <c r="N51" s="241"/>
      <c r="O51" s="241"/>
      <c r="P51" s="241"/>
      <c r="Q51" s="241"/>
      <c r="R51" s="241"/>
      <c r="S51" s="241"/>
      <c r="V51" s="243" t="s">
        <v>2139</v>
      </c>
      <c r="W51" s="243"/>
      <c r="X51" s="243"/>
      <c r="Y51" s="243"/>
      <c r="Z51" s="243"/>
      <c r="AA51" s="243"/>
      <c r="AB51" s="243"/>
      <c r="AC51" s="243"/>
      <c r="AD51" s="243"/>
      <c r="AE51" s="243"/>
      <c r="AF51" s="243"/>
      <c r="AG51" s="243"/>
      <c r="AH51" s="243"/>
      <c r="AI51" s="243"/>
    </row>
    <row r="52" spans="2:35" ht="11.25" customHeight="1">
      <c r="H52" s="244" t="s">
        <v>2135</v>
      </c>
      <c r="I52" s="244"/>
      <c r="J52" s="244"/>
      <c r="K52" s="244"/>
      <c r="L52" s="244"/>
      <c r="M52" s="244"/>
      <c r="N52" s="244"/>
      <c r="O52" s="244"/>
      <c r="P52" s="244"/>
      <c r="Q52" s="244"/>
      <c r="R52" s="244"/>
      <c r="S52" s="244"/>
      <c r="X52" s="244" t="s">
        <v>2136</v>
      </c>
      <c r="Y52" s="244"/>
      <c r="Z52" s="244"/>
      <c r="AA52" s="244"/>
      <c r="AB52" s="244"/>
      <c r="AC52" s="244"/>
      <c r="AD52" s="244"/>
      <c r="AE52" s="244"/>
      <c r="AF52" s="244"/>
      <c r="AG52" s="244"/>
      <c r="AH52" s="244"/>
      <c r="AI52" s="244"/>
    </row>
  </sheetData>
  <mergeCells count="140">
    <mergeCell ref="V51:AI51"/>
    <mergeCell ref="H52:S52"/>
    <mergeCell ref="X52:AI52"/>
    <mergeCell ref="B45:F45"/>
    <mergeCell ref="V45:AI45"/>
    <mergeCell ref="H46:S46"/>
    <mergeCell ref="X46:AI46"/>
    <mergeCell ref="V48:AI48"/>
    <mergeCell ref="H49:S49"/>
    <mergeCell ref="X49:AI49"/>
    <mergeCell ref="AK36:AR36"/>
    <mergeCell ref="AG38:AJ38"/>
    <mergeCell ref="AK38:AR38"/>
    <mergeCell ref="AK39:AQ39"/>
    <mergeCell ref="B40:AQ40"/>
    <mergeCell ref="B41:AQ41"/>
    <mergeCell ref="B36:C36"/>
    <mergeCell ref="D36:F36"/>
    <mergeCell ref="G36:AA36"/>
    <mergeCell ref="AB36:AC36"/>
    <mergeCell ref="AD36:AF36"/>
    <mergeCell ref="AG36:AJ36"/>
    <mergeCell ref="AK34:AR34"/>
    <mergeCell ref="B35:C35"/>
    <mergeCell ref="D35:F35"/>
    <mergeCell ref="G35:AA35"/>
    <mergeCell ref="AB35:AC35"/>
    <mergeCell ref="AD35:AF35"/>
    <mergeCell ref="AG35:AJ35"/>
    <mergeCell ref="AK35:AR35"/>
    <mergeCell ref="B34:C34"/>
    <mergeCell ref="D34:F34"/>
    <mergeCell ref="G34:AA34"/>
    <mergeCell ref="AB34:AC34"/>
    <mergeCell ref="AD34:AF34"/>
    <mergeCell ref="AG34:AJ34"/>
    <mergeCell ref="AK32:AR32"/>
    <mergeCell ref="B33:C33"/>
    <mergeCell ref="D33:F33"/>
    <mergeCell ref="G33:AA33"/>
    <mergeCell ref="AB33:AC33"/>
    <mergeCell ref="AD33:AF33"/>
    <mergeCell ref="AG33:AJ33"/>
    <mergeCell ref="AK33:AR33"/>
    <mergeCell ref="B32:C32"/>
    <mergeCell ref="D32:F32"/>
    <mergeCell ref="G32:AA32"/>
    <mergeCell ref="AB32:AC32"/>
    <mergeCell ref="AD32:AF32"/>
    <mergeCell ref="AG32:AJ32"/>
    <mergeCell ref="AK30:AR30"/>
    <mergeCell ref="B31:C31"/>
    <mergeCell ref="D31:F31"/>
    <mergeCell ref="G31:AA31"/>
    <mergeCell ref="AB31:AC31"/>
    <mergeCell ref="AD31:AF31"/>
    <mergeCell ref="AG31:AJ31"/>
    <mergeCell ref="AK31:AR31"/>
    <mergeCell ref="B30:C30"/>
    <mergeCell ref="D30:F30"/>
    <mergeCell ref="G30:AA30"/>
    <mergeCell ref="AB30:AC30"/>
    <mergeCell ref="AD30:AF30"/>
    <mergeCell ref="AG30:AJ30"/>
    <mergeCell ref="AK28:AR28"/>
    <mergeCell ref="B29:C29"/>
    <mergeCell ref="D29:F29"/>
    <mergeCell ref="G29:AA29"/>
    <mergeCell ref="AB29:AC29"/>
    <mergeCell ref="AD29:AF29"/>
    <mergeCell ref="AG29:AJ29"/>
    <mergeCell ref="AK29:AR29"/>
    <mergeCell ref="B28:C28"/>
    <mergeCell ref="D28:F28"/>
    <mergeCell ref="G28:AA28"/>
    <mergeCell ref="AB28:AC28"/>
    <mergeCell ref="AD28:AF28"/>
    <mergeCell ref="AG28:AJ28"/>
    <mergeCell ref="AK26:AR26"/>
    <mergeCell ref="B27:C27"/>
    <mergeCell ref="D27:F27"/>
    <mergeCell ref="G27:AA27"/>
    <mergeCell ref="AB27:AC27"/>
    <mergeCell ref="AD27:AF27"/>
    <mergeCell ref="AG27:AJ27"/>
    <mergeCell ref="AK27:AR27"/>
    <mergeCell ref="B26:C26"/>
    <mergeCell ref="D26:F26"/>
    <mergeCell ref="G26:AA26"/>
    <mergeCell ref="AB26:AC26"/>
    <mergeCell ref="AD26:AF26"/>
    <mergeCell ref="AG26:AJ26"/>
    <mergeCell ref="AK23:AR24"/>
    <mergeCell ref="B25:C25"/>
    <mergeCell ref="D25:F25"/>
    <mergeCell ref="G25:AA25"/>
    <mergeCell ref="AB25:AC25"/>
    <mergeCell ref="AD25:AF25"/>
    <mergeCell ref="AG25:AJ25"/>
    <mergeCell ref="AK25:AR25"/>
    <mergeCell ref="B17:AQ17"/>
    <mergeCell ref="B19:E19"/>
    <mergeCell ref="F19:AQ19"/>
    <mergeCell ref="B21:E21"/>
    <mergeCell ref="F21:AQ21"/>
    <mergeCell ref="B23:C24"/>
    <mergeCell ref="D23:F24"/>
    <mergeCell ref="G23:AA24"/>
    <mergeCell ref="AB23:AF24"/>
    <mergeCell ref="AG23:AJ24"/>
    <mergeCell ref="W11:Y12"/>
    <mergeCell ref="Z11:AB12"/>
    <mergeCell ref="AC11:AQ12"/>
    <mergeCell ref="B12:S12"/>
    <mergeCell ref="B13:AQ14"/>
    <mergeCell ref="B15:AQ15"/>
    <mergeCell ref="B9:S11"/>
    <mergeCell ref="T9:V9"/>
    <mergeCell ref="W9:Y9"/>
    <mergeCell ref="Z9:AB9"/>
    <mergeCell ref="AC9:AQ9"/>
    <mergeCell ref="T10:V10"/>
    <mergeCell ref="W10:Y10"/>
    <mergeCell ref="Z10:AB10"/>
    <mergeCell ref="AC10:AQ10"/>
    <mergeCell ref="T11:V12"/>
    <mergeCell ref="B8:C8"/>
    <mergeCell ref="D8:J8"/>
    <mergeCell ref="K8:L8"/>
    <mergeCell ref="M8:S8"/>
    <mergeCell ref="T8:V8"/>
    <mergeCell ref="W8:AQ8"/>
    <mergeCell ref="G1:Z1"/>
    <mergeCell ref="B4:AQ4"/>
    <mergeCell ref="B5:S6"/>
    <mergeCell ref="T5:V5"/>
    <mergeCell ref="W5:AQ5"/>
    <mergeCell ref="T6:V7"/>
    <mergeCell ref="W6:AQ7"/>
    <mergeCell ref="B7:S7"/>
  </mergeCells>
  <pageMargins left="0.39370078740157477" right="0.39370078740157477" top="0.39370078740157477" bottom="0.39370078740157477" header="0" footer="0"/>
  <pageSetup paperSize="0" scale="0" fitToHeight="0" pageOrder="overThenDown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87</vt:i4>
      </vt:variant>
    </vt:vector>
  </HeadingPairs>
  <TitlesOfParts>
    <vt:vector size="98" baseType="lpstr">
      <vt:lpstr>Table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TDSheet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2022-08-16T07:14:50Z</dcterms:modified>
</cp:coreProperties>
</file>