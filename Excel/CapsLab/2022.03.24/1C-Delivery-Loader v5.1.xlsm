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CapsLab\2022.03.24\"/>
    </mc:Choice>
  </mc:AlternateContent>
  <xr:revisionPtr revIDLastSave="0" documentId="13_ncr:1_{991B8DD6-2DAF-45B3-8BB9-D392D8394609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Форма!$G$1:$AW$119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19" i="42" l="1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A24" i="43" l="1"/>
  <c r="A25" i="43"/>
  <c r="A23" i="43"/>
  <c r="C1" i="43"/>
  <c r="C2" i="43"/>
  <c r="AA1" i="39" a="1"/>
  <c r="T3" i="39" l="1"/>
  <c r="S4" i="39"/>
  <c r="A6" i="39"/>
  <c r="T11" i="39"/>
  <c r="S12" i="39"/>
  <c r="T4" i="39"/>
  <c r="S5" i="39"/>
  <c r="A7" i="39"/>
  <c r="T12" i="39"/>
  <c r="T5" i="39"/>
  <c r="S6" i="39"/>
  <c r="A8" i="39"/>
  <c r="T13" i="39"/>
  <c r="T6" i="39"/>
  <c r="S7" i="39"/>
  <c r="A9" i="39"/>
  <c r="T7" i="39"/>
  <c r="S8" i="39"/>
  <c r="A10" i="39"/>
  <c r="A3" i="39"/>
  <c r="T8" i="39"/>
  <c r="S9" i="39"/>
  <c r="A11" i="39"/>
  <c r="A4" i="39"/>
  <c r="T9" i="39"/>
  <c r="S10" i="39"/>
  <c r="A12" i="39"/>
  <c r="A5" i="39"/>
  <c r="A14" i="39"/>
  <c r="T19" i="39"/>
  <c r="S20" i="39"/>
  <c r="A22" i="39"/>
  <c r="T27" i="39"/>
  <c r="S28" i="39"/>
  <c r="A30" i="39"/>
  <c r="T35" i="39"/>
  <c r="S36" i="39"/>
  <c r="A38" i="39"/>
  <c r="T43" i="39"/>
  <c r="S44" i="39"/>
  <c r="A46" i="39"/>
  <c r="T51" i="39"/>
  <c r="S52" i="39"/>
  <c r="A54" i="39"/>
  <c r="T59" i="39"/>
  <c r="S60" i="39"/>
  <c r="A62" i="39"/>
  <c r="A13" i="39"/>
  <c r="A15" i="39"/>
  <c r="T20" i="39"/>
  <c r="S21" i="39"/>
  <c r="A23" i="39"/>
  <c r="T28" i="39"/>
  <c r="S29" i="39"/>
  <c r="A31" i="39"/>
  <c r="T36" i="39"/>
  <c r="S37" i="39"/>
  <c r="A39" i="39"/>
  <c r="T44" i="39"/>
  <c r="S45" i="39"/>
  <c r="A47" i="39"/>
  <c r="T52" i="39"/>
  <c r="S53" i="39"/>
  <c r="A55" i="39"/>
  <c r="T60" i="39"/>
  <c r="S61" i="39"/>
  <c r="A63" i="39"/>
  <c r="T10" i="39"/>
  <c r="S14" i="39"/>
  <c r="A16" i="39"/>
  <c r="T21" i="39"/>
  <c r="S22" i="39"/>
  <c r="A24" i="39"/>
  <c r="T29" i="39"/>
  <c r="S30" i="39"/>
  <c r="A32" i="39"/>
  <c r="T37" i="39"/>
  <c r="S38" i="39"/>
  <c r="A40" i="39"/>
  <c r="T45" i="39"/>
  <c r="S46" i="39"/>
  <c r="A48" i="39"/>
  <c r="T53" i="39"/>
  <c r="S54" i="39"/>
  <c r="A56" i="39"/>
  <c r="T61" i="39"/>
  <c r="S62" i="39"/>
  <c r="S3" i="39"/>
  <c r="S13" i="39"/>
  <c r="T15" i="39"/>
  <c r="S16" i="39"/>
  <c r="A18" i="39"/>
  <c r="T23" i="39"/>
  <c r="S24" i="39"/>
  <c r="A26" i="39"/>
  <c r="T31" i="39"/>
  <c r="S32" i="39"/>
  <c r="A34" i="39"/>
  <c r="T39" i="39"/>
  <c r="S40" i="39"/>
  <c r="A42" i="39"/>
  <c r="T47" i="39"/>
  <c r="S48" i="39"/>
  <c r="A50" i="39"/>
  <c r="T55" i="39"/>
  <c r="S56" i="39"/>
  <c r="A58" i="39"/>
  <c r="S11" i="39"/>
  <c r="T16" i="39"/>
  <c r="S17" i="39"/>
  <c r="A19" i="39"/>
  <c r="T24" i="39"/>
  <c r="S25" i="39"/>
  <c r="A27" i="39"/>
  <c r="T32" i="39"/>
  <c r="S33" i="39"/>
  <c r="A35" i="39"/>
  <c r="T40" i="39"/>
  <c r="S41" i="39"/>
  <c r="A43" i="39"/>
  <c r="T48" i="39"/>
  <c r="S49" i="39"/>
  <c r="A51" i="39"/>
  <c r="T56" i="39"/>
  <c r="S57" i="39"/>
  <c r="A59" i="39"/>
  <c r="S15" i="39"/>
  <c r="A20" i="39"/>
  <c r="T26" i="39"/>
  <c r="A37" i="39"/>
  <c r="T38" i="39"/>
  <c r="A49" i="39"/>
  <c r="S50" i="39"/>
  <c r="T68" i="39"/>
  <c r="S69" i="39"/>
  <c r="S27" i="39"/>
  <c r="T33" i="39"/>
  <c r="S39" i="39"/>
  <c r="A44" i="39"/>
  <c r="T50" i="39"/>
  <c r="A61" i="39"/>
  <c r="A21" i="39"/>
  <c r="T22" i="39"/>
  <c r="A33" i="39"/>
  <c r="S34" i="39"/>
  <c r="S51" i="39"/>
  <c r="T57" i="39"/>
  <c r="A65" i="39"/>
  <c r="T70" i="39"/>
  <c r="T18" i="39"/>
  <c r="A29" i="39"/>
  <c r="T30" i="39"/>
  <c r="A41" i="39"/>
  <c r="S42" i="39"/>
  <c r="S59" i="39"/>
  <c r="T62" i="39"/>
  <c r="S63" i="39"/>
  <c r="T65" i="39"/>
  <c r="S66" i="39"/>
  <c r="A68" i="39"/>
  <c r="S19" i="39"/>
  <c r="T25" i="39"/>
  <c r="S31" i="39"/>
  <c r="A36" i="39"/>
  <c r="T42" i="39"/>
  <c r="A53" i="39"/>
  <c r="T54" i="39"/>
  <c r="T63" i="39"/>
  <c r="T66" i="39"/>
  <c r="S67" i="39"/>
  <c r="A69" i="39"/>
  <c r="T17" i="39"/>
  <c r="S26" i="39"/>
  <c r="S35" i="39"/>
  <c r="A45" i="39"/>
  <c r="S58" i="39"/>
  <c r="A64" i="39"/>
  <c r="S65" i="39"/>
  <c r="S70" i="39"/>
  <c r="S71" i="39"/>
  <c r="A73" i="39"/>
  <c r="T78" i="39"/>
  <c r="S79" i="39"/>
  <c r="A81" i="39"/>
  <c r="T86" i="39"/>
  <c r="S87" i="39"/>
  <c r="A89" i="39"/>
  <c r="T94" i="39"/>
  <c r="S95" i="39"/>
  <c r="A97" i="39"/>
  <c r="T102" i="39"/>
  <c r="S103" i="39"/>
  <c r="A105" i="39"/>
  <c r="T110" i="39"/>
  <c r="S111" i="39"/>
  <c r="A113" i="39"/>
  <c r="T49" i="39"/>
  <c r="A52" i="39"/>
  <c r="T58" i="39"/>
  <c r="T71" i="39"/>
  <c r="S72" i="39"/>
  <c r="A74" i="39"/>
  <c r="T79" i="39"/>
  <c r="S80" i="39"/>
  <c r="A82" i="39"/>
  <c r="T87" i="39"/>
  <c r="S88" i="39"/>
  <c r="A90" i="39"/>
  <c r="T95" i="39"/>
  <c r="S96" i="39"/>
  <c r="A98" i="39"/>
  <c r="T103" i="39"/>
  <c r="S104" i="39"/>
  <c r="A106" i="39"/>
  <c r="A25" i="39"/>
  <c r="S47" i="39"/>
  <c r="A57" i="39"/>
  <c r="A66" i="39"/>
  <c r="T69" i="39"/>
  <c r="T72" i="39"/>
  <c r="S73" i="39"/>
  <c r="A75" i="39"/>
  <c r="T80" i="39"/>
  <c r="S81" i="39"/>
  <c r="A83" i="39"/>
  <c r="T88" i="39"/>
  <c r="S89" i="39"/>
  <c r="A91" i="39"/>
  <c r="T96" i="39"/>
  <c r="S97" i="39"/>
  <c r="A99" i="39"/>
  <c r="T104" i="39"/>
  <c r="S105" i="39"/>
  <c r="A107" i="39"/>
  <c r="S18" i="39"/>
  <c r="A28" i="39"/>
  <c r="T34" i="39"/>
  <c r="S43" i="39"/>
  <c r="A67" i="39"/>
  <c r="T74" i="39"/>
  <c r="S75" i="39"/>
  <c r="A77" i="39"/>
  <c r="T82" i="39"/>
  <c r="S83" i="39"/>
  <c r="A85" i="39"/>
  <c r="T90" i="39"/>
  <c r="S91" i="39"/>
  <c r="A93" i="39"/>
  <c r="T98" i="39"/>
  <c r="S99" i="39"/>
  <c r="A101" i="39"/>
  <c r="T106" i="39"/>
  <c r="S107" i="39"/>
  <c r="A109" i="39"/>
  <c r="S23" i="39"/>
  <c r="T41" i="39"/>
  <c r="A60" i="39"/>
  <c r="S68" i="39"/>
  <c r="A70" i="39"/>
  <c r="T75" i="39"/>
  <c r="S76" i="39"/>
  <c r="A78" i="39"/>
  <c r="T83" i="39"/>
  <c r="S84" i="39"/>
  <c r="A86" i="39"/>
  <c r="T91" i="39"/>
  <c r="S92" i="39"/>
  <c r="A94" i="39"/>
  <c r="T99" i="39"/>
  <c r="S100" i="39"/>
  <c r="A102" i="39"/>
  <c r="T107" i="39"/>
  <c r="S108" i="39"/>
  <c r="A110" i="39"/>
  <c r="S86" i="39"/>
  <c r="T92" i="39"/>
  <c r="S98" i="39"/>
  <c r="A103" i="39"/>
  <c r="S109" i="39"/>
  <c r="T119" i="39"/>
  <c r="S55" i="39"/>
  <c r="T64" i="39"/>
  <c r="S82" i="39"/>
  <c r="A87" i="39"/>
  <c r="T93" i="39"/>
  <c r="S114" i="39"/>
  <c r="A116" i="39"/>
  <c r="A96" i="39"/>
  <c r="S64" i="39"/>
  <c r="A80" i="39"/>
  <c r="T81" i="39"/>
  <c r="A92" i="39"/>
  <c r="S93" i="39"/>
  <c r="T109" i="39"/>
  <c r="T111" i="39"/>
  <c r="A115" i="39"/>
  <c r="T76" i="39"/>
  <c r="A104" i="39"/>
  <c r="T105" i="39"/>
  <c r="T113" i="39"/>
  <c r="S119" i="39"/>
  <c r="A76" i="39"/>
  <c r="S77" i="39"/>
  <c r="S94" i="39"/>
  <c r="T100" i="39"/>
  <c r="S106" i="39"/>
  <c r="A108" i="39"/>
  <c r="A111" i="39"/>
  <c r="S112" i="39"/>
  <c r="A114" i="39"/>
  <c r="T114" i="39"/>
  <c r="S115" i="39"/>
  <c r="A117" i="39"/>
  <c r="S110" i="39"/>
  <c r="A112" i="39"/>
  <c r="T97" i="39"/>
  <c r="T14" i="39"/>
  <c r="T67" i="39"/>
  <c r="A71" i="39"/>
  <c r="T77" i="39"/>
  <c r="A88" i="39"/>
  <c r="T89" i="39"/>
  <c r="A100" i="39"/>
  <c r="S101" i="39"/>
  <c r="T108" i="39"/>
  <c r="T112" i="39"/>
  <c r="T115" i="39"/>
  <c r="S116" i="39"/>
  <c r="A118" i="39"/>
  <c r="T46" i="39"/>
  <c r="A17" i="39"/>
  <c r="S74" i="39"/>
  <c r="A79" i="39"/>
  <c r="T85" i="39"/>
  <c r="T118" i="39"/>
  <c r="S78" i="39"/>
  <c r="T84" i="39"/>
  <c r="S90" i="39"/>
  <c r="A95" i="39"/>
  <c r="T101" i="39"/>
  <c r="T116" i="39"/>
  <c r="S117" i="39"/>
  <c r="A119" i="39"/>
  <c r="A72" i="39"/>
  <c r="T73" i="39"/>
  <c r="A84" i="39"/>
  <c r="S85" i="39"/>
  <c r="S102" i="39"/>
  <c r="S113" i="39"/>
  <c r="T117" i="39"/>
  <c r="S118" i="39"/>
  <c r="AA1" i="39"/>
  <c r="AU72" i="39" l="1"/>
  <c r="B72" i="39"/>
  <c r="AF72" i="39" s="1"/>
  <c r="J72" i="39"/>
  <c r="AN72" i="39" s="1"/>
  <c r="C72" i="39"/>
  <c r="K72" i="39"/>
  <c r="AK72" i="39" s="1"/>
  <c r="D72" i="39"/>
  <c r="AJ72" i="39" s="1"/>
  <c r="L72" i="39"/>
  <c r="AQ72" i="39" s="1"/>
  <c r="F72" i="39"/>
  <c r="AM72" i="39" s="1"/>
  <c r="N72" i="39"/>
  <c r="G72" i="39"/>
  <c r="O72" i="39"/>
  <c r="H72" i="39"/>
  <c r="I72" i="39"/>
  <c r="M72" i="39"/>
  <c r="AS72" i="39" s="1"/>
  <c r="E72" i="39"/>
  <c r="P72" i="39"/>
  <c r="Z72" i="39"/>
  <c r="AP72" i="39" s="1"/>
  <c r="Q72" i="39"/>
  <c r="AC27" i="39"/>
  <c r="AL27" i="39"/>
  <c r="AE27" i="39"/>
  <c r="AU43" i="39"/>
  <c r="D43" i="39"/>
  <c r="AJ43" i="39" s="1"/>
  <c r="L43" i="39"/>
  <c r="AQ43" i="39" s="1"/>
  <c r="E43" i="39"/>
  <c r="M43" i="39"/>
  <c r="AS43" i="39" s="1"/>
  <c r="F43" i="39"/>
  <c r="AM43" i="39" s="1"/>
  <c r="N43" i="39"/>
  <c r="H43" i="39"/>
  <c r="P43" i="39"/>
  <c r="I43" i="39"/>
  <c r="Z43" i="39" s="1"/>
  <c r="AP43" i="39" s="1"/>
  <c r="Q43" i="39"/>
  <c r="B43" i="39"/>
  <c r="AF43" i="39" s="1"/>
  <c r="C43" i="39"/>
  <c r="G43" i="39"/>
  <c r="O43" i="39"/>
  <c r="J43" i="39"/>
  <c r="AN43" i="39" s="1"/>
  <c r="K43" i="39"/>
  <c r="AK43" i="39" s="1"/>
  <c r="AU13" i="39"/>
  <c r="B13" i="39"/>
  <c r="AF13" i="39" s="1"/>
  <c r="J13" i="39"/>
  <c r="AN13" i="39" s="1"/>
  <c r="C13" i="39"/>
  <c r="K13" i="39"/>
  <c r="AK13" i="39" s="1"/>
  <c r="D13" i="39"/>
  <c r="AJ13" i="39" s="1"/>
  <c r="L13" i="39"/>
  <c r="AQ13" i="39" s="1"/>
  <c r="E13" i="39"/>
  <c r="M13" i="39"/>
  <c r="AS13" i="39" s="1"/>
  <c r="F13" i="39"/>
  <c r="AM13" i="39" s="1"/>
  <c r="N13" i="39"/>
  <c r="G13" i="39"/>
  <c r="O13" i="39"/>
  <c r="H13" i="39"/>
  <c r="P13" i="39"/>
  <c r="I13" i="39"/>
  <c r="Z13" i="39" s="1"/>
  <c r="AP13" i="39" s="1"/>
  <c r="Q13" i="39"/>
  <c r="AC44" i="39"/>
  <c r="AL44" i="39"/>
  <c r="AE44" i="39"/>
  <c r="AU22" i="39"/>
  <c r="I22" i="39"/>
  <c r="Q22" i="39"/>
  <c r="Z22" i="39"/>
  <c r="AP22" i="39" s="1"/>
  <c r="B22" i="39"/>
  <c r="AF22" i="39" s="1"/>
  <c r="J22" i="39"/>
  <c r="AN22" i="39" s="1"/>
  <c r="C22" i="39"/>
  <c r="K22" i="39"/>
  <c r="AK22" i="39" s="1"/>
  <c r="E22" i="39"/>
  <c r="M22" i="39"/>
  <c r="AS22" i="39" s="1"/>
  <c r="F22" i="39"/>
  <c r="AM22" i="39" s="1"/>
  <c r="N22" i="39"/>
  <c r="O22" i="39"/>
  <c r="P22" i="39"/>
  <c r="G22" i="39"/>
  <c r="H22" i="39"/>
  <c r="D22" i="39"/>
  <c r="AJ22" i="39" s="1"/>
  <c r="L22" i="39"/>
  <c r="AQ22" i="39" s="1"/>
  <c r="AU4" i="39"/>
  <c r="C4" i="39"/>
  <c r="K4" i="39"/>
  <c r="AK4" i="39" s="1"/>
  <c r="D4" i="39"/>
  <c r="AJ4" i="39" s="1"/>
  <c r="L4" i="39"/>
  <c r="AQ4" i="39" s="1"/>
  <c r="E4" i="39"/>
  <c r="M4" i="39"/>
  <c r="AS4" i="39" s="1"/>
  <c r="F4" i="39"/>
  <c r="AM4" i="39" s="1"/>
  <c r="N4" i="39"/>
  <c r="G4" i="39"/>
  <c r="O4" i="39"/>
  <c r="H4" i="39"/>
  <c r="P4" i="39"/>
  <c r="I4" i="39"/>
  <c r="Z4" i="39" s="1"/>
  <c r="AP4" i="39" s="1"/>
  <c r="Q4" i="39"/>
  <c r="B4" i="39"/>
  <c r="AF4" i="39" s="1"/>
  <c r="J4" i="39"/>
  <c r="AN4" i="39" s="1"/>
  <c r="AU9" i="39"/>
  <c r="F9" i="39"/>
  <c r="AM9" i="39" s="1"/>
  <c r="N9" i="39"/>
  <c r="G9" i="39"/>
  <c r="O9" i="39"/>
  <c r="H9" i="39"/>
  <c r="P9" i="39"/>
  <c r="I9" i="39"/>
  <c r="Q9" i="39"/>
  <c r="Z9" i="39"/>
  <c r="AP9" i="39" s="1"/>
  <c r="B9" i="39"/>
  <c r="AF9" i="39" s="1"/>
  <c r="J9" i="39"/>
  <c r="AN9" i="39" s="1"/>
  <c r="C9" i="39"/>
  <c r="K9" i="39"/>
  <c r="AK9" i="39" s="1"/>
  <c r="D9" i="39"/>
  <c r="AJ9" i="39" s="1"/>
  <c r="L9" i="39"/>
  <c r="AQ9" i="39" s="1"/>
  <c r="E9" i="39"/>
  <c r="M9" i="39"/>
  <c r="AS9" i="39" s="1"/>
  <c r="AU7" i="39"/>
  <c r="H7" i="39"/>
  <c r="P7" i="39"/>
  <c r="I7" i="39"/>
  <c r="Q7" i="39"/>
  <c r="Z7" i="39"/>
  <c r="AP7" i="39" s="1"/>
  <c r="B7" i="39"/>
  <c r="AF7" i="39" s="1"/>
  <c r="J7" i="39"/>
  <c r="AN7" i="39" s="1"/>
  <c r="C7" i="39"/>
  <c r="K7" i="39"/>
  <c r="AK7" i="39" s="1"/>
  <c r="D7" i="39"/>
  <c r="AJ7" i="39" s="1"/>
  <c r="L7" i="39"/>
  <c r="AQ7" i="39" s="1"/>
  <c r="E7" i="39"/>
  <c r="M7" i="39"/>
  <c r="AS7" i="39" s="1"/>
  <c r="F7" i="39"/>
  <c r="AM7" i="39" s="1"/>
  <c r="N7" i="39"/>
  <c r="O7" i="39"/>
  <c r="G7" i="39"/>
  <c r="AC118" i="39"/>
  <c r="AL118" i="39"/>
  <c r="AE118" i="39"/>
  <c r="AU119" i="39"/>
  <c r="C119" i="39"/>
  <c r="D119" i="39"/>
  <c r="AJ119" i="39" s="1"/>
  <c r="L119" i="39"/>
  <c r="AQ119" i="39" s="1"/>
  <c r="E119" i="39"/>
  <c r="N119" i="39"/>
  <c r="M119" i="39"/>
  <c r="AS119" i="39" s="1"/>
  <c r="F119" i="39"/>
  <c r="AM119" i="39" s="1"/>
  <c r="G119" i="39"/>
  <c r="O119" i="39"/>
  <c r="K119" i="39"/>
  <c r="AK119" i="39" s="1"/>
  <c r="H119" i="39"/>
  <c r="P119" i="39"/>
  <c r="J119" i="39"/>
  <c r="AN119" i="39" s="1"/>
  <c r="I119" i="39"/>
  <c r="Q119" i="39"/>
  <c r="Z119" i="39"/>
  <c r="AP119" i="39" s="1"/>
  <c r="B119" i="39"/>
  <c r="AF119" i="39" s="1"/>
  <c r="AU71" i="39"/>
  <c r="C71" i="39"/>
  <c r="K71" i="39"/>
  <c r="AK71" i="39" s="1"/>
  <c r="D71" i="39"/>
  <c r="AJ71" i="39" s="1"/>
  <c r="L71" i="39"/>
  <c r="AQ71" i="39" s="1"/>
  <c r="E71" i="39"/>
  <c r="M71" i="39"/>
  <c r="AS71" i="39" s="1"/>
  <c r="G71" i="39"/>
  <c r="O71" i="39"/>
  <c r="H71" i="39"/>
  <c r="P71" i="39"/>
  <c r="J71" i="39"/>
  <c r="AN71" i="39" s="1"/>
  <c r="I71" i="39"/>
  <c r="N71" i="39"/>
  <c r="Q71" i="39"/>
  <c r="B71" i="39"/>
  <c r="AF71" i="39" s="1"/>
  <c r="Z71" i="39"/>
  <c r="AP71" i="39" s="1"/>
  <c r="F71" i="39"/>
  <c r="AM71" i="39" s="1"/>
  <c r="AE77" i="39"/>
  <c r="AC77" i="39"/>
  <c r="AL77" i="39"/>
  <c r="AU116" i="39"/>
  <c r="G116" i="39"/>
  <c r="O116" i="39"/>
  <c r="P116" i="39"/>
  <c r="Z116" i="39"/>
  <c r="AP116" i="39" s="1"/>
  <c r="N116" i="39"/>
  <c r="H116" i="39"/>
  <c r="I116" i="39"/>
  <c r="Q116" i="39"/>
  <c r="B116" i="39"/>
  <c r="AF116" i="39" s="1"/>
  <c r="J116" i="39"/>
  <c r="AN116" i="39" s="1"/>
  <c r="M116" i="39"/>
  <c r="AS116" i="39" s="1"/>
  <c r="F116" i="39"/>
  <c r="AM116" i="39" s="1"/>
  <c r="C116" i="39"/>
  <c r="K116" i="39"/>
  <c r="AK116" i="39" s="1"/>
  <c r="D116" i="39"/>
  <c r="AJ116" i="39" s="1"/>
  <c r="L116" i="39"/>
  <c r="AQ116" i="39" s="1"/>
  <c r="E116" i="39"/>
  <c r="AE109" i="39"/>
  <c r="AC109" i="39"/>
  <c r="AL109" i="39"/>
  <c r="AU102" i="39"/>
  <c r="D102" i="39"/>
  <c r="AJ102" i="39" s="1"/>
  <c r="L102" i="39"/>
  <c r="AQ102" i="39" s="1"/>
  <c r="E102" i="39"/>
  <c r="M102" i="39"/>
  <c r="AS102" i="39" s="1"/>
  <c r="F102" i="39"/>
  <c r="AM102" i="39" s="1"/>
  <c r="N102" i="39"/>
  <c r="H102" i="39"/>
  <c r="P102" i="39"/>
  <c r="I102" i="39"/>
  <c r="Q102" i="39"/>
  <c r="Z102" i="39"/>
  <c r="AP102" i="39" s="1"/>
  <c r="C102" i="39"/>
  <c r="G102" i="39"/>
  <c r="J102" i="39"/>
  <c r="AN102" i="39" s="1"/>
  <c r="K102" i="39"/>
  <c r="AK102" i="39" s="1"/>
  <c r="O102" i="39"/>
  <c r="B102" i="39"/>
  <c r="AF102" i="39" s="1"/>
  <c r="AC23" i="39"/>
  <c r="AL23" i="39"/>
  <c r="AE23" i="39"/>
  <c r="AC91" i="39"/>
  <c r="AL91" i="39"/>
  <c r="AE91" i="39"/>
  <c r="AU67" i="39"/>
  <c r="E67" i="39"/>
  <c r="M67" i="39"/>
  <c r="AS67" i="39" s="1"/>
  <c r="F67" i="39"/>
  <c r="AM67" i="39" s="1"/>
  <c r="N67" i="39"/>
  <c r="G67" i="39"/>
  <c r="O67" i="39"/>
  <c r="B67" i="39"/>
  <c r="AF67" i="39" s="1"/>
  <c r="J67" i="39"/>
  <c r="AN67" i="39" s="1"/>
  <c r="C67" i="39"/>
  <c r="K67" i="39"/>
  <c r="AK67" i="39" s="1"/>
  <c r="L67" i="39"/>
  <c r="AQ67" i="39" s="1"/>
  <c r="P67" i="39"/>
  <c r="Q67" i="39"/>
  <c r="D67" i="39"/>
  <c r="AJ67" i="39" s="1"/>
  <c r="Z67" i="39"/>
  <c r="AP67" i="39" s="1"/>
  <c r="H67" i="39"/>
  <c r="I67" i="39"/>
  <c r="AU99" i="39"/>
  <c r="G99" i="39"/>
  <c r="O99" i="39"/>
  <c r="H99" i="39"/>
  <c r="P99" i="39"/>
  <c r="I99" i="39"/>
  <c r="Q99" i="39"/>
  <c r="Z99" i="39"/>
  <c r="AP99" i="39" s="1"/>
  <c r="C99" i="39"/>
  <c r="K99" i="39"/>
  <c r="AK99" i="39" s="1"/>
  <c r="D99" i="39"/>
  <c r="AJ99" i="39" s="1"/>
  <c r="L99" i="39"/>
  <c r="AQ99" i="39" s="1"/>
  <c r="N99" i="39"/>
  <c r="B99" i="39"/>
  <c r="AF99" i="39" s="1"/>
  <c r="E99" i="39"/>
  <c r="F99" i="39"/>
  <c r="AM99" i="39" s="1"/>
  <c r="J99" i="39"/>
  <c r="AN99" i="39" s="1"/>
  <c r="M99" i="39"/>
  <c r="AS99" i="39" s="1"/>
  <c r="AU25" i="39"/>
  <c r="F25" i="39"/>
  <c r="AM25" i="39" s="1"/>
  <c r="N25" i="39"/>
  <c r="G25" i="39"/>
  <c r="O25" i="39"/>
  <c r="H25" i="39"/>
  <c r="P25" i="39"/>
  <c r="B25" i="39"/>
  <c r="AF25" i="39" s="1"/>
  <c r="J25" i="39"/>
  <c r="AN25" i="39" s="1"/>
  <c r="C25" i="39"/>
  <c r="K25" i="39"/>
  <c r="AK25" i="39" s="1"/>
  <c r="D25" i="39"/>
  <c r="AJ25" i="39" s="1"/>
  <c r="E25" i="39"/>
  <c r="I25" i="39"/>
  <c r="Q25" i="39"/>
  <c r="M25" i="39"/>
  <c r="AS25" i="39" s="1"/>
  <c r="L25" i="39"/>
  <c r="AQ25" i="39" s="1"/>
  <c r="AE88" i="39"/>
  <c r="AL88" i="39"/>
  <c r="AC88" i="39"/>
  <c r="AC79" i="39"/>
  <c r="AL79" i="39"/>
  <c r="AE79" i="39"/>
  <c r="AU45" i="39"/>
  <c r="B45" i="39"/>
  <c r="AF45" i="39" s="1"/>
  <c r="J45" i="39"/>
  <c r="AN45" i="39" s="1"/>
  <c r="C45" i="39"/>
  <c r="K45" i="39"/>
  <c r="AK45" i="39" s="1"/>
  <c r="D45" i="39"/>
  <c r="AJ45" i="39" s="1"/>
  <c r="L45" i="39"/>
  <c r="AQ45" i="39" s="1"/>
  <c r="F45" i="39"/>
  <c r="AM45" i="39" s="1"/>
  <c r="N45" i="39"/>
  <c r="G45" i="39"/>
  <c r="O45" i="39"/>
  <c r="P45" i="39"/>
  <c r="Q45" i="39"/>
  <c r="H45" i="39"/>
  <c r="I45" i="39"/>
  <c r="E45" i="39"/>
  <c r="M45" i="39"/>
  <c r="AS45" i="39" s="1"/>
  <c r="Z45" i="39"/>
  <c r="AP45" i="39" s="1"/>
  <c r="AC66" i="39"/>
  <c r="AL66" i="39"/>
  <c r="AE66" i="39"/>
  <c r="AU29" i="39"/>
  <c r="B29" i="39"/>
  <c r="AF29" i="39" s="1"/>
  <c r="J29" i="39"/>
  <c r="AN29" i="39" s="1"/>
  <c r="C29" i="39"/>
  <c r="K29" i="39"/>
  <c r="AK29" i="39" s="1"/>
  <c r="D29" i="39"/>
  <c r="AJ29" i="39" s="1"/>
  <c r="L29" i="39"/>
  <c r="AQ29" i="39" s="1"/>
  <c r="F29" i="39"/>
  <c r="AM29" i="39" s="1"/>
  <c r="N29" i="39"/>
  <c r="G29" i="39"/>
  <c r="O29" i="39"/>
  <c r="I29" i="39"/>
  <c r="M29" i="39"/>
  <c r="AS29" i="39" s="1"/>
  <c r="P29" i="39"/>
  <c r="E29" i="39"/>
  <c r="H29" i="39"/>
  <c r="Q29" i="39"/>
  <c r="AE69" i="39"/>
  <c r="AC69" i="39"/>
  <c r="AL69" i="39"/>
  <c r="AC15" i="39"/>
  <c r="AL15" i="39"/>
  <c r="AE15" i="39"/>
  <c r="AC41" i="39"/>
  <c r="AL41" i="39"/>
  <c r="AE41" i="39"/>
  <c r="AU19" i="39"/>
  <c r="D19" i="39"/>
  <c r="AJ19" i="39" s="1"/>
  <c r="L19" i="39"/>
  <c r="AQ19" i="39" s="1"/>
  <c r="E19" i="39"/>
  <c r="M19" i="39"/>
  <c r="AS19" i="39" s="1"/>
  <c r="F19" i="39"/>
  <c r="AM19" i="39" s="1"/>
  <c r="N19" i="39"/>
  <c r="H19" i="39"/>
  <c r="P19" i="39"/>
  <c r="I19" i="39"/>
  <c r="Z19" i="39" s="1"/>
  <c r="AP19" i="39" s="1"/>
  <c r="Q19" i="39"/>
  <c r="C19" i="39"/>
  <c r="G19" i="39"/>
  <c r="J19" i="39"/>
  <c r="AN19" i="39" s="1"/>
  <c r="B19" i="39"/>
  <c r="AF19" i="39" s="1"/>
  <c r="K19" i="39"/>
  <c r="AK19" i="39" s="1"/>
  <c r="O19" i="39"/>
  <c r="AC48" i="39"/>
  <c r="AL48" i="39"/>
  <c r="AE48" i="39"/>
  <c r="AU26" i="39"/>
  <c r="E26" i="39"/>
  <c r="M26" i="39"/>
  <c r="AS26" i="39" s="1"/>
  <c r="F26" i="39"/>
  <c r="AM26" i="39" s="1"/>
  <c r="N26" i="39"/>
  <c r="G26" i="39"/>
  <c r="O26" i="39"/>
  <c r="I26" i="39"/>
  <c r="Z26" i="39" s="1"/>
  <c r="AP26" i="39" s="1"/>
  <c r="Q26" i="39"/>
  <c r="B26" i="39"/>
  <c r="AF26" i="39" s="1"/>
  <c r="J26" i="39"/>
  <c r="AN26" i="39" s="1"/>
  <c r="C26" i="39"/>
  <c r="D26" i="39"/>
  <c r="AJ26" i="39" s="1"/>
  <c r="L26" i="39"/>
  <c r="AQ26" i="39" s="1"/>
  <c r="P26" i="39"/>
  <c r="H26" i="39"/>
  <c r="K26" i="39"/>
  <c r="AK26" i="39" s="1"/>
  <c r="AC62" i="39"/>
  <c r="AL62" i="39"/>
  <c r="AE62" i="39"/>
  <c r="AU40" i="39"/>
  <c r="G40" i="39"/>
  <c r="O40" i="39"/>
  <c r="H40" i="39"/>
  <c r="P40" i="39"/>
  <c r="I40" i="39"/>
  <c r="Z40" i="39" s="1"/>
  <c r="AP40" i="39" s="1"/>
  <c r="Q40" i="39"/>
  <c r="C40" i="39"/>
  <c r="K40" i="39"/>
  <c r="AK40" i="39" s="1"/>
  <c r="D40" i="39"/>
  <c r="AJ40" i="39" s="1"/>
  <c r="L40" i="39"/>
  <c r="AQ40" i="39" s="1"/>
  <c r="M40" i="39"/>
  <c r="AS40" i="39" s="1"/>
  <c r="N40" i="39"/>
  <c r="E40" i="39"/>
  <c r="F40" i="39"/>
  <c r="AM40" i="39" s="1"/>
  <c r="J40" i="39"/>
  <c r="AN40" i="39" s="1"/>
  <c r="B40" i="39"/>
  <c r="AF40" i="39" s="1"/>
  <c r="AE53" i="39"/>
  <c r="AL53" i="39"/>
  <c r="AC53" i="39"/>
  <c r="AU31" i="39"/>
  <c r="H31" i="39"/>
  <c r="P31" i="39"/>
  <c r="I31" i="39"/>
  <c r="Z31" i="39" s="1"/>
  <c r="AP31" i="39" s="1"/>
  <c r="Q31" i="39"/>
  <c r="B31" i="39"/>
  <c r="AF31" i="39" s="1"/>
  <c r="J31" i="39"/>
  <c r="AN31" i="39" s="1"/>
  <c r="D31" i="39"/>
  <c r="AJ31" i="39" s="1"/>
  <c r="L31" i="39"/>
  <c r="AQ31" i="39" s="1"/>
  <c r="E31" i="39"/>
  <c r="M31" i="39"/>
  <c r="AS31" i="39" s="1"/>
  <c r="C31" i="39"/>
  <c r="F31" i="39"/>
  <c r="AM31" i="39" s="1"/>
  <c r="G31" i="39"/>
  <c r="O31" i="39"/>
  <c r="K31" i="39"/>
  <c r="AK31" i="39" s="1"/>
  <c r="N31" i="39"/>
  <c r="AU62" i="39"/>
  <c r="I62" i="39"/>
  <c r="Z62" i="39" s="1"/>
  <c r="AP62" i="39" s="1"/>
  <c r="Q62" i="39"/>
  <c r="B62" i="39"/>
  <c r="AF62" i="39" s="1"/>
  <c r="J62" i="39"/>
  <c r="AN62" i="39" s="1"/>
  <c r="C62" i="39"/>
  <c r="K62" i="39"/>
  <c r="AK62" i="39" s="1"/>
  <c r="E62" i="39"/>
  <c r="M62" i="39"/>
  <c r="AS62" i="39" s="1"/>
  <c r="H62" i="39"/>
  <c r="L62" i="39"/>
  <c r="AQ62" i="39" s="1"/>
  <c r="N62" i="39"/>
  <c r="D62" i="39"/>
  <c r="AJ62" i="39" s="1"/>
  <c r="F62" i="39"/>
  <c r="AM62" i="39" s="1"/>
  <c r="P62" i="39"/>
  <c r="G62" i="39"/>
  <c r="O62" i="39"/>
  <c r="AE20" i="39"/>
  <c r="AC20" i="39"/>
  <c r="AL20" i="39"/>
  <c r="AU11" i="39"/>
  <c r="D11" i="39"/>
  <c r="AJ11" i="39" s="1"/>
  <c r="L11" i="39"/>
  <c r="AQ11" i="39" s="1"/>
  <c r="E11" i="39"/>
  <c r="M11" i="39"/>
  <c r="AS11" i="39" s="1"/>
  <c r="F11" i="39"/>
  <c r="AM11" i="39" s="1"/>
  <c r="N11" i="39"/>
  <c r="G11" i="39"/>
  <c r="O11" i="39"/>
  <c r="H11" i="39"/>
  <c r="P11" i="39"/>
  <c r="I11" i="39"/>
  <c r="Z11" i="39" s="1"/>
  <c r="AP11" i="39" s="1"/>
  <c r="Q11" i="39"/>
  <c r="B11" i="39"/>
  <c r="AF11" i="39" s="1"/>
  <c r="J11" i="39"/>
  <c r="AN11" i="39" s="1"/>
  <c r="K11" i="39"/>
  <c r="AK11" i="39" s="1"/>
  <c r="C11" i="39"/>
  <c r="AC7" i="39"/>
  <c r="AL7" i="39"/>
  <c r="AE7" i="39"/>
  <c r="AC5" i="39"/>
  <c r="AL5" i="39"/>
  <c r="AE5" i="39"/>
  <c r="AC78" i="39"/>
  <c r="AL78" i="39"/>
  <c r="AE78" i="39"/>
  <c r="AC115" i="39"/>
  <c r="AL115" i="39"/>
  <c r="AE115" i="39"/>
  <c r="AU115" i="39"/>
  <c r="O115" i="39"/>
  <c r="H115" i="39"/>
  <c r="P115" i="39"/>
  <c r="Z115" i="39"/>
  <c r="AP115" i="39" s="1"/>
  <c r="B115" i="39"/>
  <c r="AF115" i="39" s="1"/>
  <c r="I115" i="39"/>
  <c r="Q115" i="39"/>
  <c r="J115" i="39"/>
  <c r="AN115" i="39" s="1"/>
  <c r="C115" i="39"/>
  <c r="K115" i="39"/>
  <c r="AK115" i="39" s="1"/>
  <c r="N115" i="39"/>
  <c r="D115" i="39"/>
  <c r="AJ115" i="39" s="1"/>
  <c r="L115" i="39"/>
  <c r="AQ115" i="39" s="1"/>
  <c r="F115" i="39"/>
  <c r="AM115" i="39" s="1"/>
  <c r="E115" i="39"/>
  <c r="M115" i="39"/>
  <c r="AS115" i="39" s="1"/>
  <c r="G115" i="39"/>
  <c r="AU20" i="39"/>
  <c r="C20" i="39"/>
  <c r="K20" i="39"/>
  <c r="AK20" i="39" s="1"/>
  <c r="D20" i="39"/>
  <c r="AJ20" i="39" s="1"/>
  <c r="L20" i="39"/>
  <c r="AQ20" i="39" s="1"/>
  <c r="E20" i="39"/>
  <c r="M20" i="39"/>
  <c r="AS20" i="39" s="1"/>
  <c r="G20" i="39"/>
  <c r="O20" i="39"/>
  <c r="H20" i="39"/>
  <c r="P20" i="39"/>
  <c r="B20" i="39"/>
  <c r="AF20" i="39" s="1"/>
  <c r="F20" i="39"/>
  <c r="AM20" i="39" s="1"/>
  <c r="N20" i="39"/>
  <c r="Q20" i="39"/>
  <c r="I20" i="39"/>
  <c r="Z20" i="39" s="1"/>
  <c r="AP20" i="39" s="1"/>
  <c r="J20" i="39"/>
  <c r="AN20" i="39" s="1"/>
  <c r="AU114" i="39"/>
  <c r="H114" i="39"/>
  <c r="D114" i="39"/>
  <c r="AJ114" i="39" s="1"/>
  <c r="L114" i="39"/>
  <c r="AQ114" i="39" s="1"/>
  <c r="G114" i="39"/>
  <c r="Q114" i="39"/>
  <c r="Z114" i="39"/>
  <c r="AP114" i="39" s="1"/>
  <c r="F114" i="39"/>
  <c r="AM114" i="39" s="1"/>
  <c r="I114" i="39"/>
  <c r="J114" i="39"/>
  <c r="AN114" i="39" s="1"/>
  <c r="K114" i="39"/>
  <c r="AK114" i="39" s="1"/>
  <c r="O114" i="39"/>
  <c r="B114" i="39"/>
  <c r="AF114" i="39" s="1"/>
  <c r="M114" i="39"/>
  <c r="AS114" i="39" s="1"/>
  <c r="E114" i="39"/>
  <c r="P114" i="39"/>
  <c r="C114" i="39"/>
  <c r="N114" i="39"/>
  <c r="AU76" i="39"/>
  <c r="F76" i="39"/>
  <c r="AM76" i="39" s="1"/>
  <c r="N76" i="39"/>
  <c r="G76" i="39"/>
  <c r="O76" i="39"/>
  <c r="H76" i="39"/>
  <c r="P76" i="39"/>
  <c r="B76" i="39"/>
  <c r="AF76" i="39" s="1"/>
  <c r="J76" i="39"/>
  <c r="AN76" i="39" s="1"/>
  <c r="C76" i="39"/>
  <c r="K76" i="39"/>
  <c r="AK76" i="39" s="1"/>
  <c r="M76" i="39"/>
  <c r="AS76" i="39" s="1"/>
  <c r="Q76" i="39"/>
  <c r="D76" i="39"/>
  <c r="AJ76" i="39" s="1"/>
  <c r="L76" i="39"/>
  <c r="AQ76" i="39" s="1"/>
  <c r="E76" i="39"/>
  <c r="I76" i="39"/>
  <c r="Z76" i="39" s="1"/>
  <c r="AP76" i="39" s="1"/>
  <c r="AC114" i="39"/>
  <c r="AL114" i="39"/>
  <c r="AE114" i="39"/>
  <c r="AU103" i="39"/>
  <c r="C103" i="39"/>
  <c r="K103" i="39"/>
  <c r="AK103" i="39" s="1"/>
  <c r="D103" i="39"/>
  <c r="AJ103" i="39" s="1"/>
  <c r="L103" i="39"/>
  <c r="AQ103" i="39" s="1"/>
  <c r="E103" i="39"/>
  <c r="M103" i="39"/>
  <c r="AS103" i="39" s="1"/>
  <c r="G103" i="39"/>
  <c r="O103" i="39"/>
  <c r="H103" i="39"/>
  <c r="P103" i="39"/>
  <c r="F103" i="39"/>
  <c r="AM103" i="39" s="1"/>
  <c r="B103" i="39"/>
  <c r="AF103" i="39" s="1"/>
  <c r="Z103" i="39"/>
  <c r="AP103" i="39" s="1"/>
  <c r="I103" i="39"/>
  <c r="Q103" i="39"/>
  <c r="J103" i="39"/>
  <c r="AN103" i="39" s="1"/>
  <c r="N103" i="39"/>
  <c r="AC100" i="39"/>
  <c r="AL100" i="39"/>
  <c r="AE100" i="39"/>
  <c r="AU78" i="39"/>
  <c r="D78" i="39"/>
  <c r="AJ78" i="39" s="1"/>
  <c r="L78" i="39"/>
  <c r="AQ78" i="39" s="1"/>
  <c r="E78" i="39"/>
  <c r="M78" i="39"/>
  <c r="AS78" i="39" s="1"/>
  <c r="F78" i="39"/>
  <c r="AM78" i="39" s="1"/>
  <c r="N78" i="39"/>
  <c r="H78" i="39"/>
  <c r="P78" i="39"/>
  <c r="I78" i="39"/>
  <c r="Q78" i="39"/>
  <c r="Z78" i="39"/>
  <c r="AP78" i="39" s="1"/>
  <c r="C78" i="39"/>
  <c r="G78" i="39"/>
  <c r="J78" i="39"/>
  <c r="AN78" i="39" s="1"/>
  <c r="K78" i="39"/>
  <c r="AK78" i="39" s="1"/>
  <c r="O78" i="39"/>
  <c r="B78" i="39"/>
  <c r="AF78" i="39" s="1"/>
  <c r="AU109" i="39"/>
  <c r="E109" i="39"/>
  <c r="M109" i="39"/>
  <c r="AS109" i="39" s="1"/>
  <c r="G109" i="39"/>
  <c r="O109" i="39"/>
  <c r="I109" i="39"/>
  <c r="Q109" i="39"/>
  <c r="Z109" i="39"/>
  <c r="AP109" i="39" s="1"/>
  <c r="B109" i="39"/>
  <c r="AF109" i="39" s="1"/>
  <c r="J109" i="39"/>
  <c r="AN109" i="39" s="1"/>
  <c r="C109" i="39"/>
  <c r="D109" i="39"/>
  <c r="AJ109" i="39" s="1"/>
  <c r="F109" i="39"/>
  <c r="AM109" i="39" s="1"/>
  <c r="H109" i="39"/>
  <c r="K109" i="39"/>
  <c r="AK109" i="39" s="1"/>
  <c r="P109" i="39"/>
  <c r="L109" i="39"/>
  <c r="AQ109" i="39" s="1"/>
  <c r="N109" i="39"/>
  <c r="AC43" i="39"/>
  <c r="AL43" i="39"/>
  <c r="AE43" i="39"/>
  <c r="AC97" i="39"/>
  <c r="AL97" i="39"/>
  <c r="AE97" i="39"/>
  <c r="AU75" i="39"/>
  <c r="G75" i="39"/>
  <c r="O75" i="39"/>
  <c r="H75" i="39"/>
  <c r="P75" i="39"/>
  <c r="I75" i="39"/>
  <c r="Z75" i="39" s="1"/>
  <c r="AP75" i="39" s="1"/>
  <c r="Q75" i="39"/>
  <c r="C75" i="39"/>
  <c r="K75" i="39"/>
  <c r="AK75" i="39" s="1"/>
  <c r="D75" i="39"/>
  <c r="AJ75" i="39" s="1"/>
  <c r="L75" i="39"/>
  <c r="AQ75" i="39" s="1"/>
  <c r="B75" i="39"/>
  <c r="AF75" i="39" s="1"/>
  <c r="E75" i="39"/>
  <c r="N75" i="39"/>
  <c r="F75" i="39"/>
  <c r="AM75" i="39" s="1"/>
  <c r="J75" i="39"/>
  <c r="AN75" i="39" s="1"/>
  <c r="M75" i="39"/>
  <c r="AS75" i="39" s="1"/>
  <c r="AU106" i="39"/>
  <c r="H106" i="39"/>
  <c r="P106" i="39"/>
  <c r="I106" i="39"/>
  <c r="Q106" i="39"/>
  <c r="B106" i="39"/>
  <c r="AF106" i="39" s="1"/>
  <c r="J106" i="39"/>
  <c r="AN106" i="39" s="1"/>
  <c r="D106" i="39"/>
  <c r="AJ106" i="39" s="1"/>
  <c r="L106" i="39"/>
  <c r="AQ106" i="39" s="1"/>
  <c r="E106" i="39"/>
  <c r="M106" i="39"/>
  <c r="AS106" i="39" s="1"/>
  <c r="K106" i="39"/>
  <c r="AK106" i="39" s="1"/>
  <c r="O106" i="39"/>
  <c r="N106" i="39"/>
  <c r="Z106" i="39"/>
  <c r="AP106" i="39" s="1"/>
  <c r="G106" i="39"/>
  <c r="F106" i="39"/>
  <c r="AM106" i="39" s="1"/>
  <c r="C106" i="39"/>
  <c r="AU52" i="39"/>
  <c r="C52" i="39"/>
  <c r="K52" i="39"/>
  <c r="AK52" i="39" s="1"/>
  <c r="D52" i="39"/>
  <c r="AJ52" i="39" s="1"/>
  <c r="L52" i="39"/>
  <c r="AQ52" i="39" s="1"/>
  <c r="E52" i="39"/>
  <c r="M52" i="39"/>
  <c r="AS52" i="39" s="1"/>
  <c r="G52" i="39"/>
  <c r="O52" i="39"/>
  <c r="H52" i="39"/>
  <c r="P52" i="39"/>
  <c r="J52" i="39"/>
  <c r="AN52" i="39" s="1"/>
  <c r="N52" i="39"/>
  <c r="Q52" i="39"/>
  <c r="B52" i="39"/>
  <c r="AF52" i="39" s="1"/>
  <c r="F52" i="39"/>
  <c r="AM52" i="39" s="1"/>
  <c r="I52" i="39"/>
  <c r="Z52" i="39" s="1"/>
  <c r="AP52" i="39" s="1"/>
  <c r="AU97" i="39"/>
  <c r="I97" i="39"/>
  <c r="Q97" i="39"/>
  <c r="Z97" i="39"/>
  <c r="AP97" i="39" s="1"/>
  <c r="B97" i="39"/>
  <c r="AF97" i="39" s="1"/>
  <c r="J97" i="39"/>
  <c r="AN97" i="39" s="1"/>
  <c r="C97" i="39"/>
  <c r="K97" i="39"/>
  <c r="AK97" i="39" s="1"/>
  <c r="E97" i="39"/>
  <c r="M97" i="39"/>
  <c r="AS97" i="39" s="1"/>
  <c r="F97" i="39"/>
  <c r="AM97" i="39" s="1"/>
  <c r="N97" i="39"/>
  <c r="D97" i="39"/>
  <c r="AJ97" i="39" s="1"/>
  <c r="G97" i="39"/>
  <c r="H97" i="39"/>
  <c r="L97" i="39"/>
  <c r="AQ97" i="39" s="1"/>
  <c r="P97" i="39"/>
  <c r="O97" i="39"/>
  <c r="AE35" i="39"/>
  <c r="AC35" i="39"/>
  <c r="AL35" i="39"/>
  <c r="AU53" i="39"/>
  <c r="B53" i="39"/>
  <c r="AF53" i="39" s="1"/>
  <c r="J53" i="39"/>
  <c r="AN53" i="39" s="1"/>
  <c r="C53" i="39"/>
  <c r="K53" i="39"/>
  <c r="AK53" i="39" s="1"/>
  <c r="D53" i="39"/>
  <c r="AJ53" i="39" s="1"/>
  <c r="L53" i="39"/>
  <c r="AQ53" i="39" s="1"/>
  <c r="F53" i="39"/>
  <c r="AM53" i="39" s="1"/>
  <c r="N53" i="39"/>
  <c r="G53" i="39"/>
  <c r="O53" i="39"/>
  <c r="H53" i="39"/>
  <c r="I53" i="39"/>
  <c r="Z53" i="39" s="1"/>
  <c r="AP53" i="39" s="1"/>
  <c r="M53" i="39"/>
  <c r="AS53" i="39" s="1"/>
  <c r="E53" i="39"/>
  <c r="P53" i="39"/>
  <c r="Q53" i="39"/>
  <c r="AU21" i="39"/>
  <c r="B21" i="39"/>
  <c r="AF21" i="39" s="1"/>
  <c r="J21" i="39"/>
  <c r="AN21" i="39" s="1"/>
  <c r="C21" i="39"/>
  <c r="K21" i="39"/>
  <c r="AK21" i="39" s="1"/>
  <c r="D21" i="39"/>
  <c r="AJ21" i="39" s="1"/>
  <c r="L21" i="39"/>
  <c r="AQ21" i="39" s="1"/>
  <c r="F21" i="39"/>
  <c r="AM21" i="39" s="1"/>
  <c r="N21" i="39"/>
  <c r="G21" i="39"/>
  <c r="O21" i="39"/>
  <c r="Q21" i="39"/>
  <c r="I21" i="39"/>
  <c r="M21" i="39"/>
  <c r="AS21" i="39" s="1"/>
  <c r="E21" i="39"/>
  <c r="H21" i="39"/>
  <c r="P21" i="39"/>
  <c r="AU59" i="39"/>
  <c r="D59" i="39"/>
  <c r="AJ59" i="39" s="1"/>
  <c r="L59" i="39"/>
  <c r="AQ59" i="39" s="1"/>
  <c r="E59" i="39"/>
  <c r="M59" i="39"/>
  <c r="AS59" i="39" s="1"/>
  <c r="F59" i="39"/>
  <c r="AM59" i="39" s="1"/>
  <c r="N59" i="39"/>
  <c r="H59" i="39"/>
  <c r="P59" i="39"/>
  <c r="I59" i="39"/>
  <c r="Z59" i="39" s="1"/>
  <c r="AP59" i="39" s="1"/>
  <c r="Q59" i="39"/>
  <c r="G59" i="39"/>
  <c r="J59" i="39"/>
  <c r="AN59" i="39" s="1"/>
  <c r="K59" i="39"/>
  <c r="AK59" i="39" s="1"/>
  <c r="B59" i="39"/>
  <c r="AF59" i="39" s="1"/>
  <c r="C59" i="39"/>
  <c r="O59" i="39"/>
  <c r="AE17" i="39"/>
  <c r="AC17" i="39"/>
  <c r="AL17" i="39"/>
  <c r="AC24" i="39"/>
  <c r="AL24" i="39"/>
  <c r="AE24" i="39"/>
  <c r="AC38" i="39"/>
  <c r="AL38" i="39"/>
  <c r="AE38" i="39"/>
  <c r="AU16" i="39"/>
  <c r="G16" i="39"/>
  <c r="O16" i="39"/>
  <c r="H16" i="39"/>
  <c r="P16" i="39"/>
  <c r="I16" i="39"/>
  <c r="Z16" i="39" s="1"/>
  <c r="AP16" i="39" s="1"/>
  <c r="Q16" i="39"/>
  <c r="C16" i="39"/>
  <c r="K16" i="39"/>
  <c r="AK16" i="39" s="1"/>
  <c r="D16" i="39"/>
  <c r="AJ16" i="39" s="1"/>
  <c r="L16" i="39"/>
  <c r="AQ16" i="39" s="1"/>
  <c r="N16" i="39"/>
  <c r="F16" i="39"/>
  <c r="AM16" i="39" s="1"/>
  <c r="J16" i="39"/>
  <c r="AN16" i="39" s="1"/>
  <c r="B16" i="39"/>
  <c r="AF16" i="39" s="1"/>
  <c r="M16" i="39"/>
  <c r="AS16" i="39" s="1"/>
  <c r="E16" i="39"/>
  <c r="AC29" i="39"/>
  <c r="AL29" i="39"/>
  <c r="AE29" i="39"/>
  <c r="AC60" i="39"/>
  <c r="AL60" i="39"/>
  <c r="AE60" i="39"/>
  <c r="AU38" i="39"/>
  <c r="I38" i="39"/>
  <c r="Z38" i="39" s="1"/>
  <c r="AP38" i="39" s="1"/>
  <c r="Q38" i="39"/>
  <c r="B38" i="39"/>
  <c r="AF38" i="39" s="1"/>
  <c r="J38" i="39"/>
  <c r="AN38" i="39" s="1"/>
  <c r="C38" i="39"/>
  <c r="K38" i="39"/>
  <c r="AK38" i="39" s="1"/>
  <c r="E38" i="39"/>
  <c r="M38" i="39"/>
  <c r="AS38" i="39" s="1"/>
  <c r="F38" i="39"/>
  <c r="AM38" i="39" s="1"/>
  <c r="N38" i="39"/>
  <c r="D38" i="39"/>
  <c r="AJ38" i="39" s="1"/>
  <c r="L38" i="39"/>
  <c r="AQ38" i="39" s="1"/>
  <c r="O38" i="39"/>
  <c r="G38" i="39"/>
  <c r="H38" i="39"/>
  <c r="P38" i="39"/>
  <c r="AE9" i="39"/>
  <c r="AL9" i="39"/>
  <c r="AC9" i="39"/>
  <c r="AC116" i="39"/>
  <c r="AL116" i="39"/>
  <c r="AE116" i="39"/>
  <c r="AC94" i="39"/>
  <c r="AL94" i="39"/>
  <c r="AE94" i="39"/>
  <c r="AU96" i="39"/>
  <c r="B96" i="39"/>
  <c r="AF96" i="39" s="1"/>
  <c r="J96" i="39"/>
  <c r="AN96" i="39" s="1"/>
  <c r="C96" i="39"/>
  <c r="K96" i="39"/>
  <c r="AK96" i="39" s="1"/>
  <c r="D96" i="39"/>
  <c r="AJ96" i="39" s="1"/>
  <c r="L96" i="39"/>
  <c r="AQ96" i="39" s="1"/>
  <c r="F96" i="39"/>
  <c r="AM96" i="39" s="1"/>
  <c r="N96" i="39"/>
  <c r="G96" i="39"/>
  <c r="O96" i="39"/>
  <c r="E96" i="39"/>
  <c r="Z96" i="39"/>
  <c r="AP96" i="39" s="1"/>
  <c r="I96" i="39"/>
  <c r="H96" i="39"/>
  <c r="M96" i="39"/>
  <c r="AS96" i="39" s="1"/>
  <c r="P96" i="39"/>
  <c r="Q96" i="39"/>
  <c r="AL84" i="39"/>
  <c r="AC84" i="39"/>
  <c r="AE84" i="39"/>
  <c r="AC47" i="39"/>
  <c r="AL47" i="39"/>
  <c r="AE47" i="39"/>
  <c r="AU50" i="39"/>
  <c r="E50" i="39"/>
  <c r="M50" i="39"/>
  <c r="AS50" i="39" s="1"/>
  <c r="F50" i="39"/>
  <c r="AM50" i="39" s="1"/>
  <c r="N50" i="39"/>
  <c r="G50" i="39"/>
  <c r="O50" i="39"/>
  <c r="I50" i="39"/>
  <c r="Q50" i="39"/>
  <c r="Z50" i="39"/>
  <c r="AP50" i="39" s="1"/>
  <c r="B50" i="39"/>
  <c r="AF50" i="39" s="1"/>
  <c r="J50" i="39"/>
  <c r="AN50" i="39" s="1"/>
  <c r="C50" i="39"/>
  <c r="K50" i="39"/>
  <c r="AK50" i="39" s="1"/>
  <c r="L50" i="39"/>
  <c r="AQ50" i="39" s="1"/>
  <c r="D50" i="39"/>
  <c r="AJ50" i="39" s="1"/>
  <c r="P50" i="39"/>
  <c r="H50" i="39"/>
  <c r="AC3" i="39"/>
  <c r="AL3" i="39"/>
  <c r="AE3" i="39"/>
  <c r="AU55" i="39"/>
  <c r="H55" i="39"/>
  <c r="P55" i="39"/>
  <c r="I55" i="39"/>
  <c r="Z55" i="39" s="1"/>
  <c r="AP55" i="39" s="1"/>
  <c r="Q55" i="39"/>
  <c r="B55" i="39"/>
  <c r="AF55" i="39" s="1"/>
  <c r="J55" i="39"/>
  <c r="AN55" i="39" s="1"/>
  <c r="D55" i="39"/>
  <c r="AJ55" i="39" s="1"/>
  <c r="L55" i="39"/>
  <c r="AQ55" i="39" s="1"/>
  <c r="E55" i="39"/>
  <c r="M55" i="39"/>
  <c r="AS55" i="39" s="1"/>
  <c r="C55" i="39"/>
  <c r="F55" i="39"/>
  <c r="AM55" i="39" s="1"/>
  <c r="N55" i="39"/>
  <c r="O55" i="39"/>
  <c r="G55" i="39"/>
  <c r="K55" i="39"/>
  <c r="AK55" i="39" s="1"/>
  <c r="AE112" i="39"/>
  <c r="AC112" i="39"/>
  <c r="AL112" i="39"/>
  <c r="AC119" i="39"/>
  <c r="AL119" i="39"/>
  <c r="AE119" i="39"/>
  <c r="AE93" i="39"/>
  <c r="AC93" i="39"/>
  <c r="AL93" i="39"/>
  <c r="AC98" i="39"/>
  <c r="AL98" i="39"/>
  <c r="AE98" i="39"/>
  <c r="AC76" i="39"/>
  <c r="AL76" i="39"/>
  <c r="AE76" i="39"/>
  <c r="AC107" i="39"/>
  <c r="AL107" i="39"/>
  <c r="AE107" i="39"/>
  <c r="AU85" i="39"/>
  <c r="E85" i="39"/>
  <c r="M85" i="39"/>
  <c r="AS85" i="39" s="1"/>
  <c r="F85" i="39"/>
  <c r="AM85" i="39" s="1"/>
  <c r="N85" i="39"/>
  <c r="G85" i="39"/>
  <c r="O85" i="39"/>
  <c r="I85" i="39"/>
  <c r="Q85" i="39"/>
  <c r="Z85" i="39"/>
  <c r="AP85" i="39" s="1"/>
  <c r="B85" i="39"/>
  <c r="AF85" i="39" s="1"/>
  <c r="J85" i="39"/>
  <c r="AN85" i="39" s="1"/>
  <c r="C85" i="39"/>
  <c r="D85" i="39"/>
  <c r="AJ85" i="39" s="1"/>
  <c r="H85" i="39"/>
  <c r="K85" i="39"/>
  <c r="AK85" i="39" s="1"/>
  <c r="L85" i="39"/>
  <c r="AQ85" i="39" s="1"/>
  <c r="P85" i="39"/>
  <c r="AC73" i="39"/>
  <c r="AL73" i="39"/>
  <c r="AE73" i="39"/>
  <c r="AE104" i="39"/>
  <c r="AC104" i="39"/>
  <c r="AL104" i="39"/>
  <c r="AU82" i="39"/>
  <c r="H82" i="39"/>
  <c r="P82" i="39"/>
  <c r="I82" i="39"/>
  <c r="Q82" i="39"/>
  <c r="Z82" i="39"/>
  <c r="AP82" i="39" s="1"/>
  <c r="B82" i="39"/>
  <c r="AF82" i="39" s="1"/>
  <c r="J82" i="39"/>
  <c r="AN82" i="39" s="1"/>
  <c r="D82" i="39"/>
  <c r="AJ82" i="39" s="1"/>
  <c r="L82" i="39"/>
  <c r="AQ82" i="39" s="1"/>
  <c r="E82" i="39"/>
  <c r="M82" i="39"/>
  <c r="AS82" i="39" s="1"/>
  <c r="N82" i="39"/>
  <c r="O82" i="39"/>
  <c r="K82" i="39"/>
  <c r="AK82" i="39" s="1"/>
  <c r="C82" i="39"/>
  <c r="F82" i="39"/>
  <c r="AM82" i="39" s="1"/>
  <c r="G82" i="39"/>
  <c r="AC95" i="39"/>
  <c r="AL95" i="39"/>
  <c r="AE95" i="39"/>
  <c r="AU73" i="39"/>
  <c r="I73" i="39"/>
  <c r="Z73" i="39" s="1"/>
  <c r="AP73" i="39" s="1"/>
  <c r="Q73" i="39"/>
  <c r="B73" i="39"/>
  <c r="AF73" i="39" s="1"/>
  <c r="J73" i="39"/>
  <c r="AN73" i="39" s="1"/>
  <c r="C73" i="39"/>
  <c r="K73" i="39"/>
  <c r="AK73" i="39" s="1"/>
  <c r="E73" i="39"/>
  <c r="M73" i="39"/>
  <c r="AS73" i="39" s="1"/>
  <c r="F73" i="39"/>
  <c r="AM73" i="39" s="1"/>
  <c r="N73" i="39"/>
  <c r="D73" i="39"/>
  <c r="AJ73" i="39" s="1"/>
  <c r="G73" i="39"/>
  <c r="H73" i="39"/>
  <c r="L73" i="39"/>
  <c r="AQ73" i="39" s="1"/>
  <c r="O73" i="39"/>
  <c r="P73" i="39"/>
  <c r="AC26" i="39"/>
  <c r="AL26" i="39"/>
  <c r="AE26" i="39"/>
  <c r="AC63" i="39"/>
  <c r="AL63" i="39"/>
  <c r="AE63" i="39"/>
  <c r="AU61" i="39"/>
  <c r="B61" i="39"/>
  <c r="AF61" i="39" s="1"/>
  <c r="J61" i="39"/>
  <c r="AN61" i="39" s="1"/>
  <c r="C61" i="39"/>
  <c r="K61" i="39"/>
  <c r="AK61" i="39" s="1"/>
  <c r="D61" i="39"/>
  <c r="AJ61" i="39" s="1"/>
  <c r="L61" i="39"/>
  <c r="AQ61" i="39" s="1"/>
  <c r="F61" i="39"/>
  <c r="AM61" i="39" s="1"/>
  <c r="N61" i="39"/>
  <c r="G61" i="39"/>
  <c r="Q61" i="39"/>
  <c r="E61" i="39"/>
  <c r="M61" i="39"/>
  <c r="AS61" i="39" s="1"/>
  <c r="O61" i="39"/>
  <c r="H61" i="39"/>
  <c r="I61" i="39"/>
  <c r="Z61" i="39" s="1"/>
  <c r="AP61" i="39" s="1"/>
  <c r="P61" i="39"/>
  <c r="AE50" i="39"/>
  <c r="AL50" i="39"/>
  <c r="AC50" i="39"/>
  <c r="AC57" i="39"/>
  <c r="AL57" i="39"/>
  <c r="AE57" i="39"/>
  <c r="AU35" i="39"/>
  <c r="D35" i="39"/>
  <c r="AJ35" i="39" s="1"/>
  <c r="L35" i="39"/>
  <c r="AQ35" i="39" s="1"/>
  <c r="E35" i="39"/>
  <c r="M35" i="39"/>
  <c r="AS35" i="39" s="1"/>
  <c r="F35" i="39"/>
  <c r="AM35" i="39" s="1"/>
  <c r="N35" i="39"/>
  <c r="H35" i="39"/>
  <c r="P35" i="39"/>
  <c r="I35" i="39"/>
  <c r="Z35" i="39" s="1"/>
  <c r="AP35" i="39" s="1"/>
  <c r="Q35" i="39"/>
  <c r="J35" i="39"/>
  <c r="AN35" i="39" s="1"/>
  <c r="K35" i="39"/>
  <c r="AK35" i="39" s="1"/>
  <c r="O35" i="39"/>
  <c r="B35" i="39"/>
  <c r="AF35" i="39" s="1"/>
  <c r="C35" i="39"/>
  <c r="G35" i="39"/>
  <c r="AU42" i="39"/>
  <c r="E42" i="39"/>
  <c r="M42" i="39"/>
  <c r="AS42" i="39" s="1"/>
  <c r="F42" i="39"/>
  <c r="AM42" i="39" s="1"/>
  <c r="N42" i="39"/>
  <c r="G42" i="39"/>
  <c r="O42" i="39"/>
  <c r="I42" i="39"/>
  <c r="Z42" i="39" s="1"/>
  <c r="AP42" i="39" s="1"/>
  <c r="Q42" i="39"/>
  <c r="B42" i="39"/>
  <c r="AF42" i="39" s="1"/>
  <c r="J42" i="39"/>
  <c r="AN42" i="39" s="1"/>
  <c r="D42" i="39"/>
  <c r="AJ42" i="39" s="1"/>
  <c r="H42" i="39"/>
  <c r="K42" i="39"/>
  <c r="AK42" i="39" s="1"/>
  <c r="P42" i="39"/>
  <c r="C42" i="39"/>
  <c r="L42" i="39"/>
  <c r="AQ42" i="39" s="1"/>
  <c r="AU56" i="39"/>
  <c r="G56" i="39"/>
  <c r="O56" i="39"/>
  <c r="H56" i="39"/>
  <c r="P56" i="39"/>
  <c r="I56" i="39"/>
  <c r="Z56" i="39" s="1"/>
  <c r="AP56" i="39" s="1"/>
  <c r="Q56" i="39"/>
  <c r="C56" i="39"/>
  <c r="K56" i="39"/>
  <c r="AK56" i="39" s="1"/>
  <c r="D56" i="39"/>
  <c r="AJ56" i="39" s="1"/>
  <c r="L56" i="39"/>
  <c r="AQ56" i="39" s="1"/>
  <c r="B56" i="39"/>
  <c r="AF56" i="39" s="1"/>
  <c r="J56" i="39"/>
  <c r="AN56" i="39" s="1"/>
  <c r="M56" i="39"/>
  <c r="AS56" i="39" s="1"/>
  <c r="F56" i="39"/>
  <c r="AM56" i="39" s="1"/>
  <c r="N56" i="39"/>
  <c r="E56" i="39"/>
  <c r="AC14" i="39"/>
  <c r="AL14" i="39"/>
  <c r="AE14" i="39"/>
  <c r="AU47" i="39"/>
  <c r="H47" i="39"/>
  <c r="P47" i="39"/>
  <c r="I47" i="39"/>
  <c r="Z47" i="39" s="1"/>
  <c r="AP47" i="39" s="1"/>
  <c r="Q47" i="39"/>
  <c r="B47" i="39"/>
  <c r="AF47" i="39" s="1"/>
  <c r="J47" i="39"/>
  <c r="AN47" i="39" s="1"/>
  <c r="D47" i="39"/>
  <c r="AJ47" i="39" s="1"/>
  <c r="L47" i="39"/>
  <c r="AQ47" i="39" s="1"/>
  <c r="E47" i="39"/>
  <c r="M47" i="39"/>
  <c r="AS47" i="39" s="1"/>
  <c r="G47" i="39"/>
  <c r="K47" i="39"/>
  <c r="AK47" i="39" s="1"/>
  <c r="N47" i="39"/>
  <c r="C47" i="39"/>
  <c r="F47" i="39"/>
  <c r="AM47" i="39" s="1"/>
  <c r="O47" i="39"/>
  <c r="AC36" i="39"/>
  <c r="AL36" i="39"/>
  <c r="AE36" i="39"/>
  <c r="AU14" i="39"/>
  <c r="I14" i="39"/>
  <c r="Z14" i="39" s="1"/>
  <c r="AP14" i="39" s="1"/>
  <c r="Q14" i="39"/>
  <c r="B14" i="39"/>
  <c r="AF14" i="39" s="1"/>
  <c r="J14" i="39"/>
  <c r="AN14" i="39" s="1"/>
  <c r="C14" i="39"/>
  <c r="K14" i="39"/>
  <c r="AK14" i="39" s="1"/>
  <c r="E14" i="39"/>
  <c r="M14" i="39"/>
  <c r="AS14" i="39" s="1"/>
  <c r="F14" i="39"/>
  <c r="AM14" i="39" s="1"/>
  <c r="N14" i="39"/>
  <c r="D14" i="39"/>
  <c r="AJ14" i="39" s="1"/>
  <c r="G14" i="39"/>
  <c r="O14" i="39"/>
  <c r="P14" i="39"/>
  <c r="H14" i="39"/>
  <c r="L14" i="39"/>
  <c r="AQ14" i="39" s="1"/>
  <c r="AE12" i="39"/>
  <c r="AL12" i="39"/>
  <c r="AC12" i="39"/>
  <c r="AC81" i="39"/>
  <c r="AL81" i="39"/>
  <c r="AE81" i="39"/>
  <c r="AU90" i="39"/>
  <c r="H90" i="39"/>
  <c r="P90" i="39"/>
  <c r="I90" i="39"/>
  <c r="Q90" i="39"/>
  <c r="Z90" i="39"/>
  <c r="AP90" i="39" s="1"/>
  <c r="B90" i="39"/>
  <c r="AF90" i="39" s="1"/>
  <c r="J90" i="39"/>
  <c r="AN90" i="39" s="1"/>
  <c r="D90" i="39"/>
  <c r="AJ90" i="39" s="1"/>
  <c r="L90" i="39"/>
  <c r="AQ90" i="39" s="1"/>
  <c r="E90" i="39"/>
  <c r="M90" i="39"/>
  <c r="AS90" i="39" s="1"/>
  <c r="F90" i="39"/>
  <c r="AM90" i="39" s="1"/>
  <c r="C90" i="39"/>
  <c r="G90" i="39"/>
  <c r="K90" i="39"/>
  <c r="AK90" i="39" s="1"/>
  <c r="N90" i="39"/>
  <c r="O90" i="39"/>
  <c r="AE58" i="39"/>
  <c r="AC58" i="39"/>
  <c r="AL58" i="39"/>
  <c r="AU33" i="39"/>
  <c r="F33" i="39"/>
  <c r="AM33" i="39" s="1"/>
  <c r="N33" i="39"/>
  <c r="G33" i="39"/>
  <c r="O33" i="39"/>
  <c r="H33" i="39"/>
  <c r="P33" i="39"/>
  <c r="B33" i="39"/>
  <c r="AF33" i="39" s="1"/>
  <c r="J33" i="39"/>
  <c r="AN33" i="39" s="1"/>
  <c r="C33" i="39"/>
  <c r="K33" i="39"/>
  <c r="AK33" i="39" s="1"/>
  <c r="Q33" i="39"/>
  <c r="I33" i="39"/>
  <c r="L33" i="39"/>
  <c r="AQ33" i="39" s="1"/>
  <c r="M33" i="39"/>
  <c r="AS33" i="39" s="1"/>
  <c r="Z33" i="39"/>
  <c r="AP33" i="39" s="1"/>
  <c r="D33" i="39"/>
  <c r="AJ33" i="39" s="1"/>
  <c r="E33" i="39"/>
  <c r="AC74" i="39"/>
  <c r="AL74" i="39"/>
  <c r="AE74" i="39"/>
  <c r="AE101" i="39"/>
  <c r="AC101" i="39"/>
  <c r="AL101" i="39"/>
  <c r="AU92" i="39"/>
  <c r="F92" i="39"/>
  <c r="AM92" i="39" s="1"/>
  <c r="N92" i="39"/>
  <c r="G92" i="39"/>
  <c r="O92" i="39"/>
  <c r="H92" i="39"/>
  <c r="P92" i="39"/>
  <c r="B92" i="39"/>
  <c r="AF92" i="39" s="1"/>
  <c r="J92" i="39"/>
  <c r="AN92" i="39" s="1"/>
  <c r="C92" i="39"/>
  <c r="K92" i="39"/>
  <c r="AK92" i="39" s="1"/>
  <c r="D92" i="39"/>
  <c r="AJ92" i="39" s="1"/>
  <c r="Z92" i="39"/>
  <c r="AP92" i="39" s="1"/>
  <c r="E92" i="39"/>
  <c r="I92" i="39"/>
  <c r="Q92" i="39"/>
  <c r="L92" i="39"/>
  <c r="AQ92" i="39" s="1"/>
  <c r="M92" i="39"/>
  <c r="AS92" i="39" s="1"/>
  <c r="AU87" i="39"/>
  <c r="C87" i="39"/>
  <c r="K87" i="39"/>
  <c r="AK87" i="39" s="1"/>
  <c r="D87" i="39"/>
  <c r="AJ87" i="39" s="1"/>
  <c r="L87" i="39"/>
  <c r="AQ87" i="39" s="1"/>
  <c r="E87" i="39"/>
  <c r="M87" i="39"/>
  <c r="AS87" i="39" s="1"/>
  <c r="G87" i="39"/>
  <c r="O87" i="39"/>
  <c r="H87" i="39"/>
  <c r="P87" i="39"/>
  <c r="Q87" i="39"/>
  <c r="B87" i="39"/>
  <c r="AF87" i="39" s="1"/>
  <c r="Z87" i="39"/>
  <c r="AP87" i="39" s="1"/>
  <c r="J87" i="39"/>
  <c r="AN87" i="39" s="1"/>
  <c r="F87" i="39"/>
  <c r="AM87" i="39" s="1"/>
  <c r="N87" i="39"/>
  <c r="I87" i="39"/>
  <c r="AC83" i="39"/>
  <c r="AL83" i="39"/>
  <c r="AE83" i="39"/>
  <c r="AU28" i="39"/>
  <c r="C28" i="39"/>
  <c r="K28" i="39"/>
  <c r="AK28" i="39" s="1"/>
  <c r="D28" i="39"/>
  <c r="AJ28" i="39" s="1"/>
  <c r="L28" i="39"/>
  <c r="AQ28" i="39" s="1"/>
  <c r="E28" i="39"/>
  <c r="M28" i="39"/>
  <c r="AS28" i="39" s="1"/>
  <c r="G28" i="39"/>
  <c r="O28" i="39"/>
  <c r="H28" i="39"/>
  <c r="P28" i="39"/>
  <c r="N28" i="39"/>
  <c r="Q28" i="39"/>
  <c r="F28" i="39"/>
  <c r="AM28" i="39" s="1"/>
  <c r="I28" i="39"/>
  <c r="Z28" i="39" s="1"/>
  <c r="AP28" i="39" s="1"/>
  <c r="B28" i="39"/>
  <c r="AF28" i="39" s="1"/>
  <c r="J28" i="39"/>
  <c r="AN28" i="39" s="1"/>
  <c r="AU91" i="39"/>
  <c r="G91" i="39"/>
  <c r="O91" i="39"/>
  <c r="H91" i="39"/>
  <c r="P91" i="39"/>
  <c r="I91" i="39"/>
  <c r="Q91" i="39"/>
  <c r="Z91" i="39"/>
  <c r="AP91" i="39" s="1"/>
  <c r="C91" i="39"/>
  <c r="K91" i="39"/>
  <c r="AK91" i="39" s="1"/>
  <c r="D91" i="39"/>
  <c r="AJ91" i="39" s="1"/>
  <c r="L91" i="39"/>
  <c r="AQ91" i="39" s="1"/>
  <c r="B91" i="39"/>
  <c r="AF91" i="39" s="1"/>
  <c r="F91" i="39"/>
  <c r="AM91" i="39" s="1"/>
  <c r="E91" i="39"/>
  <c r="J91" i="39"/>
  <c r="AN91" i="39" s="1"/>
  <c r="M91" i="39"/>
  <c r="AS91" i="39" s="1"/>
  <c r="N91" i="39"/>
  <c r="AE80" i="39"/>
  <c r="AC80" i="39"/>
  <c r="AL80" i="39"/>
  <c r="AU113" i="39"/>
  <c r="I113" i="39"/>
  <c r="Q113" i="39"/>
  <c r="Z113" i="39"/>
  <c r="AP113" i="39" s="1"/>
  <c r="E113" i="39"/>
  <c r="M113" i="39"/>
  <c r="AS113" i="39" s="1"/>
  <c r="K113" i="39"/>
  <c r="AK113" i="39" s="1"/>
  <c r="N113" i="39"/>
  <c r="B113" i="39"/>
  <c r="AF113" i="39" s="1"/>
  <c r="L113" i="39"/>
  <c r="AQ113" i="39" s="1"/>
  <c r="C113" i="39"/>
  <c r="D113" i="39"/>
  <c r="AJ113" i="39" s="1"/>
  <c r="O113" i="39"/>
  <c r="H113" i="39"/>
  <c r="J113" i="39"/>
  <c r="AN113" i="39" s="1"/>
  <c r="F113" i="39"/>
  <c r="AM113" i="39" s="1"/>
  <c r="P113" i="39"/>
  <c r="G113" i="39"/>
  <c r="AC71" i="39"/>
  <c r="AL71" i="39"/>
  <c r="AE71" i="39"/>
  <c r="AU36" i="39"/>
  <c r="C36" i="39"/>
  <c r="K36" i="39"/>
  <c r="AK36" i="39" s="1"/>
  <c r="D36" i="39"/>
  <c r="AJ36" i="39" s="1"/>
  <c r="L36" i="39"/>
  <c r="AQ36" i="39" s="1"/>
  <c r="E36" i="39"/>
  <c r="M36" i="39"/>
  <c r="AS36" i="39" s="1"/>
  <c r="G36" i="39"/>
  <c r="O36" i="39"/>
  <c r="H36" i="39"/>
  <c r="P36" i="39"/>
  <c r="F36" i="39"/>
  <c r="AM36" i="39" s="1"/>
  <c r="I36" i="39"/>
  <c r="Z36" i="39" s="1"/>
  <c r="AP36" i="39" s="1"/>
  <c r="J36" i="39"/>
  <c r="AN36" i="39" s="1"/>
  <c r="B36" i="39"/>
  <c r="AF36" i="39" s="1"/>
  <c r="N36" i="39"/>
  <c r="Q36" i="39"/>
  <c r="AU65" i="39"/>
  <c r="G65" i="39"/>
  <c r="O65" i="39"/>
  <c r="H65" i="39"/>
  <c r="P65" i="39"/>
  <c r="I65" i="39"/>
  <c r="Q65" i="39"/>
  <c r="AP65" i="39"/>
  <c r="D65" i="39"/>
  <c r="AJ65" i="39" s="1"/>
  <c r="L65" i="39"/>
  <c r="AQ65" i="39" s="1"/>
  <c r="E65" i="39"/>
  <c r="M65" i="39"/>
  <c r="AS65" i="39" s="1"/>
  <c r="B65" i="39"/>
  <c r="AF65" i="39" s="1"/>
  <c r="C65" i="39"/>
  <c r="J65" i="39"/>
  <c r="AN65" i="39" s="1"/>
  <c r="K65" i="39"/>
  <c r="AK65" i="39" s="1"/>
  <c r="F65" i="39"/>
  <c r="AM65" i="39" s="1"/>
  <c r="N65" i="39"/>
  <c r="AU49" i="39"/>
  <c r="F49" i="39"/>
  <c r="AM49" i="39" s="1"/>
  <c r="N49" i="39"/>
  <c r="G49" i="39"/>
  <c r="O49" i="39"/>
  <c r="H49" i="39"/>
  <c r="P49" i="39"/>
  <c r="B49" i="39"/>
  <c r="AF49" i="39" s="1"/>
  <c r="J49" i="39"/>
  <c r="AN49" i="39" s="1"/>
  <c r="C49" i="39"/>
  <c r="K49" i="39"/>
  <c r="AK49" i="39" s="1"/>
  <c r="D49" i="39"/>
  <c r="AJ49" i="39" s="1"/>
  <c r="E49" i="39"/>
  <c r="M49" i="39"/>
  <c r="AS49" i="39" s="1"/>
  <c r="Q49" i="39"/>
  <c r="L49" i="39"/>
  <c r="AQ49" i="39" s="1"/>
  <c r="I49" i="39"/>
  <c r="Z49" i="39" s="1"/>
  <c r="AP49" i="39" s="1"/>
  <c r="AE33" i="39"/>
  <c r="AC33" i="39"/>
  <c r="AL33" i="39"/>
  <c r="AC11" i="39"/>
  <c r="AL11" i="39"/>
  <c r="AE11" i="39"/>
  <c r="AC40" i="39"/>
  <c r="AL40" i="39"/>
  <c r="AE40" i="39"/>
  <c r="AU18" i="39"/>
  <c r="E18" i="39"/>
  <c r="M18" i="39"/>
  <c r="AS18" i="39" s="1"/>
  <c r="F18" i="39"/>
  <c r="AM18" i="39" s="1"/>
  <c r="N18" i="39"/>
  <c r="G18" i="39"/>
  <c r="O18" i="39"/>
  <c r="I18" i="39"/>
  <c r="Z18" i="39" s="1"/>
  <c r="AP18" i="39" s="1"/>
  <c r="Q18" i="39"/>
  <c r="B18" i="39"/>
  <c r="AF18" i="39" s="1"/>
  <c r="J18" i="39"/>
  <c r="AN18" i="39" s="1"/>
  <c r="H18" i="39"/>
  <c r="K18" i="39"/>
  <c r="AK18" i="39" s="1"/>
  <c r="L18" i="39"/>
  <c r="AQ18" i="39" s="1"/>
  <c r="C18" i="39"/>
  <c r="D18" i="39"/>
  <c r="AJ18" i="39" s="1"/>
  <c r="P18" i="39"/>
  <c r="AC54" i="39"/>
  <c r="AL54" i="39"/>
  <c r="AE54" i="39"/>
  <c r="AU32" i="39"/>
  <c r="G32" i="39"/>
  <c r="O32" i="39"/>
  <c r="H32" i="39"/>
  <c r="P32" i="39"/>
  <c r="I32" i="39"/>
  <c r="Z32" i="39" s="1"/>
  <c r="AP32" i="39" s="1"/>
  <c r="Q32" i="39"/>
  <c r="C32" i="39"/>
  <c r="K32" i="39"/>
  <c r="AK32" i="39" s="1"/>
  <c r="D32" i="39"/>
  <c r="AJ32" i="39" s="1"/>
  <c r="L32" i="39"/>
  <c r="AQ32" i="39" s="1"/>
  <c r="B32" i="39"/>
  <c r="AF32" i="39" s="1"/>
  <c r="E32" i="39"/>
  <c r="M32" i="39"/>
  <c r="AS32" i="39" s="1"/>
  <c r="N32" i="39"/>
  <c r="J32" i="39"/>
  <c r="AN32" i="39" s="1"/>
  <c r="F32" i="39"/>
  <c r="AM32" i="39" s="1"/>
  <c r="AE45" i="39"/>
  <c r="AC45" i="39"/>
  <c r="AL45" i="39"/>
  <c r="AU23" i="39"/>
  <c r="H23" i="39"/>
  <c r="P23" i="39"/>
  <c r="I23" i="39"/>
  <c r="Q23" i="39"/>
  <c r="Z23" i="39"/>
  <c r="AP23" i="39" s="1"/>
  <c r="B23" i="39"/>
  <c r="AF23" i="39" s="1"/>
  <c r="J23" i="39"/>
  <c r="AN23" i="39" s="1"/>
  <c r="D23" i="39"/>
  <c r="AJ23" i="39" s="1"/>
  <c r="L23" i="39"/>
  <c r="AQ23" i="39" s="1"/>
  <c r="E23" i="39"/>
  <c r="M23" i="39"/>
  <c r="AS23" i="39" s="1"/>
  <c r="K23" i="39"/>
  <c r="AK23" i="39" s="1"/>
  <c r="N23" i="39"/>
  <c r="O23" i="39"/>
  <c r="C23" i="39"/>
  <c r="F23" i="39"/>
  <c r="AM23" i="39" s="1"/>
  <c r="G23" i="39"/>
  <c r="AU54" i="39"/>
  <c r="I54" i="39"/>
  <c r="Q54" i="39"/>
  <c r="Z54" i="39"/>
  <c r="AP54" i="39" s="1"/>
  <c r="B54" i="39"/>
  <c r="AF54" i="39" s="1"/>
  <c r="J54" i="39"/>
  <c r="AN54" i="39" s="1"/>
  <c r="C54" i="39"/>
  <c r="K54" i="39"/>
  <c r="AK54" i="39" s="1"/>
  <c r="E54" i="39"/>
  <c r="M54" i="39"/>
  <c r="AS54" i="39" s="1"/>
  <c r="F54" i="39"/>
  <c r="AM54" i="39" s="1"/>
  <c r="N54" i="39"/>
  <c r="D54" i="39"/>
  <c r="AJ54" i="39" s="1"/>
  <c r="G54" i="39"/>
  <c r="H54" i="39"/>
  <c r="P54" i="39"/>
  <c r="L54" i="39"/>
  <c r="AQ54" i="39" s="1"/>
  <c r="O54" i="39"/>
  <c r="AU5" i="39"/>
  <c r="B5" i="39"/>
  <c r="AF5" i="39" s="1"/>
  <c r="J5" i="39"/>
  <c r="AN5" i="39" s="1"/>
  <c r="C5" i="39"/>
  <c r="K5" i="39"/>
  <c r="AK5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O5" i="39"/>
  <c r="H5" i="39"/>
  <c r="P5" i="39"/>
  <c r="I5" i="39"/>
  <c r="Q5" i="39"/>
  <c r="Z5" i="39"/>
  <c r="AP5" i="39" s="1"/>
  <c r="AU3" i="39"/>
  <c r="D3" i="39"/>
  <c r="AJ3" i="39" s="1"/>
  <c r="L3" i="39"/>
  <c r="AQ3" i="39" s="1"/>
  <c r="E3" i="39"/>
  <c r="M3" i="39"/>
  <c r="AS3" i="39" s="1"/>
  <c r="F3" i="39"/>
  <c r="AM3" i="39" s="1"/>
  <c r="N3" i="39"/>
  <c r="G3" i="39"/>
  <c r="O3" i="39"/>
  <c r="H3" i="39"/>
  <c r="P3" i="39"/>
  <c r="I3" i="39"/>
  <c r="Z3" i="39" s="1"/>
  <c r="AP3" i="39" s="1"/>
  <c r="Q3" i="39"/>
  <c r="B3" i="39"/>
  <c r="AF3" i="39" s="1"/>
  <c r="J3" i="39"/>
  <c r="AN3" i="39" s="1"/>
  <c r="C3" i="39"/>
  <c r="K3" i="39"/>
  <c r="AK3" i="39" s="1"/>
  <c r="AU8" i="39"/>
  <c r="G8" i="39"/>
  <c r="O8" i="39"/>
  <c r="H8" i="39"/>
  <c r="P8" i="39"/>
  <c r="I8" i="39"/>
  <c r="Z8" i="39" s="1"/>
  <c r="AP8" i="39" s="1"/>
  <c r="Q8" i="39"/>
  <c r="B8" i="39"/>
  <c r="AF8" i="39" s="1"/>
  <c r="J8" i="39"/>
  <c r="AN8" i="39" s="1"/>
  <c r="C8" i="39"/>
  <c r="K8" i="39"/>
  <c r="AK8" i="39" s="1"/>
  <c r="D8" i="39"/>
  <c r="AJ8" i="39" s="1"/>
  <c r="L8" i="39"/>
  <c r="AQ8" i="39" s="1"/>
  <c r="E8" i="39"/>
  <c r="M8" i="39"/>
  <c r="AS8" i="39" s="1"/>
  <c r="F8" i="39"/>
  <c r="AM8" i="39" s="1"/>
  <c r="N8" i="39"/>
  <c r="AU93" i="39"/>
  <c r="E93" i="39"/>
  <c r="M93" i="39"/>
  <c r="AS93" i="39" s="1"/>
  <c r="F93" i="39"/>
  <c r="AM93" i="39" s="1"/>
  <c r="N93" i="39"/>
  <c r="G93" i="39"/>
  <c r="O93" i="39"/>
  <c r="I93" i="39"/>
  <c r="Q93" i="39"/>
  <c r="Z93" i="39"/>
  <c r="AP93" i="39" s="1"/>
  <c r="B93" i="39"/>
  <c r="AF93" i="39" s="1"/>
  <c r="J93" i="39"/>
  <c r="AN93" i="39" s="1"/>
  <c r="P93" i="39"/>
  <c r="C93" i="39"/>
  <c r="L93" i="39"/>
  <c r="AQ93" i="39" s="1"/>
  <c r="D93" i="39"/>
  <c r="AJ93" i="39" s="1"/>
  <c r="K93" i="39"/>
  <c r="AK93" i="39" s="1"/>
  <c r="H93" i="39"/>
  <c r="AC103" i="39"/>
  <c r="AL103" i="39"/>
  <c r="AE103" i="39"/>
  <c r="AC102" i="39"/>
  <c r="AL102" i="39"/>
  <c r="AE102" i="39"/>
  <c r="AU111" i="39"/>
  <c r="C111" i="39"/>
  <c r="K111" i="39"/>
  <c r="AK111" i="39" s="1"/>
  <c r="G111" i="39"/>
  <c r="O111" i="39"/>
  <c r="H111" i="39"/>
  <c r="J111" i="39"/>
  <c r="AN111" i="39" s="1"/>
  <c r="I111" i="39"/>
  <c r="L111" i="39"/>
  <c r="AQ111" i="39" s="1"/>
  <c r="B111" i="39"/>
  <c r="AF111" i="39" s="1"/>
  <c r="M111" i="39"/>
  <c r="AS111" i="39" s="1"/>
  <c r="P111" i="39"/>
  <c r="F111" i="39"/>
  <c r="AM111" i="39" s="1"/>
  <c r="D111" i="39"/>
  <c r="AJ111" i="39" s="1"/>
  <c r="N111" i="39"/>
  <c r="Z111" i="39"/>
  <c r="AP111" i="39" s="1"/>
  <c r="E111" i="39"/>
  <c r="Q111" i="39"/>
  <c r="AU94" i="39"/>
  <c r="D94" i="39"/>
  <c r="AJ94" i="39" s="1"/>
  <c r="L94" i="39"/>
  <c r="AQ94" i="39" s="1"/>
  <c r="E94" i="39"/>
  <c r="M94" i="39"/>
  <c r="AS94" i="39" s="1"/>
  <c r="F94" i="39"/>
  <c r="AM94" i="39" s="1"/>
  <c r="N94" i="39"/>
  <c r="H94" i="39"/>
  <c r="P94" i="39"/>
  <c r="I94" i="39"/>
  <c r="Q94" i="39"/>
  <c r="Z94" i="39"/>
  <c r="AP94" i="39" s="1"/>
  <c r="K94" i="39"/>
  <c r="AK94" i="39" s="1"/>
  <c r="O94" i="39"/>
  <c r="B94" i="39"/>
  <c r="AF94" i="39" s="1"/>
  <c r="J94" i="39"/>
  <c r="AN94" i="39" s="1"/>
  <c r="C94" i="39"/>
  <c r="G94" i="39"/>
  <c r="AE85" i="39"/>
  <c r="AL85" i="39"/>
  <c r="AC85" i="39"/>
  <c r="AU95" i="39"/>
  <c r="C95" i="39"/>
  <c r="K95" i="39"/>
  <c r="AK95" i="39" s="1"/>
  <c r="D95" i="39"/>
  <c r="AJ95" i="39" s="1"/>
  <c r="L95" i="39"/>
  <c r="AQ95" i="39" s="1"/>
  <c r="E95" i="39"/>
  <c r="M95" i="39"/>
  <c r="AS95" i="39" s="1"/>
  <c r="G95" i="39"/>
  <c r="O95" i="39"/>
  <c r="H95" i="39"/>
  <c r="P95" i="39"/>
  <c r="I95" i="39"/>
  <c r="J95" i="39"/>
  <c r="AN95" i="39" s="1"/>
  <c r="N95" i="39"/>
  <c r="Q95" i="39"/>
  <c r="F95" i="39"/>
  <c r="AM95" i="39" s="1"/>
  <c r="B95" i="39"/>
  <c r="AF95" i="39" s="1"/>
  <c r="Z95" i="39"/>
  <c r="AP95" i="39" s="1"/>
  <c r="AU17" i="39"/>
  <c r="F17" i="39"/>
  <c r="AM17" i="39" s="1"/>
  <c r="N17" i="39"/>
  <c r="G17" i="39"/>
  <c r="O17" i="39"/>
  <c r="H17" i="39"/>
  <c r="P17" i="39"/>
  <c r="B17" i="39"/>
  <c r="AF17" i="39" s="1"/>
  <c r="J17" i="39"/>
  <c r="AN17" i="39" s="1"/>
  <c r="C17" i="39"/>
  <c r="K17" i="39"/>
  <c r="AK17" i="39" s="1"/>
  <c r="L17" i="39"/>
  <c r="AQ17" i="39" s="1"/>
  <c r="M17" i="39"/>
  <c r="AS17" i="39" s="1"/>
  <c r="Q17" i="39"/>
  <c r="D17" i="39"/>
  <c r="AJ17" i="39" s="1"/>
  <c r="Z17" i="39"/>
  <c r="AP17" i="39" s="1"/>
  <c r="E17" i="39"/>
  <c r="I17" i="39"/>
  <c r="AU100" i="39"/>
  <c r="F100" i="39"/>
  <c r="AM100" i="39" s="1"/>
  <c r="N100" i="39"/>
  <c r="G100" i="39"/>
  <c r="O100" i="39"/>
  <c r="H100" i="39"/>
  <c r="P100" i="39"/>
  <c r="B100" i="39"/>
  <c r="AF100" i="39" s="1"/>
  <c r="J100" i="39"/>
  <c r="AN100" i="39" s="1"/>
  <c r="C100" i="39"/>
  <c r="K100" i="39"/>
  <c r="AK100" i="39" s="1"/>
  <c r="L100" i="39"/>
  <c r="AQ100" i="39" s="1"/>
  <c r="M100" i="39"/>
  <c r="AS100" i="39" s="1"/>
  <c r="Q100" i="39"/>
  <c r="E100" i="39"/>
  <c r="I100" i="39"/>
  <c r="D100" i="39"/>
  <c r="AJ100" i="39" s="1"/>
  <c r="Z100" i="39"/>
  <c r="AP100" i="39" s="1"/>
  <c r="B112" i="39"/>
  <c r="AF112" i="39" s="1"/>
  <c r="J112" i="39"/>
  <c r="AN112" i="39" s="1"/>
  <c r="F112" i="39"/>
  <c r="AM112" i="39" s="1"/>
  <c r="N112" i="39"/>
  <c r="AU112" i="39"/>
  <c r="D112" i="39"/>
  <c r="AJ112" i="39" s="1"/>
  <c r="O112" i="39"/>
  <c r="Z112" i="39"/>
  <c r="AP112" i="39" s="1"/>
  <c r="E112" i="39"/>
  <c r="G112" i="39"/>
  <c r="Q112" i="39"/>
  <c r="P112" i="39"/>
  <c r="H112" i="39"/>
  <c r="M112" i="39"/>
  <c r="AS112" i="39" s="1"/>
  <c r="I112" i="39"/>
  <c r="C112" i="39"/>
  <c r="K112" i="39"/>
  <c r="AK112" i="39" s="1"/>
  <c r="L112" i="39"/>
  <c r="AQ112" i="39" s="1"/>
  <c r="AU108" i="39"/>
  <c r="F108" i="39"/>
  <c r="AM108" i="39" s="1"/>
  <c r="N108" i="39"/>
  <c r="H108" i="39"/>
  <c r="P108" i="39"/>
  <c r="B108" i="39"/>
  <c r="AF108" i="39" s="1"/>
  <c r="J108" i="39"/>
  <c r="AN108" i="39" s="1"/>
  <c r="C108" i="39"/>
  <c r="K108" i="39"/>
  <c r="AK108" i="39" s="1"/>
  <c r="L108" i="39"/>
  <c r="AQ108" i="39" s="1"/>
  <c r="O108" i="39"/>
  <c r="M108" i="39"/>
  <c r="AS108" i="39" s="1"/>
  <c r="Z108" i="39"/>
  <c r="AP108" i="39" s="1"/>
  <c r="Q108" i="39"/>
  <c r="I108" i="39"/>
  <c r="D108" i="39"/>
  <c r="AJ108" i="39" s="1"/>
  <c r="G108" i="39"/>
  <c r="E108" i="39"/>
  <c r="AC82" i="39"/>
  <c r="AL82" i="39"/>
  <c r="AE82" i="39"/>
  <c r="AC86" i="39"/>
  <c r="AL86" i="39"/>
  <c r="AE86" i="39"/>
  <c r="AC92" i="39"/>
  <c r="AL92" i="39"/>
  <c r="AE92" i="39"/>
  <c r="AU70" i="39"/>
  <c r="B70" i="39"/>
  <c r="AF70" i="39" s="1"/>
  <c r="J70" i="39"/>
  <c r="AN70" i="39" s="1"/>
  <c r="D70" i="39"/>
  <c r="AJ70" i="39" s="1"/>
  <c r="L70" i="39"/>
  <c r="AQ70" i="39" s="1"/>
  <c r="H70" i="39"/>
  <c r="P70" i="39"/>
  <c r="F70" i="39"/>
  <c r="AM70" i="39" s="1"/>
  <c r="G70" i="39"/>
  <c r="I70" i="39"/>
  <c r="Z70" i="39" s="1"/>
  <c r="AP70" i="39" s="1"/>
  <c r="M70" i="39"/>
  <c r="AS70" i="39" s="1"/>
  <c r="N70" i="39"/>
  <c r="E70" i="39"/>
  <c r="K70" i="39"/>
  <c r="AK70" i="39" s="1"/>
  <c r="Q70" i="39"/>
  <c r="O70" i="39"/>
  <c r="C70" i="39"/>
  <c r="AU101" i="39"/>
  <c r="E101" i="39"/>
  <c r="M101" i="39"/>
  <c r="AS101" i="39" s="1"/>
  <c r="F101" i="39"/>
  <c r="AM101" i="39" s="1"/>
  <c r="N101" i="39"/>
  <c r="G101" i="39"/>
  <c r="O101" i="39"/>
  <c r="I101" i="39"/>
  <c r="Q101" i="39"/>
  <c r="Z101" i="39"/>
  <c r="AP101" i="39" s="1"/>
  <c r="B101" i="39"/>
  <c r="AF101" i="39" s="1"/>
  <c r="J101" i="39"/>
  <c r="AN101" i="39" s="1"/>
  <c r="H101" i="39"/>
  <c r="L101" i="39"/>
  <c r="AQ101" i="39" s="1"/>
  <c r="K101" i="39"/>
  <c r="AK101" i="39" s="1"/>
  <c r="P101" i="39"/>
  <c r="C101" i="39"/>
  <c r="D101" i="39"/>
  <c r="AJ101" i="39" s="1"/>
  <c r="AC18" i="39"/>
  <c r="AL18" i="39"/>
  <c r="AE18" i="39"/>
  <c r="AC89" i="39"/>
  <c r="AL89" i="39"/>
  <c r="AE89" i="39"/>
  <c r="AU98" i="39"/>
  <c r="H98" i="39"/>
  <c r="P98" i="39"/>
  <c r="I98" i="39"/>
  <c r="Q98" i="39"/>
  <c r="Z98" i="39"/>
  <c r="AP98" i="39" s="1"/>
  <c r="B98" i="39"/>
  <c r="AF98" i="39" s="1"/>
  <c r="J98" i="39"/>
  <c r="AN98" i="39" s="1"/>
  <c r="D98" i="39"/>
  <c r="AJ98" i="39" s="1"/>
  <c r="L98" i="39"/>
  <c r="AQ98" i="39" s="1"/>
  <c r="E98" i="39"/>
  <c r="M98" i="39"/>
  <c r="AS98" i="39" s="1"/>
  <c r="O98" i="39"/>
  <c r="C98" i="39"/>
  <c r="F98" i="39"/>
  <c r="AM98" i="39" s="1"/>
  <c r="G98" i="39"/>
  <c r="K98" i="39"/>
  <c r="AK98" i="39" s="1"/>
  <c r="N98" i="39"/>
  <c r="AC111" i="39"/>
  <c r="AL111" i="39"/>
  <c r="AE111" i="39"/>
  <c r="AU89" i="39"/>
  <c r="I89" i="39"/>
  <c r="Q89" i="39"/>
  <c r="Z89" i="39"/>
  <c r="AP89" i="39" s="1"/>
  <c r="B89" i="39"/>
  <c r="AF89" i="39" s="1"/>
  <c r="J89" i="39"/>
  <c r="AN89" i="39" s="1"/>
  <c r="C89" i="39"/>
  <c r="K89" i="39"/>
  <c r="AK89" i="39" s="1"/>
  <c r="E89" i="39"/>
  <c r="M89" i="39"/>
  <c r="AS89" i="39" s="1"/>
  <c r="F89" i="39"/>
  <c r="AM89" i="39" s="1"/>
  <c r="N89" i="39"/>
  <c r="H89" i="39"/>
  <c r="O89" i="39"/>
  <c r="L89" i="39"/>
  <c r="AQ89" i="39" s="1"/>
  <c r="P89" i="39"/>
  <c r="G89" i="39"/>
  <c r="D89" i="39"/>
  <c r="AJ89" i="39" s="1"/>
  <c r="AC70" i="39"/>
  <c r="AL70" i="39"/>
  <c r="AE70" i="39"/>
  <c r="AU69" i="39"/>
  <c r="C69" i="39"/>
  <c r="K69" i="39"/>
  <c r="AK69" i="39" s="1"/>
  <c r="E69" i="39"/>
  <c r="M69" i="39"/>
  <c r="AS69" i="39" s="1"/>
  <c r="H69" i="39"/>
  <c r="P69" i="39"/>
  <c r="I69" i="39"/>
  <c r="Q69" i="39"/>
  <c r="Z69" i="39"/>
  <c r="AP69" i="39" s="1"/>
  <c r="O69" i="39"/>
  <c r="B69" i="39"/>
  <c r="AF69" i="39" s="1"/>
  <c r="D69" i="39"/>
  <c r="AJ69" i="39" s="1"/>
  <c r="G69" i="39"/>
  <c r="J69" i="39"/>
  <c r="AN69" i="39" s="1"/>
  <c r="F69" i="39"/>
  <c r="AM69" i="39" s="1"/>
  <c r="L69" i="39"/>
  <c r="AQ69" i="39" s="1"/>
  <c r="N69" i="39"/>
  <c r="AC31" i="39"/>
  <c r="AL31" i="39"/>
  <c r="AE31" i="39"/>
  <c r="AC59" i="39"/>
  <c r="AL59" i="39"/>
  <c r="AE59" i="39"/>
  <c r="AU44" i="39"/>
  <c r="C44" i="39"/>
  <c r="K44" i="39"/>
  <c r="AK44" i="39" s="1"/>
  <c r="D44" i="39"/>
  <c r="AJ44" i="39" s="1"/>
  <c r="L44" i="39"/>
  <c r="AQ44" i="39" s="1"/>
  <c r="E44" i="39"/>
  <c r="M44" i="39"/>
  <c r="AS44" i="39" s="1"/>
  <c r="G44" i="39"/>
  <c r="O44" i="39"/>
  <c r="H44" i="39"/>
  <c r="P44" i="39"/>
  <c r="B44" i="39"/>
  <c r="AF44" i="39" s="1"/>
  <c r="J44" i="39"/>
  <c r="AN44" i="39" s="1"/>
  <c r="N44" i="39"/>
  <c r="F44" i="39"/>
  <c r="AM44" i="39" s="1"/>
  <c r="I44" i="39"/>
  <c r="Z44" i="39" s="1"/>
  <c r="AP44" i="39" s="1"/>
  <c r="Q44" i="39"/>
  <c r="AU51" i="39"/>
  <c r="D51" i="39"/>
  <c r="AJ51" i="39" s="1"/>
  <c r="L51" i="39"/>
  <c r="AQ51" i="39" s="1"/>
  <c r="E51" i="39"/>
  <c r="M51" i="39"/>
  <c r="AS51" i="39" s="1"/>
  <c r="F51" i="39"/>
  <c r="AM51" i="39" s="1"/>
  <c r="N51" i="39"/>
  <c r="H51" i="39"/>
  <c r="P51" i="39"/>
  <c r="I51" i="39"/>
  <c r="Z51" i="39" s="1"/>
  <c r="AP51" i="39" s="1"/>
  <c r="Q51" i="39"/>
  <c r="O51" i="39"/>
  <c r="G51" i="39"/>
  <c r="J51" i="39"/>
  <c r="AN51" i="39" s="1"/>
  <c r="B51" i="39"/>
  <c r="AF51" i="39" s="1"/>
  <c r="C51" i="39"/>
  <c r="K51" i="39"/>
  <c r="AK51" i="39" s="1"/>
  <c r="AU58" i="39"/>
  <c r="E58" i="39"/>
  <c r="M58" i="39"/>
  <c r="AS58" i="39" s="1"/>
  <c r="F58" i="39"/>
  <c r="AM58" i="39" s="1"/>
  <c r="N58" i="39"/>
  <c r="G58" i="39"/>
  <c r="O58" i="39"/>
  <c r="I58" i="39"/>
  <c r="Z58" i="39" s="1"/>
  <c r="AP58" i="39" s="1"/>
  <c r="Q58" i="39"/>
  <c r="B58" i="39"/>
  <c r="AF58" i="39" s="1"/>
  <c r="J58" i="39"/>
  <c r="AN58" i="39" s="1"/>
  <c r="K58" i="39"/>
  <c r="AK58" i="39" s="1"/>
  <c r="L58" i="39"/>
  <c r="AQ58" i="39" s="1"/>
  <c r="P58" i="39"/>
  <c r="C58" i="39"/>
  <c r="D58" i="39"/>
  <c r="AJ58" i="39" s="1"/>
  <c r="H58" i="39"/>
  <c r="AC16" i="39"/>
  <c r="AL16" i="39"/>
  <c r="AE16" i="39"/>
  <c r="AC30" i="39"/>
  <c r="AL30" i="39"/>
  <c r="AE30" i="39"/>
  <c r="AU63" i="39"/>
  <c r="H63" i="39"/>
  <c r="I63" i="39"/>
  <c r="Z63" i="39" s="1"/>
  <c r="AP63" i="39" s="1"/>
  <c r="Q63" i="39"/>
  <c r="B63" i="39"/>
  <c r="AF63" i="39" s="1"/>
  <c r="D63" i="39"/>
  <c r="AJ63" i="39" s="1"/>
  <c r="M63" i="39"/>
  <c r="AS63" i="39" s="1"/>
  <c r="C63" i="39"/>
  <c r="N63" i="39"/>
  <c r="E63" i="39"/>
  <c r="O63" i="39"/>
  <c r="J63" i="39"/>
  <c r="AN63" i="39" s="1"/>
  <c r="K63" i="39"/>
  <c r="AK63" i="39" s="1"/>
  <c r="F63" i="39"/>
  <c r="AM63" i="39" s="1"/>
  <c r="L63" i="39"/>
  <c r="AQ63" i="39" s="1"/>
  <c r="P63" i="39"/>
  <c r="G63" i="39"/>
  <c r="AC21" i="39"/>
  <c r="AL21" i="39"/>
  <c r="AE21" i="39"/>
  <c r="AC52" i="39"/>
  <c r="AL52" i="39"/>
  <c r="AE52" i="39"/>
  <c r="AU30" i="39"/>
  <c r="I30" i="39"/>
  <c r="Z30" i="39" s="1"/>
  <c r="AP30" i="39" s="1"/>
  <c r="Q30" i="39"/>
  <c r="B30" i="39"/>
  <c r="AF30" i="39" s="1"/>
  <c r="J30" i="39"/>
  <c r="AN30" i="39" s="1"/>
  <c r="C30" i="39"/>
  <c r="K30" i="39"/>
  <c r="AK30" i="39" s="1"/>
  <c r="E30" i="39"/>
  <c r="M30" i="39"/>
  <c r="AS30" i="39" s="1"/>
  <c r="F30" i="39"/>
  <c r="AM30" i="39" s="1"/>
  <c r="N30" i="39"/>
  <c r="G30" i="39"/>
  <c r="H30" i="39"/>
  <c r="L30" i="39"/>
  <c r="AQ30" i="39" s="1"/>
  <c r="D30" i="39"/>
  <c r="AJ30" i="39" s="1"/>
  <c r="O30" i="39"/>
  <c r="P30" i="39"/>
  <c r="AU12" i="39"/>
  <c r="C12" i="39"/>
  <c r="K12" i="39"/>
  <c r="AK12" i="39" s="1"/>
  <c r="D12" i="39"/>
  <c r="AJ12" i="39" s="1"/>
  <c r="L12" i="39"/>
  <c r="AQ12" i="39" s="1"/>
  <c r="E12" i="39"/>
  <c r="M12" i="39"/>
  <c r="AS12" i="39" s="1"/>
  <c r="F12" i="39"/>
  <c r="AM12" i="39" s="1"/>
  <c r="N12" i="39"/>
  <c r="G12" i="39"/>
  <c r="O12" i="39"/>
  <c r="H12" i="39"/>
  <c r="P12" i="39"/>
  <c r="I12" i="39"/>
  <c r="Z12" i="39" s="1"/>
  <c r="AP12" i="39" s="1"/>
  <c r="Q12" i="39"/>
  <c r="J12" i="39"/>
  <c r="AN12" i="39" s="1"/>
  <c r="B12" i="39"/>
  <c r="AF12" i="39" s="1"/>
  <c r="AU10" i="39"/>
  <c r="E10" i="39"/>
  <c r="M10" i="39"/>
  <c r="AS10" i="39" s="1"/>
  <c r="F10" i="39"/>
  <c r="AM10" i="39" s="1"/>
  <c r="N10" i="39"/>
  <c r="G10" i="39"/>
  <c r="O10" i="39"/>
  <c r="H10" i="39"/>
  <c r="P10" i="39"/>
  <c r="I10" i="39"/>
  <c r="Q10" i="39"/>
  <c r="AP10" i="39"/>
  <c r="B10" i="39"/>
  <c r="AF10" i="39" s="1"/>
  <c r="J10" i="39"/>
  <c r="AN10" i="39" s="1"/>
  <c r="C10" i="39"/>
  <c r="K10" i="39"/>
  <c r="AK10" i="39" s="1"/>
  <c r="D10" i="39"/>
  <c r="AJ10" i="39" s="1"/>
  <c r="L10" i="39"/>
  <c r="AQ10" i="39" s="1"/>
  <c r="AC6" i="39"/>
  <c r="AL6" i="39"/>
  <c r="AE6" i="39"/>
  <c r="AU6" i="39"/>
  <c r="I6" i="39"/>
  <c r="Z6" i="39" s="1"/>
  <c r="AP6" i="39" s="1"/>
  <c r="Q6" i="39"/>
  <c r="B6" i="39"/>
  <c r="AF6" i="39" s="1"/>
  <c r="J6" i="39"/>
  <c r="AN6" i="39" s="1"/>
  <c r="C6" i="39"/>
  <c r="K6" i="39"/>
  <c r="AK6" i="39" s="1"/>
  <c r="D6" i="39"/>
  <c r="AJ6" i="39" s="1"/>
  <c r="L6" i="39"/>
  <c r="AQ6" i="39" s="1"/>
  <c r="E6" i="39"/>
  <c r="M6" i="39"/>
  <c r="AS6" i="39" s="1"/>
  <c r="F6" i="39"/>
  <c r="AM6" i="39" s="1"/>
  <c r="N6" i="39"/>
  <c r="G6" i="39"/>
  <c r="O6" i="39"/>
  <c r="H6" i="39"/>
  <c r="P6" i="39"/>
  <c r="AU81" i="39"/>
  <c r="I81" i="39"/>
  <c r="Q81" i="39"/>
  <c r="Z81" i="39"/>
  <c r="AP81" i="39" s="1"/>
  <c r="B81" i="39"/>
  <c r="AF81" i="39" s="1"/>
  <c r="J81" i="39"/>
  <c r="AN81" i="39" s="1"/>
  <c r="C81" i="39"/>
  <c r="K81" i="39"/>
  <c r="AK81" i="39" s="1"/>
  <c r="E81" i="39"/>
  <c r="M81" i="39"/>
  <c r="AS81" i="39" s="1"/>
  <c r="F81" i="39"/>
  <c r="AM81" i="39" s="1"/>
  <c r="N81" i="39"/>
  <c r="P81" i="39"/>
  <c r="D81" i="39"/>
  <c r="AJ81" i="39" s="1"/>
  <c r="L81" i="39"/>
  <c r="AQ81" i="39" s="1"/>
  <c r="O81" i="39"/>
  <c r="G81" i="39"/>
  <c r="H81" i="39"/>
  <c r="AU68" i="39"/>
  <c r="D68" i="39"/>
  <c r="AJ68" i="39" s="1"/>
  <c r="L68" i="39"/>
  <c r="AQ68" i="39" s="1"/>
  <c r="E68" i="39"/>
  <c r="F68" i="39"/>
  <c r="AM68" i="39" s="1"/>
  <c r="N68" i="39"/>
  <c r="I68" i="39"/>
  <c r="Q68" i="39"/>
  <c r="Z68" i="39"/>
  <c r="AP68" i="39" s="1"/>
  <c r="B68" i="39"/>
  <c r="AF68" i="39" s="1"/>
  <c r="J68" i="39"/>
  <c r="AN68" i="39" s="1"/>
  <c r="H68" i="39"/>
  <c r="K68" i="39"/>
  <c r="AK68" i="39" s="1"/>
  <c r="M68" i="39"/>
  <c r="AS68" i="39" s="1"/>
  <c r="P68" i="39"/>
  <c r="O68" i="39"/>
  <c r="C68" i="39"/>
  <c r="G68" i="39"/>
  <c r="AC22" i="39"/>
  <c r="AL22" i="39"/>
  <c r="AE22" i="39"/>
  <c r="AE117" i="39"/>
  <c r="AC117" i="39"/>
  <c r="AL117" i="39"/>
  <c r="AC113" i="39"/>
  <c r="AL113" i="39"/>
  <c r="AE113" i="39"/>
  <c r="AU79" i="39"/>
  <c r="C79" i="39"/>
  <c r="K79" i="39"/>
  <c r="AK79" i="39" s="1"/>
  <c r="D79" i="39"/>
  <c r="AJ79" i="39" s="1"/>
  <c r="L79" i="39"/>
  <c r="AQ79" i="39" s="1"/>
  <c r="E79" i="39"/>
  <c r="M79" i="39"/>
  <c r="AS79" i="39" s="1"/>
  <c r="G79" i="39"/>
  <c r="O79" i="39"/>
  <c r="H79" i="39"/>
  <c r="P79" i="39"/>
  <c r="B79" i="39"/>
  <c r="AF79" i="39" s="1"/>
  <c r="Z79" i="39"/>
  <c r="AP79" i="39" s="1"/>
  <c r="I79" i="39"/>
  <c r="F79" i="39"/>
  <c r="AM79" i="39" s="1"/>
  <c r="J79" i="39"/>
  <c r="AN79" i="39" s="1"/>
  <c r="N79" i="39"/>
  <c r="Q79" i="39"/>
  <c r="AU84" i="39"/>
  <c r="F84" i="39"/>
  <c r="AM84" i="39" s="1"/>
  <c r="N84" i="39"/>
  <c r="G84" i="39"/>
  <c r="O84" i="39"/>
  <c r="H84" i="39"/>
  <c r="P84" i="39"/>
  <c r="B84" i="39"/>
  <c r="AF84" i="39" s="1"/>
  <c r="J84" i="39"/>
  <c r="AN84" i="39" s="1"/>
  <c r="C84" i="39"/>
  <c r="K84" i="39"/>
  <c r="AK84" i="39" s="1"/>
  <c r="D84" i="39"/>
  <c r="AJ84" i="39" s="1"/>
  <c r="E84" i="39"/>
  <c r="L84" i="39"/>
  <c r="AQ84" i="39" s="1"/>
  <c r="I84" i="39"/>
  <c r="M84" i="39"/>
  <c r="AS84" i="39" s="1"/>
  <c r="Z84" i="39"/>
  <c r="AP84" i="39" s="1"/>
  <c r="Q84" i="39"/>
  <c r="AC90" i="39"/>
  <c r="AL90" i="39"/>
  <c r="AE90" i="39"/>
  <c r="AC110" i="39"/>
  <c r="AL110" i="39"/>
  <c r="AE110" i="39"/>
  <c r="AC106" i="39"/>
  <c r="AL106" i="39"/>
  <c r="AE106" i="39"/>
  <c r="AU104" i="39"/>
  <c r="B104" i="39"/>
  <c r="AF104" i="39" s="1"/>
  <c r="J104" i="39"/>
  <c r="AN104" i="39" s="1"/>
  <c r="C104" i="39"/>
  <c r="K104" i="39"/>
  <c r="AK104" i="39" s="1"/>
  <c r="D104" i="39"/>
  <c r="AJ104" i="39" s="1"/>
  <c r="L104" i="39"/>
  <c r="AQ104" i="39" s="1"/>
  <c r="F104" i="39"/>
  <c r="AM104" i="39" s="1"/>
  <c r="N104" i="39"/>
  <c r="G104" i="39"/>
  <c r="O104" i="39"/>
  <c r="Q104" i="39"/>
  <c r="P104" i="39"/>
  <c r="E104" i="39"/>
  <c r="Z104" i="39"/>
  <c r="AP104" i="39" s="1"/>
  <c r="H104" i="39"/>
  <c r="M104" i="39"/>
  <c r="AS104" i="39" s="1"/>
  <c r="I104" i="39"/>
  <c r="AU80" i="39"/>
  <c r="B80" i="39"/>
  <c r="AF80" i="39" s="1"/>
  <c r="J80" i="39"/>
  <c r="AN80" i="39" s="1"/>
  <c r="C80" i="39"/>
  <c r="K80" i="39"/>
  <c r="AK80" i="39" s="1"/>
  <c r="D80" i="39"/>
  <c r="AJ80" i="39" s="1"/>
  <c r="L80" i="39"/>
  <c r="AQ80" i="39" s="1"/>
  <c r="F80" i="39"/>
  <c r="AM80" i="39" s="1"/>
  <c r="N80" i="39"/>
  <c r="G80" i="39"/>
  <c r="O80" i="39"/>
  <c r="E80" i="39"/>
  <c r="Z80" i="39"/>
  <c r="AP80" i="39" s="1"/>
  <c r="H80" i="39"/>
  <c r="I80" i="39"/>
  <c r="Q80" i="39"/>
  <c r="M80" i="39"/>
  <c r="AS80" i="39" s="1"/>
  <c r="P80" i="39"/>
  <c r="AU110" i="39"/>
  <c r="D110" i="39"/>
  <c r="AJ110" i="39" s="1"/>
  <c r="L110" i="39"/>
  <c r="AQ110" i="39" s="1"/>
  <c r="F110" i="39"/>
  <c r="AM110" i="39" s="1"/>
  <c r="N110" i="39"/>
  <c r="H110" i="39"/>
  <c r="P110" i="39"/>
  <c r="I110" i="39"/>
  <c r="J110" i="39"/>
  <c r="AN110" i="39" s="1"/>
  <c r="M110" i="39"/>
  <c r="AS110" i="39" s="1"/>
  <c r="G110" i="39"/>
  <c r="K110" i="39"/>
  <c r="AK110" i="39" s="1"/>
  <c r="Z110" i="39"/>
  <c r="AP110" i="39" s="1"/>
  <c r="O110" i="39"/>
  <c r="B110" i="39"/>
  <c r="AF110" i="39" s="1"/>
  <c r="Q110" i="39"/>
  <c r="E110" i="39"/>
  <c r="C110" i="39"/>
  <c r="AC68" i="39"/>
  <c r="AL68" i="39"/>
  <c r="AE68" i="39"/>
  <c r="AC99" i="39"/>
  <c r="AL99" i="39"/>
  <c r="AE99" i="39"/>
  <c r="AU77" i="39"/>
  <c r="E77" i="39"/>
  <c r="M77" i="39"/>
  <c r="AS77" i="39" s="1"/>
  <c r="F77" i="39"/>
  <c r="AM77" i="39" s="1"/>
  <c r="N77" i="39"/>
  <c r="G77" i="39"/>
  <c r="O77" i="39"/>
  <c r="I77" i="39"/>
  <c r="Q77" i="39"/>
  <c r="Z77" i="39"/>
  <c r="AP77" i="39" s="1"/>
  <c r="B77" i="39"/>
  <c r="AF77" i="39" s="1"/>
  <c r="J77" i="39"/>
  <c r="AN77" i="39" s="1"/>
  <c r="K77" i="39"/>
  <c r="AK77" i="39" s="1"/>
  <c r="P77" i="39"/>
  <c r="L77" i="39"/>
  <c r="AQ77" i="39" s="1"/>
  <c r="H77" i="39"/>
  <c r="C77" i="39"/>
  <c r="D77" i="39"/>
  <c r="AJ77" i="39" s="1"/>
  <c r="AU107" i="39"/>
  <c r="G107" i="39"/>
  <c r="O107" i="39"/>
  <c r="I107" i="39"/>
  <c r="Q107" i="39"/>
  <c r="Z107" i="39"/>
  <c r="AP107" i="39" s="1"/>
  <c r="C107" i="39"/>
  <c r="K107" i="39"/>
  <c r="AK107" i="39" s="1"/>
  <c r="D107" i="39"/>
  <c r="AJ107" i="39" s="1"/>
  <c r="L107" i="39"/>
  <c r="AQ107" i="39" s="1"/>
  <c r="B107" i="39"/>
  <c r="AF107" i="39" s="1"/>
  <c r="E107" i="39"/>
  <c r="H107" i="39"/>
  <c r="F107" i="39"/>
  <c r="AM107" i="39" s="1"/>
  <c r="J107" i="39"/>
  <c r="AN107" i="39" s="1"/>
  <c r="M107" i="39"/>
  <c r="AS107" i="39" s="1"/>
  <c r="N107" i="39"/>
  <c r="P107" i="39"/>
  <c r="AU66" i="39"/>
  <c r="F66" i="39"/>
  <c r="AM66" i="39" s="1"/>
  <c r="N66" i="39"/>
  <c r="G66" i="39"/>
  <c r="O66" i="39"/>
  <c r="H66" i="39"/>
  <c r="P66" i="39"/>
  <c r="C66" i="39"/>
  <c r="K66" i="39"/>
  <c r="AK66" i="39" s="1"/>
  <c r="D66" i="39"/>
  <c r="AJ66" i="39" s="1"/>
  <c r="L66" i="39"/>
  <c r="AQ66" i="39" s="1"/>
  <c r="Q66" i="39"/>
  <c r="E66" i="39"/>
  <c r="I66" i="39"/>
  <c r="Z66" i="39" s="1"/>
  <c r="AP66" i="39" s="1"/>
  <c r="M66" i="39"/>
  <c r="AS66" i="39" s="1"/>
  <c r="J66" i="39"/>
  <c r="AN66" i="39" s="1"/>
  <c r="B66" i="39"/>
  <c r="AF66" i="39" s="1"/>
  <c r="AE96" i="39"/>
  <c r="AC96" i="39"/>
  <c r="AL96" i="39"/>
  <c r="AU74" i="39"/>
  <c r="H74" i="39"/>
  <c r="P74" i="39"/>
  <c r="I74" i="39"/>
  <c r="Z74" i="39" s="1"/>
  <c r="AP74" i="39" s="1"/>
  <c r="Q74" i="39"/>
  <c r="B74" i="39"/>
  <c r="AF74" i="39" s="1"/>
  <c r="J74" i="39"/>
  <c r="AN74" i="39" s="1"/>
  <c r="D74" i="39"/>
  <c r="AJ74" i="39" s="1"/>
  <c r="L74" i="39"/>
  <c r="AQ74" i="39" s="1"/>
  <c r="E74" i="39"/>
  <c r="M74" i="39"/>
  <c r="AS74" i="39" s="1"/>
  <c r="F74" i="39"/>
  <c r="AM74" i="39" s="1"/>
  <c r="C74" i="39"/>
  <c r="G74" i="39"/>
  <c r="K74" i="39"/>
  <c r="AK74" i="39" s="1"/>
  <c r="N74" i="39"/>
  <c r="O74" i="39"/>
  <c r="AC87" i="39"/>
  <c r="AL87" i="39"/>
  <c r="AE87" i="39"/>
  <c r="AC65" i="39"/>
  <c r="AL65" i="39"/>
  <c r="AE65" i="39"/>
  <c r="AC67" i="39"/>
  <c r="AL67" i="39"/>
  <c r="AE67" i="39"/>
  <c r="AE42" i="39"/>
  <c r="AC42" i="39"/>
  <c r="AL42" i="39"/>
  <c r="AC51" i="39"/>
  <c r="AL51" i="39"/>
  <c r="AE51" i="39"/>
  <c r="AC39" i="39"/>
  <c r="AL39" i="39"/>
  <c r="AE39" i="39"/>
  <c r="AU37" i="39"/>
  <c r="B37" i="39"/>
  <c r="AF37" i="39" s="1"/>
  <c r="J37" i="39"/>
  <c r="AN37" i="39" s="1"/>
  <c r="C37" i="39"/>
  <c r="K37" i="39"/>
  <c r="AK37" i="39" s="1"/>
  <c r="D37" i="39"/>
  <c r="AJ37" i="39" s="1"/>
  <c r="L37" i="39"/>
  <c r="AQ37" i="39" s="1"/>
  <c r="F37" i="39"/>
  <c r="AM37" i="39" s="1"/>
  <c r="N37" i="39"/>
  <c r="G37" i="39"/>
  <c r="O37" i="39"/>
  <c r="E37" i="39"/>
  <c r="H37" i="39"/>
  <c r="P37" i="39"/>
  <c r="Q37" i="39"/>
  <c r="I37" i="39"/>
  <c r="M37" i="39"/>
  <c r="AS37" i="39" s="1"/>
  <c r="AC49" i="39"/>
  <c r="AL49" i="39"/>
  <c r="AE49" i="39"/>
  <c r="AU27" i="39"/>
  <c r="D27" i="39"/>
  <c r="AJ27" i="39" s="1"/>
  <c r="L27" i="39"/>
  <c r="AQ27" i="39" s="1"/>
  <c r="E27" i="39"/>
  <c r="M27" i="39"/>
  <c r="AS27" i="39" s="1"/>
  <c r="F27" i="39"/>
  <c r="AM27" i="39" s="1"/>
  <c r="N27" i="39"/>
  <c r="H27" i="39"/>
  <c r="P27" i="39"/>
  <c r="I27" i="39"/>
  <c r="Z27" i="39" s="1"/>
  <c r="AP27" i="39" s="1"/>
  <c r="Q27" i="39"/>
  <c r="B27" i="39"/>
  <c r="AF27" i="39" s="1"/>
  <c r="J27" i="39"/>
  <c r="AN27" i="39" s="1"/>
  <c r="K27" i="39"/>
  <c r="AK27" i="39" s="1"/>
  <c r="C27" i="39"/>
  <c r="G27" i="39"/>
  <c r="O27" i="39"/>
  <c r="AC56" i="39"/>
  <c r="AL56" i="39"/>
  <c r="AE56" i="39"/>
  <c r="AU34" i="39"/>
  <c r="E34" i="39"/>
  <c r="M34" i="39"/>
  <c r="AS34" i="39" s="1"/>
  <c r="F34" i="39"/>
  <c r="AM34" i="39" s="1"/>
  <c r="N34" i="39"/>
  <c r="G34" i="39"/>
  <c r="O34" i="39"/>
  <c r="I34" i="39"/>
  <c r="Z34" i="39" s="1"/>
  <c r="AP34" i="39" s="1"/>
  <c r="Q34" i="39"/>
  <c r="B34" i="39"/>
  <c r="AF34" i="39" s="1"/>
  <c r="J34" i="39"/>
  <c r="AN34" i="39" s="1"/>
  <c r="L34" i="39"/>
  <c r="AQ34" i="39" s="1"/>
  <c r="P34" i="39"/>
  <c r="D34" i="39"/>
  <c r="AJ34" i="39" s="1"/>
  <c r="H34" i="39"/>
  <c r="C34" i="39"/>
  <c r="K34" i="39"/>
  <c r="AK34" i="39" s="1"/>
  <c r="AU48" i="39"/>
  <c r="G48" i="39"/>
  <c r="O48" i="39"/>
  <c r="H48" i="39"/>
  <c r="P48" i="39"/>
  <c r="I48" i="39"/>
  <c r="Z48" i="39" s="1"/>
  <c r="AP48" i="39" s="1"/>
  <c r="Q48" i="39"/>
  <c r="C48" i="39"/>
  <c r="K48" i="39"/>
  <c r="AK48" i="39" s="1"/>
  <c r="D48" i="39"/>
  <c r="AJ48" i="39" s="1"/>
  <c r="L48" i="39"/>
  <c r="AQ48" i="39" s="1"/>
  <c r="E48" i="39"/>
  <c r="F48" i="39"/>
  <c r="AM48" i="39" s="1"/>
  <c r="J48" i="39"/>
  <c r="AN48" i="39" s="1"/>
  <c r="M48" i="39"/>
  <c r="AS48" i="39" s="1"/>
  <c r="N48" i="39"/>
  <c r="B48" i="39"/>
  <c r="AF48" i="39" s="1"/>
  <c r="AE61" i="39"/>
  <c r="AC61" i="39"/>
  <c r="AL61" i="39"/>
  <c r="AU39" i="39"/>
  <c r="H39" i="39"/>
  <c r="P39" i="39"/>
  <c r="I39" i="39"/>
  <c r="Z39" i="39" s="1"/>
  <c r="AP39" i="39" s="1"/>
  <c r="Q39" i="39"/>
  <c r="B39" i="39"/>
  <c r="AF39" i="39" s="1"/>
  <c r="J39" i="39"/>
  <c r="AN39" i="39" s="1"/>
  <c r="D39" i="39"/>
  <c r="AJ39" i="39" s="1"/>
  <c r="L39" i="39"/>
  <c r="AQ39" i="39" s="1"/>
  <c r="E39" i="39"/>
  <c r="M39" i="39"/>
  <c r="AS39" i="39" s="1"/>
  <c r="O39" i="39"/>
  <c r="G39" i="39"/>
  <c r="K39" i="39"/>
  <c r="AK39" i="39" s="1"/>
  <c r="F39" i="39"/>
  <c r="AM39" i="39" s="1"/>
  <c r="N39" i="39"/>
  <c r="C39" i="39"/>
  <c r="AE28" i="39"/>
  <c r="AC28" i="39"/>
  <c r="AL28" i="39"/>
  <c r="AC10" i="39"/>
  <c r="AL10" i="39"/>
  <c r="AE10" i="39"/>
  <c r="AC8" i="39"/>
  <c r="AL8" i="39"/>
  <c r="AE8" i="39"/>
  <c r="AE4" i="39"/>
  <c r="AC4" i="39"/>
  <c r="AL4" i="39"/>
  <c r="AU118" i="39"/>
  <c r="E118" i="39"/>
  <c r="M118" i="39"/>
  <c r="AS118" i="39" s="1"/>
  <c r="N118" i="39"/>
  <c r="O118" i="39"/>
  <c r="F118" i="39"/>
  <c r="AM118" i="39" s="1"/>
  <c r="G118" i="39"/>
  <c r="D118" i="39"/>
  <c r="AJ118" i="39" s="1"/>
  <c r="H118" i="39"/>
  <c r="P118" i="39"/>
  <c r="K118" i="39"/>
  <c r="AK118" i="39" s="1"/>
  <c r="I118" i="39"/>
  <c r="Q118" i="39"/>
  <c r="Z118" i="39"/>
  <c r="AP118" i="39" s="1"/>
  <c r="C118" i="39"/>
  <c r="B118" i="39"/>
  <c r="AF118" i="39" s="1"/>
  <c r="J118" i="39"/>
  <c r="AN118" i="39" s="1"/>
  <c r="L118" i="39"/>
  <c r="AQ118" i="39" s="1"/>
  <c r="AU88" i="39"/>
  <c r="B88" i="39"/>
  <c r="AF88" i="39" s="1"/>
  <c r="J88" i="39"/>
  <c r="AN88" i="39" s="1"/>
  <c r="C88" i="39"/>
  <c r="K88" i="39"/>
  <c r="AK88" i="39" s="1"/>
  <c r="D88" i="39"/>
  <c r="AJ88" i="39" s="1"/>
  <c r="L88" i="39"/>
  <c r="AQ88" i="39" s="1"/>
  <c r="F88" i="39"/>
  <c r="AM88" i="39" s="1"/>
  <c r="N88" i="39"/>
  <c r="G88" i="39"/>
  <c r="O88" i="39"/>
  <c r="M88" i="39"/>
  <c r="AS88" i="39" s="1"/>
  <c r="Q88" i="39"/>
  <c r="P88" i="39"/>
  <c r="I88" i="39"/>
  <c r="H88" i="39"/>
  <c r="E88" i="39"/>
  <c r="Z88" i="39"/>
  <c r="AP88" i="39" s="1"/>
  <c r="AU117" i="39"/>
  <c r="F117" i="39"/>
  <c r="AM117" i="39" s="1"/>
  <c r="N117" i="39"/>
  <c r="G117" i="39"/>
  <c r="O117" i="39"/>
  <c r="H117" i="39"/>
  <c r="P117" i="39"/>
  <c r="I117" i="39"/>
  <c r="Q117" i="39"/>
  <c r="Z117" i="39"/>
  <c r="AP117" i="39" s="1"/>
  <c r="L117" i="39"/>
  <c r="AQ117" i="39" s="1"/>
  <c r="M117" i="39"/>
  <c r="AS117" i="39" s="1"/>
  <c r="B117" i="39"/>
  <c r="AF117" i="39" s="1"/>
  <c r="J117" i="39"/>
  <c r="AN117" i="39" s="1"/>
  <c r="D117" i="39"/>
  <c r="AJ117" i="39" s="1"/>
  <c r="E117" i="39"/>
  <c r="C117" i="39"/>
  <c r="K117" i="39"/>
  <c r="AK117" i="39" s="1"/>
  <c r="AE64" i="39"/>
  <c r="AC64" i="39"/>
  <c r="AL64" i="39"/>
  <c r="AC55" i="39"/>
  <c r="AL55" i="39"/>
  <c r="AE55" i="39"/>
  <c r="AC108" i="39"/>
  <c r="AE108" i="39"/>
  <c r="AL108" i="39"/>
  <c r="AU86" i="39"/>
  <c r="D86" i="39"/>
  <c r="AJ86" i="39" s="1"/>
  <c r="L86" i="39"/>
  <c r="AQ86" i="39" s="1"/>
  <c r="E86" i="39"/>
  <c r="M86" i="39"/>
  <c r="AS86" i="39" s="1"/>
  <c r="F86" i="39"/>
  <c r="AM86" i="39" s="1"/>
  <c r="N86" i="39"/>
  <c r="H86" i="39"/>
  <c r="P86" i="39"/>
  <c r="I86" i="39"/>
  <c r="Q86" i="39"/>
  <c r="Z86" i="39"/>
  <c r="AP86" i="39" s="1"/>
  <c r="C86" i="39"/>
  <c r="B86" i="39"/>
  <c r="AF86" i="39" s="1"/>
  <c r="G86" i="39"/>
  <c r="J86" i="39"/>
  <c r="AN86" i="39" s="1"/>
  <c r="K86" i="39"/>
  <c r="AK86" i="39" s="1"/>
  <c r="O86" i="39"/>
  <c r="AU60" i="39"/>
  <c r="C60" i="39"/>
  <c r="K60" i="39"/>
  <c r="AK60" i="39" s="1"/>
  <c r="D60" i="39"/>
  <c r="AJ60" i="39" s="1"/>
  <c r="L60" i="39"/>
  <c r="AQ60" i="39" s="1"/>
  <c r="E60" i="39"/>
  <c r="M60" i="39"/>
  <c r="AS60" i="39" s="1"/>
  <c r="G60" i="39"/>
  <c r="O60" i="39"/>
  <c r="H60" i="39"/>
  <c r="P60" i="39"/>
  <c r="B60" i="39"/>
  <c r="AF60" i="39" s="1"/>
  <c r="F60" i="39"/>
  <c r="AM60" i="39" s="1"/>
  <c r="I60" i="39"/>
  <c r="Q60" i="39"/>
  <c r="J60" i="39"/>
  <c r="AN60" i="39" s="1"/>
  <c r="N60" i="39"/>
  <c r="AC75" i="39"/>
  <c r="AL75" i="39"/>
  <c r="AE75" i="39"/>
  <c r="AC105" i="39"/>
  <c r="AL105" i="39"/>
  <c r="AE105" i="39"/>
  <c r="AU83" i="39"/>
  <c r="G83" i="39"/>
  <c r="O83" i="39"/>
  <c r="H83" i="39"/>
  <c r="P83" i="39"/>
  <c r="I83" i="39"/>
  <c r="Q83" i="39"/>
  <c r="Z83" i="39"/>
  <c r="AP83" i="39" s="1"/>
  <c r="C83" i="39"/>
  <c r="K83" i="39"/>
  <c r="AK83" i="39" s="1"/>
  <c r="D83" i="39"/>
  <c r="AJ83" i="39" s="1"/>
  <c r="L83" i="39"/>
  <c r="AQ83" i="39" s="1"/>
  <c r="J83" i="39"/>
  <c r="AN83" i="39" s="1"/>
  <c r="M83" i="39"/>
  <c r="AS83" i="39" s="1"/>
  <c r="N83" i="39"/>
  <c r="E83" i="39"/>
  <c r="F83" i="39"/>
  <c r="AM83" i="39" s="1"/>
  <c r="B83" i="39"/>
  <c r="AF83" i="39" s="1"/>
  <c r="AU57" i="39"/>
  <c r="F57" i="39"/>
  <c r="AM57" i="39" s="1"/>
  <c r="N57" i="39"/>
  <c r="G57" i="39"/>
  <c r="O57" i="39"/>
  <c r="H57" i="39"/>
  <c r="P57" i="39"/>
  <c r="B57" i="39"/>
  <c r="AF57" i="39" s="1"/>
  <c r="J57" i="39"/>
  <c r="AN57" i="39" s="1"/>
  <c r="C57" i="39"/>
  <c r="K57" i="39"/>
  <c r="AK57" i="39" s="1"/>
  <c r="M57" i="39"/>
  <c r="AS57" i="39" s="1"/>
  <c r="Q57" i="39"/>
  <c r="E57" i="39"/>
  <c r="I57" i="39"/>
  <c r="Z57" i="39" s="1"/>
  <c r="AP57" i="39" s="1"/>
  <c r="L57" i="39"/>
  <c r="AQ57" i="39" s="1"/>
  <c r="D57" i="39"/>
  <c r="AJ57" i="39" s="1"/>
  <c r="AE72" i="39"/>
  <c r="AC72" i="39"/>
  <c r="AL72" i="39"/>
  <c r="AU105" i="39"/>
  <c r="I105" i="39"/>
  <c r="Q105" i="39"/>
  <c r="Z105" i="39"/>
  <c r="AP105" i="39" s="1"/>
  <c r="B105" i="39"/>
  <c r="AF105" i="39" s="1"/>
  <c r="J105" i="39"/>
  <c r="AN105" i="39" s="1"/>
  <c r="C105" i="39"/>
  <c r="K105" i="39"/>
  <c r="AK105" i="39" s="1"/>
  <c r="E105" i="39"/>
  <c r="M105" i="39"/>
  <c r="AS105" i="39" s="1"/>
  <c r="F105" i="39"/>
  <c r="AM105" i="39" s="1"/>
  <c r="N105" i="39"/>
  <c r="O105" i="39"/>
  <c r="P105" i="39"/>
  <c r="D105" i="39"/>
  <c r="AJ105" i="39" s="1"/>
  <c r="L105" i="39"/>
  <c r="AQ105" i="39" s="1"/>
  <c r="G105" i="39"/>
  <c r="H105" i="39"/>
  <c r="AU64" i="39"/>
  <c r="H64" i="39"/>
  <c r="P64" i="39"/>
  <c r="F64" i="39"/>
  <c r="AM64" i="39" s="1"/>
  <c r="O64" i="39"/>
  <c r="G64" i="39"/>
  <c r="Q64" i="39"/>
  <c r="I64" i="39"/>
  <c r="C64" i="39"/>
  <c r="L64" i="39"/>
  <c r="AQ64" i="39" s="1"/>
  <c r="D64" i="39"/>
  <c r="AJ64" i="39" s="1"/>
  <c r="M64" i="39"/>
  <c r="AS64" i="39" s="1"/>
  <c r="B64" i="39"/>
  <c r="AF64" i="39" s="1"/>
  <c r="E64" i="39"/>
  <c r="K64" i="39"/>
  <c r="AK64" i="39" s="1"/>
  <c r="N64" i="39"/>
  <c r="J64" i="39"/>
  <c r="AN64" i="39" s="1"/>
  <c r="AC19" i="39"/>
  <c r="AL19" i="39"/>
  <c r="AE19" i="39"/>
  <c r="AU41" i="39"/>
  <c r="F41" i="39"/>
  <c r="AM41" i="39" s="1"/>
  <c r="N41" i="39"/>
  <c r="G41" i="39"/>
  <c r="O41" i="39"/>
  <c r="H41" i="39"/>
  <c r="P41" i="39"/>
  <c r="B41" i="39"/>
  <c r="AF41" i="39" s="1"/>
  <c r="J41" i="39"/>
  <c r="AN41" i="39" s="1"/>
  <c r="C41" i="39"/>
  <c r="K41" i="39"/>
  <c r="AK41" i="39" s="1"/>
  <c r="I41" i="39"/>
  <c r="L41" i="39"/>
  <c r="AQ41" i="39" s="1"/>
  <c r="M41" i="39"/>
  <c r="AS41" i="39" s="1"/>
  <c r="D41" i="39"/>
  <c r="AJ41" i="39" s="1"/>
  <c r="Q41" i="39"/>
  <c r="E41" i="39"/>
  <c r="AC34" i="39"/>
  <c r="AL34" i="39"/>
  <c r="AE34" i="39"/>
  <c r="AE25" i="39"/>
  <c r="AC25" i="39"/>
  <c r="AL25" i="39"/>
  <c r="AC32" i="39"/>
  <c r="AL32" i="39"/>
  <c r="AE32" i="39"/>
  <c r="AC13" i="39"/>
  <c r="AL13" i="39"/>
  <c r="AE13" i="39"/>
  <c r="AC46" i="39"/>
  <c r="AL46" i="39"/>
  <c r="AE46" i="39"/>
  <c r="AU24" i="39"/>
  <c r="G24" i="39"/>
  <c r="O24" i="39"/>
  <c r="H24" i="39"/>
  <c r="P24" i="39"/>
  <c r="I24" i="39"/>
  <c r="Q24" i="39"/>
  <c r="Z24" i="39"/>
  <c r="AP24" i="39" s="1"/>
  <c r="C24" i="39"/>
  <c r="K24" i="39"/>
  <c r="AK24" i="39" s="1"/>
  <c r="D24" i="39"/>
  <c r="AJ24" i="39" s="1"/>
  <c r="L24" i="39"/>
  <c r="AQ24" i="39" s="1"/>
  <c r="F24" i="39"/>
  <c r="AM24" i="39" s="1"/>
  <c r="J24" i="39"/>
  <c r="AN24" i="39" s="1"/>
  <c r="M24" i="39"/>
  <c r="AS24" i="39" s="1"/>
  <c r="B24" i="39"/>
  <c r="AF24" i="39" s="1"/>
  <c r="N24" i="39"/>
  <c r="E24" i="39"/>
  <c r="AE37" i="39"/>
  <c r="AC37" i="39"/>
  <c r="AL37" i="39"/>
  <c r="AU15" i="39"/>
  <c r="H15" i="39"/>
  <c r="P15" i="39"/>
  <c r="I15" i="39"/>
  <c r="Z15" i="39" s="1"/>
  <c r="AP15" i="39" s="1"/>
  <c r="Q15" i="39"/>
  <c r="B15" i="39"/>
  <c r="AF15" i="39" s="1"/>
  <c r="J15" i="39"/>
  <c r="AN15" i="39" s="1"/>
  <c r="D15" i="39"/>
  <c r="AJ15" i="39" s="1"/>
  <c r="L15" i="39"/>
  <c r="AQ15" i="39" s="1"/>
  <c r="E15" i="39"/>
  <c r="M15" i="39"/>
  <c r="AS15" i="39" s="1"/>
  <c r="C15" i="39"/>
  <c r="K15" i="39"/>
  <c r="AK15" i="39" s="1"/>
  <c r="N15" i="39"/>
  <c r="G15" i="39"/>
  <c r="O15" i="39"/>
  <c r="F15" i="39"/>
  <c r="AM15" i="39" s="1"/>
  <c r="AU46" i="39"/>
  <c r="I46" i="39"/>
  <c r="Z46" i="39" s="1"/>
  <c r="AP46" i="39" s="1"/>
  <c r="Q46" i="39"/>
  <c r="B46" i="39"/>
  <c r="AF46" i="39" s="1"/>
  <c r="J46" i="39"/>
  <c r="AN46" i="39" s="1"/>
  <c r="C46" i="39"/>
  <c r="K46" i="39"/>
  <c r="AK46" i="39" s="1"/>
  <c r="E46" i="39"/>
  <c r="M46" i="39"/>
  <c r="AS46" i="39" s="1"/>
  <c r="F46" i="39"/>
  <c r="AM46" i="39" s="1"/>
  <c r="N46" i="39"/>
  <c r="L46" i="39"/>
  <c r="AQ46" i="39" s="1"/>
  <c r="O46" i="39"/>
  <c r="P46" i="39"/>
  <c r="D46" i="39"/>
  <c r="AJ46" i="39" s="1"/>
  <c r="G46" i="39"/>
  <c r="H46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H64" i="39" l="1"/>
  <c r="AB64" i="39"/>
  <c r="AH86" i="39"/>
  <c r="AB86" i="39"/>
  <c r="AD117" i="39"/>
  <c r="AO117" i="39"/>
  <c r="X117" i="39"/>
  <c r="Y117" i="39"/>
  <c r="AR88" i="39"/>
  <c r="R88" i="39"/>
  <c r="AD41" i="39"/>
  <c r="AO41" i="39"/>
  <c r="X41" i="39"/>
  <c r="Y41" i="39"/>
  <c r="AR41" i="39"/>
  <c r="R41" i="39"/>
  <c r="AO64" i="39"/>
  <c r="AD64" i="39"/>
  <c r="Y64" i="39"/>
  <c r="X64" i="39"/>
  <c r="AR68" i="39"/>
  <c r="R68" i="39"/>
  <c r="AD46" i="39"/>
  <c r="AO46" i="39"/>
  <c r="Y46" i="39"/>
  <c r="X46" i="39"/>
  <c r="AO15" i="39"/>
  <c r="AD15" i="39"/>
  <c r="Y15" i="39"/>
  <c r="X15" i="39"/>
  <c r="AB24" i="39"/>
  <c r="AH24" i="39"/>
  <c r="AB41" i="39"/>
  <c r="AH41" i="39"/>
  <c r="AR105" i="39"/>
  <c r="R105" i="39"/>
  <c r="AR60" i="39"/>
  <c r="R60" i="39"/>
  <c r="AD86" i="39"/>
  <c r="AO86" i="39"/>
  <c r="Y86" i="39"/>
  <c r="X86" i="39"/>
  <c r="AR58" i="39"/>
  <c r="R58" i="39"/>
  <c r="AR64" i="39"/>
  <c r="R64" i="39"/>
  <c r="AD60" i="39"/>
  <c r="AO60" i="39"/>
  <c r="X60" i="39"/>
  <c r="Y60" i="39"/>
  <c r="AR117" i="39"/>
  <c r="R117" i="39"/>
  <c r="AR39" i="39"/>
  <c r="R39" i="39"/>
  <c r="AD27" i="39"/>
  <c r="AO27" i="39"/>
  <c r="Y27" i="39"/>
  <c r="X27" i="39"/>
  <c r="AH66" i="39"/>
  <c r="AB66" i="39"/>
  <c r="AR107" i="39"/>
  <c r="R107" i="39"/>
  <c r="AD81" i="39"/>
  <c r="AO81" i="39"/>
  <c r="X81" i="39"/>
  <c r="Y81" i="39"/>
  <c r="AR30" i="39"/>
  <c r="R30" i="39"/>
  <c r="AD44" i="39"/>
  <c r="AO44" i="39"/>
  <c r="X44" i="39"/>
  <c r="Y44" i="39"/>
  <c r="AB108" i="39"/>
  <c r="AH108" i="39"/>
  <c r="AR112" i="39"/>
  <c r="R112" i="39"/>
  <c r="AR100" i="39"/>
  <c r="R100" i="39"/>
  <c r="AR95" i="39"/>
  <c r="R95" i="39"/>
  <c r="AB54" i="39"/>
  <c r="AH54" i="39"/>
  <c r="AD32" i="39"/>
  <c r="AO32" i="39"/>
  <c r="X32" i="39"/>
  <c r="Y32" i="39"/>
  <c r="AB36" i="39"/>
  <c r="AH36" i="39"/>
  <c r="AD33" i="39"/>
  <c r="AO33" i="39"/>
  <c r="X33" i="39"/>
  <c r="Y33" i="39"/>
  <c r="AD14" i="39"/>
  <c r="AO14" i="39"/>
  <c r="X14" i="39"/>
  <c r="Y14" i="39"/>
  <c r="AR42" i="39"/>
  <c r="R42" i="39"/>
  <c r="AD61" i="39"/>
  <c r="AO61" i="39"/>
  <c r="X61" i="39"/>
  <c r="Y61" i="39"/>
  <c r="AH85" i="39"/>
  <c r="AB85" i="39"/>
  <c r="AR55" i="39"/>
  <c r="R55" i="39"/>
  <c r="AR50" i="39"/>
  <c r="R50" i="39"/>
  <c r="AO96" i="39"/>
  <c r="AD96" i="39"/>
  <c r="X96" i="39"/>
  <c r="Y96" i="39"/>
  <c r="AB16" i="39"/>
  <c r="AH16" i="39"/>
  <c r="AH109" i="39"/>
  <c r="AB109" i="39"/>
  <c r="AH78" i="39"/>
  <c r="AB78" i="39"/>
  <c r="AB103" i="39"/>
  <c r="AH103" i="39"/>
  <c r="AH114" i="39"/>
  <c r="AB114" i="39"/>
  <c r="AD114" i="39"/>
  <c r="AO114" i="39"/>
  <c r="Y114" i="39"/>
  <c r="X114" i="39"/>
  <c r="AD29" i="39"/>
  <c r="AO29" i="39"/>
  <c r="X29" i="39"/>
  <c r="Y29" i="39"/>
  <c r="AB29" i="39"/>
  <c r="AH29" i="39"/>
  <c r="AH102" i="39"/>
  <c r="AB102" i="39"/>
  <c r="AR116" i="39"/>
  <c r="R116" i="39"/>
  <c r="AR119" i="39"/>
  <c r="R119" i="39"/>
  <c r="AD9" i="39"/>
  <c r="AO9" i="39"/>
  <c r="X9" i="39"/>
  <c r="Y9" i="39"/>
  <c r="AR4" i="39"/>
  <c r="R4" i="39"/>
  <c r="AH4" i="39"/>
  <c r="AB4" i="39"/>
  <c r="AH74" i="39"/>
  <c r="AB74" i="39"/>
  <c r="AH15" i="39"/>
  <c r="AB15" i="39"/>
  <c r="AR24" i="39"/>
  <c r="R24" i="39"/>
  <c r="AP64" i="39"/>
  <c r="AD105" i="39"/>
  <c r="AO105" i="39"/>
  <c r="X105" i="39"/>
  <c r="Y105" i="39"/>
  <c r="AD57" i="39"/>
  <c r="AO57" i="39"/>
  <c r="X57" i="39"/>
  <c r="Y57" i="39"/>
  <c r="AH83" i="39"/>
  <c r="AB83" i="39"/>
  <c r="AO37" i="39"/>
  <c r="AD37" i="39"/>
  <c r="X37" i="39"/>
  <c r="Y37" i="39"/>
  <c r="AB105" i="39"/>
  <c r="AH105" i="39"/>
  <c r="AR57" i="39"/>
  <c r="R57" i="39"/>
  <c r="AO83" i="39"/>
  <c r="AD83" i="39"/>
  <c r="X83" i="39"/>
  <c r="Y83" i="39"/>
  <c r="AH118" i="39"/>
  <c r="AB118" i="39"/>
  <c r="AR118" i="39"/>
  <c r="R118" i="39"/>
  <c r="AR110" i="39"/>
  <c r="R110" i="39"/>
  <c r="AB84" i="39"/>
  <c r="AH84" i="39"/>
  <c r="AR12" i="39"/>
  <c r="R12" i="39"/>
  <c r="AH12" i="39"/>
  <c r="AB12" i="39"/>
  <c r="AR51" i="39"/>
  <c r="R51" i="39"/>
  <c r="AR44" i="39"/>
  <c r="R44" i="39"/>
  <c r="AD69" i="39"/>
  <c r="AO69" i="39"/>
  <c r="Y69" i="39"/>
  <c r="X69" i="39"/>
  <c r="AD108" i="39"/>
  <c r="AO108" i="39"/>
  <c r="Y108" i="39"/>
  <c r="X108" i="39"/>
  <c r="AH93" i="39"/>
  <c r="AB93" i="39"/>
  <c r="AR93" i="39"/>
  <c r="R93" i="39"/>
  <c r="AR5" i="39"/>
  <c r="R5" i="39"/>
  <c r="AB5" i="39"/>
  <c r="AH5" i="39"/>
  <c r="AR54" i="39"/>
  <c r="R54" i="39"/>
  <c r="AH23" i="39"/>
  <c r="AB23" i="39"/>
  <c r="AD87" i="39"/>
  <c r="AO87" i="39"/>
  <c r="X87" i="39"/>
  <c r="Y87" i="39"/>
  <c r="AB87" i="39"/>
  <c r="AH87" i="39"/>
  <c r="AR92" i="39"/>
  <c r="R92" i="39"/>
  <c r="AR33" i="39"/>
  <c r="R33" i="39"/>
  <c r="AB73" i="39"/>
  <c r="AH73" i="39"/>
  <c r="AD82" i="39"/>
  <c r="AO82" i="39"/>
  <c r="Y82" i="39"/>
  <c r="X82" i="39"/>
  <c r="AH50" i="39"/>
  <c r="AB50" i="39"/>
  <c r="AR38" i="39"/>
  <c r="R38" i="39"/>
  <c r="AD21" i="39"/>
  <c r="AO21" i="39"/>
  <c r="X21" i="39"/>
  <c r="Y21" i="39"/>
  <c r="AR106" i="39"/>
  <c r="R106" i="39"/>
  <c r="AR75" i="39"/>
  <c r="R75" i="39"/>
  <c r="AH20" i="39"/>
  <c r="AB20" i="39"/>
  <c r="AB11" i="39"/>
  <c r="AH11" i="39"/>
  <c r="AH62" i="39"/>
  <c r="AB62" i="39"/>
  <c r="AO40" i="39"/>
  <c r="AD40" i="39"/>
  <c r="X40" i="39"/>
  <c r="Y40" i="39"/>
  <c r="AR99" i="39"/>
  <c r="R99" i="39"/>
  <c r="AD13" i="39"/>
  <c r="AO13" i="39"/>
  <c r="X13" i="39"/>
  <c r="Y13" i="39"/>
  <c r="AD43" i="39"/>
  <c r="AO43" i="39"/>
  <c r="Y43" i="39"/>
  <c r="X43" i="39"/>
  <c r="AR15" i="39"/>
  <c r="R15" i="39"/>
  <c r="AR83" i="39"/>
  <c r="R83" i="39"/>
  <c r="AB60" i="39"/>
  <c r="AH60" i="39"/>
  <c r="AO48" i="39"/>
  <c r="AD48" i="39"/>
  <c r="X48" i="39"/>
  <c r="Y48" i="39"/>
  <c r="AD34" i="39"/>
  <c r="AO34" i="39"/>
  <c r="X34" i="39"/>
  <c r="Y34" i="39"/>
  <c r="AO88" i="39"/>
  <c r="AD88" i="39"/>
  <c r="X88" i="39"/>
  <c r="Y88" i="39"/>
  <c r="AO80" i="39"/>
  <c r="AD80" i="39"/>
  <c r="X80" i="39"/>
  <c r="Y80" i="39"/>
  <c r="AR84" i="39"/>
  <c r="R84" i="39"/>
  <c r="AD79" i="39"/>
  <c r="AO79" i="39"/>
  <c r="X79" i="39"/>
  <c r="Y79" i="39"/>
  <c r="AB68" i="39"/>
  <c r="AH68" i="39"/>
  <c r="AB44" i="39"/>
  <c r="AH44" i="39"/>
  <c r="AB89" i="39"/>
  <c r="AH89" i="39"/>
  <c r="AD98" i="39"/>
  <c r="AO98" i="39"/>
  <c r="Y98" i="39"/>
  <c r="X98" i="39"/>
  <c r="AR108" i="39"/>
  <c r="R108" i="39"/>
  <c r="AR46" i="39"/>
  <c r="R46" i="39"/>
  <c r="Z41" i="39"/>
  <c r="AP41" i="39" s="1"/>
  <c r="AR48" i="39"/>
  <c r="R48" i="39"/>
  <c r="AR27" i="39"/>
  <c r="R27" i="39"/>
  <c r="AD68" i="39"/>
  <c r="AO68" i="39"/>
  <c r="Y68" i="39"/>
  <c r="X68" i="39"/>
  <c r="AR81" i="39"/>
  <c r="R81" i="39"/>
  <c r="AB46" i="39"/>
  <c r="AH46" i="39"/>
  <c r="AD24" i="39"/>
  <c r="AO24" i="39"/>
  <c r="X24" i="39"/>
  <c r="Y24" i="39"/>
  <c r="Z60" i="39"/>
  <c r="AP60" i="39" s="1"/>
  <c r="AR86" i="39"/>
  <c r="R86" i="39"/>
  <c r="AH88" i="39"/>
  <c r="AB88" i="39"/>
  <c r="AD39" i="39"/>
  <c r="AO39" i="39"/>
  <c r="Y39" i="39"/>
  <c r="X39" i="39"/>
  <c r="AH48" i="39"/>
  <c r="AB48" i="39"/>
  <c r="AB27" i="39"/>
  <c r="AH27" i="39"/>
  <c r="Z37" i="39"/>
  <c r="AP37" i="39" s="1"/>
  <c r="AD66" i="39"/>
  <c r="AO66" i="39"/>
  <c r="X66" i="39"/>
  <c r="Y66" i="39"/>
  <c r="AH110" i="39"/>
  <c r="AB110" i="39"/>
  <c r="AH80" i="39"/>
  <c r="AB80" i="39"/>
  <c r="AD6" i="39"/>
  <c r="AO6" i="39"/>
  <c r="X6" i="39"/>
  <c r="Y6" i="39"/>
  <c r="AH10" i="39"/>
  <c r="AB10" i="39"/>
  <c r="AD63" i="39"/>
  <c r="AO63" i="39"/>
  <c r="X63" i="39"/>
  <c r="Y63" i="39"/>
  <c r="AH101" i="39"/>
  <c r="AB101" i="39"/>
  <c r="AH112" i="39"/>
  <c r="AB112" i="39"/>
  <c r="AB100" i="39"/>
  <c r="AH100" i="39"/>
  <c r="AR17" i="39"/>
  <c r="R17" i="39"/>
  <c r="AB3" i="39"/>
  <c r="AH3" i="39"/>
  <c r="AR49" i="39"/>
  <c r="R49" i="39"/>
  <c r="AB65" i="39"/>
  <c r="AH65" i="39"/>
  <c r="AD65" i="39"/>
  <c r="AO65" i="39"/>
  <c r="X65" i="39"/>
  <c r="Y65" i="39"/>
  <c r="AR36" i="39"/>
  <c r="R36" i="39"/>
  <c r="AR91" i="39"/>
  <c r="R91" i="39"/>
  <c r="AR47" i="39"/>
  <c r="R47" i="39"/>
  <c r="AR56" i="39"/>
  <c r="R56" i="39"/>
  <c r="AR73" i="39"/>
  <c r="R73" i="39"/>
  <c r="AH96" i="39"/>
  <c r="AB96" i="39"/>
  <c r="AB38" i="39"/>
  <c r="AH38" i="39"/>
  <c r="AD59" i="39"/>
  <c r="AO59" i="39"/>
  <c r="Y59" i="39"/>
  <c r="X59" i="39"/>
  <c r="AB21" i="39"/>
  <c r="AH21" i="39"/>
  <c r="AH75" i="39"/>
  <c r="AB75" i="39"/>
  <c r="AR103" i="39"/>
  <c r="R103" i="39"/>
  <c r="AO20" i="39"/>
  <c r="AD20" i="39"/>
  <c r="X20" i="39"/>
  <c r="Y20" i="39"/>
  <c r="AR29" i="39"/>
  <c r="R29" i="39"/>
  <c r="AO45" i="39"/>
  <c r="AD45" i="39"/>
  <c r="X45" i="39"/>
  <c r="Y45" i="39"/>
  <c r="AD25" i="39"/>
  <c r="AO25" i="39"/>
  <c r="X25" i="39"/>
  <c r="Y25" i="39"/>
  <c r="AH99" i="39"/>
  <c r="AB99" i="39"/>
  <c r="AD116" i="39"/>
  <c r="AO116" i="39"/>
  <c r="X116" i="39"/>
  <c r="Y116" i="39"/>
  <c r="AD71" i="39"/>
  <c r="AO71" i="39"/>
  <c r="X71" i="39"/>
  <c r="Y71" i="39"/>
  <c r="AD119" i="39"/>
  <c r="AO119" i="39"/>
  <c r="X119" i="39"/>
  <c r="Y119" i="39"/>
  <c r="AO7" i="39"/>
  <c r="AD7" i="39"/>
  <c r="Y7" i="39"/>
  <c r="X7" i="39"/>
  <c r="AD22" i="39"/>
  <c r="AO22" i="39"/>
  <c r="X22" i="39"/>
  <c r="Y22" i="39"/>
  <c r="AB79" i="39"/>
  <c r="AH79" i="39"/>
  <c r="AB81" i="39"/>
  <c r="AH81" i="39"/>
  <c r="AR10" i="39"/>
  <c r="R10" i="39"/>
  <c r="AD30" i="39"/>
  <c r="AO30" i="39"/>
  <c r="X30" i="39"/>
  <c r="Y30" i="39"/>
  <c r="AR63" i="39"/>
  <c r="R63" i="39"/>
  <c r="AR69" i="39"/>
  <c r="R69" i="39"/>
  <c r="AR98" i="39"/>
  <c r="R98" i="39"/>
  <c r="AD101" i="39"/>
  <c r="AO101" i="39"/>
  <c r="X101" i="39"/>
  <c r="Y101" i="39"/>
  <c r="AH70" i="39"/>
  <c r="AB70" i="39"/>
  <c r="AD70" i="39"/>
  <c r="AO70" i="39"/>
  <c r="Y70" i="39"/>
  <c r="X70" i="39"/>
  <c r="AO112" i="39"/>
  <c r="AD112" i="39"/>
  <c r="X112" i="39"/>
  <c r="Y112" i="39"/>
  <c r="AR94" i="39"/>
  <c r="R94" i="39"/>
  <c r="AD94" i="39"/>
  <c r="AO94" i="39"/>
  <c r="Y94" i="39"/>
  <c r="X94" i="39"/>
  <c r="AR111" i="39"/>
  <c r="R111" i="39"/>
  <c r="AD8" i="39"/>
  <c r="AO8" i="39"/>
  <c r="X8" i="39"/>
  <c r="Y8" i="39"/>
  <c r="AR3" i="39"/>
  <c r="R3" i="39"/>
  <c r="AH18" i="39"/>
  <c r="AB18" i="39"/>
  <c r="AD18" i="39"/>
  <c r="AO18" i="39"/>
  <c r="X18" i="39"/>
  <c r="Y18" i="39"/>
  <c r="AH91" i="39"/>
  <c r="AB91" i="39"/>
  <c r="AR87" i="39"/>
  <c r="R87" i="39"/>
  <c r="AB92" i="39"/>
  <c r="AH92" i="39"/>
  <c r="AH33" i="39"/>
  <c r="AB33" i="39"/>
  <c r="AR90" i="39"/>
  <c r="R90" i="39"/>
  <c r="AH14" i="39"/>
  <c r="AB14" i="39"/>
  <c r="AD47" i="39"/>
  <c r="AO47" i="39"/>
  <c r="Y47" i="39"/>
  <c r="X47" i="39"/>
  <c r="AH56" i="39"/>
  <c r="AB56" i="39"/>
  <c r="AR82" i="39"/>
  <c r="R82" i="39"/>
  <c r="AD16" i="39"/>
  <c r="AO16" i="39"/>
  <c r="X16" i="39"/>
  <c r="Y16" i="39"/>
  <c r="AH59" i="39"/>
  <c r="AB59" i="39"/>
  <c r="AO53" i="39"/>
  <c r="AD53" i="39"/>
  <c r="X53" i="39"/>
  <c r="Y53" i="39"/>
  <c r="AD97" i="39"/>
  <c r="AO97" i="39"/>
  <c r="X97" i="39"/>
  <c r="Y97" i="39"/>
  <c r="AD78" i="39"/>
  <c r="AO78" i="39"/>
  <c r="Y78" i="39"/>
  <c r="X78" i="39"/>
  <c r="AD103" i="39"/>
  <c r="AO103" i="39"/>
  <c r="X103" i="39"/>
  <c r="Y103" i="39"/>
  <c r="AR76" i="39"/>
  <c r="R76" i="39"/>
  <c r="AR20" i="39"/>
  <c r="R20" i="39"/>
  <c r="AR115" i="39"/>
  <c r="R115" i="39"/>
  <c r="AH115" i="39"/>
  <c r="AB115" i="39"/>
  <c r="AR11" i="39"/>
  <c r="R11" i="39"/>
  <c r="AR31" i="39"/>
  <c r="R31" i="39"/>
  <c r="AR19" i="39"/>
  <c r="R19" i="39"/>
  <c r="AO67" i="39"/>
  <c r="AD67" i="39"/>
  <c r="X67" i="39"/>
  <c r="Y67" i="39"/>
  <c r="AH67" i="39"/>
  <c r="AB67" i="39"/>
  <c r="AD102" i="39"/>
  <c r="AO102" i="39"/>
  <c r="Y102" i="39"/>
  <c r="X102" i="39"/>
  <c r="AH9" i="39"/>
  <c r="AB9" i="39"/>
  <c r="AO72" i="39"/>
  <c r="AD72" i="39"/>
  <c r="X72" i="39"/>
  <c r="Y72" i="39"/>
  <c r="AH117" i="39"/>
  <c r="AB117" i="39"/>
  <c r="AH37" i="39"/>
  <c r="AB37" i="39"/>
  <c r="AH107" i="39"/>
  <c r="AB107" i="39"/>
  <c r="AH77" i="39"/>
  <c r="AB77" i="39"/>
  <c r="AD118" i="39"/>
  <c r="AO118" i="39"/>
  <c r="X118" i="39"/>
  <c r="Y118" i="39"/>
  <c r="AH39" i="39"/>
  <c r="AB39" i="39"/>
  <c r="AH34" i="39"/>
  <c r="AB34" i="39"/>
  <c r="AR74" i="39"/>
  <c r="R74" i="39"/>
  <c r="AR66" i="39"/>
  <c r="R66" i="39"/>
  <c r="AD77" i="39"/>
  <c r="AO77" i="39"/>
  <c r="X77" i="39"/>
  <c r="Y77" i="39"/>
  <c r="AD110" i="39"/>
  <c r="AO110" i="39"/>
  <c r="Y110" i="39"/>
  <c r="X110" i="39"/>
  <c r="AR80" i="39"/>
  <c r="R80" i="39"/>
  <c r="AH104" i="39"/>
  <c r="AB104" i="39"/>
  <c r="AD84" i="39"/>
  <c r="AO84" i="39"/>
  <c r="X84" i="39"/>
  <c r="Y84" i="39"/>
  <c r="AB63" i="39"/>
  <c r="AH63" i="39"/>
  <c r="AD89" i="39"/>
  <c r="AO89" i="39"/>
  <c r="X89" i="39"/>
  <c r="Y89" i="39"/>
  <c r="AR70" i="39"/>
  <c r="R70" i="39"/>
  <c r="AD100" i="39"/>
  <c r="AO100" i="39"/>
  <c r="X100" i="39"/>
  <c r="Y100" i="39"/>
  <c r="AD17" i="39"/>
  <c r="AO17" i="39"/>
  <c r="X17" i="39"/>
  <c r="Y17" i="39"/>
  <c r="AH17" i="39"/>
  <c r="AB17" i="39"/>
  <c r="AD95" i="39"/>
  <c r="AO95" i="39"/>
  <c r="X95" i="39"/>
  <c r="Y95" i="39"/>
  <c r="AH94" i="39"/>
  <c r="AB94" i="39"/>
  <c r="AR32" i="39"/>
  <c r="R32" i="39"/>
  <c r="AD49" i="39"/>
  <c r="AO49" i="39"/>
  <c r="X49" i="39"/>
  <c r="Y49" i="39"/>
  <c r="AB49" i="39"/>
  <c r="AH49" i="39"/>
  <c r="AB113" i="39"/>
  <c r="AH113" i="39"/>
  <c r="AH28" i="39"/>
  <c r="AB28" i="39"/>
  <c r="AH90" i="39"/>
  <c r="AB90" i="39"/>
  <c r="AR14" i="39"/>
  <c r="R14" i="39"/>
  <c r="AH61" i="39"/>
  <c r="AB61" i="39"/>
  <c r="AH55" i="39"/>
  <c r="AB55" i="39"/>
  <c r="AR96" i="39"/>
  <c r="R96" i="39"/>
  <c r="Z21" i="39"/>
  <c r="AP21" i="39" s="1"/>
  <c r="AR21" i="39"/>
  <c r="R21" i="39"/>
  <c r="AH53" i="39"/>
  <c r="AB53" i="39"/>
  <c r="AR114" i="39"/>
  <c r="R114" i="39"/>
  <c r="AD26" i="39"/>
  <c r="AO26" i="39"/>
  <c r="X26" i="39"/>
  <c r="Y26" i="39"/>
  <c r="AB19" i="39"/>
  <c r="AH19" i="39"/>
  <c r="Z29" i="39"/>
  <c r="AP29" i="39" s="1"/>
  <c r="Z25" i="39"/>
  <c r="AP25" i="39" s="1"/>
  <c r="AB116" i="39"/>
  <c r="AH116" i="39"/>
  <c r="AR7" i="39"/>
  <c r="R7" i="39"/>
  <c r="AR9" i="39"/>
  <c r="R9" i="39"/>
  <c r="AO4" i="39"/>
  <c r="AD4" i="39"/>
  <c r="X4" i="39"/>
  <c r="Y4" i="39"/>
  <c r="AR43" i="39"/>
  <c r="R43" i="39"/>
  <c r="AH72" i="39"/>
  <c r="AB72" i="39"/>
  <c r="AR79" i="39"/>
  <c r="R79" i="39"/>
  <c r="AR6" i="39"/>
  <c r="R6" i="39"/>
  <c r="AH6" i="39"/>
  <c r="AB6" i="39"/>
  <c r="AO12" i="39"/>
  <c r="AD12" i="39"/>
  <c r="X12" i="39"/>
  <c r="Y12" i="39"/>
  <c r="AH58" i="39"/>
  <c r="AB58" i="39"/>
  <c r="AD58" i="39"/>
  <c r="AO58" i="39"/>
  <c r="X58" i="39"/>
  <c r="Y58" i="39"/>
  <c r="AD51" i="39"/>
  <c r="Y51" i="39"/>
  <c r="X51" i="39"/>
  <c r="AO51" i="39"/>
  <c r="AR89" i="39"/>
  <c r="R89" i="39"/>
  <c r="AH98" i="39"/>
  <c r="AB98" i="39"/>
  <c r="AR101" i="39"/>
  <c r="R101" i="39"/>
  <c r="AB111" i="39"/>
  <c r="AH111" i="39"/>
  <c r="AD5" i="39"/>
  <c r="AO5" i="39"/>
  <c r="X5" i="39"/>
  <c r="Y5" i="39"/>
  <c r="AD54" i="39"/>
  <c r="AO54" i="39"/>
  <c r="Y54" i="39"/>
  <c r="X54" i="39"/>
  <c r="AO23" i="39"/>
  <c r="AD23" i="39"/>
  <c r="Y23" i="39"/>
  <c r="X23" i="39"/>
  <c r="AB32" i="39"/>
  <c r="AH32" i="39"/>
  <c r="AR18" i="39"/>
  <c r="R18" i="39"/>
  <c r="AD36" i="39"/>
  <c r="AO36" i="39"/>
  <c r="X36" i="39"/>
  <c r="Y36" i="39"/>
  <c r="AR113" i="39"/>
  <c r="R113" i="39"/>
  <c r="AD113" i="39"/>
  <c r="AO113" i="39"/>
  <c r="Y113" i="39"/>
  <c r="X113" i="39"/>
  <c r="AH42" i="39"/>
  <c r="AB42" i="39"/>
  <c r="AH82" i="39"/>
  <c r="AB82" i="39"/>
  <c r="AD85" i="39"/>
  <c r="AO85" i="39"/>
  <c r="X85" i="39"/>
  <c r="Y85" i="39"/>
  <c r="AD55" i="39"/>
  <c r="AO55" i="39"/>
  <c r="Y55" i="39"/>
  <c r="X55" i="39"/>
  <c r="AD52" i="39"/>
  <c r="AO52" i="39"/>
  <c r="X52" i="39"/>
  <c r="Y52" i="39"/>
  <c r="AB52" i="39"/>
  <c r="AH52" i="39"/>
  <c r="AD106" i="39"/>
  <c r="AO106" i="39"/>
  <c r="Y106" i="39"/>
  <c r="X106" i="39"/>
  <c r="AO75" i="39"/>
  <c r="AD75" i="39"/>
  <c r="X75" i="39"/>
  <c r="Y75" i="39"/>
  <c r="AD109" i="39"/>
  <c r="AO109" i="39"/>
  <c r="X109" i="39"/>
  <c r="Y109" i="39"/>
  <c r="AD76" i="39"/>
  <c r="AO76" i="39"/>
  <c r="X76" i="39"/>
  <c r="Y76" i="39"/>
  <c r="AB76" i="39"/>
  <c r="AH76" i="39"/>
  <c r="AH31" i="39"/>
  <c r="AB31" i="39"/>
  <c r="AR40" i="39"/>
  <c r="R40" i="39"/>
  <c r="AH45" i="39"/>
  <c r="AB45" i="39"/>
  <c r="AR25" i="39"/>
  <c r="R25" i="39"/>
  <c r="AO99" i="39"/>
  <c r="AD99" i="39"/>
  <c r="X99" i="39"/>
  <c r="Y99" i="39"/>
  <c r="AB71" i="39"/>
  <c r="AH71" i="39"/>
  <c r="AH7" i="39"/>
  <c r="AB7" i="39"/>
  <c r="AR22" i="39"/>
  <c r="R22" i="39"/>
  <c r="AH22" i="39"/>
  <c r="AB22" i="39"/>
  <c r="AR13" i="39"/>
  <c r="R13" i="39"/>
  <c r="AB13" i="39"/>
  <c r="AH13" i="39"/>
  <c r="AH43" i="39"/>
  <c r="AB43" i="39"/>
  <c r="AO107" i="39"/>
  <c r="AD107" i="39"/>
  <c r="X107" i="39"/>
  <c r="Y107" i="39"/>
  <c r="AR77" i="39"/>
  <c r="R77" i="39"/>
  <c r="AO104" i="39"/>
  <c r="AD104" i="39"/>
  <c r="X104" i="39"/>
  <c r="Y104" i="39"/>
  <c r="AR104" i="39"/>
  <c r="R104" i="39"/>
  <c r="AH30" i="39"/>
  <c r="AB30" i="39"/>
  <c r="AH51" i="39"/>
  <c r="AB51" i="39"/>
  <c r="AB95" i="39"/>
  <c r="AH95" i="39"/>
  <c r="AB8" i="39"/>
  <c r="AH8" i="39"/>
  <c r="AR65" i="39"/>
  <c r="R65" i="39"/>
  <c r="AO91" i="39"/>
  <c r="AD91" i="39"/>
  <c r="X91" i="39"/>
  <c r="Y91" i="39"/>
  <c r="AR28" i="39"/>
  <c r="R28" i="39"/>
  <c r="AD92" i="39"/>
  <c r="AO92" i="39"/>
  <c r="X92" i="39"/>
  <c r="Y92" i="39"/>
  <c r="AD90" i="39"/>
  <c r="AO90" i="39"/>
  <c r="Y90" i="39"/>
  <c r="X90" i="39"/>
  <c r="AO56" i="39"/>
  <c r="AD56" i="39"/>
  <c r="X56" i="39"/>
  <c r="Y56" i="39"/>
  <c r="AD42" i="39"/>
  <c r="AO42" i="39"/>
  <c r="X42" i="39"/>
  <c r="Y42" i="39"/>
  <c r="AR35" i="39"/>
  <c r="R35" i="39"/>
  <c r="AD35" i="39"/>
  <c r="AO35" i="39"/>
  <c r="Y35" i="39"/>
  <c r="X35" i="39"/>
  <c r="AR61" i="39"/>
  <c r="R61" i="39"/>
  <c r="AD73" i="39"/>
  <c r="AO73" i="39"/>
  <c r="X73" i="39"/>
  <c r="Y73" i="39"/>
  <c r="AD50" i="39"/>
  <c r="AO50" i="39"/>
  <c r="X50" i="39"/>
  <c r="Y50" i="39"/>
  <c r="AR53" i="39"/>
  <c r="R53" i="39"/>
  <c r="AB97" i="39"/>
  <c r="AH97" i="39"/>
  <c r="AO115" i="39"/>
  <c r="AD115" i="39"/>
  <c r="Y115" i="39"/>
  <c r="X115" i="39"/>
  <c r="AD62" i="39"/>
  <c r="AO62" i="39"/>
  <c r="Y62" i="39"/>
  <c r="X62" i="39"/>
  <c r="AO31" i="39"/>
  <c r="AD31" i="39"/>
  <c r="Y31" i="39"/>
  <c r="X31" i="39"/>
  <c r="AH40" i="39"/>
  <c r="AB40" i="39"/>
  <c r="AR26" i="39"/>
  <c r="R26" i="39"/>
  <c r="AR72" i="39"/>
  <c r="R72" i="39"/>
  <c r="AB57" i="39"/>
  <c r="AH57" i="39"/>
  <c r="AR37" i="39"/>
  <c r="R37" i="39"/>
  <c r="AR34" i="39"/>
  <c r="R34" i="39"/>
  <c r="AD74" i="39"/>
  <c r="AO74" i="39"/>
  <c r="Y74" i="39"/>
  <c r="X74" i="39"/>
  <c r="AD10" i="39"/>
  <c r="AO10" i="39"/>
  <c r="X10" i="39"/>
  <c r="Y10" i="39"/>
  <c r="AH69" i="39"/>
  <c r="AB69" i="39"/>
  <c r="AD111" i="39"/>
  <c r="AO111" i="39"/>
  <c r="X111" i="39"/>
  <c r="Y111" i="39"/>
  <c r="AD93" i="39"/>
  <c r="AO93" i="39"/>
  <c r="X93" i="39"/>
  <c r="Y93" i="39"/>
  <c r="AR8" i="39"/>
  <c r="R8" i="39"/>
  <c r="AD3" i="39"/>
  <c r="AO3" i="39"/>
  <c r="X3" i="39"/>
  <c r="Y3" i="39"/>
  <c r="AR23" i="39"/>
  <c r="R23" i="39"/>
  <c r="AO28" i="39"/>
  <c r="AD28" i="39"/>
  <c r="X28" i="39"/>
  <c r="Y28" i="39"/>
  <c r="AH47" i="39"/>
  <c r="AB47" i="39"/>
  <c r="AB35" i="39"/>
  <c r="AH35" i="39"/>
  <c r="AR85" i="39"/>
  <c r="R85" i="39"/>
  <c r="AD38" i="39"/>
  <c r="AO38" i="39"/>
  <c r="X38" i="39"/>
  <c r="Y38" i="39"/>
  <c r="AR16" i="39"/>
  <c r="R16" i="39"/>
  <c r="AR59" i="39"/>
  <c r="R59" i="39"/>
  <c r="AR97" i="39"/>
  <c r="R97" i="39"/>
  <c r="AR52" i="39"/>
  <c r="R52" i="39"/>
  <c r="AH106" i="39"/>
  <c r="AB106" i="39"/>
  <c r="AR109" i="39"/>
  <c r="R109" i="39"/>
  <c r="AR78" i="39"/>
  <c r="R78" i="39"/>
  <c r="AD11" i="39"/>
  <c r="AO11" i="39"/>
  <c r="X11" i="39"/>
  <c r="Y11" i="39"/>
  <c r="AR62" i="39"/>
  <c r="R62" i="39"/>
  <c r="AH26" i="39"/>
  <c r="AB26" i="39"/>
  <c r="AD19" i="39"/>
  <c r="AO19" i="39"/>
  <c r="Y19" i="39"/>
  <c r="X19" i="39"/>
  <c r="AR45" i="39"/>
  <c r="R45" i="39"/>
  <c r="AH25" i="39"/>
  <c r="AB25" i="39"/>
  <c r="AR67" i="39"/>
  <c r="R67" i="39"/>
  <c r="AR102" i="39"/>
  <c r="R102" i="39"/>
  <c r="AR71" i="39"/>
  <c r="R71" i="39"/>
  <c r="AB119" i="39"/>
  <c r="AH119" i="39"/>
  <c r="S2" i="39"/>
  <c r="AE2" i="39" s="1"/>
  <c r="A26" i="43"/>
  <c r="A2" i="39"/>
  <c r="P2" i="39" s="1"/>
  <c r="T2" i="39"/>
  <c r="A17" i="43"/>
  <c r="AI22" i="39" l="1"/>
  <c r="V22" i="39"/>
  <c r="W22" i="39"/>
  <c r="AI63" i="39"/>
  <c r="W63" i="39"/>
  <c r="V63" i="39"/>
  <c r="AI31" i="39"/>
  <c r="V31" i="39"/>
  <c r="W31" i="39"/>
  <c r="AI58" i="39"/>
  <c r="V58" i="39"/>
  <c r="W58" i="39"/>
  <c r="AI97" i="39"/>
  <c r="V97" i="39"/>
  <c r="W97" i="39"/>
  <c r="AI111" i="39"/>
  <c r="V111" i="39"/>
  <c r="W111" i="39"/>
  <c r="AI116" i="39"/>
  <c r="V116" i="39"/>
  <c r="W116" i="39"/>
  <c r="AI90" i="39"/>
  <c r="V90" i="39"/>
  <c r="W90" i="39"/>
  <c r="AI117" i="39"/>
  <c r="W117" i="39"/>
  <c r="V117" i="39"/>
  <c r="AI115" i="39"/>
  <c r="W115" i="39"/>
  <c r="V115" i="39"/>
  <c r="AI59" i="39"/>
  <c r="V59" i="39"/>
  <c r="W59" i="39"/>
  <c r="AI56" i="39"/>
  <c r="V56" i="39"/>
  <c r="W56" i="39"/>
  <c r="AI91" i="39"/>
  <c r="V91" i="39"/>
  <c r="W91" i="39"/>
  <c r="AI99" i="39"/>
  <c r="V99" i="39"/>
  <c r="W99" i="39"/>
  <c r="AI101" i="39"/>
  <c r="V101" i="39"/>
  <c r="W101" i="39"/>
  <c r="AI68" i="39"/>
  <c r="W68" i="39"/>
  <c r="V68" i="39"/>
  <c r="AI60" i="39"/>
  <c r="V60" i="39"/>
  <c r="W60" i="39"/>
  <c r="AI87" i="39"/>
  <c r="V87" i="39"/>
  <c r="W87" i="39"/>
  <c r="AI105" i="39"/>
  <c r="V105" i="39"/>
  <c r="W105" i="39"/>
  <c r="AI85" i="39"/>
  <c r="V85" i="39"/>
  <c r="W85" i="39"/>
  <c r="AI61" i="39"/>
  <c r="W61" i="39"/>
  <c r="V61" i="39"/>
  <c r="AI106" i="39"/>
  <c r="V106" i="39"/>
  <c r="W106" i="39"/>
  <c r="AI69" i="39"/>
  <c r="V69" i="39"/>
  <c r="W69" i="39"/>
  <c r="AI113" i="39"/>
  <c r="V113" i="39"/>
  <c r="W113" i="39"/>
  <c r="AI25" i="39"/>
  <c r="W25" i="39"/>
  <c r="V25" i="39"/>
  <c r="AI26" i="39"/>
  <c r="V26" i="39"/>
  <c r="W26" i="39"/>
  <c r="AI40" i="39"/>
  <c r="V40" i="39"/>
  <c r="W40" i="39"/>
  <c r="AI30" i="39"/>
  <c r="V30" i="39"/>
  <c r="W30" i="39"/>
  <c r="AI7" i="39"/>
  <c r="V7" i="39"/>
  <c r="W7" i="39"/>
  <c r="AI82" i="39"/>
  <c r="V82" i="39"/>
  <c r="W82" i="39"/>
  <c r="AI81" i="39"/>
  <c r="V81" i="39"/>
  <c r="W81" i="39"/>
  <c r="AI3" i="39"/>
  <c r="V3" i="39"/>
  <c r="W3" i="39"/>
  <c r="AI103" i="39"/>
  <c r="V103" i="39"/>
  <c r="W103" i="39"/>
  <c r="AI36" i="39"/>
  <c r="V36" i="39"/>
  <c r="W36" i="39"/>
  <c r="AI24" i="39"/>
  <c r="V24" i="39"/>
  <c r="W24" i="39"/>
  <c r="AI6" i="39"/>
  <c r="V6" i="39"/>
  <c r="W6" i="39"/>
  <c r="AI119" i="39"/>
  <c r="V119" i="39"/>
  <c r="W119" i="39"/>
  <c r="AI13" i="39"/>
  <c r="V13" i="39"/>
  <c r="W13" i="39"/>
  <c r="AI76" i="39"/>
  <c r="W76" i="39"/>
  <c r="V76" i="39"/>
  <c r="AI32" i="39"/>
  <c r="V32" i="39"/>
  <c r="W32" i="39"/>
  <c r="AI55" i="39"/>
  <c r="V55" i="39"/>
  <c r="W55" i="39"/>
  <c r="AI28" i="39"/>
  <c r="V28" i="39"/>
  <c r="W28" i="39"/>
  <c r="AI104" i="39"/>
  <c r="W104" i="39"/>
  <c r="V104" i="39"/>
  <c r="AI34" i="39"/>
  <c r="V34" i="39"/>
  <c r="W34" i="39"/>
  <c r="AI77" i="39"/>
  <c r="V77" i="39"/>
  <c r="W77" i="39"/>
  <c r="AI33" i="39"/>
  <c r="W33" i="39"/>
  <c r="V33" i="39"/>
  <c r="AI75" i="39"/>
  <c r="W75" i="39"/>
  <c r="V75" i="39"/>
  <c r="AI73" i="39"/>
  <c r="V73" i="39"/>
  <c r="W73" i="39"/>
  <c r="AI5" i="39"/>
  <c r="V5" i="39"/>
  <c r="W5" i="39"/>
  <c r="AI84" i="39"/>
  <c r="W84" i="39"/>
  <c r="V84" i="39"/>
  <c r="AI15" i="39"/>
  <c r="V15" i="39"/>
  <c r="W15" i="39"/>
  <c r="AI102" i="39"/>
  <c r="V102" i="39"/>
  <c r="W102" i="39"/>
  <c r="AI78" i="39"/>
  <c r="V78" i="39"/>
  <c r="W78" i="39"/>
  <c r="AI52" i="39"/>
  <c r="V52" i="39"/>
  <c r="W52" i="39"/>
  <c r="AI45" i="39"/>
  <c r="W45" i="39"/>
  <c r="V45" i="39"/>
  <c r="AI42" i="39"/>
  <c r="V42" i="39"/>
  <c r="W42" i="39"/>
  <c r="AI98" i="39"/>
  <c r="V98" i="39"/>
  <c r="W98" i="39"/>
  <c r="AI72" i="39"/>
  <c r="W72" i="39"/>
  <c r="V72" i="39"/>
  <c r="AI53" i="39"/>
  <c r="W53" i="39"/>
  <c r="V53" i="39"/>
  <c r="AI79" i="39"/>
  <c r="V79" i="39"/>
  <c r="W79" i="39"/>
  <c r="AI38" i="39"/>
  <c r="V38" i="39"/>
  <c r="W38" i="39"/>
  <c r="AI62" i="39"/>
  <c r="V62" i="39"/>
  <c r="W62" i="39"/>
  <c r="AI50" i="39"/>
  <c r="V50" i="39"/>
  <c r="W50" i="39"/>
  <c r="AI96" i="39"/>
  <c r="W96" i="39"/>
  <c r="V96" i="39"/>
  <c r="AI80" i="39"/>
  <c r="W80" i="39"/>
  <c r="V80" i="39"/>
  <c r="AI89" i="39"/>
  <c r="V89" i="39"/>
  <c r="W89" i="39"/>
  <c r="AI74" i="39"/>
  <c r="V74" i="39"/>
  <c r="W74" i="39"/>
  <c r="AI109" i="39"/>
  <c r="V109" i="39"/>
  <c r="W109" i="39"/>
  <c r="AI66" i="39"/>
  <c r="W66" i="39"/>
  <c r="V66" i="39"/>
  <c r="AI86" i="39"/>
  <c r="V86" i="39"/>
  <c r="W86" i="39"/>
  <c r="AI21" i="39"/>
  <c r="W21" i="39"/>
  <c r="V21" i="39"/>
  <c r="AI65" i="39"/>
  <c r="V65" i="39"/>
  <c r="W65" i="39"/>
  <c r="W100" i="39"/>
  <c r="AI100" i="39"/>
  <c r="V100" i="39"/>
  <c r="AI88" i="39"/>
  <c r="W88" i="39"/>
  <c r="V88" i="39"/>
  <c r="AI23" i="39"/>
  <c r="V23" i="39"/>
  <c r="W23" i="39"/>
  <c r="AI12" i="39"/>
  <c r="V12" i="39"/>
  <c r="W12" i="39"/>
  <c r="AI83" i="39"/>
  <c r="V83" i="39"/>
  <c r="W83" i="39"/>
  <c r="AI29" i="39"/>
  <c r="W29" i="39"/>
  <c r="V29" i="39"/>
  <c r="AI57" i="39"/>
  <c r="W57" i="39"/>
  <c r="V57" i="39"/>
  <c r="AI8" i="39"/>
  <c r="V8" i="39"/>
  <c r="W8" i="39"/>
  <c r="AI71" i="39"/>
  <c r="V71" i="39"/>
  <c r="W71" i="39"/>
  <c r="AI17" i="39"/>
  <c r="W17" i="39"/>
  <c r="V17" i="39"/>
  <c r="AI92" i="39"/>
  <c r="W92" i="39"/>
  <c r="V92" i="39"/>
  <c r="AI95" i="39"/>
  <c r="V95" i="39"/>
  <c r="W95" i="39"/>
  <c r="AI94" i="39"/>
  <c r="V94" i="39"/>
  <c r="W94" i="39"/>
  <c r="AI37" i="39"/>
  <c r="W37" i="39"/>
  <c r="V37" i="39"/>
  <c r="AI9" i="39"/>
  <c r="W9" i="39"/>
  <c r="V9" i="39"/>
  <c r="AI14" i="39"/>
  <c r="V14" i="39"/>
  <c r="W14" i="39"/>
  <c r="AI18" i="39"/>
  <c r="V18" i="39"/>
  <c r="W18" i="39"/>
  <c r="AI70" i="39"/>
  <c r="V70" i="39"/>
  <c r="W70" i="39"/>
  <c r="AI112" i="39"/>
  <c r="W112" i="39"/>
  <c r="V112" i="39"/>
  <c r="AI10" i="39"/>
  <c r="V10" i="39"/>
  <c r="W10" i="39"/>
  <c r="AI110" i="39"/>
  <c r="W110" i="39"/>
  <c r="V110" i="39"/>
  <c r="AI27" i="39"/>
  <c r="V27" i="39"/>
  <c r="W27" i="39"/>
  <c r="AI44" i="39"/>
  <c r="V44" i="39"/>
  <c r="W44" i="39"/>
  <c r="AI11" i="39"/>
  <c r="V11" i="39"/>
  <c r="W11" i="39"/>
  <c r="AI4" i="39"/>
  <c r="V4" i="39"/>
  <c r="W4" i="39"/>
  <c r="AI114" i="39"/>
  <c r="V114" i="39"/>
  <c r="W114" i="39"/>
  <c r="AI64" i="39"/>
  <c r="V64" i="39"/>
  <c r="W64" i="39"/>
  <c r="AI19" i="39"/>
  <c r="V19" i="39"/>
  <c r="W19" i="39"/>
  <c r="AI39" i="39"/>
  <c r="V39" i="39"/>
  <c r="W39" i="39"/>
  <c r="AI107" i="39"/>
  <c r="V107" i="39"/>
  <c r="W107" i="39"/>
  <c r="AI67" i="39"/>
  <c r="V67" i="39"/>
  <c r="W67" i="39"/>
  <c r="AI35" i="39"/>
  <c r="V35" i="39"/>
  <c r="W35" i="39"/>
  <c r="AI47" i="39"/>
  <c r="V47" i="39"/>
  <c r="W47" i="39"/>
  <c r="AI51" i="39"/>
  <c r="V51" i="39"/>
  <c r="W51" i="39"/>
  <c r="AI43" i="39"/>
  <c r="V43" i="39"/>
  <c r="W43" i="39"/>
  <c r="AI49" i="39"/>
  <c r="W49" i="39"/>
  <c r="V49" i="39"/>
  <c r="AI48" i="39"/>
  <c r="V48" i="39"/>
  <c r="W48" i="39"/>
  <c r="AI46" i="39"/>
  <c r="V46" i="39"/>
  <c r="W46" i="39"/>
  <c r="AI20" i="39"/>
  <c r="V20" i="39"/>
  <c r="W20" i="39"/>
  <c r="AI93" i="39"/>
  <c r="V93" i="39"/>
  <c r="W93" i="39"/>
  <c r="AI118" i="39"/>
  <c r="V118" i="39"/>
  <c r="W118" i="39"/>
  <c r="AI16" i="39"/>
  <c r="V16" i="39"/>
  <c r="W16" i="39"/>
  <c r="AI54" i="39"/>
  <c r="V54" i="39"/>
  <c r="W54" i="39"/>
  <c r="AI108" i="39"/>
  <c r="W108" i="39"/>
  <c r="V108" i="39"/>
  <c r="AI41" i="39"/>
  <c r="W41" i="39"/>
  <c r="V41" i="39"/>
  <c r="Q2" i="39"/>
  <c r="B2" i="39"/>
  <c r="AC2" i="39"/>
  <c r="J2" i="39"/>
  <c r="AN2" i="39" s="1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K2" i="39"/>
  <c r="AU2" i="39"/>
  <c r="AF2" i="39"/>
  <c r="AV93" i="39" l="1"/>
  <c r="AW93" i="39"/>
  <c r="AT93" i="39"/>
  <c r="AT35" i="39"/>
  <c r="AV35" i="39"/>
  <c r="AW35" i="39"/>
  <c r="AT11" i="39"/>
  <c r="AV11" i="39"/>
  <c r="AW11" i="39"/>
  <c r="AV112" i="39"/>
  <c r="AW112" i="39"/>
  <c r="AT112" i="39"/>
  <c r="AT14" i="39"/>
  <c r="AV14" i="39"/>
  <c r="AW14" i="39"/>
  <c r="AT92" i="39"/>
  <c r="AV92" i="39"/>
  <c r="AW92" i="39"/>
  <c r="AT8" i="39"/>
  <c r="AV8" i="39"/>
  <c r="AW8" i="39"/>
  <c r="AT65" i="39"/>
  <c r="AV65" i="39"/>
  <c r="AW65" i="39"/>
  <c r="AV53" i="39"/>
  <c r="AW53" i="39"/>
  <c r="AT53" i="39"/>
  <c r="AV42" i="39"/>
  <c r="AW42" i="39"/>
  <c r="AT42" i="39"/>
  <c r="AT73" i="39"/>
  <c r="AV73" i="39"/>
  <c r="AW73" i="39"/>
  <c r="AV104" i="39"/>
  <c r="AW104" i="39"/>
  <c r="AT104" i="39"/>
  <c r="AT32" i="39"/>
  <c r="AV32" i="39"/>
  <c r="AW32" i="39"/>
  <c r="AT3" i="39"/>
  <c r="AV3" i="39"/>
  <c r="AW3" i="39"/>
  <c r="AT113" i="39"/>
  <c r="AV113" i="39"/>
  <c r="AW113" i="39"/>
  <c r="AT90" i="39"/>
  <c r="AV90" i="39"/>
  <c r="AW90" i="39"/>
  <c r="AW48" i="39"/>
  <c r="AT48" i="39"/>
  <c r="AV48" i="39"/>
  <c r="AT39" i="39"/>
  <c r="AV39" i="39"/>
  <c r="AW39" i="39"/>
  <c r="AT94" i="39"/>
  <c r="AV94" i="39"/>
  <c r="AW94" i="39"/>
  <c r="AT83" i="39"/>
  <c r="AV83" i="39"/>
  <c r="AW83" i="39"/>
  <c r="AV96" i="39"/>
  <c r="AW96" i="39"/>
  <c r="AT96" i="39"/>
  <c r="AT38" i="39"/>
  <c r="AV38" i="39"/>
  <c r="AW38" i="39"/>
  <c r="AT78" i="39"/>
  <c r="AV78" i="39"/>
  <c r="AW78" i="39"/>
  <c r="AV77" i="39"/>
  <c r="AW77" i="39"/>
  <c r="AT77" i="39"/>
  <c r="AT119" i="39"/>
  <c r="AV119" i="39"/>
  <c r="AW119" i="39"/>
  <c r="AW7" i="39"/>
  <c r="AT7" i="39"/>
  <c r="AV7" i="39"/>
  <c r="AT68" i="39"/>
  <c r="AV68" i="39"/>
  <c r="AW68" i="39"/>
  <c r="AW91" i="39"/>
  <c r="AT91" i="39"/>
  <c r="AV91" i="39"/>
  <c r="AT97" i="39"/>
  <c r="AV97" i="39"/>
  <c r="AW97" i="39"/>
  <c r="AT41" i="39"/>
  <c r="AV41" i="39"/>
  <c r="AW41" i="39"/>
  <c r="AT16" i="39"/>
  <c r="AV16" i="39"/>
  <c r="AW16" i="39"/>
  <c r="AT51" i="39"/>
  <c r="AV51" i="39"/>
  <c r="AW51" i="39"/>
  <c r="AT114" i="39"/>
  <c r="AV114" i="39"/>
  <c r="AW114" i="39"/>
  <c r="AT110" i="39"/>
  <c r="AV110" i="39"/>
  <c r="AW110" i="39"/>
  <c r="AT70" i="39"/>
  <c r="AV70" i="39"/>
  <c r="AW70" i="39"/>
  <c r="AT66" i="39"/>
  <c r="AV66" i="39"/>
  <c r="AW66" i="39"/>
  <c r="AT89" i="39"/>
  <c r="AV89" i="39"/>
  <c r="AW89" i="39"/>
  <c r="AV28" i="39"/>
  <c r="AW28" i="39"/>
  <c r="AT28" i="39"/>
  <c r="AT36" i="39"/>
  <c r="AV36" i="39"/>
  <c r="AW36" i="39"/>
  <c r="AT26" i="39"/>
  <c r="AV26" i="39"/>
  <c r="AW26" i="39"/>
  <c r="AV61" i="39"/>
  <c r="AW61" i="39"/>
  <c r="AT61" i="39"/>
  <c r="AT87" i="39"/>
  <c r="AV87" i="39"/>
  <c r="AW87" i="39"/>
  <c r="AV20" i="39"/>
  <c r="AW20" i="39"/>
  <c r="AT20" i="39"/>
  <c r="AW67" i="39"/>
  <c r="AT67" i="39"/>
  <c r="AV67" i="39"/>
  <c r="AT44" i="39"/>
  <c r="AV44" i="39"/>
  <c r="AW44" i="39"/>
  <c r="AV17" i="39"/>
  <c r="AW17" i="39"/>
  <c r="AT17" i="39"/>
  <c r="AV88" i="39"/>
  <c r="AW88" i="39"/>
  <c r="AT88" i="39"/>
  <c r="AV50" i="39"/>
  <c r="AW50" i="39"/>
  <c r="AT50" i="39"/>
  <c r="AV72" i="39"/>
  <c r="AW72" i="39"/>
  <c r="AT72" i="39"/>
  <c r="AT84" i="39"/>
  <c r="AV84" i="39"/>
  <c r="AW84" i="39"/>
  <c r="AT81" i="39"/>
  <c r="AV81" i="39"/>
  <c r="AW81" i="39"/>
  <c r="AV69" i="39"/>
  <c r="AW69" i="39"/>
  <c r="AT69" i="39"/>
  <c r="AV101" i="39"/>
  <c r="AW101" i="39"/>
  <c r="AT101" i="39"/>
  <c r="AW115" i="39"/>
  <c r="AT115" i="39"/>
  <c r="AV115" i="39"/>
  <c r="AT116" i="39"/>
  <c r="AV116" i="39"/>
  <c r="AW116" i="39"/>
  <c r="AT63" i="39"/>
  <c r="AV63" i="39"/>
  <c r="AW63" i="39"/>
  <c r="AT19" i="39"/>
  <c r="AV19" i="39"/>
  <c r="AW19" i="39"/>
  <c r="AT10" i="39"/>
  <c r="AV10" i="39"/>
  <c r="AW10" i="39"/>
  <c r="AV9" i="39"/>
  <c r="AW9" i="39"/>
  <c r="AT9" i="39"/>
  <c r="AT95" i="39"/>
  <c r="AV95" i="39"/>
  <c r="AW95" i="39"/>
  <c r="AT57" i="39"/>
  <c r="AV57" i="39"/>
  <c r="AW57" i="39"/>
  <c r="AV12" i="39"/>
  <c r="AW12" i="39"/>
  <c r="AT12" i="39"/>
  <c r="AT21" i="39"/>
  <c r="AV21" i="39"/>
  <c r="AW21" i="39"/>
  <c r="AV109" i="39"/>
  <c r="AW109" i="39"/>
  <c r="AT109" i="39"/>
  <c r="AT79" i="39"/>
  <c r="AV79" i="39"/>
  <c r="AW79" i="39"/>
  <c r="AV45" i="39"/>
  <c r="AW45" i="39"/>
  <c r="AT45" i="39"/>
  <c r="AT102" i="39"/>
  <c r="AV102" i="39"/>
  <c r="AW102" i="39"/>
  <c r="AW75" i="39"/>
  <c r="AT75" i="39"/>
  <c r="AV75" i="39"/>
  <c r="AT34" i="39"/>
  <c r="AV34" i="39"/>
  <c r="AW34" i="39"/>
  <c r="AT76" i="39"/>
  <c r="AV76" i="39"/>
  <c r="AW76" i="39"/>
  <c r="AT6" i="39"/>
  <c r="AV6" i="39"/>
  <c r="AW6" i="39"/>
  <c r="AT30" i="39"/>
  <c r="AV30" i="39"/>
  <c r="AW30" i="39"/>
  <c r="AV85" i="39"/>
  <c r="AW85" i="39"/>
  <c r="AT85" i="39"/>
  <c r="AW56" i="39"/>
  <c r="AT56" i="39"/>
  <c r="AV56" i="39"/>
  <c r="AV58" i="39"/>
  <c r="AW58" i="39"/>
  <c r="AT58" i="39"/>
  <c r="AT108" i="39"/>
  <c r="AV108" i="39"/>
  <c r="AW108" i="39"/>
  <c r="AT118" i="39"/>
  <c r="AV118" i="39"/>
  <c r="AW118" i="39"/>
  <c r="AT49" i="39"/>
  <c r="AV49" i="39"/>
  <c r="AW49" i="39"/>
  <c r="AT47" i="39"/>
  <c r="AV47" i="39"/>
  <c r="AW47" i="39"/>
  <c r="AV4" i="39"/>
  <c r="AW4" i="39"/>
  <c r="AT4" i="39"/>
  <c r="AT18" i="39"/>
  <c r="AV18" i="39"/>
  <c r="AW18" i="39"/>
  <c r="AT71" i="39"/>
  <c r="AV71" i="39"/>
  <c r="AW71" i="39"/>
  <c r="AT98" i="39"/>
  <c r="AV98" i="39"/>
  <c r="AW98" i="39"/>
  <c r="AT5" i="39"/>
  <c r="AV5" i="39"/>
  <c r="AW5" i="39"/>
  <c r="AT55" i="39"/>
  <c r="AV55" i="39"/>
  <c r="AW55" i="39"/>
  <c r="AT103" i="39"/>
  <c r="AV103" i="39"/>
  <c r="AW103" i="39"/>
  <c r="AT60" i="39"/>
  <c r="AV60" i="39"/>
  <c r="AW60" i="39"/>
  <c r="AT22" i="39"/>
  <c r="AV22" i="39"/>
  <c r="AW22" i="39"/>
  <c r="AT46" i="39"/>
  <c r="AV46" i="39"/>
  <c r="AW46" i="39"/>
  <c r="AW107" i="39"/>
  <c r="AT107" i="39"/>
  <c r="AV107" i="39"/>
  <c r="AT27" i="39"/>
  <c r="AV27" i="39"/>
  <c r="AW27" i="39"/>
  <c r="AT86" i="39"/>
  <c r="AV86" i="39"/>
  <c r="AW86" i="39"/>
  <c r="AV80" i="39"/>
  <c r="AW80" i="39"/>
  <c r="AT80" i="39"/>
  <c r="AT62" i="39"/>
  <c r="AV62" i="39"/>
  <c r="AW62" i="39"/>
  <c r="AT52" i="39"/>
  <c r="AV52" i="39"/>
  <c r="AW52" i="39"/>
  <c r="AT13" i="39"/>
  <c r="AV13" i="39"/>
  <c r="AW13" i="39"/>
  <c r="AT82" i="39"/>
  <c r="AV82" i="39"/>
  <c r="AW82" i="39"/>
  <c r="AV25" i="39"/>
  <c r="AW25" i="39"/>
  <c r="AT25" i="39"/>
  <c r="AT106" i="39"/>
  <c r="AV106" i="39"/>
  <c r="AW106" i="39"/>
  <c r="AW99" i="39"/>
  <c r="AT99" i="39"/>
  <c r="AV99" i="39"/>
  <c r="AV117" i="39"/>
  <c r="AW117" i="39"/>
  <c r="AT117" i="39"/>
  <c r="AT111" i="39"/>
  <c r="AV111" i="39"/>
  <c r="AW111" i="39"/>
  <c r="AT54" i="39"/>
  <c r="AV54" i="39"/>
  <c r="AW54" i="39"/>
  <c r="AT43" i="39"/>
  <c r="AV43" i="39"/>
  <c r="AW43" i="39"/>
  <c r="AV64" i="39"/>
  <c r="AW64" i="39"/>
  <c r="AT64" i="39"/>
  <c r="AV37" i="39"/>
  <c r="AW37" i="39"/>
  <c r="AT37" i="39"/>
  <c r="AT29" i="39"/>
  <c r="AV29" i="39"/>
  <c r="AW29" i="39"/>
  <c r="AW23" i="39"/>
  <c r="AT23" i="39"/>
  <c r="AV23" i="39"/>
  <c r="AT100" i="39"/>
  <c r="AV100" i="39"/>
  <c r="AW100" i="39"/>
  <c r="AT74" i="39"/>
  <c r="AV74" i="39"/>
  <c r="AW74" i="39"/>
  <c r="AW15" i="39"/>
  <c r="AT15" i="39"/>
  <c r="AV15" i="39"/>
  <c r="AV33" i="39"/>
  <c r="AW33" i="39"/>
  <c r="AT33" i="39"/>
  <c r="AT24" i="39"/>
  <c r="AV24" i="39"/>
  <c r="AW24" i="39"/>
  <c r="AW40" i="39"/>
  <c r="AT40" i="39"/>
  <c r="AV40" i="39"/>
  <c r="AT105" i="39"/>
  <c r="AV105" i="39"/>
  <c r="AW105" i="39"/>
  <c r="AW59" i="39"/>
  <c r="AT59" i="39"/>
  <c r="AV59" i="39"/>
  <c r="AW31" i="39"/>
  <c r="AT31" i="39"/>
  <c r="AV31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<sst xmlns="http://schemas.openxmlformats.org/spreadsheetml/2006/main" count="37366" uniqueCount="30203">
  <si>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</si>
  <si>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</si>
  <si>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</si>
  <si>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</si>
  <si>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</si>
  <si>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</si>
  <si>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</si>
  <si>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</si>
  <si>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</si>
  <si>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</si>
  <si>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</si>
  <si>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</si>
  <si>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</si>
  <si>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</si>
  <si>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</si>
  <si>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</si>
  <si>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</si>
  <si>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</si>
  <si>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</si>
  <si>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</si>
  <si>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</si>
  <si>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</si>
  <si>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</si>
  <si>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</si>
  <si>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</si>
  <si>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</si>
  <si>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</si>
  <si>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</si>
  <si>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</si>
  <si>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</si>
  <si>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</si>
  <si>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</si>
  <si>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</si>
  <si>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</si>
  <si>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</si>
  <si>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</si>
  <si>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</si>
  <si>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</si>
  <si>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</si>
  <si>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</si>
  <si>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</si>
  <si>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</si>
  <si>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</si>
  <si>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</si>
  <si>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</si>
  <si>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</si>
  <si>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</si>
  <si>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</si>
  <si>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</si>
  <si>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</si>
  <si>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</si>
  <si>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</si>
  <si>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</si>
  <si>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</si>
  <si>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</si>
  <si>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</si>
  <si>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</si>
  <si>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</si>
  <si>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</si>
  <si>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</si>
  <si>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</si>
  <si>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</si>
  <si>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</si>
  <si>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</si>
  <si>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</si>
  <si>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</si>
  <si>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</si>
  <si>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</si>
  <si>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</si>
  <si>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</si>
  <si>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</si>
  <si>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</si>
  <si>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</si>
  <si>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</si>
  <si>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</si>
  <si>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</si>
  <si>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</si>
  <si>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</si>
  <si>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</si>
  <si>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</si>
  <si>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</si>
  <si>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</si>
  <si>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</si>
  <si>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</si>
  <si>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</si>
  <si>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</si>
  <si>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</si>
  <si>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</si>
  <si>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</si>
  <si>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</si>
  <si>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</si>
  <si>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</si>
  <si>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</si>
  <si>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</si>
  <si>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</si>
  <si>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</si>
  <si>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</si>
  <si>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</si>
  <si>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</si>
  <si>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</si>
  <si>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</si>
  <si>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</si>
  <si>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</si>
  <si>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</si>
  <si>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</si>
  <si>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</si>
  <si>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</si>
  <si>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</si>
  <si>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</si>
  <si>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</si>
  <si>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</si>
  <si>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</si>
  <si>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</si>
  <si>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</si>
  <si>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</si>
  <si>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</si>
  <si>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</si>
  <si>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</si>
  <si>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</si>
  <si>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</si>
  <si>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</si>
  <si>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</si>
  <si>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</si>
  <si>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</si>
  <si>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</si>
  <si>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</si>
  <si>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</si>
  <si>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</si>
  <si>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</si>
  <si>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</si>
  <si>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</si>
  <si>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</si>
  <si>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</si>
  <si>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</si>
  <si>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</si>
  <si>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</si>
  <si>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</si>
  <si>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</si>
  <si>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</si>
  <si>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</si>
  <si>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</si>
  <si>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</si>
  <si>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</si>
  <si>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</si>
  <si>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</si>
  <si>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</si>
  <si>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</si>
  <si>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</si>
  <si>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</si>
  <si>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</si>
  <si>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</si>
  <si>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</si>
  <si>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</si>
  <si>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</si>
  <si>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</si>
  <si>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</si>
  <si>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</si>
  <si>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</si>
  <si>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</si>
  <si>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</si>
  <si>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</si>
  <si>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</si>
  <si>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</si>
  <si>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</si>
  <si>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</si>
  <si>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</si>
  <si>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</si>
  <si>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</si>
  <si>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</si>
  <si>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</si>
  <si>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</si>
  <si>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</si>
  <si>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</si>
  <si>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</si>
  <si>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</si>
  <si>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</si>
  <si>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</si>
  <si>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</si>
  <si>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</si>
  <si>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</si>
  <si>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</si>
  <si>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</si>
  <si>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</si>
  <si>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</si>
  <si>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</si>
  <si>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</si>
  <si>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</si>
  <si>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</si>
  <si>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</si>
  <si>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</si>
  <si>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</si>
  <si>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</si>
  <si>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</si>
  <si>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</si>
  <si>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</si>
  <si>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</si>
  <si>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</si>
  <si>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</si>
  <si>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</si>
  <si>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</si>
  <si>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</si>
  <si>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</si>
  <si>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</si>
  <si>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</si>
  <si>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</si>
  <si>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</si>
  <si>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</si>
  <si>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</si>
  <si>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</si>
  <si>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</si>
  <si>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</si>
  <si>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</si>
  <si>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</si>
  <si>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</si>
  <si>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</si>
  <si>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</si>
  <si>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</si>
  <si>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</si>
  <si>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</si>
  <si>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</si>
  <si>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</si>
  <si>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</si>
  <si>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</si>
  <si>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</si>
  <si>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</si>
  <si>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</si>
  <si>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</si>
  <si>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</si>
  <si>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</si>
  <si>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</si>
  <si>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</si>
  <si>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</si>
  <si>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</si>
  <si>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</si>
  <si>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</si>
  <si>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</si>
  <si>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</si>
  <si>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</si>
  <si>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</si>
  <si>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</si>
  <si>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</si>
  <si>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</si>
  <si>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</si>
  <si>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</si>
  <si>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</si>
  <si>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</si>
  <si>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</si>
  <si>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</si>
  <si>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</si>
  <si>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</si>
  <si>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</si>
  <si>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</si>
  <si>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</si>
  <si>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</si>
  <si>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</si>
  <si>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</si>
  <si>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</si>
  <si>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</si>
  <si>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</si>
  <si>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</si>
  <si>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</si>
  <si>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</si>
  <si>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</si>
  <si>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</si>
  <si>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</si>
  <si>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</si>
  <si>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</si>
  <si>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</si>
  <si>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</si>
  <si>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</si>
  <si>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</si>
  <si>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</si>
  <si>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</si>
  <si>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</si>
  <si>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</si>
  <si>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</si>
  <si>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</si>
  <si>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</si>
  <si>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</si>
  <si>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</si>
  <si>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</si>
  <si>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</si>
  <si>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</si>
  <si>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</si>
  <si>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</si>
  <si>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</si>
  <si>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</si>
  <si>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</si>
  <si>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</si>
  <si>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</si>
  <si>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</si>
  <si>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</si>
  <si>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</si>
  <si>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</si>
  <si>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</si>
  <si>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</si>
  <si>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</si>
  <si>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</si>
  <si>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</si>
  <si>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</si>
  <si>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</si>
  <si>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</si>
  <si>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</si>
  <si>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</si>
  <si>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</si>
  <si>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</si>
  <si>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</si>
  <si>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</si>
  <si>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</si>
  <si>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</si>
  <si>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</si>
  <si>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</si>
  <si>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</si>
  <si>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</si>
  <si>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</si>
  <si>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</si>
  <si>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</si>
  <si>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</si>
  <si>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</si>
  <si>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</si>
  <si>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</si>
  <si>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</si>
  <si>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</si>
  <si>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</si>
  <si>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</si>
  <si>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</si>
  <si>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</si>
  <si>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</si>
  <si>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</si>
  <si>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</si>
  <si>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</si>
  <si>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</si>
  <si>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</si>
  <si>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</si>
  <si>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</si>
  <si>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</si>
  <si>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</si>
  <si>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</si>
  <si>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</si>
  <si>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</si>
  <si>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</si>
  <si>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</si>
  <si>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</si>
  <si>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</si>
  <si>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</si>
  <si>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</si>
  <si>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</si>
  <si>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</si>
  <si>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</si>
  <si>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</si>
  <si>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</si>
  <si>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</si>
  <si>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</si>
  <si>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</si>
  <si>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</si>
  <si>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</si>
  <si>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</si>
  <si>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</si>
  <si>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</si>
  <si>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</si>
  <si>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</si>
  <si>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</si>
  <si>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</si>
  <si>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</si>
  <si>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</si>
  <si>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</si>
  <si>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</si>
  <si>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</si>
  <si>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</si>
  <si>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</si>
  <si>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</si>
  <si>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</si>
  <si>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</si>
  <si>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</si>
  <si>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</si>
  <si>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</si>
  <si>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</si>
  <si>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</si>
  <si>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</si>
  <si>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</si>
  <si>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</si>
  <si>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</si>
  <si>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</si>
  <si>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</si>
  <si>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</si>
  <si>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</si>
  <si>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</si>
  <si>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</si>
  <si>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</si>
  <si>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</si>
  <si>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</si>
  <si>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</si>
  <si>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</si>
  <si>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</si>
  <si>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</si>
  <si>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</si>
  <si>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</si>
  <si>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</si>
  <si>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</si>
  <si>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</si>
  <si>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</si>
  <si>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</si>
  <si>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</si>
  <si>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</si>
  <si>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</si>
  <si>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</si>
  <si>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</si>
  <si>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</si>
  <si>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</si>
  <si>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</si>
  <si>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</si>
  <si>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</si>
  <si>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</si>
  <si>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</si>
  <si>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</si>
  <si>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</si>
  <si>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</si>
  <si>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</si>
  <si>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</si>
  <si>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</si>
  <si>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</si>
  <si>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</si>
  <si>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</si>
  <si>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</si>
  <si>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</si>
  <si>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</si>
  <si>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</si>
  <si>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</si>
  <si>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</si>
  <si>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</si>
  <si>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</si>
  <si>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</si>
  <si>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</si>
  <si>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</si>
  <si>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</si>
  <si>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</si>
  <si>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</si>
  <si>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</si>
  <si>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</si>
  <si>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</si>
  <si>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</si>
  <si>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</si>
  <si>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</si>
  <si>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</si>
  <si>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</si>
  <si>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</si>
  <si>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</si>
  <si>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</si>
  <si>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</si>
  <si>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</si>
  <si>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</si>
  <si>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</si>
  <si>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</si>
  <si>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</si>
  <si>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</si>
  <si>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</si>
  <si>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</si>
  <si>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</si>
  <si>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</si>
  <si>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</si>
  <si>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</si>
  <si>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</si>
  <si>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</si>
  <si>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</si>
  <si>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</si>
  <si>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</si>
  <si>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</si>
  <si>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</si>
  <si>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</si>
  <si>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</si>
  <si>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</si>
  <si>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</si>
  <si>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</si>
  <si>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</si>
  <si>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</si>
  <si>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</si>
  <si>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</si>
  <si>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</si>
  <si>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</si>
  <si>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</si>
  <si>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</si>
  <si>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</si>
  <si>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</si>
  <si>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</si>
  <si>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</si>
  <si>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</si>
  <si>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</si>
  <si>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</si>
  <si>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</si>
  <si>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</si>
  <si>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</si>
  <si>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</si>
  <si>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</si>
  <si>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</si>
  <si>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</si>
  <si>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</si>
  <si>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</si>
  <si>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</si>
  <si>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</si>
  <si>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</si>
  <si>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</si>
  <si>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</si>
  <si>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</si>
  <si>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</si>
  <si>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</si>
  <si>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</si>
  <si>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</si>
  <si>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</si>
  <si>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</si>
  <si>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</si>
  <si>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</si>
  <si>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</si>
  <si>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</si>
  <si>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</si>
  <si>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</si>
  <si>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</si>
  <si>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</si>
  <si>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</si>
  <si>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</si>
  <si>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</si>
  <si>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</si>
  <si>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</si>
  <si>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</si>
  <si>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</si>
  <si>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</si>
  <si>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</si>
  <si>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</si>
  <si>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</si>
  <si>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</si>
  <si>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</si>
  <si>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</si>
  <si>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</si>
  <si>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</si>
  <si>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</si>
  <si>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</si>
  <si>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</si>
  <si>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</si>
  <si>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</si>
  <si>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</si>
  <si>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</si>
  <si>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</si>
  <si>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</si>
  <si>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</si>
  <si>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</si>
  <si>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</si>
  <si>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</si>
  <si>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</si>
  <si>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</si>
  <si>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</si>
  <si>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</si>
  <si>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</si>
  <si>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</si>
  <si>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</si>
  <si>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</si>
  <si>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</si>
  <si>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</si>
  <si>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</si>
  <si>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</si>
  <si>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</si>
  <si>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</si>
  <si>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</si>
  <si>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</si>
  <si>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</si>
  <si>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</si>
  <si>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</si>
  <si>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</si>
  <si>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</si>
  <si>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</si>
  <si>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</si>
  <si>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</si>
  <si>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</si>
  <si>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</si>
  <si>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</si>
  <si>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</si>
  <si>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</si>
  <si>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</si>
  <si>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</si>
  <si>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</si>
  <si>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</si>
  <si>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</si>
  <si>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</si>
  <si>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</si>
  <si>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</si>
  <si>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</si>
  <si>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</si>
  <si>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</si>
  <si>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</si>
  <si>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</si>
  <si>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</si>
  <si>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</si>
  <si>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</si>
  <si>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</si>
  <si>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</si>
  <si>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</si>
  <si>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</si>
  <si>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</si>
  <si>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</si>
  <si>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</si>
  <si>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</si>
  <si>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</si>
  <si>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</si>
  <si>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</si>
  <si>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</si>
  <si>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</si>
  <si>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</si>
  <si>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</si>
  <si>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</si>
  <si>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</si>
  <si>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</si>
  <si>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</si>
  <si>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</si>
  <si>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</si>
  <si>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</si>
  <si>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</si>
  <si>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</si>
  <si>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</si>
  <si>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</si>
  <si>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</si>
  <si>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</si>
  <si>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</si>
  <si>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</si>
  <si>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</si>
  <si>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</si>
  <si>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</si>
  <si>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</si>
  <si>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</si>
  <si>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</si>
  <si>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</si>
  <si>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</si>
  <si>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</si>
  <si>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</si>
  <si>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</si>
  <si>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</si>
  <si>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</si>
  <si>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</si>
  <si>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</si>
  <si>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</si>
  <si>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</si>
  <si>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</si>
  <si>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</si>
  <si>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</si>
  <si>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</si>
  <si>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</si>
  <si>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</si>
  <si>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</si>
  <si>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</si>
  <si>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</si>
  <si>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</si>
  <si>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</si>
  <si>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</si>
  <si>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</si>
  <si>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</si>
  <si>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</si>
  <si>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</si>
  <si>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</si>
  <si>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</si>
  <si>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</si>
  <si>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</si>
  <si>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</si>
  <si>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</si>
  <si>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</si>
  <si>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</si>
  <si>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</si>
  <si>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</si>
  <si>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</si>
  <si>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</si>
  <si>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</si>
  <si>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</si>
  <si>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</si>
  <si>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</si>
  <si>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</si>
  <si>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</si>
  <si>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</si>
  <si>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</si>
  <si>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</si>
  <si>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</si>
  <si>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</si>
  <si>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</si>
  <si>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</si>
  <si>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</si>
  <si>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</si>
  <si>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</si>
  <si>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</si>
  <si>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</si>
  <si>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</si>
  <si>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</si>
  <si>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</si>
  <si>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</si>
  <si>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</si>
  <si>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</si>
  <si>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</si>
  <si>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</si>
  <si>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</si>
  <si>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</si>
  <si>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</si>
  <si>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</si>
  <si>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</si>
  <si>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</si>
  <si>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</si>
  <si>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</si>
  <si>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</si>
  <si>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</si>
  <si>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</si>
  <si>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</si>
  <si>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</si>
  <si>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</si>
  <si>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</si>
  <si>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</si>
  <si>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</si>
  <si>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</si>
  <si>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</si>
  <si>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</si>
  <si>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</si>
  <si>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</si>
  <si>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</si>
  <si>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</si>
  <si>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</si>
  <si>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</si>
  <si>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</si>
  <si>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</si>
  <si>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</si>
  <si>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</si>
  <si>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</si>
  <si>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</si>
  <si>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</si>
  <si>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</si>
  <si>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</si>
  <si>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</si>
  <si>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</si>
  <si>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</si>
  <si>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</si>
  <si>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</si>
  <si>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</si>
  <si>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</si>
  <si>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</si>
  <si>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</si>
  <si>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</si>
  <si>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</si>
  <si>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</si>
  <si>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</si>
  <si>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</si>
  <si>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</si>
  <si>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</si>
  <si>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</si>
  <si>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</si>
  <si>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</si>
  <si>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</si>
  <si>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</si>
  <si>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</si>
  <si>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</si>
  <si>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</si>
  <si>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</si>
  <si>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</si>
  <si>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</si>
  <si>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</si>
  <si>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</si>
  <si>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</si>
  <si>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</si>
  <si>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</si>
  <si>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</si>
  <si>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</si>
  <si>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</si>
  <si>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</si>
  <si>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</si>
  <si>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</si>
  <si>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</si>
  <si>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</si>
  <si>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</si>
  <si>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</si>
  <si>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</si>
  <si>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</si>
  <si>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</si>
  <si>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</si>
  <si>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</si>
  <si>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</si>
  <si>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</si>
  <si>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</si>
  <si>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</si>
  <si>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</si>
  <si>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</si>
  <si>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</si>
  <si>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</si>
  <si>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</si>
  <si>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</si>
  <si>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</si>
  <si>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</si>
  <si>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</si>
  <si>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</si>
  <si>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</si>
  <si>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</si>
  <si>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</si>
  <si>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</si>
  <si>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</si>
  <si>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</si>
  <si>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</si>
  <si>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</si>
  <si>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</si>
  <si>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</si>
  <si>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</si>
  <si>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</si>
  <si>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</si>
  <si>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</si>
  <si>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</si>
  <si>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</si>
  <si>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</si>
  <si>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</si>
  <si>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</si>
  <si>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</si>
  <si>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</si>
  <si>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</si>
  <si>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</si>
  <si>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</si>
  <si>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</si>
  <si>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</si>
  <si>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</si>
  <si>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</si>
  <si>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</si>
  <si>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</si>
  <si>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</si>
  <si>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</si>
  <si>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</si>
  <si>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</si>
  <si>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</si>
  <si>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</si>
  <si>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</si>
  <si>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</si>
  <si>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</si>
  <si>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</si>
  <si>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</si>
  <si>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</si>
  <si>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</si>
  <si>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</si>
  <si>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</si>
  <si>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</si>
  <si>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</si>
  <si>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</si>
  <si>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</si>
  <si>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</si>
  <si>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</si>
  <si>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</si>
  <si>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</si>
  <si>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</si>
  <si>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</si>
  <si>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</si>
  <si>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</si>
  <si>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</si>
  <si>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</si>
  <si>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</si>
  <si>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</si>
  <si>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</si>
  <si>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</si>
  <si>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</si>
  <si>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</si>
  <si>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</si>
  <si>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</si>
  <si>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</si>
  <si>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</si>
  <si>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</si>
  <si>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</si>
  <si>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</si>
  <si>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</si>
  <si>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</si>
  <si>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</si>
  <si>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</si>
  <si>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</si>
  <si>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</si>
  <si>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</si>
  <si>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</si>
  <si>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</si>
  <si>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</si>
  <si>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</si>
  <si>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</si>
  <si>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</si>
  <si>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</si>
  <si>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</si>
  <si>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</si>
  <si>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</si>
  <si>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</si>
  <si>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</si>
  <si>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</si>
  <si>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</si>
  <si>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</si>
  <si>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</si>
  <si>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</si>
  <si>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</si>
  <si>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</si>
  <si>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</si>
  <si>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</si>
  <si>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</si>
  <si>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</si>
  <si>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</si>
  <si>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</si>
  <si>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</si>
  <si>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</si>
  <si>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</si>
  <si>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</si>
  <si>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</si>
  <si>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</si>
  <si>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</si>
  <si>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</si>
  <si>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</si>
  <si>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</si>
  <si>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</si>
  <si>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</si>
  <si>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</si>
  <si>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</si>
  <si>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</si>
  <si>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</si>
  <si>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</si>
  <si>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</si>
  <si>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</si>
  <si>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</si>
  <si>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</si>
  <si>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</si>
  <si>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</si>
  <si>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</si>
  <si>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</si>
  <si>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</si>
  <si>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</si>
  <si>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</si>
  <si>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</si>
  <si>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</si>
  <si>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</si>
  <si>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</si>
  <si>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</si>
  <si>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</si>
  <si>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</si>
  <si>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</si>
  <si>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</si>
  <si>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</si>
  <si>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</si>
  <si>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</si>
  <si>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</si>
  <si>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</si>
  <si>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</si>
  <si>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</si>
  <si>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</si>
  <si>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</si>
  <si>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</si>
  <si>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</si>
  <si>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</si>
  <si>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</si>
  <si>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</si>
  <si>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</si>
  <si>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</si>
  <si>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</si>
  <si>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</si>
  <si>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</si>
  <si>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</si>
  <si>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</si>
  <si>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</si>
  <si>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</si>
  <si>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</si>
  <si>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</si>
  <si>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</si>
  <si>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</si>
  <si>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</si>
  <si>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</si>
  <si>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</si>
  <si>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</si>
  <si>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</si>
  <si>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</si>
  <si>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</si>
  <si>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</si>
  <si>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</si>
  <si>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</si>
  <si>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</si>
  <si>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</si>
  <si>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</si>
  <si>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</si>
  <si>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</si>
  <si>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</si>
  <si>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</si>
  <si>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</si>
  <si>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</si>
  <si>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</si>
  <si>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</si>
  <si>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</si>
  <si>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</si>
  <si>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</si>
  <si>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</si>
  <si>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</si>
  <si>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</si>
  <si>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</si>
  <si>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</si>
  <si>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</si>
  <si>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</si>
  <si>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</si>
  <si>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</si>
  <si>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</si>
  <si>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</si>
  <si>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</si>
  <si>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</si>
  <si>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</si>
  <si>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</si>
  <si>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</si>
  <si>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</si>
  <si>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</si>
  <si>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</si>
  <si>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</si>
  <si>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</si>
  <si>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</si>
  <si>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</si>
  <si>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</si>
  <si>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</si>
  <si>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</si>
  <si>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</si>
  <si>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</si>
  <si>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</si>
  <si>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</si>
  <si>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</si>
  <si>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</si>
  <si>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</si>
  <si>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</si>
  <si>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</si>
  <si>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</si>
  <si>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</si>
  <si>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</si>
  <si>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</si>
  <si>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</si>
  <si>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</si>
  <si>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</si>
  <si>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</si>
  <si>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</si>
  <si>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</si>
  <si>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</si>
  <si>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</si>
  <si>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</si>
  <si>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</si>
  <si>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</si>
  <si>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</si>
  <si>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</si>
  <si>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</si>
  <si>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</si>
  <si>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</si>
  <si>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</si>
  <si>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</si>
  <si>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</si>
  <si>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</si>
  <si>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</si>
  <si>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</si>
  <si>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</si>
  <si>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</si>
  <si>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</si>
  <si>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</si>
  <si>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</si>
  <si>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</si>
  <si>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</si>
  <si>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</si>
  <si>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</si>
  <si>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</si>
  <si>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</si>
  <si>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</si>
  <si>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</si>
  <si>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</si>
  <si>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</si>
  <si>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</si>
  <si>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</si>
  <si>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</si>
  <si>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</si>
  <si>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</si>
  <si>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</si>
  <si>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</si>
  <si>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</si>
  <si>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</si>
  <si>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</si>
  <si>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</si>
  <si>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</si>
  <si>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</si>
  <si>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</si>
  <si>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</si>
  <si>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</si>
  <si>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</si>
  <si>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</si>
  <si>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</si>
  <si>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</si>
  <si>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</si>
  <si>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</si>
  <si>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</si>
  <si>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</si>
  <si>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</si>
  <si>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</si>
  <si>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</si>
  <si>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</si>
  <si>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</si>
  <si>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</si>
  <si>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</si>
  <si>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</si>
  <si>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</si>
  <si>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</si>
  <si>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</si>
  <si>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</si>
  <si>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</si>
  <si>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</si>
  <si>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</si>
  <si>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</si>
  <si>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</si>
  <si>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</si>
  <si>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</si>
  <si>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</si>
  <si>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</si>
  <si>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</si>
  <si>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</si>
  <si>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</si>
  <si>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</si>
  <si>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</si>
  <si>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</si>
  <si>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</si>
  <si>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</si>
  <si>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</si>
  <si>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</si>
  <si>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</si>
  <si>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</si>
  <si>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</si>
  <si>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</si>
  <si>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</si>
  <si>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</si>
  <si>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</si>
  <si>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</si>
  <si>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</si>
  <si>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</si>
  <si>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</si>
  <si>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</si>
  <si>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</si>
  <si>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</si>
  <si>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</si>
  <si>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</si>
  <si>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</si>
  <si>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</si>
  <si>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</si>
  <si>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</si>
  <si>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</si>
  <si>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</si>
  <si>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</si>
  <si>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</si>
  <si>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</si>
  <si>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</si>
  <si>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</si>
  <si>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</si>
  <si>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</si>
  <si>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</si>
  <si>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</si>
  <si>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</si>
  <si>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</si>
  <si>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</si>
  <si>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</si>
  <si>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</si>
  <si>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</si>
  <si>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</si>
  <si>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</si>
  <si>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</si>
  <si>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</si>
  <si>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</si>
  <si>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</si>
  <si>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</si>
  <si>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</si>
  <si>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</si>
  <si>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</si>
  <si>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</si>
  <si>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</si>
  <si>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</si>
  <si>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</si>
  <si>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</si>
  <si>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</si>
  <si>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</si>
  <si>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</si>
  <si>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</si>
  <si>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</si>
  <si>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</si>
  <si>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</si>
  <si>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</si>
  <si>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</si>
  <si>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</si>
  <si>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</si>
  <si>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</si>
  <si>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</si>
  <si>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</si>
  <si>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</si>
  <si>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</si>
  <si>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</si>
  <si>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</si>
  <si>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</si>
  <si>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</si>
  <si>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</si>
  <si>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</si>
  <si>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</si>
  <si>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</si>
  <si>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</si>
  <si>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</si>
  <si>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</si>
  <si>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</si>
  <si>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</si>
  <si>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</si>
  <si>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</si>
  <si>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</si>
  <si>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</si>
  <si>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</si>
  <si>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</si>
  <si>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</si>
  <si>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</si>
  <si>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</si>
  <si>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</si>
  <si>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</si>
  <si>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</si>
  <si>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</si>
  <si>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</si>
  <si>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</si>
  <si>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</si>
  <si>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</si>
  <si>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</si>
  <si>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</si>
  <si>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</si>
  <si>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</si>
  <si>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</si>
  <si>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</si>
  <si>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</si>
  <si>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</si>
  <si>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</si>
  <si>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</si>
  <si>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</si>
  <si>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</si>
  <si>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</si>
  <si>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</si>
  <si>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</si>
  <si>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</si>
  <si>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</si>
  <si>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</si>
  <si>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</si>
  <si>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</si>
  <si>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</si>
  <si>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</si>
  <si>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</si>
  <si>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</si>
  <si>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</si>
  <si>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</si>
  <si>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</si>
  <si>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</si>
  <si>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</si>
  <si>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</si>
  <si>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</si>
  <si>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</si>
  <si>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</si>
  <si>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</si>
  <si>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</si>
  <si>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</si>
  <si>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</si>
  <si>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</si>
  <si>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</si>
  <si>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</si>
  <si>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</si>
  <si>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</si>
  <si>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</si>
  <si>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</si>
  <si>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</si>
  <si>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</si>
  <si>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</si>
  <si>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</si>
  <si>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</si>
  <si>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</si>
  <si>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</si>
  <si>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</si>
  <si>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</si>
  <si>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</si>
  <si>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</si>
  <si>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</si>
  <si>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</si>
  <si>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</si>
  <si>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</si>
  <si>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</si>
  <si>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</si>
  <si>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</si>
  <si>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</si>
  <si>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</si>
  <si>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</si>
  <si>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</si>
  <si>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</si>
  <si>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</si>
  <si>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</si>
  <si>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</si>
  <si>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</si>
  <si>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</si>
  <si>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</si>
  <si>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</si>
  <si>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</si>
  <si>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</si>
  <si>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</si>
  <si>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</si>
  <si>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</si>
  <si>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</si>
  <si>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</si>
  <si>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</si>
  <si>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</si>
  <si>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</si>
  <si>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</si>
  <si>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</si>
  <si>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</si>
  <si>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</si>
  <si>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</si>
  <si>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</si>
  <si>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</si>
  <si>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</si>
  <si>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</si>
  <si>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</si>
  <si>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</si>
  <si>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</si>
  <si>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</si>
  <si>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</si>
  <si>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</si>
  <si>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</si>
  <si>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</si>
  <si>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</si>
  <si>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</si>
  <si>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</si>
  <si>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</si>
  <si>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</si>
  <si>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</si>
  <si>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</si>
  <si>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</si>
  <si>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</si>
  <si>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</si>
  <si>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</si>
  <si>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</si>
  <si>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</si>
  <si>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</si>
  <si>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</si>
  <si>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</si>
  <si>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</si>
  <si>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</si>
  <si>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</si>
  <si>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</si>
  <si>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</si>
  <si>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</si>
  <si>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</si>
  <si>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</si>
  <si>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</si>
  <si>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</si>
  <si>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</si>
  <si>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</si>
  <si>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</si>
  <si>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</si>
  <si>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</si>
  <si>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</si>
  <si>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</si>
  <si>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</si>
  <si>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</si>
  <si>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</si>
  <si>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</si>
  <si>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</si>
  <si>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</si>
  <si>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</si>
  <si>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</si>
  <si>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</si>
  <si>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</si>
  <si>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</si>
  <si>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</si>
  <si>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</si>
  <si>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</si>
  <si>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</si>
  <si>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</si>
  <si>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</si>
  <si>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</si>
  <si>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</si>
  <si>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</si>
  <si>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</si>
  <si>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</si>
  <si>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</si>
  <si>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</si>
  <si>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</si>
  <si>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</si>
  <si>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</si>
  <si>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</si>
  <si>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</si>
  <si>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</si>
  <si>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</si>
  <si>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</si>
  <si>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</si>
  <si>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</si>
  <si>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</si>
  <si>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</si>
  <si>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</si>
  <si>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</si>
  <si>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</si>
  <si>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</si>
  <si>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</si>
  <si>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</si>
  <si>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</si>
  <si>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</si>
  <si>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</si>
  <si>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</si>
  <si>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</si>
  <si>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</si>
  <si>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</si>
  <si>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</si>
  <si>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</si>
  <si>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</si>
  <si>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</si>
  <si>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</si>
  <si>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</si>
  <si>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</si>
  <si>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</si>
  <si>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</si>
  <si>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</si>
  <si>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</si>
  <si>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</si>
  <si>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</si>
  <si>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</si>
  <si>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</si>
  <si>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</si>
  <si>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</si>
  <si>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</si>
  <si>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</si>
  <si>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</si>
  <si>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</si>
  <si>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</si>
  <si>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</si>
  <si>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</si>
  <si>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</si>
  <si>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</si>
  <si>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</si>
  <si>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</si>
  <si>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</si>
  <si>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</si>
  <si>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</si>
  <si>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</si>
  <si>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</si>
  <si>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</si>
  <si>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</si>
  <si>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</si>
  <si>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</si>
  <si>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</si>
  <si>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</si>
  <si>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</si>
  <si>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</si>
  <si>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</si>
  <si>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</si>
  <si>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</si>
  <si>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</si>
  <si>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</si>
  <si>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</si>
  <si>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</si>
  <si>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</si>
  <si>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</si>
  <si>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</si>
  <si>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</si>
  <si>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</si>
  <si>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</si>
  <si>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</si>
  <si>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</si>
  <si>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</si>
  <si>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</si>
  <si>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</si>
  <si>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</si>
  <si>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</si>
  <si>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</si>
  <si>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</si>
  <si>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</si>
  <si>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</si>
  <si>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</si>
  <si>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</si>
  <si>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</si>
  <si>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</si>
  <si>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</si>
  <si>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</si>
  <si>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</si>
  <si>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</si>
  <si>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</si>
  <si>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</si>
  <si>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</si>
  <si>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</si>
  <si>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</si>
  <si>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</si>
  <si>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</si>
  <si>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</si>
  <si>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</si>
  <si>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</si>
  <si>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</si>
  <si>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</si>
  <si>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</si>
  <si>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</si>
  <si>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</si>
  <si>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</si>
  <si>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</si>
  <si>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</si>
  <si>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</si>
  <si>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</si>
  <si>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</si>
  <si>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</si>
  <si>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</si>
  <si>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</si>
  <si>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</si>
  <si>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</si>
  <si>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</si>
  <si>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</si>
  <si>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</si>
  <si>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</si>
  <si>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</si>
  <si>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</si>
  <si>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</si>
  <si>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</si>
  <si>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</si>
  <si>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</si>
  <si>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</si>
  <si>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</si>
  <si>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</si>
  <si>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</si>
  <si>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</si>
  <si>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</si>
  <si>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</si>
  <si>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</si>
  <si>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</si>
  <si>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</si>
  <si>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</si>
  <si>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</si>
  <si>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</si>
  <si>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</si>
  <si>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</si>
  <si>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</si>
  <si>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</si>
  <si>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</si>
  <si>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</si>
  <si>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</si>
  <si>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</si>
  <si>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</si>
  <si>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</si>
  <si>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</si>
  <si>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</si>
  <si>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</si>
  <si>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</si>
  <si>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</si>
  <si>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</si>
  <si>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</si>
  <si>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</si>
  <si>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</si>
  <si>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</si>
  <si>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</si>
  <si>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</si>
  <si>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</si>
  <si>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</si>
  <si>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</si>
  <si>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</si>
  <si>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</si>
  <si>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</si>
  <si>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</si>
  <si>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</si>
  <si>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</si>
  <si>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</si>
  <si>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</si>
  <si>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</si>
  <si>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</si>
  <si>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</si>
  <si>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</si>
  <si>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</si>
  <si>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</si>
  <si>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</si>
  <si>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</si>
  <si>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</si>
  <si>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</si>
  <si>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</si>
  <si>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</si>
  <si>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</si>
  <si>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</si>
  <si>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</si>
  <si>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</si>
  <si>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</si>
  <si>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</si>
  <si>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</si>
  <si>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</si>
  <si>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</si>
  <si>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</si>
  <si>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</si>
  <si>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</si>
  <si>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</si>
  <si>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</si>
  <si>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</si>
  <si>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</si>
  <si>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</si>
  <si>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</si>
  <si>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</si>
  <si>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</si>
  <si>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</si>
  <si>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</si>
  <si>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</si>
  <si>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</si>
  <si>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</si>
  <si>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</si>
  <si>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</si>
  <si>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</si>
  <si>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</si>
  <si>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</si>
  <si>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</si>
  <si>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</si>
  <si>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</si>
  <si>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</si>
  <si>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</si>
  <si>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</si>
  <si>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</si>
  <si>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</si>
  <si>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</si>
  <si>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</si>
  <si>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</si>
  <si>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</si>
  <si>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</si>
  <si>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</si>
  <si>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</si>
  <si>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</si>
  <si>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</si>
  <si>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</si>
  <si>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</si>
  <si>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</si>
  <si>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</si>
  <si>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</si>
  <si>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</si>
  <si>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</si>
  <si>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</si>
  <si>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</si>
  <si>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</si>
  <si>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</si>
  <si>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</si>
  <si>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</si>
  <si>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</si>
  <si>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</si>
  <si>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</si>
  <si>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</si>
  <si>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</si>
  <si>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</si>
  <si>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</si>
  <si>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</si>
  <si>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</si>
  <si>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</si>
  <si>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</si>
  <si>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</si>
  <si>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</si>
  <si>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</si>
  <si>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</si>
  <si>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</si>
  <si>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</si>
  <si>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</si>
  <si>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</si>
  <si>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</si>
  <si>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</si>
  <si>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</si>
  <si>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</si>
  <si>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</si>
  <si>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</si>
  <si>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</si>
  <si>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</si>
  <si>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</si>
  <si>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</si>
  <si>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</si>
  <si>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</si>
  <si>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</si>
  <si>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</si>
  <si>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</si>
  <si>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</si>
  <si>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</si>
  <si>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</si>
  <si>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</si>
  <si>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</si>
  <si>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</si>
  <si>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</si>
  <si>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</si>
  <si>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</si>
  <si>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</si>
  <si>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</si>
  <si>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</si>
  <si>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</si>
  <si>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</si>
  <si>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</si>
  <si>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</si>
  <si>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</si>
  <si>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</si>
  <si>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</si>
  <si>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</si>
  <si>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</si>
  <si>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</si>
  <si>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</si>
  <si>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</si>
  <si>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</si>
  <si>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</si>
  <si>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</si>
  <si>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</si>
  <si>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</si>
  <si>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</si>
  <si>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</si>
  <si>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</si>
  <si>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</si>
  <si>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</si>
  <si>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</si>
  <si>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</si>
  <si>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</si>
  <si>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</si>
  <si>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</si>
  <si>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</si>
  <si>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</si>
  <si>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</si>
  <si>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</si>
  <si>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</si>
  <si>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</si>
  <si>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</si>
  <si>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</si>
  <si>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</si>
  <si>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</si>
  <si>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</si>
  <si>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</si>
  <si>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</si>
  <si>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</si>
  <si>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</si>
  <si>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</si>
  <si>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</si>
  <si>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</si>
  <si>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</si>
  <si>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</si>
  <si>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</si>
  <si>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</si>
  <si>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</si>
  <si>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</si>
  <si>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</si>
  <si>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</si>
  <si>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</si>
  <si>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</si>
  <si>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</si>
  <si>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</si>
  <si>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</si>
  <si>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</si>
  <si>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</si>
  <si>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</si>
  <si>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</si>
  <si>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</si>
  <si>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</si>
  <si>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</si>
  <si>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</si>
  <si>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</si>
  <si>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</si>
  <si>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</si>
  <si>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</si>
  <si>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</si>
  <si>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</si>
  <si>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</si>
  <si>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</si>
  <si>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</si>
  <si>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</si>
  <si>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</si>
  <si>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</si>
  <si>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</si>
  <si>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</si>
  <si>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</si>
  <si>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</si>
  <si>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</si>
  <si>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</si>
  <si>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</si>
  <si>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</si>
  <si>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</si>
  <si>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</si>
  <si>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</si>
  <si>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</si>
  <si>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</si>
  <si>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</si>
  <si>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</si>
  <si>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</si>
  <si>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</si>
  <si>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</si>
  <si>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</si>
  <si>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</si>
  <si>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</si>
  <si>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</si>
  <si>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</si>
  <si>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</si>
  <si>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</si>
  <si>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</si>
  <si>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</si>
  <si>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</si>
  <si>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</si>
  <si>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</si>
  <si>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</si>
  <si>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</si>
  <si>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</si>
  <si>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</si>
  <si>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</si>
  <si>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</si>
  <si>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</si>
  <si>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</si>
  <si>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</si>
  <si>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</si>
  <si>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</si>
  <si>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</si>
  <si>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</si>
  <si>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</si>
  <si>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</si>
  <si>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</si>
  <si>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</si>
  <si>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</si>
  <si>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</si>
  <si>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</si>
  <si>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</si>
  <si>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</si>
  <si>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</si>
  <si>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</si>
  <si>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</si>
  <si>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</si>
  <si>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</si>
  <si>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</si>
  <si>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</si>
  <si>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</si>
  <si>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</si>
  <si>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</si>
  <si>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</si>
  <si>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</si>
  <si>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</si>
  <si>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</si>
  <si>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</si>
  <si>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</si>
  <si>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</si>
  <si>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</si>
  <si>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</si>
  <si>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</si>
  <si>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</si>
  <si>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</si>
  <si>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</si>
  <si>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</si>
  <si>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</si>
  <si>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</si>
  <si>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</si>
  <si>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</si>
  <si>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</si>
  <si>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</si>
  <si>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</si>
  <si>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</si>
  <si>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</si>
  <si>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</si>
  <si>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</si>
  <si>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</si>
  <si>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</si>
  <si>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</si>
  <si>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</si>
  <si>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</si>
  <si>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</si>
  <si>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</si>
  <si>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</si>
  <si>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</si>
  <si>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</si>
  <si>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</si>
  <si>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</si>
  <si>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</si>
  <si>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</si>
  <si>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</si>
  <si>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</si>
  <si>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</si>
  <si>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</si>
  <si>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</si>
  <si>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</si>
  <si>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</si>
  <si>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</si>
  <si>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</si>
  <si>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</si>
  <si>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</si>
  <si>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</si>
  <si>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</si>
  <si>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</si>
  <si>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</si>
  <si>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</si>
  <si>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</si>
  <si>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</si>
  <si>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</si>
  <si>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</si>
  <si>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</si>
  <si>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</si>
  <si>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</si>
  <si>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</si>
  <si>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</si>
  <si>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</si>
  <si>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</si>
  <si>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</si>
  <si>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</si>
  <si>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</si>
  <si>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</si>
  <si>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</si>
  <si>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</si>
  <si>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</si>
  <si>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</si>
  <si>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</si>
  <si>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</si>
  <si>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</si>
  <si>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</si>
  <si>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</si>
  <si>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</si>
  <si>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</si>
  <si>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</si>
  <si>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</si>
  <si>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</si>
  <si>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</si>
  <si>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</si>
  <si>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</si>
  <si>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</si>
  <si>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</si>
  <si>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</si>
  <si>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</si>
  <si>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</si>
  <si>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</si>
  <si>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</si>
  <si>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</si>
  <si>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</si>
  <si>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</si>
  <si>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</si>
  <si>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</si>
  <si>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</si>
  <si>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</si>
  <si>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</si>
  <si>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</si>
  <si>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</si>
  <si>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</si>
  <si>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</si>
  <si>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</si>
  <si>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</si>
  <si>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</si>
  <si>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</si>
  <si>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</si>
  <si>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</si>
  <si>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</si>
  <si>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</si>
  <si>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</si>
  <si>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</si>
  <si>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</si>
  <si>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</si>
  <si>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</si>
  <si>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</si>
  <si>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</si>
  <si>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</si>
  <si>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</si>
  <si>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</si>
  <si>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</si>
  <si>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</si>
  <si>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</si>
  <si>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</si>
  <si>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</si>
  <si>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</si>
  <si>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</si>
  <si>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</si>
  <si>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</si>
  <si>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</si>
  <si>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</si>
  <si>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</si>
  <si>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</si>
  <si>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</si>
  <si>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</si>
  <si>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</si>
  <si>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</si>
  <si>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</si>
  <si>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</si>
  <si>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</si>
  <si>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</si>
  <si>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</si>
  <si>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</si>
  <si>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</si>
  <si>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</si>
  <si>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</si>
  <si>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</si>
  <si>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</si>
  <si>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</si>
  <si>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</si>
  <si>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</si>
  <si>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</si>
  <si>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</si>
  <si>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</si>
  <si>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</si>
  <si>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</si>
  <si>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</si>
  <si>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</si>
  <si>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</si>
  <si>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</si>
  <si>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</si>
  <si>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</si>
  <si>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</si>
  <si>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</si>
  <si>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</si>
  <si>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</si>
  <si>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</si>
  <si>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</si>
  <si>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</si>
  <si>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</si>
  <si>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</si>
  <si>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</si>
  <si>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</si>
  <si>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</si>
  <si>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</si>
  <si>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</si>
  <si>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</si>
  <si>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</si>
  <si>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</si>
  <si>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</si>
  <si>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</si>
  <si>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</si>
  <si>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</si>
  <si>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</si>
  <si>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</si>
  <si>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</si>
  <si>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</si>
  <si>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</si>
  <si>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</si>
  <si>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</si>
  <si>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</si>
  <si>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</si>
  <si>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</si>
  <si>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</si>
  <si>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</si>
  <si>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</si>
  <si>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</si>
  <si>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</si>
  <si>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</si>
  <si>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</si>
  <si>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</si>
  <si>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</si>
  <si>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</si>
  <si>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</si>
  <si>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</si>
  <si>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</si>
  <si>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</si>
  <si>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</si>
  <si>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</si>
  <si>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</si>
  <si>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</si>
  <si>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</si>
  <si>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</si>
  <si>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</si>
  <si>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</si>
  <si>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</si>
  <si>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</si>
  <si>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</si>
  <si>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</si>
  <si>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</si>
  <si>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</si>
  <si>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</si>
  <si>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</si>
  <si>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</si>
  <si>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</si>
  <si>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</si>
  <si>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</si>
  <si>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</si>
  <si>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</si>
  <si>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</si>
  <si>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</si>
  <si>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</si>
  <si>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</si>
  <si>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</si>
  <si>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</si>
  <si>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</si>
  <si>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</si>
  <si>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</si>
  <si>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</si>
  <si>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</si>
  <si>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</si>
  <si>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</si>
  <si>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</si>
  <si>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</si>
  <si>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</si>
  <si>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</si>
  <si>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</si>
  <si>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</si>
  <si>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</si>
  <si>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</si>
  <si>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</si>
  <si>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</si>
  <si>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</si>
  <si>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</si>
  <si>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</si>
  <si>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</si>
  <si>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</si>
  <si>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</si>
  <si>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</si>
  <si>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</si>
  <si>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</si>
  <si>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</si>
  <si>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</si>
  <si>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</si>
  <si>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</si>
  <si>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</si>
  <si>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</si>
  <si>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</si>
  <si>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</si>
  <si>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</si>
  <si>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</si>
  <si>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</si>
  <si>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</si>
  <si>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</si>
  <si>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</si>
  <si>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</si>
  <si>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</si>
  <si>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</si>
  <si>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</si>
  <si>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</si>
  <si>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</si>
  <si>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</si>
  <si>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</si>
  <si>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</si>
  <si>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</si>
  <si>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</si>
  <si>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</si>
  <si>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</si>
  <si>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</si>
  <si>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</si>
  <si>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</si>
  <si>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</si>
  <si>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</si>
  <si>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</si>
  <si>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</si>
  <si>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</si>
  <si>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</si>
  <si>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</si>
  <si>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</si>
  <si>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</si>
  <si>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</si>
  <si>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</si>
  <si>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</si>
  <si>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</si>
  <si>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</si>
  <si>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</si>
  <si>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</si>
  <si>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</si>
  <si>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</si>
  <si>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</si>
  <si>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</si>
  <si>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</si>
  <si>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</si>
  <si>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</si>
  <si>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</si>
  <si>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</si>
  <si>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</si>
  <si>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</si>
  <si>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</si>
  <si>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</si>
  <si>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</si>
  <si>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</si>
  <si>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</si>
  <si>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</si>
  <si>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</si>
  <si>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</si>
  <si>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</si>
  <si>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</si>
  <si>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</si>
  <si>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</si>
  <si>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</si>
  <si>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</si>
  <si>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</si>
  <si>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</si>
  <si>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</si>
  <si>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</si>
  <si>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</si>
  <si>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</si>
  <si>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</si>
  <si>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</si>
  <si>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</si>
  <si>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</si>
  <si>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</si>
  <si>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</si>
  <si>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</si>
  <si>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</si>
  <si>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</si>
  <si>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</si>
  <si>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</si>
  <si>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</si>
  <si>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</si>
  <si>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</si>
  <si>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</si>
  <si>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</si>
  <si>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</si>
  <si>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</si>
  <si>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</si>
  <si>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</si>
  <si>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</si>
  <si>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</si>
  <si>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</si>
  <si>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</si>
  <si>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</si>
  <si>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</si>
  <si>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</si>
  <si>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</si>
  <si>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</si>
  <si>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</si>
  <si>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</si>
  <si>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</si>
  <si>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</si>
  <si>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</si>
  <si>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</si>
  <si>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</si>
  <si>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</si>
  <si>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</si>
  <si>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</si>
  <si>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</si>
  <si>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</si>
  <si>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</si>
  <si>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</si>
  <si>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</si>
  <si>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</si>
  <si>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</si>
  <si>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</si>
  <si>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</si>
  <si>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</si>
  <si>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</si>
  <si>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</si>
  <si>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</si>
  <si>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</si>
  <si>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</si>
  <si>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</si>
  <si>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</si>
  <si>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</si>
  <si>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</si>
  <si>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</si>
  <si>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</si>
  <si>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</si>
  <si>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</si>
  <si>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</si>
  <si>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</si>
  <si>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</si>
  <si>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</si>
  <si>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</si>
  <si>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</si>
  <si>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</si>
  <si>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</si>
  <si>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</si>
  <si>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</si>
  <si>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</si>
  <si>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</si>
  <si>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</si>
  <si>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</si>
  <si>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</si>
  <si>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</si>
  <si>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</si>
  <si>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</si>
  <si>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</si>
  <si>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</si>
  <si>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</si>
  <si>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</si>
  <si>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</si>
  <si>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</si>
  <si>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</si>
  <si>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</si>
  <si>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</si>
  <si>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</si>
  <si>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</si>
  <si>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</si>
  <si>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</si>
  <si>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</si>
  <si>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</si>
  <si>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</si>
  <si>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</si>
  <si>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</si>
  <si>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</si>
  <si>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</si>
  <si>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</si>
  <si>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</si>
  <si>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</si>
  <si>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</si>
  <si>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</si>
  <si>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</si>
  <si>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</si>
  <si>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</si>
  <si>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</si>
  <si>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</si>
  <si>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</si>
  <si>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</si>
  <si>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</si>
  <si>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</si>
  <si>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</si>
  <si>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</si>
  <si>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</si>
  <si>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</si>
  <si>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</si>
  <si>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</si>
  <si>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</si>
  <si>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</si>
  <si>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</si>
  <si>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</si>
  <si>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</si>
  <si>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</si>
  <si>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</si>
  <si>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</si>
  <si>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</si>
  <si>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</si>
  <si>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</si>
  <si>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</si>
  <si>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</si>
  <si>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</si>
  <si>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</si>
  <si>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</si>
  <si>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</si>
  <si>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</si>
  <si>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</si>
  <si>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</si>
  <si>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</si>
  <si>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</si>
  <si>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</si>
  <si>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</si>
  <si>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</si>
  <si>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</si>
  <si>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</si>
  <si>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</si>
  <si>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</si>
  <si>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</si>
  <si>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</si>
  <si>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</si>
  <si>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</si>
  <si>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</si>
  <si>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</si>
  <si>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</si>
  <si>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</si>
  <si>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</si>
  <si>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</si>
  <si>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</si>
  <si>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</si>
  <si>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</si>
  <si>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</si>
  <si>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</si>
  <si>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</si>
  <si>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</si>
  <si>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</si>
  <si>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</si>
  <si>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</si>
  <si>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</si>
  <si>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</si>
  <si>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</si>
  <si>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</si>
  <si>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</si>
  <si>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</si>
  <si>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</si>
  <si>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</si>
  <si>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</si>
  <si>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</si>
  <si>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</si>
  <si>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</si>
  <si>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</si>
  <si>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</si>
  <si>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</si>
  <si>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</si>
  <si>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</si>
  <si>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</si>
  <si>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</si>
  <si>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</si>
  <si>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</si>
  <si>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</si>
  <si>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</si>
  <si>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</si>
  <si>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</si>
  <si>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</si>
  <si>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</si>
  <si>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</si>
  <si>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</si>
  <si>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</si>
  <si>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</si>
  <si>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</si>
  <si>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</si>
  <si>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</si>
  <si>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</si>
  <si>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</si>
  <si>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</si>
  <si>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</si>
  <si>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</si>
  <si>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</si>
  <si>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</si>
  <si>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</si>
  <si>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</si>
  <si>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</si>
  <si>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</si>
  <si>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</si>
  <si>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</si>
  <si>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</si>
  <si>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</si>
  <si>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</si>
  <si>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</si>
  <si>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</si>
  <si>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</si>
  <si>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</si>
  <si>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</si>
  <si>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</si>
  <si>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</si>
  <si>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</si>
  <si>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</si>
  <si>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</si>
  <si>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</si>
  <si>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</si>
  <si>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</si>
  <si>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</si>
  <si>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</si>
  <si>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</si>
  <si>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</si>
  <si>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</si>
  <si>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</si>
  <si>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</si>
  <si>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</si>
  <si>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</si>
  <si>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</si>
  <si>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</si>
  <si>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</si>
  <si>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</si>
  <si>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</si>
  <si>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</si>
  <si>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</si>
  <si>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</si>
  <si>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</si>
  <si>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</si>
  <si>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</si>
  <si>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</si>
  <si>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</si>
  <si>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</si>
  <si>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</si>
  <si>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</si>
  <si>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</si>
  <si>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</si>
  <si>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</si>
  <si>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</si>
  <si>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</si>
  <si>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</si>
  <si>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</si>
  <si>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</si>
  <si>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</si>
  <si>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</si>
  <si>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</si>
  <si>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</si>
  <si>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</si>
  <si>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</si>
  <si>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</si>
  <si>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</si>
  <si>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</si>
  <si>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</si>
  <si>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</si>
  <si>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</si>
  <si>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</si>
  <si>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</si>
  <si>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</si>
  <si>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</si>
  <si>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</si>
  <si>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</si>
  <si>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</si>
  <si>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</si>
  <si>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</si>
  <si>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</si>
  <si>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</si>
  <si>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</si>
  <si>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</si>
  <si>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</si>
  <si>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</si>
  <si>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</si>
  <si>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</si>
  <si>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</si>
  <si>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</si>
  <si>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</si>
  <si>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</si>
  <si>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</si>
  <si>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</si>
  <si>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</si>
  <si>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</si>
  <si>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</si>
  <si>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</si>
  <si>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</si>
  <si>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</si>
  <si>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</si>
  <si>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</si>
  <si>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</si>
  <si>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</si>
  <si>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</si>
  <si>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</si>
  <si>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</si>
  <si>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</si>
  <si>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</si>
  <si>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</si>
  <si>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</si>
  <si>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</si>
  <si>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</si>
  <si>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</si>
  <si>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</si>
  <si>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</si>
  <si>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</si>
  <si>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</si>
  <si>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</si>
  <si>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</si>
  <si>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</si>
  <si>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</si>
  <si>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</si>
  <si>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</si>
  <si>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</si>
  <si>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</si>
  <si>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</si>
  <si>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</si>
  <si>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</si>
  <si>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</si>
  <si>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</si>
  <si>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</si>
  <si>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</si>
  <si>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</si>
  <si>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</si>
  <si>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</si>
  <si>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</si>
  <si>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</si>
  <si>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</si>
  <si>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</si>
  <si>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</si>
  <si>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</si>
  <si>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</si>
  <si>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</si>
  <si>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</si>
  <si>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</si>
  <si>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</si>
  <si>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</si>
  <si>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</si>
  <si>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</si>
  <si>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</si>
  <si>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</si>
  <si>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</si>
  <si>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</si>
  <si>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</si>
  <si>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</si>
  <si>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</si>
  <si>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</si>
  <si>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</si>
  <si>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</si>
  <si>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</si>
  <si>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</si>
  <si>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</si>
  <si>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</si>
  <si>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</si>
  <si>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</si>
  <si>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</si>
  <si>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</si>
  <si>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</si>
  <si>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</si>
  <si>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</si>
  <si>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</si>
  <si>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</si>
  <si>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</si>
  <si>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</si>
  <si>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</si>
  <si>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</si>
  <si>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</si>
  <si>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</si>
  <si>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</si>
  <si>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</si>
  <si>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</si>
  <si>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</si>
  <si>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</si>
  <si>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</si>
  <si>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</si>
  <si>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</si>
  <si>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</si>
  <si>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</si>
  <si>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</si>
  <si>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</si>
  <si>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</si>
  <si>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</si>
  <si>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</si>
  <si>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</si>
  <si>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</si>
  <si>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</si>
  <si>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</si>
  <si>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</si>
  <si>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</si>
  <si>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</si>
  <si>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</si>
  <si>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</si>
  <si>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</si>
  <si>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</si>
  <si>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</si>
  <si>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</si>
  <si>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</si>
  <si>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</si>
  <si>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</si>
  <si>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</si>
  <si>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</si>
  <si>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</si>
  <si>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</si>
  <si>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</si>
  <si>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</si>
  <si>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</si>
  <si>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</si>
  <si>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</si>
  <si>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</si>
  <si>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</si>
  <si>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</si>
  <si>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</si>
  <si>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</si>
  <si>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</si>
  <si>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</si>
  <si>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</si>
  <si>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</si>
  <si>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</si>
  <si>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</si>
  <si>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</si>
  <si>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</si>
  <si>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</si>
  <si>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</si>
  <si>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</si>
  <si>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</si>
  <si>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</si>
  <si>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</si>
  <si>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</si>
  <si>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</si>
  <si>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</si>
  <si>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</si>
  <si>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</si>
  <si>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</si>
  <si>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</si>
  <si>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</si>
  <si>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</si>
  <si>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</si>
  <si>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</si>
  <si>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</si>
  <si>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</si>
  <si>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</si>
  <si>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</si>
  <si>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</si>
  <si>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</si>
  <si>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</si>
  <si>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</si>
  <si>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</si>
  <si>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</si>
  <si>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</si>
  <si>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</si>
  <si>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</si>
  <si>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</si>
  <si>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</si>
  <si>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</si>
  <si>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</si>
  <si>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</si>
  <si>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</si>
  <si>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</si>
  <si>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</si>
  <si>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</si>
  <si>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</si>
  <si>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</si>
  <si>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</si>
  <si>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</si>
  <si>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</si>
  <si>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</si>
  <si>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</si>
  <si>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</si>
  <si>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</si>
  <si>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</si>
  <si>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</si>
  <si>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</si>
  <si>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</si>
  <si>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</si>
  <si>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</si>
  <si>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</si>
  <si>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</si>
  <si>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</si>
  <si>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</si>
  <si>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</si>
  <si>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</si>
  <si>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</si>
  <si>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</si>
  <si>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</si>
  <si>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</si>
  <si>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</si>
  <si>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</si>
  <si>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</si>
  <si>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</si>
  <si>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</si>
  <si>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</si>
  <si>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</si>
  <si>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</si>
  <si>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</si>
  <si>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</si>
  <si>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</si>
  <si>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</si>
  <si>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</si>
  <si>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</si>
  <si>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</si>
  <si>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</si>
  <si>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</si>
  <si>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</si>
  <si>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</si>
  <si>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</si>
  <si>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</si>
  <si>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</si>
  <si>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</si>
  <si>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</si>
  <si>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</si>
  <si>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</si>
  <si>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</si>
  <si>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</si>
  <si>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</si>
  <si>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</si>
  <si>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</si>
  <si>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</si>
  <si>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</si>
  <si>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</si>
  <si>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</si>
  <si>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</si>
  <si>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</si>
  <si>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</si>
  <si>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</si>
  <si>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</si>
  <si>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</si>
  <si>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</si>
  <si>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</si>
  <si>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</si>
  <si>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</si>
  <si>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</si>
  <si>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</si>
  <si>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</si>
  <si>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</si>
  <si>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</si>
  <si>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</si>
  <si>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</si>
  <si>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</si>
  <si>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</si>
  <si>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</si>
  <si>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</si>
  <si>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</si>
  <si>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</si>
  <si>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</si>
  <si>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</si>
  <si>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</si>
  <si>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</si>
  <si>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</si>
  <si>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</si>
  <si>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</si>
  <si>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</si>
  <si>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</si>
  <si>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</si>
  <si>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</si>
  <si>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</si>
  <si>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</si>
  <si>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</si>
  <si>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</si>
  <si>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</si>
  <si>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</si>
  <si>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</si>
  <si>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</si>
  <si>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</si>
  <si>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</si>
  <si>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</si>
  <si>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</si>
  <si>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</si>
  <si>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</si>
  <si>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</si>
  <si>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</si>
  <si>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</si>
  <si>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</si>
  <si>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</si>
  <si>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</si>
  <si>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</si>
  <si>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</si>
  <si>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</si>
  <si>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</si>
  <si>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</si>
  <si>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</si>
  <si>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</si>
  <si>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</si>
  <si>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</si>
  <si>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</si>
  <si>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</si>
  <si>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</si>
  <si>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</si>
  <si>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</si>
  <si>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</si>
  <si>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</si>
  <si>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</si>
  <si>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</si>
  <si>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</si>
  <si>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</si>
  <si>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</si>
  <si>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</si>
  <si>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</si>
  <si>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</si>
  <si>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</si>
  <si>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</si>
  <si>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</si>
  <si>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</si>
  <si>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</si>
  <si>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</si>
  <si>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</si>
  <si>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</si>
  <si>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</si>
  <si>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</si>
  <si>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</si>
  <si>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</si>
  <si>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</si>
  <si>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</si>
  <si>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</si>
  <si>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</si>
  <si>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</si>
  <si>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</si>
  <si>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</si>
  <si>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</si>
  <si>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</si>
  <si>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</si>
  <si>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</si>
  <si>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</si>
  <si>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</si>
  <si>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</si>
  <si>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</si>
  <si>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</si>
  <si>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</si>
  <si>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</si>
  <si>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</si>
  <si>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</si>
  <si>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</si>
  <si>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</si>
  <si>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</si>
  <si>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</si>
  <si>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</si>
  <si>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</si>
  <si>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</si>
  <si>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</si>
  <si>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</si>
  <si>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</si>
  <si>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</si>
  <si>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</si>
  <si>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</si>
  <si>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</si>
  <si>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</si>
  <si>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</si>
  <si>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</si>
  <si>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</si>
  <si>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</si>
  <si>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</si>
  <si>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</si>
  <si>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</si>
  <si>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</si>
  <si>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</si>
  <si>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</si>
  <si>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</si>
  <si>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</si>
  <si>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</si>
  <si>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</si>
  <si>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</si>
  <si>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</si>
  <si>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</si>
  <si>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</si>
  <si>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</si>
  <si>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</si>
  <si>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</si>
  <si>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</si>
  <si>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</si>
  <si>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</si>
  <si>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</si>
  <si>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</si>
  <si>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</si>
  <si>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</si>
  <si>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</si>
  <si>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</si>
  <si>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</si>
  <si>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</si>
  <si>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</si>
  <si>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</si>
  <si>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</si>
  <si>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</si>
  <si>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</si>
  <si>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</si>
  <si>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</si>
  <si>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</si>
  <si>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</si>
  <si>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</si>
  <si>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</si>
  <si>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</si>
  <si>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</si>
  <si>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</si>
  <si>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</si>
  <si>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</si>
  <si>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</si>
  <si>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</si>
  <si>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</si>
  <si>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</si>
  <si>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</si>
  <si>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</si>
  <si>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</si>
  <si>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</si>
  <si>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</si>
  <si>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</si>
  <si>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</si>
  <si>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</si>
  <si>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</si>
  <si>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</si>
  <si>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</si>
  <si>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</si>
  <si>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</si>
  <si>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</si>
  <si>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</si>
  <si>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</si>
  <si>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</si>
  <si>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</si>
  <si>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</si>
  <si>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</si>
  <si>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</si>
  <si>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</si>
  <si>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</si>
  <si>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</si>
  <si>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</si>
  <si>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</si>
  <si>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</si>
  <si>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</si>
  <si>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</si>
  <si>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</si>
  <si>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</si>
  <si>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</si>
  <si>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</si>
  <si>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</si>
  <si>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</si>
  <si>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</si>
  <si>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</si>
  <si>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</si>
  <si>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</si>
  <si>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</si>
  <si>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</si>
  <si>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</si>
  <si>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</si>
  <si>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</si>
  <si>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</si>
  <si>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</si>
  <si>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</si>
  <si>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</si>
  <si>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</si>
  <si>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</si>
  <si>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</si>
  <si>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</si>
  <si>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</si>
  <si>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</si>
  <si>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</si>
  <si>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</si>
  <si>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</si>
  <si>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</si>
  <si>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</si>
  <si>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</si>
  <si>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</si>
  <si>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</si>
  <si>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</si>
  <si>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</si>
  <si>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</si>
  <si>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</si>
  <si>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</si>
  <si>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</si>
  <si>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</si>
  <si>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</si>
  <si>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</si>
  <si>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</si>
  <si>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</si>
  <si>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</si>
  <si>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</si>
  <si>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</si>
  <si>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</si>
  <si>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</si>
  <si>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</si>
  <si>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</si>
  <si>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</si>
  <si>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</si>
  <si>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</si>
  <si>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</si>
  <si>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</si>
  <si>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</si>
  <si>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</si>
  <si>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</si>
  <si>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</si>
  <si>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</si>
  <si>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</si>
  <si>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</si>
  <si>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</si>
  <si>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</si>
  <si>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</si>
  <si>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</si>
  <si>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</si>
  <si>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</si>
  <si>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</si>
  <si>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</si>
  <si>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</si>
  <si>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</si>
  <si>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</si>
  <si>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</si>
  <si>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</si>
  <si>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</si>
  <si>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</si>
  <si>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</si>
  <si>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</si>
  <si>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</si>
  <si>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</si>
  <si>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</si>
  <si>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</si>
  <si>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</si>
  <si>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</si>
  <si>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</si>
  <si>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</si>
  <si>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</si>
  <si>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</si>
  <si>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</si>
  <si>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</si>
  <si>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</si>
  <si>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</si>
  <si>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</si>
  <si>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</si>
  <si>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</si>
  <si>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</si>
  <si>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</si>
  <si>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</si>
  <si>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</si>
  <si>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</si>
  <si>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</si>
  <si>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</si>
  <si>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</si>
  <si>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</si>
  <si>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</si>
  <si>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</si>
  <si>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</si>
  <si>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</si>
  <si>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</si>
  <si>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</si>
  <si>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</si>
  <si>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</si>
  <si>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</si>
  <si>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</si>
  <si>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</si>
  <si>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</si>
  <si>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</si>
  <si>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</si>
  <si>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</si>
  <si>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</si>
  <si>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</si>
  <si>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</si>
  <si>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</si>
  <si>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</si>
  <si>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</si>
  <si>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</si>
  <si>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</si>
  <si>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</si>
  <si>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</si>
  <si>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</si>
  <si>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</si>
  <si>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</si>
  <si>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</si>
  <si>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</si>
  <si>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</si>
  <si>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</si>
  <si>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</si>
  <si>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</si>
  <si>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</si>
  <si>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</si>
  <si>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</si>
  <si>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</si>
  <si>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</si>
  <si>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</si>
  <si>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</si>
  <si>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</si>
  <si>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</si>
  <si>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</si>
  <si>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</si>
  <si>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</si>
  <si>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</si>
  <si>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</si>
  <si>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</si>
  <si>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</si>
  <si>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</si>
  <si>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</si>
  <si>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</si>
  <si>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</si>
  <si>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</si>
  <si>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</si>
  <si>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</si>
  <si>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</si>
  <si>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</si>
  <si>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</si>
  <si>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</si>
  <si>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</si>
  <si>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</si>
  <si>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</si>
  <si>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</si>
  <si>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</si>
  <si>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</si>
  <si>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</si>
  <si>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</si>
  <si>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</si>
  <si>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</si>
  <si>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</si>
  <si>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</si>
  <si>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</si>
  <si>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</si>
  <si>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</si>
  <si>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</si>
  <si>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</si>
  <si>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</si>
  <si>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</si>
  <si>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</si>
  <si>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</si>
  <si>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</si>
  <si>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</si>
  <si>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</si>
  <si>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</si>
  <si>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</si>
  <si>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</si>
  <si>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</si>
  <si>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</si>
  <si>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</si>
  <si>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</si>
  <si>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</si>
  <si>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</si>
  <si>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</si>
  <si>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</si>
  <si>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</si>
  <si>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</si>
  <si>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</si>
  <si>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</si>
  <si>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</si>
  <si>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</si>
  <si>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</si>
  <si>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</si>
  <si>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</si>
  <si>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</si>
  <si>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</si>
  <si>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</si>
  <si>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</si>
  <si>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</si>
  <si>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</si>
  <si>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</si>
  <si>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</si>
  <si>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</si>
  <si>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</si>
  <si>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</si>
  <si>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</si>
  <si>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</si>
  <si>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</si>
  <si>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</si>
  <si>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</si>
  <si>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</si>
  <si>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</si>
  <si>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</si>
  <si>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</si>
  <si>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</si>
  <si>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</si>
  <si>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</si>
  <si>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</si>
  <si>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</si>
  <si>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</si>
  <si>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</si>
  <si>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</si>
  <si>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</si>
  <si>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</si>
  <si>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</si>
  <si>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</si>
  <si>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</si>
  <si>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</si>
  <si>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</si>
  <si>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</si>
  <si>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</si>
  <si>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</si>
  <si>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</si>
  <si>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</si>
  <si>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</si>
  <si>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</si>
  <si>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</si>
  <si>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</si>
  <si>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</si>
  <si>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</si>
  <si>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</si>
  <si>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</si>
  <si>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</si>
  <si>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</si>
  <si>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</si>
  <si>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</si>
  <si>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</si>
  <si>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</si>
  <si>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</si>
  <si>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</si>
  <si>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</si>
  <si>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</si>
  <si>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</si>
  <si>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</si>
  <si>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</si>
  <si>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</si>
  <si>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</si>
  <si>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</si>
  <si>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</si>
  <si>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</si>
  <si>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</si>
  <si>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</si>
  <si>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</si>
  <si>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</si>
  <si>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</si>
  <si>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</si>
  <si>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</si>
  <si>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</si>
  <si>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</si>
  <si>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</si>
  <si>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</si>
  <si>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</si>
  <si>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</si>
  <si>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</si>
  <si>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</si>
  <si>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</si>
  <si>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</si>
  <si>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</si>
  <si>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</si>
  <si>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</si>
  <si>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</si>
  <si>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</si>
  <si>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</si>
  <si>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</si>
  <si>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</si>
  <si>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</si>
  <si>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</si>
  <si>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</si>
  <si>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</si>
  <si>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</si>
  <si>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</si>
  <si>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</si>
  <si>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</si>
  <si>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</si>
  <si>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</si>
  <si>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</si>
  <si>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</si>
  <si>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</si>
  <si>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</si>
  <si>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</si>
  <si>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</si>
  <si>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</si>
  <si>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</si>
  <si>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</si>
  <si>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</si>
  <si>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</si>
  <si>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</si>
  <si>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</si>
  <si>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</si>
  <si>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</si>
  <si>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</si>
  <si>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</si>
  <si>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</si>
  <si>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</si>
  <si>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</si>
  <si>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</si>
  <si>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</si>
  <si>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</si>
  <si>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</si>
  <si>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</si>
  <si>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</si>
  <si>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</si>
  <si>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</si>
  <si>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</si>
  <si>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</si>
  <si>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</si>
  <si>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</si>
  <si>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</si>
  <si>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</si>
  <si>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</si>
  <si>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</si>
  <si>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</si>
  <si>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</si>
  <si>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</si>
  <si>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</si>
  <si>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</si>
  <si>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</si>
  <si>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</si>
  <si>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</si>
  <si>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</si>
  <si>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</si>
  <si>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</si>
  <si>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</si>
  <si>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</si>
  <si>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</si>
  <si>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</si>
  <si>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</si>
  <si>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</si>
  <si>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</si>
  <si>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</si>
  <si>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</si>
  <si>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</si>
  <si>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</si>
  <si>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</si>
  <si>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</si>
  <si>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</si>
  <si>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</si>
  <si>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</si>
  <si>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</si>
  <si>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</si>
  <si>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</si>
  <si>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</si>
  <si>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</si>
  <si>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</si>
  <si>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</si>
  <si>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</si>
  <si>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</si>
  <si>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</si>
  <si>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</si>
  <si>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</si>
  <si>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</si>
  <si>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</si>
  <si>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</si>
  <si>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</si>
  <si>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</si>
  <si>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</si>
  <si>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</si>
  <si>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</si>
  <si>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</si>
  <si>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</si>
  <si>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</si>
  <si>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</si>
  <si>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</si>
  <si>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</si>
  <si>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</si>
  <si>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</si>
  <si>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</si>
  <si>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</si>
  <si>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</si>
  <si>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</si>
  <si>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</si>
  <si>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</si>
  <si>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</si>
  <si>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</si>
  <si>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</si>
  <si>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</si>
  <si>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</si>
  <si>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</si>
  <si>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</si>
  <si>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</si>
  <si>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</si>
  <si>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</si>
  <si>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</si>
  <si>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</si>
  <si>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</si>
  <si>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</si>
  <si>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</si>
  <si>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</si>
  <si>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</si>
  <si>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</si>
  <si>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</si>
  <si>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</si>
  <si>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</si>
  <si>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</si>
  <si>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</si>
  <si>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</si>
  <si>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</si>
  <si>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</si>
  <si>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</si>
  <si>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</si>
  <si>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</si>
  <si>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</si>
  <si>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</si>
  <si>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</si>
  <si>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</si>
  <si>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</si>
  <si>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</si>
  <si>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</si>
  <si>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</si>
  <si>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</si>
  <si>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</si>
  <si>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</si>
  <si>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</si>
  <si>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</si>
  <si>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</si>
  <si>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</si>
  <si>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</si>
  <si>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</si>
  <si>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</si>
  <si>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</si>
  <si>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</si>
  <si>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</si>
  <si>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</si>
  <si>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</si>
  <si>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</si>
  <si>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</si>
  <si>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</si>
  <si>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</si>
  <si>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</si>
  <si>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</si>
  <si>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</si>
  <si>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</si>
  <si>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</si>
  <si>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</si>
  <si>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</si>
  <si>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</si>
  <si>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</si>
  <si>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</si>
  <si>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</si>
  <si>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</si>
  <si>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</si>
  <si>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</si>
  <si>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</si>
  <si>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</si>
  <si>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</si>
  <si>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</si>
  <si>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</si>
  <si>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</si>
  <si>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</si>
  <si>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</si>
  <si>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</si>
  <si>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</si>
  <si>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</si>
  <si>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</si>
  <si>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</si>
  <si>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</si>
  <si>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</si>
  <si>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</si>
  <si>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</si>
  <si>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</si>
  <si>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</si>
  <si>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</si>
  <si>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</si>
  <si>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</si>
  <si>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</si>
  <si>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</si>
  <si>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</si>
  <si>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</si>
  <si>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</si>
  <si>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</si>
  <si>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</si>
  <si>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</si>
  <si>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</si>
  <si>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</si>
  <si>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</si>
  <si>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</si>
  <si>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</si>
  <si>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</si>
  <si>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</si>
  <si>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</si>
  <si>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</si>
  <si>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</si>
  <si>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</si>
  <si>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</si>
  <si>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</si>
  <si>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</si>
  <si>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</si>
  <si>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</si>
  <si>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</si>
  <si>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</si>
  <si>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</si>
  <si>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</si>
  <si>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</si>
  <si>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</si>
  <si>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</si>
  <si>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</si>
  <si>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</si>
  <si>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</si>
  <si>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</si>
  <si>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</si>
  <si>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</si>
  <si>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</si>
  <si>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</si>
  <si>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</si>
  <si>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</si>
  <si>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</si>
  <si>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</si>
  <si>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</si>
  <si>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</si>
  <si>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</si>
  <si>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</si>
  <si>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</si>
  <si>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</si>
  <si>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</si>
  <si>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</si>
  <si>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</si>
  <si>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</si>
  <si>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</si>
  <si>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</si>
  <si>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</si>
  <si>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</si>
  <si>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</si>
  <si>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</si>
  <si>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</si>
  <si>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</si>
  <si>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</si>
  <si>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</si>
  <si>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</si>
  <si>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</si>
  <si>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</si>
  <si>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</si>
  <si>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</si>
  <si>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</si>
  <si>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</si>
  <si>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</si>
  <si>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</si>
  <si>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</si>
  <si>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</si>
  <si>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</si>
  <si>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</si>
  <si>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</si>
  <si>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</si>
  <si>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</si>
  <si>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</si>
  <si>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</si>
  <si>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</si>
  <si>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</si>
  <si>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</si>
  <si>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</si>
  <si>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</si>
  <si>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</si>
  <si>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</si>
  <si>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</si>
  <si>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</si>
  <si>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</si>
  <si>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</si>
  <si>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</si>
  <si>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</si>
  <si>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</si>
  <si>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</si>
  <si>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</si>
  <si>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</si>
  <si>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</si>
  <si>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</si>
  <si>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</si>
  <si>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</si>
  <si>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</si>
  <si>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</si>
  <si>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</si>
  <si>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</si>
  <si>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</si>
  <si>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</si>
  <si>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</si>
  <si>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</si>
  <si>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</si>
  <si>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</si>
  <si>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</si>
  <si>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</si>
  <si>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</si>
  <si>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</si>
  <si>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</si>
  <si>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</si>
  <si>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</si>
  <si>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</si>
  <si>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</si>
  <si>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</si>
  <si>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</si>
  <si>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</si>
  <si>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</si>
  <si>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</si>
  <si>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</si>
  <si>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</si>
  <si>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</si>
  <si>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</si>
  <si>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</si>
  <si>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</si>
  <si>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</si>
  <si>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</si>
  <si>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</si>
  <si>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</si>
  <si>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</si>
  <si>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</si>
  <si>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</si>
  <si>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</si>
  <si>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</si>
  <si>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</si>
  <si>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</si>
  <si>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</si>
  <si>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</si>
  <si>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</si>
  <si>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</si>
  <si>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</si>
  <si>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</si>
  <si>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</si>
  <si>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</si>
  <si>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</si>
  <si>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</si>
  <si>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</si>
  <si>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</si>
  <si>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</si>
  <si>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</si>
  <si>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</si>
  <si>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</si>
  <si>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</si>
  <si>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</si>
  <si>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</si>
  <si>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</si>
  <si>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</si>
  <si>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</si>
  <si>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</si>
  <si>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</si>
  <si>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</si>
  <si>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</si>
  <si>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</si>
  <si>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</si>
  <si>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</si>
  <si>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</si>
  <si>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</si>
  <si>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</si>
  <si>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</si>
  <si>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</si>
  <si>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</si>
  <si>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</si>
  <si>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</si>
  <si>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</si>
  <si>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</si>
  <si>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</si>
  <si>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</si>
  <si>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</si>
  <si>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</si>
  <si>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</si>
  <si>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</si>
  <si>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</si>
  <si>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</si>
  <si>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</si>
  <si>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</si>
  <si>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</si>
  <si>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</si>
  <si>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</si>
  <si>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</si>
  <si>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</si>
  <si>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</si>
  <si>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</si>
  <si>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</si>
  <si>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</si>
  <si>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</si>
  <si>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</si>
  <si>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</si>
  <si>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</si>
  <si>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</si>
  <si>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</si>
  <si>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</si>
  <si>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</si>
  <si>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</si>
  <si>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</si>
  <si>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</si>
  <si>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</si>
  <si>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</si>
  <si>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</si>
  <si>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</si>
  <si>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</si>
  <si>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</si>
  <si>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</si>
  <si>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</si>
  <si>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</si>
  <si>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</si>
  <si>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</si>
  <si>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</si>
  <si>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</si>
  <si>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</si>
  <si>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</si>
  <si>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</si>
  <si>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</si>
  <si>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</si>
  <si>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</si>
  <si>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</si>
  <si>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</si>
  <si>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</si>
  <si>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</si>
  <si>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</si>
  <si>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</si>
  <si>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</si>
  <si>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</si>
  <si>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</si>
  <si>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</si>
  <si>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</si>
  <si>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</si>
  <si>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</si>
  <si>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</si>
  <si>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</si>
  <si>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</si>
  <si>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</si>
  <si>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</si>
  <si>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</si>
  <si>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</si>
  <si>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</si>
  <si>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</si>
  <si>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</si>
  <si>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</si>
  <si>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</si>
  <si>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</si>
  <si>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</si>
  <si>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</si>
  <si>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</si>
  <si>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</si>
  <si>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</si>
  <si>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</si>
  <si>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</si>
  <si>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</si>
  <si>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</si>
  <si>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</si>
  <si>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</si>
  <si>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</si>
  <si>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</si>
  <si>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</si>
  <si>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</si>
  <si>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</si>
  <si>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</si>
  <si>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</si>
  <si>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</si>
  <si>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</si>
  <si>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</si>
  <si>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</si>
  <si>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</si>
  <si>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</si>
  <si>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</si>
  <si>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</si>
  <si>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</si>
  <si>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</si>
  <si>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</si>
  <si>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</si>
  <si>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</si>
  <si>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</si>
  <si>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</si>
  <si>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</si>
  <si>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</si>
  <si>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</si>
  <si>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</si>
  <si>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</si>
  <si>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</si>
  <si>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</si>
  <si>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</si>
  <si>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</si>
  <si>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</si>
  <si>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</si>
  <si>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</si>
  <si>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</si>
  <si>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</si>
  <si>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</si>
  <si>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</si>
  <si>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</si>
  <si>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</si>
  <si>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</si>
  <si>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</si>
  <si>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</si>
  <si>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</si>
  <si>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</si>
  <si>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</si>
  <si>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</si>
  <si>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</si>
  <si>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</si>
  <si>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</si>
  <si>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</si>
  <si>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</si>
  <si>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</si>
  <si>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</si>
  <si>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</si>
  <si>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</si>
  <si>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</si>
  <si>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</si>
  <si>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</si>
  <si>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</si>
  <si>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</si>
  <si>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</si>
  <si>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</si>
  <si>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</si>
  <si>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</si>
  <si>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</si>
  <si>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</si>
  <si>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</si>
  <si>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</si>
  <si>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</si>
  <si>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</si>
  <si>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</si>
  <si>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</si>
  <si>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</si>
  <si>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</si>
  <si>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</si>
  <si>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</si>
  <si>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</si>
  <si>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</si>
  <si>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</si>
  <si>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</si>
  <si>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</si>
  <si>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</si>
  <si>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</si>
  <si>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</si>
  <si>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</si>
  <si>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</si>
  <si>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</si>
  <si>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</si>
  <si>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</si>
  <si>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</si>
  <si>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</si>
  <si>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</si>
  <si>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</si>
  <si>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</si>
  <si>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</si>
  <si>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</si>
  <si>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</si>
  <si>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</si>
  <si>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</si>
  <si>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</si>
  <si>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</si>
  <si>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</si>
  <si>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</si>
  <si>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</si>
  <si>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</si>
  <si>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</si>
  <si>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</si>
  <si>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</si>
  <si>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</si>
  <si>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</si>
  <si>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</si>
  <si>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</si>
  <si>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</si>
  <si>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</si>
  <si>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</si>
  <si>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</si>
  <si>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</si>
  <si>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</si>
  <si>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</si>
  <si>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</si>
  <si>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</si>
  <si>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</si>
  <si>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</si>
  <si>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</si>
  <si>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</si>
  <si>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</si>
  <si>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</si>
  <si>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</si>
  <si>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</si>
  <si>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</si>
  <si>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</si>
  <si>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</si>
  <si>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</si>
  <si>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</si>
  <si>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</si>
  <si>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</si>
  <si>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</si>
  <si>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</si>
  <si>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</si>
  <si>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</si>
  <si>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</si>
  <si>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</si>
  <si>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</si>
  <si>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</si>
  <si>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</si>
  <si>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</si>
  <si>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</si>
  <si>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</si>
  <si>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</si>
  <si>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</si>
  <si>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</si>
  <si>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</si>
  <si>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</si>
  <si>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</si>
  <si>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</si>
  <si>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</si>
  <si>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</si>
  <si>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</si>
  <si>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</si>
  <si>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</si>
  <si>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</si>
  <si>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</si>
  <si>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</si>
  <si>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</si>
  <si>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</si>
  <si>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</si>
  <si>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</si>
  <si>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</si>
  <si>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</si>
  <si>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</si>
  <si>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</si>
  <si>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</si>
  <si>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</si>
  <si>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</si>
  <si>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</si>
  <si>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</si>
  <si>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</si>
  <si>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</si>
  <si>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</si>
  <si>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</si>
  <si>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</si>
  <si>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</si>
  <si>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</si>
  <si>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</si>
  <si>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</si>
  <si>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</si>
  <si>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</si>
  <si>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</si>
  <si>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</si>
  <si>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</si>
  <si>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</si>
  <si>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</si>
  <si>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</si>
  <si>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</si>
  <si>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</si>
  <si>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</si>
  <si>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</si>
  <si>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</si>
  <si>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</si>
  <si>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</si>
  <si>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</si>
  <si>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</si>
  <si>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</si>
  <si>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</si>
  <si>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</si>
  <si>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</si>
  <si>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</si>
  <si>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</si>
  <si>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</si>
  <si>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</si>
  <si>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</si>
  <si>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</si>
  <si>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</si>
  <si>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</si>
  <si>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</si>
  <si>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</si>
  <si>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</si>
  <si>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</si>
  <si>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</si>
  <si>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</si>
  <si>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</si>
  <si>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</si>
  <si>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</si>
  <si>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</si>
  <si>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</si>
  <si>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</si>
  <si>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</si>
  <si>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</si>
  <si>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</si>
  <si>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</si>
  <si>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</si>
  <si>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</si>
  <si>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</si>
  <si>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</si>
  <si>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</si>
  <si>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</si>
  <si>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</si>
  <si>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</si>
  <si>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</si>
  <si>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</si>
  <si>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</si>
  <si>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</si>
  <si>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</si>
  <si>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</si>
  <si>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</si>
  <si>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</si>
  <si>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</si>
  <si>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</si>
  <si>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</si>
  <si>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</si>
  <si>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</si>
  <si>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</si>
  <si>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</si>
  <si>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</si>
  <si>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</si>
  <si>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</si>
  <si>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</si>
  <si>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</si>
  <si>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</si>
  <si>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</si>
  <si>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</si>
  <si>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</si>
  <si>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</si>
  <si>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</si>
  <si>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</si>
  <si>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</si>
  <si>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</si>
  <si>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</si>
  <si>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</si>
  <si>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</si>
  <si>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</si>
  <si>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</si>
  <si>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</si>
  <si>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</si>
  <si>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</si>
  <si>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</si>
  <si>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</si>
  <si>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</si>
  <si>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</si>
  <si>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</si>
  <si>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</si>
  <si>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</si>
  <si>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</si>
  <si>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</si>
  <si>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</si>
  <si>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</si>
  <si>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</si>
  <si>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</si>
  <si>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</si>
  <si>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</si>
  <si>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</si>
  <si>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</si>
  <si>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</si>
  <si>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</si>
  <si>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</si>
  <si>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</si>
  <si>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</si>
  <si>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</si>
  <si>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</si>
  <si>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</si>
  <si>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</si>
  <si>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</si>
  <si>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</si>
  <si>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</si>
  <si>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</si>
  <si>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</si>
  <si>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</si>
  <si>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</si>
  <si>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</si>
  <si>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</si>
  <si>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</si>
  <si>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</si>
  <si>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</si>
  <si>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</si>
  <si>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</si>
  <si>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</si>
  <si>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</si>
  <si>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</si>
  <si>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</si>
  <si>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</si>
  <si>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</si>
  <si>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</si>
  <si>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</si>
  <si>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</si>
  <si>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</si>
  <si>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</si>
  <si>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</si>
  <si>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</si>
  <si>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</si>
  <si>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</si>
  <si>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</si>
  <si>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</si>
  <si>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</si>
  <si>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</si>
  <si>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</si>
  <si>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</si>
  <si>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</si>
  <si>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</si>
  <si>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</si>
  <si>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</si>
  <si>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</si>
  <si>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</si>
  <si>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</si>
  <si>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</si>
  <si>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</si>
  <si>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</si>
  <si>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</si>
  <si>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</si>
  <si>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</si>
  <si>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</si>
  <si>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</si>
  <si>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</si>
  <si>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</si>
  <si>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</si>
  <si>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</si>
  <si>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</si>
  <si>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</si>
  <si>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</si>
  <si>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</si>
  <si>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</si>
  <si>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</si>
  <si>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</si>
  <si>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</si>
  <si>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</si>
  <si>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</si>
  <si>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</si>
  <si>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</si>
  <si>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</si>
  <si>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</si>
  <si>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</si>
  <si>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</si>
  <si>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</si>
  <si>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</si>
  <si>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</si>
  <si>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</si>
  <si>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</si>
  <si>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</si>
  <si>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</si>
  <si>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</si>
  <si>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</si>
  <si>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</si>
  <si>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</si>
  <si>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</si>
  <si>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</si>
  <si>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</si>
  <si>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</si>
  <si>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</si>
  <si>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</si>
  <si>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</si>
  <si>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</si>
  <si>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</si>
  <si>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</si>
  <si>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</si>
  <si>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</si>
  <si>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</si>
  <si>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</si>
  <si>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</si>
  <si>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</si>
  <si>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</si>
  <si>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</si>
  <si>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</si>
  <si>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</si>
  <si>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</si>
  <si>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</si>
  <si>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</si>
  <si>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</si>
  <si>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</si>
  <si>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</si>
  <si>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</si>
  <si>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</si>
  <si>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</si>
  <si>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</si>
  <si>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</si>
  <si>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</si>
  <si>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</si>
  <si>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</si>
  <si>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</si>
  <si>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</si>
  <si>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</si>
  <si>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</si>
  <si>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</si>
  <si>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</si>
  <si>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</si>
  <si>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</si>
  <si>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</si>
  <si>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</si>
  <si>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</si>
  <si>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</si>
  <si>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</si>
  <si>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</si>
  <si>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</si>
  <si>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</si>
  <si>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</si>
  <si>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</si>
  <si>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</si>
  <si>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</si>
  <si>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</si>
  <si>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</si>
  <si>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</si>
  <si>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</si>
  <si>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</si>
  <si>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</si>
  <si>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</si>
  <si>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</si>
  <si>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</si>
  <si>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</si>
  <si>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</si>
  <si>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</si>
  <si>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</si>
  <si>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</si>
  <si>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</si>
  <si>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</si>
  <si>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</si>
  <si>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</si>
  <si>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</si>
  <si>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</si>
  <si>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</si>
  <si>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</si>
  <si>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</si>
  <si>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</si>
  <si>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</si>
  <si>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</si>
  <si>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</si>
  <si>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</si>
  <si>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</si>
  <si>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</si>
  <si>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</si>
  <si>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</si>
  <si>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</si>
  <si>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</si>
  <si>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</si>
  <si>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</si>
  <si>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</si>
  <si>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</si>
  <si>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</si>
  <si>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</si>
  <si>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</si>
  <si>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</si>
  <si>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</si>
  <si>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</si>
  <si>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</si>
  <si>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</si>
  <si>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</si>
  <si>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</si>
  <si>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</si>
  <si>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</si>
  <si>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</si>
  <si>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</si>
  <si>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</si>
  <si>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</si>
  <si>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</si>
  <si>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</si>
  <si>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</si>
  <si>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</si>
  <si>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</si>
  <si>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</si>
  <si>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</si>
  <si>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</si>
  <si>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</si>
  <si>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</si>
  <si>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</si>
  <si>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</si>
  <si>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</si>
  <si>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</si>
  <si>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</si>
  <si>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</si>
  <si>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</si>
  <si>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</si>
  <si>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</si>
  <si>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</si>
  <si>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</si>
  <si>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</si>
  <si>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</si>
  <si>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</si>
  <si>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</si>
  <si>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</si>
  <si>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</si>
  <si>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</si>
  <si>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</si>
  <si>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</si>
  <si>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</si>
  <si>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</si>
  <si>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</si>
  <si>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</si>
  <si>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</si>
  <si>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</si>
  <si>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</si>
  <si>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</si>
  <si>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</si>
  <si>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</si>
  <si>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</si>
  <si>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</si>
  <si>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</si>
  <si>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</si>
  <si>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</si>
  <si>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</si>
  <si>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</si>
  <si>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</si>
  <si>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</si>
  <si>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</si>
  <si>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</si>
  <si>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</si>
  <si>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</si>
  <si>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</si>
  <si>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</si>
  <si>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</si>
  <si>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</si>
  <si>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</si>
  <si>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</si>
  <si>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</si>
  <si>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</si>
  <si>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</si>
  <si>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</si>
  <si>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</si>
  <si>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</si>
  <si>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</si>
  <si>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</si>
  <si>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</si>
  <si>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</si>
  <si>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</si>
  <si>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</si>
  <si>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</si>
  <si>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</si>
  <si>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</si>
  <si>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</si>
  <si>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</si>
  <si>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</si>
  <si>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</si>
  <si>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</si>
  <si>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</si>
  <si>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</si>
  <si>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</si>
  <si>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</si>
  <si>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</si>
  <si>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</si>
  <si>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</si>
  <si>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</si>
  <si>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</si>
  <si>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</si>
  <si>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</si>
  <si>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</si>
  <si>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</si>
  <si>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</si>
  <si>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</si>
  <si>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</si>
  <si>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</si>
  <si>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</si>
  <si>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</si>
  <si>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</si>
  <si>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</si>
  <si>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</si>
  <si>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</si>
  <si>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</si>
  <si>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</si>
  <si>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</si>
  <si>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</si>
  <si>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</si>
  <si>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</si>
  <si>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</si>
  <si>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</si>
  <si>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</si>
  <si>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</si>
  <si>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</si>
  <si>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</si>
  <si>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</si>
  <si>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</si>
  <si>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</si>
  <si>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</si>
  <si>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</si>
  <si>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</si>
  <si>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</si>
  <si>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</si>
  <si>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</si>
  <si>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</si>
  <si>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</si>
  <si>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</si>
  <si>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</si>
  <si>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</si>
  <si>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</si>
  <si>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</si>
  <si>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</si>
  <si>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</si>
  <si>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</si>
  <si>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</si>
  <si>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</si>
  <si>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</si>
  <si>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</si>
  <si>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</si>
  <si>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</si>
  <si>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</si>
  <si>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</si>
  <si>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</si>
  <si>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</si>
  <si>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</si>
  <si>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</si>
  <si>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</si>
  <si>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</si>
  <si>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</si>
  <si>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</si>
  <si>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</si>
  <si>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</si>
  <si>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</si>
  <si>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</si>
  <si>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</si>
  <si>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</si>
  <si>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</si>
  <si>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</si>
  <si>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</si>
  <si>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</si>
  <si>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</si>
  <si>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</si>
  <si>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</si>
  <si>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</si>
  <si>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</si>
  <si>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</si>
  <si>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</si>
  <si>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</si>
  <si>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</si>
  <si>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</si>
  <si>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</si>
  <si>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</si>
  <si>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</si>
  <si>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</si>
  <si>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</si>
  <si>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</si>
  <si>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</si>
  <si>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</si>
  <si>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</si>
  <si>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</si>
  <si>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</si>
  <si>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</si>
  <si>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</si>
  <si>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</si>
  <si>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</si>
  <si>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</si>
  <si>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</si>
  <si>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</si>
  <si>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</si>
  <si>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</si>
  <si>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</si>
  <si>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</si>
  <si>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</si>
  <si>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</si>
  <si>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</si>
  <si>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</si>
  <si>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</si>
  <si>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</si>
  <si>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</si>
  <si>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</si>
  <si>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</si>
  <si>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</si>
  <si>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</si>
  <si>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</si>
  <si>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</si>
  <si>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</si>
  <si>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</si>
  <si>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</si>
  <si>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</si>
  <si>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</si>
  <si>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</si>
  <si>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</si>
  <si>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</si>
  <si>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</si>
  <si>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</si>
  <si>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</si>
  <si>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</si>
  <si>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</si>
  <si>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</si>
  <si>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</si>
  <si>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</si>
  <si>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</si>
  <si>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</si>
  <si>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</si>
  <si>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</si>
  <si>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</si>
  <si>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</si>
  <si>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</si>
  <si>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</si>
  <si>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</si>
  <si>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</si>
  <si>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</si>
  <si>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</si>
  <si>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</si>
  <si>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</si>
  <si>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</si>
  <si>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</si>
  <si>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</si>
  <si>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</si>
  <si>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</si>
  <si>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</si>
  <si>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</si>
  <si>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</si>
  <si>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</si>
  <si>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</si>
  <si>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</si>
  <si>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</si>
  <si>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</si>
  <si>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</si>
  <si>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</si>
  <si>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</si>
  <si>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</si>
  <si>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</si>
  <si>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</si>
  <si>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</si>
  <si>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</si>
  <si>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</si>
  <si>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</si>
  <si>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</si>
  <si>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</si>
  <si>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</si>
  <si>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</si>
  <si>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</si>
  <si>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</si>
  <si>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</si>
  <si>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</si>
  <si>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</si>
  <si>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</si>
  <si>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</si>
  <si>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</si>
  <si>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</si>
  <si>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</si>
  <si>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</si>
  <si>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</si>
  <si>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</si>
  <si>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</si>
  <si>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</si>
  <si>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</si>
  <si>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</si>
  <si>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</si>
  <si>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</si>
  <si>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</si>
  <si>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</si>
  <si>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</si>
  <si>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</si>
  <si>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</si>
  <si>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</si>
  <si>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</si>
  <si>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</si>
  <si>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</si>
  <si>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</si>
  <si>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</si>
  <si>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</si>
  <si>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</si>
  <si>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</si>
  <si>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</si>
  <si>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</si>
  <si>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</si>
  <si>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</si>
  <si>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</si>
  <si>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</si>
  <si>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</si>
  <si>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</si>
  <si>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</si>
  <si>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</si>
  <si>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</si>
  <si>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</si>
  <si>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</si>
  <si>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</si>
  <si>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</si>
  <si>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</si>
  <si>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</si>
  <si>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</si>
  <si>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</si>
  <si>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</si>
  <si>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</si>
  <si>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</si>
  <si>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</si>
  <si>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</si>
  <si>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</si>
  <si>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</si>
  <si>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</si>
  <si>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</si>
  <si>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</si>
  <si>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</si>
  <si>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</si>
  <si>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</si>
  <si>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</si>
  <si>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</si>
  <si>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</si>
  <si>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</si>
  <si>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</si>
  <si>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</si>
  <si>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</si>
  <si>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</si>
  <si>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</si>
  <si>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</si>
  <si>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</si>
  <si>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</si>
  <si>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</si>
  <si>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</si>
  <si>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</si>
  <si>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</si>
  <si>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</si>
  <si>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</si>
  <si>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</si>
  <si>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</si>
  <si>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</si>
  <si>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</si>
  <si>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</si>
  <si>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</si>
  <si>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</si>
  <si>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</si>
  <si>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</si>
  <si>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</si>
  <si>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</si>
  <si>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</si>
  <si>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</si>
  <si>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</si>
  <si>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</si>
  <si>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</si>
  <si>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</si>
  <si>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</si>
  <si>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</si>
  <si>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</si>
  <si>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</si>
  <si>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</si>
  <si>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</si>
  <si>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</si>
  <si>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</si>
  <si>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</si>
  <si>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</si>
  <si>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</si>
  <si>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</si>
  <si>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</si>
  <si>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</si>
  <si>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</si>
  <si>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</si>
  <si>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</si>
  <si>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</si>
  <si>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</si>
  <si>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</si>
  <si>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</si>
  <si>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</si>
  <si>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</si>
  <si>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</si>
  <si>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</si>
  <si>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</si>
  <si>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</si>
  <si>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</si>
  <si>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</si>
  <si>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</si>
  <si>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</si>
  <si>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</si>
  <si>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</si>
  <si>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</si>
  <si>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</si>
  <si>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</si>
  <si>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</si>
  <si>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</si>
  <si>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</si>
  <si>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</si>
  <si>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</si>
  <si>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</si>
  <si>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</si>
  <si>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</si>
  <si>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</si>
  <si>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</si>
  <si>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</si>
  <si>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</si>
  <si>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</si>
  <si>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</si>
  <si>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</si>
  <si>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</si>
  <si>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</si>
  <si>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</si>
  <si>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</si>
  <si>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</si>
  <si>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</si>
  <si>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</si>
  <si>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</si>
  <si>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</si>
  <si>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</si>
  <si>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</si>
  <si>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</si>
  <si>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</si>
  <si>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</si>
  <si>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</si>
  <si>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</si>
  <si>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</si>
  <si>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</si>
  <si>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</si>
  <si>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</si>
  <si>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</si>
  <si>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</si>
  <si>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</si>
  <si>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</si>
  <si>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</si>
  <si>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</si>
  <si>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</si>
  <si>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</si>
  <si>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</si>
  <si>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</si>
  <si>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</si>
  <si>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</si>
  <si>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</si>
  <si>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</si>
  <si>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</si>
  <si>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</si>
  <si>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</si>
  <si>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</si>
  <si>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</si>
  <si>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</si>
  <si>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</si>
  <si>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</si>
  <si>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</si>
  <si>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</si>
  <si>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</si>
  <si>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</si>
  <si>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</si>
  <si>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</si>
  <si>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</si>
  <si>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</si>
  <si>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</si>
  <si>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</si>
  <si>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</si>
  <si>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</si>
  <si>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</si>
  <si>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</si>
  <si>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</si>
  <si>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</si>
  <si>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</si>
  <si>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</si>
  <si>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</si>
  <si>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</si>
  <si>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</si>
  <si>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</si>
  <si>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</si>
  <si>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</si>
  <si>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</si>
  <si>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</si>
  <si>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</si>
  <si>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</si>
  <si>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</si>
  <si>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</si>
  <si>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</si>
  <si>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</si>
  <si>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</si>
  <si>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</si>
  <si>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</si>
  <si>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</si>
  <si>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</si>
  <si>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</si>
  <si>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</si>
  <si>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</si>
  <si>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</si>
  <si>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</si>
  <si>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</si>
  <si>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</si>
  <si>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</si>
  <si>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</si>
  <si>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</si>
  <si>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</si>
  <si>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</si>
  <si>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</si>
  <si>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</si>
  <si>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</si>
  <si>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</si>
  <si>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</si>
  <si>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</si>
  <si>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</si>
  <si>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</si>
  <si>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</si>
  <si>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</si>
  <si>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</si>
  <si>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</si>
  <si>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</si>
  <si>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</si>
  <si>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</si>
  <si>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</si>
  <si>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</si>
  <si>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</si>
  <si>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</si>
  <si>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</si>
  <si>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</si>
  <si>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</si>
  <si>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</si>
  <si>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</si>
  <si>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</si>
  <si>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</si>
  <si>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</si>
  <si>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</si>
  <si>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</si>
  <si>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</si>
  <si>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</si>
  <si>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</si>
  <si>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</si>
  <si>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</si>
  <si>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</si>
  <si>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</si>
  <si>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</si>
  <si>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</si>
  <si>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</si>
  <si>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</si>
  <si>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</si>
  <si>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</si>
  <si>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</si>
  <si>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</si>
  <si>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</si>
  <si>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</si>
  <si>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</si>
  <si>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</si>
  <si>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</si>
  <si>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</si>
  <si>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</si>
  <si>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</si>
  <si>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</si>
  <si>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</si>
  <si>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</si>
  <si>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</si>
  <si>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</si>
  <si>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</si>
  <si>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</si>
  <si>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</si>
  <si>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</si>
  <si>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</si>
  <si>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</si>
  <si>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</si>
  <si>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</si>
  <si>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</si>
  <si>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</si>
  <si>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</si>
  <si>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</si>
  <si>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</si>
  <si>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</si>
  <si>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</si>
  <si>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</si>
  <si>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</si>
  <si>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</si>
  <si>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</si>
  <si>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</si>
  <si>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</si>
  <si>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</si>
  <si>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</si>
  <si>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</si>
  <si>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</si>
  <si>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</si>
  <si>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</si>
  <si>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</si>
  <si>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</si>
  <si>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</si>
  <si>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</si>
  <si>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</si>
  <si>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</si>
  <si>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</si>
  <si>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</si>
  <si>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</si>
  <si>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</si>
  <si>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</si>
  <si>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</si>
  <si>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</si>
  <si>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</si>
  <si>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</si>
  <si>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</si>
  <si>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</si>
  <si>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</si>
  <si>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</si>
  <si>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</si>
  <si>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</si>
  <si>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</si>
  <si>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</si>
  <si>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</si>
  <si>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</si>
  <si>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</si>
  <si>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</si>
  <si>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</si>
  <si>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</si>
  <si>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</si>
  <si>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</si>
  <si>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</si>
  <si>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</si>
  <si>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</si>
  <si>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</si>
  <si>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</si>
  <si>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</si>
  <si>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</si>
  <si>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</si>
  <si>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</si>
  <si>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</si>
  <si>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</si>
  <si>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</si>
  <si>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</si>
  <si>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</si>
  <si>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</si>
  <si>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</si>
  <si>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</si>
  <si>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</si>
  <si>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</si>
  <si>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</si>
  <si>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</si>
  <si>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</si>
  <si>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</si>
  <si>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</si>
  <si>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</si>
  <si>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</si>
  <si>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</si>
  <si>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</si>
  <si>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</si>
  <si>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</si>
  <si>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</si>
  <si>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</si>
  <si>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</si>
  <si>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</si>
  <si>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</si>
  <si>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</si>
  <si>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</si>
  <si>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</si>
  <si>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</si>
  <si>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</si>
  <si>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</si>
  <si>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</si>
  <si>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</si>
  <si>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</si>
  <si>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</si>
  <si>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</si>
  <si>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</si>
  <si>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</si>
  <si>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</si>
  <si>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</si>
  <si>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</si>
  <si>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</si>
  <si>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</si>
  <si>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</si>
  <si>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</si>
  <si>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</si>
  <si>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</si>
  <si>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</si>
  <si>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</si>
  <si>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</si>
  <si>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</si>
  <si>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</si>
  <si>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</si>
  <si>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</si>
  <si>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</si>
  <si>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</si>
  <si>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</si>
  <si>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</si>
  <si>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</si>
  <si>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</si>
  <si>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</si>
  <si>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</si>
  <si>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</si>
  <si>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</si>
  <si>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</si>
  <si>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</si>
  <si>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</si>
  <si>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</si>
  <si>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</si>
  <si>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</si>
  <si>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</si>
  <si>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</si>
  <si>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</si>
  <si>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</si>
  <si>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</si>
  <si>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</si>
  <si>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</si>
  <si>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</si>
  <si>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</si>
  <si>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</si>
  <si>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</si>
  <si>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</si>
  <si>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</si>
  <si>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</si>
  <si>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</si>
  <si>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</si>
  <si>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</si>
  <si>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</si>
  <si>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</si>
  <si>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</si>
  <si>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</si>
  <si>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</si>
  <si>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</si>
  <si>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</si>
  <si>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</si>
  <si>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</si>
  <si>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</si>
  <si>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</si>
  <si>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</si>
  <si>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</si>
  <si>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</si>
  <si>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</si>
  <si>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</si>
  <si>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</si>
  <si>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</si>
  <si>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</si>
  <si>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</si>
  <si>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</si>
  <si>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</si>
  <si>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</si>
  <si>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</si>
  <si>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</si>
  <si>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</si>
  <si>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</si>
  <si>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</si>
  <si>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</si>
  <si>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</si>
  <si>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</si>
  <si>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</si>
  <si>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</si>
  <si>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</si>
  <si>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</si>
  <si>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</si>
  <si>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</si>
  <si>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</si>
  <si>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</si>
  <si>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</si>
  <si>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</si>
  <si>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</si>
  <si>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</si>
  <si>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</si>
  <si>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</si>
  <si>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</si>
  <si>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</si>
  <si>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</si>
  <si>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</si>
  <si>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</si>
  <si>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</si>
  <si>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</si>
  <si>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</si>
  <si>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</si>
  <si>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</si>
  <si>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</si>
  <si>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</si>
  <si>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</si>
  <si>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</si>
  <si>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</si>
  <si>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</si>
  <si>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</si>
  <si>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</si>
  <si>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</si>
  <si>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</si>
  <si>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</si>
  <si>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</si>
  <si>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</si>
  <si>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</si>
  <si>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</si>
  <si>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</si>
  <si>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</si>
  <si>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</si>
  <si>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</si>
  <si>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</si>
  <si>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</si>
  <si>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</si>
  <si>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</si>
  <si>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</si>
  <si>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</si>
  <si>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</si>
  <si>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</si>
  <si>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</si>
  <si>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</si>
  <si>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</si>
  <si>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</si>
  <si>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</si>
  <si>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</si>
  <si>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</si>
  <si>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</si>
  <si>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</si>
  <si>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</si>
  <si>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</si>
  <si>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</si>
  <si>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</si>
  <si>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</si>
  <si>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</si>
  <si>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</si>
  <si>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</si>
  <si>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</si>
  <si>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</si>
  <si>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</si>
  <si>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</si>
  <si>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</si>
  <si>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</si>
  <si>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</si>
  <si>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</si>
  <si>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</si>
  <si>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</si>
  <si>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</si>
  <si>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</si>
  <si>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</si>
  <si>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</si>
  <si>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</si>
  <si>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</si>
  <si>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</si>
  <si>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</si>
  <si>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</si>
  <si>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</si>
  <si>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</si>
  <si>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</si>
  <si>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</si>
  <si>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</si>
  <si>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</si>
  <si>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</si>
  <si>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</si>
  <si>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</si>
  <si>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</si>
  <si>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</si>
  <si>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</si>
  <si>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</si>
  <si>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</si>
  <si>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</si>
  <si>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</si>
  <si>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</si>
  <si>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</si>
  <si>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</si>
  <si>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</si>
  <si>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</si>
  <si>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</si>
  <si>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</si>
  <si>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</si>
  <si>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</si>
  <si>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</si>
  <si>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</si>
  <si>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</si>
  <si>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</si>
  <si>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</si>
  <si>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</si>
  <si>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</si>
  <si>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</si>
  <si>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</si>
  <si>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</si>
  <si>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</si>
  <si>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</si>
  <si>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</si>
  <si>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</si>
  <si>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</si>
  <si>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</si>
  <si>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</si>
  <si>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</si>
  <si>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</si>
  <si>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</si>
  <si>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</si>
  <si>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</si>
  <si>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</si>
  <si>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</si>
  <si>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</si>
  <si>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</si>
  <si>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</si>
  <si>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</si>
  <si>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</si>
  <si>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</si>
  <si>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</si>
  <si>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</si>
  <si>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</si>
  <si>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</si>
  <si>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</si>
  <si>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</si>
  <si>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</si>
  <si>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</si>
  <si>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</si>
  <si>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</si>
  <si>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</si>
  <si>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</si>
  <si>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</si>
  <si>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</si>
  <si>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</si>
  <si>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</si>
  <si>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</si>
  <si>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</si>
  <si>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</si>
  <si>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</si>
  <si>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</si>
  <si>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</si>
  <si>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</si>
  <si>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</si>
  <si>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</si>
  <si>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</si>
  <si>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</si>
  <si>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</si>
  <si>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</si>
  <si>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</si>
  <si>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</si>
  <si>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</si>
  <si>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</si>
  <si>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</si>
  <si>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</si>
  <si>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</si>
  <si>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</si>
  <si>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</si>
  <si>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</si>
  <si>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</si>
  <si>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</si>
  <si>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</si>
  <si>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</si>
  <si>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</si>
  <si>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</si>
  <si>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</si>
  <si>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</si>
  <si>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</si>
  <si>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</si>
  <si>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</si>
  <si>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</si>
  <si>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</si>
  <si>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</si>
  <si>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</si>
  <si>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</si>
  <si>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</si>
  <si>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</si>
  <si>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</si>
  <si>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</si>
  <si>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</si>
  <si>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</si>
  <si>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</si>
  <si>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</si>
  <si>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</si>
  <si>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</si>
  <si>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</si>
  <si>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</si>
  <si>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</si>
  <si>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</si>
  <si>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</si>
  <si>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</si>
  <si>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</si>
  <si>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</si>
  <si>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</si>
  <si>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</si>
  <si>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</si>
  <si>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</si>
  <si>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</si>
  <si>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</si>
  <si>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</si>
  <si>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</si>
  <si>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</si>
  <si>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</si>
  <si>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</si>
  <si>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</si>
  <si>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</si>
  <si>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</si>
  <si>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</si>
  <si>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</si>
  <si>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</si>
  <si>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</si>
  <si>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</si>
  <si>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</si>
  <si>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</si>
  <si>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</si>
  <si>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</si>
  <si>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</si>
  <si>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</si>
  <si>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</si>
  <si>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</si>
  <si>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</si>
  <si>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</si>
  <si>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</si>
  <si>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</si>
  <si>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</si>
  <si>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</si>
  <si>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</si>
  <si>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</si>
  <si>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</si>
  <si>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</si>
  <si>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</si>
  <si>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</si>
  <si>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</si>
  <si>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</si>
  <si>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</si>
  <si>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</si>
  <si>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</si>
  <si>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</si>
  <si>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</si>
  <si>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</si>
  <si>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</si>
  <si>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</si>
  <si>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</si>
  <si>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</si>
  <si>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</si>
  <si>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</si>
  <si>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</si>
  <si>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</si>
  <si>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</si>
  <si>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</si>
  <si>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</si>
  <si>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</si>
  <si>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</si>
  <si>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</si>
  <si>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</si>
  <si>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</si>
  <si>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</si>
  <si>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</si>
  <si>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</si>
  <si>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</si>
  <si>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</si>
  <si>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</si>
  <si>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</si>
  <si>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</si>
  <si>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</si>
  <si>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</si>
  <si>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</si>
  <si>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</si>
  <si>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</si>
  <si>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</si>
  <si>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</si>
  <si>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</si>
  <si>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</si>
  <si>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</si>
  <si>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</si>
  <si>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</si>
  <si>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</si>
  <si>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</si>
  <si>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</si>
  <si>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</si>
  <si>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</si>
  <si>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</si>
  <si>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</si>
  <si>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</si>
  <si>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</si>
  <si>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</si>
  <si>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</si>
  <si>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</si>
  <si>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</si>
  <si>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</si>
  <si>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</si>
  <si>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</si>
  <si>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</si>
  <si>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</si>
  <si>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</si>
  <si>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</si>
  <si>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</si>
  <si>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</si>
  <si>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</si>
  <si>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</si>
  <si>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</si>
  <si>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</si>
  <si>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</si>
  <si>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</si>
  <si>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</si>
  <si>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</si>
  <si>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</si>
  <si>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</si>
  <si>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</si>
  <si>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</si>
  <si>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</si>
  <si>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</si>
  <si>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</si>
  <si>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</si>
  <si>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</si>
  <si>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</si>
  <si>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</si>
  <si>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</si>
  <si>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</si>
  <si>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</si>
  <si>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</si>
  <si>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</si>
  <si>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</si>
  <si>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</si>
  <si>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</si>
  <si>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</si>
  <si>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</si>
  <si>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</si>
  <si>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</si>
  <si>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</si>
  <si>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</si>
  <si>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</si>
  <si>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</si>
  <si>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</si>
  <si>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</si>
  <si>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</si>
  <si>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</si>
  <si>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</si>
  <si>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</si>
  <si>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</si>
  <si>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</si>
  <si>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</si>
  <si>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</si>
  <si>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</si>
  <si>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</si>
  <si>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</si>
  <si>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</si>
  <si>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</si>
  <si>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</si>
  <si>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</si>
  <si>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</si>
  <si>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</si>
  <si>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</si>
  <si>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</si>
  <si>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</si>
  <si>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</si>
  <si>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</si>
  <si>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</si>
  <si>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</si>
  <si>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</si>
  <si>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</si>
  <si>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</si>
  <si>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</si>
  <si>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</si>
  <si>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</si>
  <si>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</si>
  <si>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</si>
  <si>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</si>
  <si>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</si>
  <si>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</si>
  <si>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</si>
  <si>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</si>
  <si>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</si>
  <si>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</si>
  <si>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</si>
  <si>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</si>
  <si>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</si>
  <si>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</si>
  <si>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</si>
  <si>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</si>
  <si>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</si>
  <si>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</si>
  <si>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</si>
  <si>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</si>
  <si>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</si>
  <si>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</si>
  <si>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</si>
  <si>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</si>
  <si>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</si>
  <si>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</si>
  <si>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</si>
  <si>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</si>
  <si>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</si>
  <si>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</si>
  <si>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</si>
  <si>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</si>
  <si>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</si>
  <si>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</si>
  <si>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</si>
  <si>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</si>
  <si>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</si>
  <si>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</si>
  <si>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</si>
  <si>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</si>
  <si>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</si>
  <si>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</si>
  <si>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</si>
  <si>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</si>
  <si>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</si>
  <si>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</si>
  <si>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</si>
  <si>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</si>
  <si>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</si>
  <si>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</si>
  <si>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</si>
  <si>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</si>
  <si>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</si>
  <si>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</si>
  <si>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</si>
  <si>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</si>
  <si>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</si>
  <si>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</si>
  <si>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</si>
  <si>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</si>
  <si>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</si>
  <si>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</si>
  <si>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</si>
  <si>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</si>
  <si>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</si>
  <si>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</si>
  <si>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</si>
  <si>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</si>
  <si>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</si>
  <si>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</si>
  <si>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</si>
  <si>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</si>
  <si>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</si>
  <si>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</si>
  <si>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</si>
  <si>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</si>
  <si>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</si>
  <si>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</si>
  <si>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</si>
  <si>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</si>
  <si>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</si>
  <si>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</si>
  <si>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</si>
  <si>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</si>
  <si>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</si>
  <si>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</si>
  <si>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</si>
  <si>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</si>
  <si>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</si>
  <si>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</si>
  <si>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</si>
  <si>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</si>
  <si>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</si>
  <si>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</si>
  <si>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</si>
  <si>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</si>
  <si>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</si>
  <si>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</si>
  <si>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</si>
  <si>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</si>
  <si>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</si>
  <si>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</si>
  <si>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</si>
  <si>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</si>
  <si>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</si>
  <si>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</si>
  <si>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</si>
  <si>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</si>
  <si>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</si>
  <si>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</si>
  <si>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</si>
  <si>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</si>
  <si>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</si>
  <si>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</si>
  <si>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</si>
  <si>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</si>
  <si>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</si>
  <si>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</si>
  <si>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</si>
  <si>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</si>
  <si>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</si>
  <si>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</si>
  <si>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</si>
  <si>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</si>
  <si>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</si>
  <si>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</si>
  <si>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</si>
  <si>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</si>
  <si>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</si>
  <si>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</si>
  <si>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</si>
  <si>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</si>
  <si>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</si>
  <si>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</si>
  <si>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</si>
  <si>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</si>
  <si>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</si>
  <si>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</si>
  <si>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</si>
  <si>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</si>
  <si>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</si>
  <si>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</si>
  <si>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</si>
  <si>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</si>
  <si>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</si>
  <si>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</si>
  <si>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</si>
  <si>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</si>
  <si>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</si>
  <si>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</si>
  <si>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</si>
  <si>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</si>
  <si>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</si>
  <si>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</si>
  <si>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</si>
  <si>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</si>
  <si>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</si>
  <si>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</si>
  <si>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</si>
  <si>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</si>
  <si>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</si>
  <si>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</si>
  <si>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</si>
  <si>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</si>
  <si>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</si>
  <si>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</si>
  <si>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</si>
  <si>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</si>
  <si>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</si>
  <si>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</si>
  <si>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</si>
  <si>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</si>
  <si>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</si>
  <si>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</si>
  <si>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</si>
  <si>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</si>
  <si>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</si>
  <si>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</si>
  <si>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</si>
  <si>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</si>
  <si>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</si>
  <si>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</si>
  <si>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</si>
  <si>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</si>
  <si>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</si>
  <si>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</si>
  <si>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</si>
  <si>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</si>
  <si>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</si>
  <si>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</si>
  <si>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</si>
  <si>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</si>
  <si>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</si>
  <si>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</si>
  <si>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</si>
  <si>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</si>
  <si>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</si>
  <si>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</si>
  <si>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</si>
  <si>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</si>
  <si>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</si>
  <si>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</si>
  <si>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</si>
  <si>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</si>
  <si>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</si>
  <si>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</si>
  <si>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</si>
  <si>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</si>
  <si>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</si>
  <si>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</si>
  <si>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</si>
  <si>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</si>
  <si>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</si>
  <si>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</si>
  <si>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</si>
  <si>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</si>
  <si>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</si>
  <si>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</si>
  <si>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</si>
  <si>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</si>
  <si>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</si>
  <si>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</si>
  <si>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</si>
  <si>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</si>
  <si>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</si>
  <si>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</si>
  <si>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</si>
  <si>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</si>
  <si>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</si>
  <si>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</si>
  <si>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</si>
  <si>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</si>
  <si>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</si>
  <si>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</si>
  <si>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</si>
  <si>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</si>
  <si>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</si>
  <si>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</si>
  <si>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</si>
  <si>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</si>
  <si>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</si>
  <si>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</si>
  <si>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</si>
  <si>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</si>
  <si>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</si>
  <si>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</si>
  <si>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</si>
  <si>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</si>
  <si>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</si>
  <si>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</si>
  <si>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</si>
  <si>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</si>
  <si>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</si>
  <si>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</si>
  <si>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</si>
  <si>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</si>
  <si>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</si>
  <si>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</si>
  <si>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</si>
  <si>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</si>
  <si>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</si>
  <si>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</si>
  <si>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</si>
  <si>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</si>
  <si>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</si>
  <si>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</si>
  <si>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</si>
  <si>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</si>
  <si>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</si>
  <si>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</si>
  <si>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</si>
  <si>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</si>
  <si>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</si>
  <si>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</si>
  <si>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</si>
  <si>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</si>
  <si>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</si>
  <si>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</si>
  <si>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</si>
  <si>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</si>
  <si>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</si>
  <si>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</si>
  <si>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</si>
  <si>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</si>
  <si>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</si>
  <si>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</si>
  <si>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</si>
  <si>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</si>
  <si>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</si>
  <si>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</si>
  <si>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</si>
  <si>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</si>
  <si>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</si>
  <si>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</si>
  <si>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</si>
  <si>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</si>
  <si>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</si>
  <si>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</si>
  <si>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</si>
  <si>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</si>
  <si>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</si>
  <si>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</si>
  <si>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</si>
  <si>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</si>
  <si>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</si>
  <si>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</si>
  <si>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</si>
  <si>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</si>
  <si>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</si>
  <si>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</si>
  <si>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</si>
  <si>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</si>
  <si>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</si>
  <si>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</si>
  <si>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</si>
  <si>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</si>
  <si>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</si>
  <si>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</si>
  <si>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</si>
  <si>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</si>
  <si>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</si>
  <si>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</si>
  <si>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</si>
  <si>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</si>
  <si>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</si>
  <si>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</si>
  <si>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</si>
  <si>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</si>
  <si>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</si>
  <si>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</si>
  <si>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</si>
  <si>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</si>
  <si>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</si>
  <si>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</si>
  <si>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</si>
  <si>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</si>
  <si>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</si>
  <si>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</si>
  <si>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</si>
  <si>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</si>
  <si>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</si>
  <si>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</si>
  <si>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</si>
  <si>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</si>
  <si>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</si>
  <si>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</si>
  <si>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</si>
  <si>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</si>
  <si>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</si>
  <si>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</si>
  <si>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</si>
  <si>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</si>
  <si>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</si>
  <si>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</si>
  <si>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</si>
  <si>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</si>
  <si>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</si>
  <si>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</si>
  <si>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</si>
  <si>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</si>
  <si>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</si>
  <si>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</si>
  <si>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</si>
  <si>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</si>
  <si>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</si>
  <si>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</si>
  <si>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</si>
  <si>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</si>
  <si>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</si>
  <si>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</si>
  <si>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</si>
  <si>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</si>
  <si>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</si>
  <si>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</si>
  <si>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</si>
  <si>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</si>
  <si>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</si>
  <si>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</si>
  <si>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</si>
  <si>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</si>
  <si>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</si>
  <si>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</si>
  <si>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</si>
  <si>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</si>
  <si>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</si>
  <si>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</si>
  <si>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</si>
  <si>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</si>
  <si>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</si>
  <si>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</si>
  <si>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</si>
  <si>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</si>
  <si>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</si>
  <si>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</si>
  <si>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</si>
  <si>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</si>
  <si>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</si>
  <si>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</si>
  <si>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</si>
  <si>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</si>
  <si>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</si>
  <si>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</si>
  <si>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</si>
  <si>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</si>
  <si>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</si>
  <si>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</si>
  <si>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</si>
  <si>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</si>
  <si>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</si>
  <si>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</si>
  <si>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</si>
  <si>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</si>
  <si>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</si>
  <si>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</si>
  <si>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</si>
  <si>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</si>
  <si>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</si>
  <si>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</si>
  <si>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</si>
  <si>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</si>
  <si>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</si>
  <si>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</si>
  <si>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</si>
  <si>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</si>
  <si>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</si>
  <si>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</si>
  <si>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</si>
  <si>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</si>
  <si>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</si>
  <si>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</si>
  <si>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</si>
  <si>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</si>
  <si>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</si>
  <si>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</si>
  <si>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</si>
  <si>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</si>
  <si>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</si>
  <si>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</si>
  <si>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</si>
  <si>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</si>
  <si>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</si>
  <si>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</si>
  <si>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</si>
  <si>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</si>
  <si>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</si>
  <si>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</si>
  <si>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</si>
  <si>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</si>
  <si>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</si>
  <si>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</si>
  <si>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</si>
  <si>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</si>
  <si>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</si>
  <si>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</si>
  <si>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</si>
  <si>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</si>
  <si>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</si>
  <si>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</si>
  <si>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</si>
  <si>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</si>
  <si>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</si>
  <si>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</si>
  <si>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</si>
  <si>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</si>
  <si>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</si>
  <si>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</si>
  <si>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</si>
  <si>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</si>
  <si>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</si>
  <si>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</si>
  <si>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</si>
  <si>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</si>
  <si>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</si>
  <si>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</si>
  <si>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</si>
  <si>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</si>
  <si>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</si>
  <si>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</si>
  <si>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</si>
  <si>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</si>
  <si>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</si>
  <si>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</si>
  <si>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</si>
  <si>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</si>
  <si>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</si>
  <si>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</si>
  <si>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</si>
  <si>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</si>
  <si>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</si>
  <si>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</si>
  <si>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</si>
  <si>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</si>
  <si>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</si>
  <si>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</si>
  <si>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</si>
  <si>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</si>
  <si>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</si>
  <si>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</si>
  <si>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</si>
  <si>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</si>
  <si>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</si>
  <si>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</si>
  <si>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</si>
  <si>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</si>
  <si>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</si>
  <si>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</si>
  <si>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</si>
  <si>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</si>
  <si>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</si>
  <si>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</si>
  <si>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</si>
  <si>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</si>
  <si>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</si>
  <si>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</si>
  <si>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</si>
  <si>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</si>
  <si>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</si>
  <si>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</si>
  <si>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</si>
  <si>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</si>
  <si>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</si>
  <si>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</si>
  <si>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</si>
  <si>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</si>
  <si>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</si>
  <si>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</si>
  <si>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</si>
  <si>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</si>
  <si>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</si>
  <si>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</si>
  <si>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</si>
  <si>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</si>
  <si>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</si>
  <si>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</si>
  <si>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</si>
  <si>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</si>
  <si>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</si>
  <si>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</si>
  <si>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</si>
  <si>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</si>
  <si>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</si>
  <si>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</si>
  <si>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</si>
  <si>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</si>
  <si>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</si>
  <si>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</si>
  <si>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</si>
  <si>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</si>
  <si>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</si>
  <si>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</si>
  <si>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</si>
  <si>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</si>
  <si>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</si>
  <si>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</si>
  <si>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</si>
  <si>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</si>
  <si>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</si>
  <si>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</si>
  <si>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</si>
  <si>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</si>
  <si>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</si>
  <si>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</si>
  <si>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</si>
  <si>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</si>
  <si>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</si>
  <si>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</si>
  <si>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</si>
  <si>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</si>
  <si>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</si>
  <si>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</si>
  <si>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</si>
  <si>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</si>
  <si>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</si>
  <si>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</si>
  <si>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</si>
  <si>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</si>
  <si>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</si>
  <si>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</si>
  <si>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</si>
  <si>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</si>
  <si>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</si>
  <si>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</si>
  <si>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</si>
  <si>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</si>
  <si>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</si>
  <si>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</si>
  <si>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</si>
  <si>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</si>
  <si>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</si>
  <si>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</si>
  <si>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</si>
  <si>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</si>
  <si>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</si>
  <si>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</si>
  <si>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</si>
  <si>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</si>
  <si>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</si>
  <si>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</si>
  <si>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</si>
  <si>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</si>
  <si>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</si>
  <si>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</si>
  <si>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</si>
  <si>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</si>
  <si>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</si>
  <si>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</si>
  <si>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</si>
  <si>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</si>
  <si>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</si>
  <si>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</si>
  <si>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</si>
  <si>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</si>
  <si>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</si>
  <si>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</si>
  <si>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</si>
  <si>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</si>
  <si>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</si>
  <si>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</si>
  <si>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</si>
  <si>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</si>
  <si>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</si>
  <si>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</si>
  <si>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</si>
  <si>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</si>
  <si>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</si>
  <si>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</si>
  <si>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</si>
  <si>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</si>
  <si>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</si>
  <si>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</si>
  <si>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</si>
  <si>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</si>
  <si>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</si>
  <si>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</si>
  <si>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</si>
  <si>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</si>
  <si>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</si>
  <si>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</si>
  <si>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</si>
  <si>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</si>
  <si>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</si>
  <si>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</si>
  <si>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</si>
  <si>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</si>
  <si>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</si>
  <si>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</si>
  <si>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</si>
  <si>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</si>
  <si>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</si>
  <si>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</si>
  <si>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</si>
  <si>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</si>
  <si>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</si>
  <si>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</si>
  <si>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</si>
  <si>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</si>
  <si>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</si>
  <si>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</si>
  <si>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</si>
  <si>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</si>
  <si>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</si>
  <si>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</si>
  <si>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</si>
  <si>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</si>
  <si>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</si>
  <si>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</si>
  <si>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</si>
  <si>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</si>
  <si>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</si>
  <si>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</si>
  <si>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</si>
  <si>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</si>
  <si>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</si>
  <si>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</si>
  <si>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</si>
  <si>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</si>
  <si>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</si>
  <si>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</si>
  <si>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</si>
  <si>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</si>
  <si>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</si>
  <si>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</si>
  <si>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</si>
  <si>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</si>
  <si>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</si>
  <si>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</si>
  <si>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</si>
  <si>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</si>
  <si>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</si>
  <si>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</si>
  <si>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</si>
  <si>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</si>
  <si>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</si>
  <si>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</si>
  <si>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</si>
  <si>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</si>
  <si>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</si>
  <si>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</si>
  <si>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</si>
  <si>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</si>
  <si>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</si>
  <si>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</si>
  <si>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</si>
  <si>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</si>
  <si>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</si>
  <si>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</si>
  <si>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</si>
  <si>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</si>
  <si>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</si>
  <si>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</si>
  <si>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</si>
  <si>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</si>
  <si>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</si>
  <si>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</si>
  <si>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</si>
  <si>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</si>
  <si>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</si>
  <si>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</si>
  <si>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</si>
  <si>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</si>
  <si>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</si>
  <si>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</si>
  <si>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</si>
  <si>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</si>
  <si>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</si>
  <si>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</si>
  <si>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</si>
  <si>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</si>
  <si>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</si>
  <si>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</si>
  <si>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</si>
  <si>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</si>
  <si>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</si>
  <si>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</si>
  <si>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</si>
  <si>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</si>
  <si>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</si>
  <si>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</si>
  <si>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</si>
  <si>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</si>
  <si>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</si>
  <si>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</si>
  <si>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</si>
  <si>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</si>
  <si>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</si>
  <si>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</si>
  <si>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</si>
  <si>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</si>
  <si>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</si>
  <si>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</si>
  <si>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</si>
  <si>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</si>
  <si>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</si>
  <si>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</si>
  <si>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</si>
  <si>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</si>
  <si>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</si>
  <si>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</si>
  <si>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</si>
  <si>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</si>
  <si>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</si>
  <si>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</si>
  <si>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</si>
  <si>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</si>
  <si>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</si>
  <si>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</si>
  <si>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</si>
  <si>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</si>
  <si>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</si>
  <si>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</si>
  <si>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</si>
  <si>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</si>
  <si>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</si>
  <si>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</si>
  <si>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</si>
  <si>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</si>
  <si>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</si>
  <si>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</si>
  <si>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</si>
  <si>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</si>
  <si>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</si>
  <si>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</si>
  <si>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</si>
  <si>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</si>
  <si>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</si>
  <si>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</si>
  <si>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</si>
  <si>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</si>
  <si>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</si>
  <si>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</si>
  <si>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</si>
  <si>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</si>
  <si>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</si>
  <si>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</si>
  <si>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</si>
  <si>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</si>
  <si>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</si>
  <si>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</si>
  <si>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</si>
  <si>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</si>
  <si>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</si>
  <si>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</si>
  <si>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</si>
  <si>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</si>
  <si>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</si>
  <si>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</si>
  <si>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</si>
  <si>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</si>
  <si>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</si>
  <si>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</si>
  <si>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</si>
  <si>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</si>
  <si>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</si>
  <si>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</si>
  <si>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</si>
  <si>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</si>
  <si>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</si>
  <si>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</si>
  <si>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</si>
  <si>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</si>
  <si>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</si>
  <si>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</si>
  <si>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</si>
  <si>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</si>
  <si>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</si>
  <si>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</si>
  <si>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</si>
  <si>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</si>
  <si>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</si>
  <si>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</si>
  <si>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</si>
  <si>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</si>
  <si>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</si>
  <si>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</si>
  <si>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</si>
  <si>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</si>
  <si>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</si>
  <si>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</si>
  <si>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</si>
  <si>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</si>
  <si>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</si>
  <si>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</si>
  <si>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</si>
  <si>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</si>
  <si>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</si>
  <si>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</si>
  <si>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</si>
  <si>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</si>
  <si>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</si>
  <si>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</si>
  <si>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</si>
  <si>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</si>
  <si>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</si>
  <si>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</si>
  <si>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</si>
  <si>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</si>
  <si>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</si>
  <si>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</si>
  <si>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</si>
  <si>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</si>
  <si>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</si>
  <si>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</si>
  <si>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</si>
  <si>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</si>
  <si>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</si>
  <si>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</si>
  <si>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</si>
  <si>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</si>
  <si>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</si>
  <si>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</si>
  <si>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</si>
  <si>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</si>
  <si>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</si>
  <si>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</si>
  <si>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</si>
  <si>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</si>
  <si>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</si>
  <si>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</si>
  <si>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</si>
  <si>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</si>
  <si>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</si>
  <si>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</si>
  <si>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</si>
  <si>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</si>
  <si>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</si>
  <si>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</si>
  <si>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</si>
  <si>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</si>
  <si>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</si>
  <si>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</si>
  <si>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</si>
  <si>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</si>
  <si>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</si>
  <si>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</si>
  <si>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</si>
  <si>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</si>
  <si>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</si>
  <si>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</si>
  <si>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</si>
  <si>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</si>
  <si>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</si>
  <si>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</si>
  <si>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</si>
  <si>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</si>
  <si>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</si>
  <si>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</si>
  <si>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</si>
  <si>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</si>
  <si>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</si>
  <si>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</si>
  <si>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</si>
  <si>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</si>
  <si>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</si>
  <si>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</si>
  <si>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</si>
  <si>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</si>
  <si>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</si>
  <si>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</si>
  <si>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</si>
  <si>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</si>
  <si>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</si>
  <si>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</si>
  <si>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</si>
  <si>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</si>
  <si>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</si>
  <si>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</si>
  <si>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</si>
  <si>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</si>
  <si>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</si>
  <si>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</si>
  <si>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</si>
  <si>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</si>
  <si>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</si>
  <si>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</si>
  <si>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</si>
  <si>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</si>
  <si>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</si>
  <si>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</si>
  <si>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</si>
  <si>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</si>
  <si>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</si>
  <si>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</si>
  <si>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</si>
  <si>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</si>
  <si>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</si>
  <si>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</si>
  <si>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</si>
  <si>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</si>
  <si>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</si>
  <si>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</si>
  <si>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</si>
  <si>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</si>
  <si>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</si>
  <si>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</si>
  <si>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</si>
  <si>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</si>
  <si>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</si>
  <si>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</si>
  <si>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</si>
  <si>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</si>
  <si>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</si>
  <si>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</si>
  <si>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</si>
  <si>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</si>
  <si>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</si>
  <si>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</si>
  <si>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</si>
  <si>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</si>
  <si>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</si>
  <si>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</si>
  <si>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</si>
  <si>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</si>
  <si>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</si>
  <si>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</si>
  <si>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</si>
  <si>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</si>
  <si>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</si>
  <si>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</si>
  <si>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</si>
  <si>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</si>
  <si>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</si>
  <si>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</si>
  <si>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</si>
  <si>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</si>
  <si>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</si>
  <si>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</si>
  <si>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</si>
  <si>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</si>
  <si>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</si>
  <si>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</si>
  <si>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</si>
  <si>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</si>
  <si>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</si>
  <si>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</si>
  <si>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</si>
  <si>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</si>
  <si>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</si>
  <si>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</si>
  <si>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</si>
  <si>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</si>
  <si>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</si>
  <si>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</si>
  <si>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</si>
  <si>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</si>
  <si>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</si>
  <si>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</si>
  <si>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</si>
  <si>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</si>
  <si>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</si>
  <si>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</si>
  <si>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</si>
  <si>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</si>
  <si>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</si>
  <si>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</si>
  <si>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</si>
  <si>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</si>
  <si>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</si>
  <si>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</si>
  <si>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</si>
  <si>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</si>
  <si>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</si>
  <si>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</si>
  <si>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</si>
  <si>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</si>
  <si>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</si>
  <si>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</si>
  <si>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</si>
  <si>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</si>
  <si>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</si>
  <si>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</si>
  <si>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</si>
  <si>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</si>
  <si>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</si>
  <si>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</si>
  <si>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</si>
  <si>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</si>
  <si>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</si>
  <si>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</si>
  <si>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</si>
  <si>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</si>
  <si>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</si>
  <si>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</si>
  <si>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</si>
  <si>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</si>
  <si>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</si>
  <si>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</si>
  <si>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</si>
  <si>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</si>
  <si>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</si>
  <si>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</si>
  <si>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</si>
  <si>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</si>
  <si>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</si>
  <si>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</si>
  <si>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</si>
  <si>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</si>
  <si>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</si>
  <si>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</si>
  <si>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</si>
  <si>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</si>
  <si>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</si>
  <si>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</si>
  <si>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</si>
  <si>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</si>
  <si>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</si>
  <si>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</si>
  <si>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</si>
  <si>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</si>
  <si>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</si>
  <si>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</si>
  <si>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</si>
  <si>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</si>
  <si>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</si>
  <si>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</si>
  <si>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</si>
  <si>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</si>
  <si>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</si>
  <si>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</si>
  <si>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</si>
  <si>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</si>
  <si>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</si>
  <si>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</si>
  <si>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</si>
  <si>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</si>
  <si>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</si>
  <si>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</si>
  <si>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</si>
  <si>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</si>
  <si>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</si>
  <si>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</si>
  <si>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</si>
  <si>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</si>
  <si>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</si>
  <si>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</si>
  <si>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</si>
  <si>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</si>
  <si>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</si>
  <si>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</si>
  <si>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</si>
  <si>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</si>
  <si>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</si>
  <si>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</si>
  <si>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</si>
  <si>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</si>
  <si>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</si>
  <si>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</si>
  <si>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</si>
  <si>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</si>
  <si>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</si>
  <si>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</si>
  <si>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</si>
  <si>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</si>
  <si>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</si>
  <si>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</si>
  <si>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</si>
  <si>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</si>
  <si>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</si>
  <si>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</si>
  <si>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</si>
  <si>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</si>
  <si>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</si>
  <si>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</si>
  <si>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</si>
  <si>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</si>
  <si>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</si>
  <si>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</si>
  <si>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</si>
  <si>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</si>
  <si>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</si>
  <si>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</si>
  <si>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</si>
  <si>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</si>
  <si>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</si>
  <si>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</si>
  <si>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</si>
  <si>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</si>
  <si>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</si>
  <si>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</si>
  <si>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</si>
  <si>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</si>
  <si>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</si>
  <si>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</si>
  <si>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</si>
  <si>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</si>
  <si>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</si>
  <si>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</si>
  <si>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</si>
  <si>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</si>
  <si>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</si>
  <si>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</si>
  <si>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</si>
  <si>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</si>
  <si>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</si>
  <si>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</si>
  <si>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</si>
  <si>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</si>
  <si>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</si>
  <si>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</si>
  <si>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</si>
  <si>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</si>
  <si>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</si>
  <si>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</si>
  <si>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</si>
  <si>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</si>
  <si>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</si>
  <si>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</si>
  <si>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</si>
  <si>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</si>
  <si>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</si>
  <si>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</si>
  <si>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</si>
  <si>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</si>
  <si>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</si>
  <si>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</si>
  <si>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</si>
  <si>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</si>
  <si>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</si>
  <si>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</si>
  <si>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</si>
  <si>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</si>
  <si>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</si>
  <si>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</si>
  <si>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</si>
  <si>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</si>
  <si>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</si>
  <si>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</si>
  <si>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</si>
  <si>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</si>
  <si>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</si>
  <si>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</si>
  <si>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</si>
  <si>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</si>
  <si>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</si>
  <si>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</si>
  <si>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</si>
  <si>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</si>
  <si>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</si>
  <si>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</si>
  <si>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</si>
  <si>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</si>
  <si>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</si>
  <si>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</si>
  <si>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</si>
  <si>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</si>
  <si>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</si>
  <si>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</si>
  <si>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</si>
  <si>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</si>
  <si>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</si>
  <si>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</si>
  <si>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</si>
  <si>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</si>
  <si>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</si>
  <si>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</si>
  <si>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</si>
  <si>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</si>
  <si>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</si>
  <si>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</si>
  <si>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</si>
  <si>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</si>
  <si>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</si>
  <si>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</si>
  <si>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</si>
  <si>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</si>
  <si>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</si>
  <si>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</si>
  <si>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</si>
  <si>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</si>
  <si>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</si>
  <si>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</si>
  <si>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</si>
  <si>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</si>
  <si>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</si>
  <si>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</si>
  <si>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</si>
  <si>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</si>
  <si>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</si>
  <si>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</si>
  <si>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</si>
  <si>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</si>
  <si>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</si>
  <si>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</si>
  <si>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</si>
  <si>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</si>
  <si>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</si>
  <si>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</si>
  <si>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</si>
  <si>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</si>
  <si>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</si>
  <si>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</si>
  <si>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</si>
  <si>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</si>
  <si>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</si>
  <si>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</si>
  <si>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</si>
  <si>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</si>
  <si>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</si>
  <si>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</si>
  <si>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</si>
  <si>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</si>
  <si>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</si>
  <si>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</si>
  <si>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</si>
  <si>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</si>
  <si>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</si>
  <si>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</si>
  <si>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</si>
  <si>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</si>
  <si>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</si>
  <si>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</si>
  <si>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</si>
  <si>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</si>
  <si>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</si>
  <si>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</si>
  <si>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</si>
  <si>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</si>
  <si>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</si>
  <si>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</si>
  <si>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</si>
  <si>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</si>
  <si>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</si>
  <si>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</si>
  <si>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</si>
  <si>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</si>
  <si>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</si>
  <si>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</si>
  <si>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</si>
  <si>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</si>
  <si>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</si>
  <si>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</si>
  <si>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</si>
  <si>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</si>
  <si>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</si>
  <si>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</si>
  <si>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</si>
  <si>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</si>
  <si>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</si>
  <si>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</si>
  <si>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</si>
  <si>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</si>
  <si>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</si>
  <si>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</si>
  <si>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</si>
  <si>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</si>
  <si>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</si>
  <si>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</si>
  <si>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</si>
  <si>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</si>
  <si>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</si>
  <si>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</si>
  <si>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</si>
  <si>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</si>
  <si>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</si>
  <si>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</si>
  <si>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</si>
  <si>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</si>
  <si>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</si>
  <si>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</si>
  <si>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</si>
  <si>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</si>
  <si>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</si>
  <si>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</si>
  <si>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</si>
  <si>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</si>
  <si>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</si>
  <si>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</si>
  <si>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</si>
  <si>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</si>
  <si>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</si>
  <si>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</si>
  <si>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</si>
  <si>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</si>
  <si>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</si>
  <si>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</si>
  <si>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</si>
  <si>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</si>
  <si>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</si>
  <si>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</si>
  <si>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</si>
  <si>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</si>
  <si>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</si>
  <si>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</si>
  <si>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</si>
  <si>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</si>
  <si>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</si>
  <si>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</si>
  <si>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</si>
  <si>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</si>
  <si>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</si>
  <si>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</si>
  <si>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</si>
  <si>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</si>
  <si>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</si>
  <si>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</si>
  <si>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</si>
  <si>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</si>
  <si>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</si>
  <si>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</si>
  <si>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</si>
  <si>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</si>
  <si>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</si>
  <si>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</si>
  <si>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</si>
  <si>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</si>
  <si>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</si>
  <si>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</si>
  <si>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</si>
  <si>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</si>
  <si>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</si>
  <si>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</si>
  <si>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</si>
  <si>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</si>
  <si>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</si>
  <si>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</si>
  <si>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</si>
  <si>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</si>
  <si>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</si>
  <si>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</si>
  <si>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</si>
  <si>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</si>
  <si>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</si>
  <si>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</si>
  <si>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</si>
  <si>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</si>
  <si>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</si>
  <si>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</si>
  <si>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</si>
  <si>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</si>
  <si>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</si>
  <si>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</si>
  <si>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</si>
  <si>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</si>
  <si>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</si>
  <si>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</si>
  <si>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</si>
  <si>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</si>
  <si>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</si>
  <si>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</si>
  <si>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</si>
  <si>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</si>
  <si>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</si>
  <si>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</si>
  <si>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</si>
  <si>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</si>
  <si>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</si>
  <si>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</si>
  <si>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</si>
  <si>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</si>
  <si>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</si>
  <si>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</si>
  <si>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</si>
  <si>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</si>
  <si>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</si>
  <si>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</si>
  <si>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</si>
  <si>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</si>
  <si>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</si>
  <si>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</si>
  <si>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</si>
  <si>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</si>
  <si>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</si>
  <si>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</si>
  <si>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</si>
  <si>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</si>
  <si>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</si>
  <si>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</si>
  <si>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</si>
  <si>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</si>
  <si>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</si>
  <si>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</si>
  <si>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</si>
  <si>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</si>
  <si>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</si>
  <si>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</si>
  <si>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</si>
  <si>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</si>
  <si>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</si>
  <si>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</si>
  <si>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</si>
  <si>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</si>
  <si>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</si>
  <si>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</si>
  <si>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</si>
  <si>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</si>
  <si>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</si>
  <si>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</si>
  <si>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</si>
  <si>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</si>
  <si>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</si>
  <si>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</si>
  <si>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</si>
  <si>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</si>
  <si>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</si>
  <si>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</si>
  <si>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</si>
  <si>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</si>
  <si>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</si>
  <si>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</si>
  <si>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</si>
  <si>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</si>
  <si>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</si>
  <si>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</si>
  <si>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</si>
  <si>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</si>
  <si>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</si>
  <si>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</si>
  <si>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</si>
  <si>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</si>
  <si>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</si>
  <si>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</si>
  <si>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</si>
  <si>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</si>
  <si>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</si>
  <si>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</si>
  <si>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</si>
  <si>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</si>
  <si>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</si>
  <si>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</si>
  <si>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</si>
  <si>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</si>
  <si>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</si>
  <si>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</si>
  <si>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</si>
  <si>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</si>
  <si>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</si>
  <si>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</si>
  <si>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</si>
  <si>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</si>
  <si>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</si>
  <si>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</si>
  <si>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</si>
  <si>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</si>
  <si>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</si>
  <si>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</si>
  <si>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</si>
  <si>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</si>
  <si>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</si>
  <si>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</si>
  <si>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</si>
  <si>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</si>
  <si>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</si>
  <si>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</si>
  <si>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</si>
  <si>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</si>
  <si>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</si>
  <si>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</si>
  <si>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</si>
  <si>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</si>
  <si>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</si>
  <si>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</si>
  <si>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</si>
  <si>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</si>
  <si>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</si>
  <si>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</si>
  <si>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</si>
  <si>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</si>
  <si>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</si>
  <si>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</si>
  <si>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</si>
  <si>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</si>
  <si>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</si>
  <si>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</si>
  <si>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</si>
  <si>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</si>
  <si>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</si>
  <si>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</si>
  <si>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</si>
  <si>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</si>
  <si>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</si>
  <si>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</si>
  <si>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</si>
  <si>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</si>
  <si>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</si>
  <si>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</si>
  <si>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</si>
  <si>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</si>
  <si>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</si>
  <si>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</si>
  <si>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</si>
  <si>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</si>
  <si>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</si>
  <si>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</si>
  <si>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</si>
  <si>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</si>
  <si>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</si>
  <si>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</si>
  <si>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</si>
  <si>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</si>
  <si>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</si>
  <si>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</si>
  <si>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</si>
  <si>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</si>
  <si>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</si>
  <si>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</si>
  <si>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</si>
  <si>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</si>
  <si>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</si>
  <si>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</si>
  <si>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</si>
  <si>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</si>
  <si>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</si>
  <si>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</si>
  <si>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</si>
  <si>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</si>
  <si>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</si>
  <si>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</si>
  <si>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</si>
  <si>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</si>
  <si>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</si>
  <si>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</si>
  <si>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</si>
  <si>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</si>
  <si>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</si>
  <si>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</si>
  <si>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</si>
  <si>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</si>
  <si>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</si>
  <si>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</si>
  <si>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</si>
  <si>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</si>
  <si>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</si>
  <si>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</si>
  <si>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</si>
  <si>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</si>
  <si>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</si>
  <si>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</si>
  <si>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</si>
  <si>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</si>
  <si>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</si>
  <si>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</si>
  <si>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</si>
  <si>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</si>
  <si>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</si>
  <si>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</si>
  <si>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</si>
  <si>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</si>
  <si>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</si>
  <si>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</si>
  <si>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</si>
  <si>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</si>
  <si>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</si>
  <si>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</si>
  <si>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</si>
  <si>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</si>
  <si>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</si>
  <si>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</si>
  <si>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</si>
  <si>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</si>
  <si>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</si>
  <si>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</si>
  <si>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</si>
  <si>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</si>
  <si>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</si>
  <si>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</si>
  <si>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</si>
  <si>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</si>
  <si>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</si>
  <si>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</si>
  <si>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</si>
  <si>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</si>
  <si>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</si>
  <si>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</si>
  <si>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</si>
  <si>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</si>
  <si>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</si>
  <si>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</si>
  <si>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</si>
  <si>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</si>
  <si>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</si>
  <si>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</si>
  <si>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</si>
  <si>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</si>
  <si>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</si>
  <si>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</si>
  <si>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</si>
  <si>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</si>
  <si>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</si>
  <si>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</si>
  <si>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</si>
  <si>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</si>
  <si>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</si>
  <si>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</si>
  <si>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</si>
  <si>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</si>
  <si>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</si>
  <si>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</si>
  <si>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</si>
  <si>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</si>
  <si>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</si>
  <si>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</si>
  <si>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</si>
  <si>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</si>
  <si>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</si>
  <si>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</si>
  <si>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</si>
  <si>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</si>
  <si>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</si>
  <si>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</si>
  <si>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</si>
  <si>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</si>
  <si>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</si>
  <si>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</si>
  <si>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</si>
  <si>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</si>
  <si>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</si>
  <si>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</si>
  <si>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</si>
  <si>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</si>
  <si>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</si>
  <si>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</si>
  <si>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</si>
  <si>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</si>
  <si>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</si>
  <si>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</si>
  <si>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</si>
  <si>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</si>
  <si>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</si>
  <si>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</si>
  <si>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</si>
  <si>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</si>
  <si>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</si>
  <si>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</si>
  <si>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</si>
  <si>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</si>
  <si>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</si>
  <si>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</si>
  <si>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</si>
  <si>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</si>
  <si>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</si>
  <si>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</si>
  <si>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</si>
  <si>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</si>
  <si>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</si>
  <si>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</si>
  <si>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</si>
  <si>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</si>
  <si>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</si>
  <si>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</si>
  <si>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</si>
  <si>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</si>
  <si>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</si>
  <si>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</si>
  <si>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</si>
  <si>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</si>
  <si>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</si>
  <si>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</si>
  <si>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</si>
  <si>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</si>
  <si>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</si>
  <si>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</si>
  <si>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</si>
  <si>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</si>
  <si>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</si>
  <si>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</si>
  <si>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</si>
  <si>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</si>
  <si>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</si>
  <si>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</si>
  <si>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</si>
  <si>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</si>
  <si>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</si>
  <si>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</si>
  <si>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</si>
  <si>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</si>
  <si>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</si>
  <si>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</si>
  <si>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</si>
  <si>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</si>
  <si>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</si>
  <si>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</si>
  <si>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</si>
  <si>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</si>
  <si>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</si>
  <si>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</si>
  <si>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</si>
  <si>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</si>
  <si>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</si>
  <si>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</si>
  <si>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</si>
  <si>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</si>
  <si>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</si>
  <si>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</si>
  <si>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</si>
  <si>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</si>
  <si>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</si>
  <si>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</si>
  <si>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</si>
  <si>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</si>
  <si>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</si>
  <si>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</si>
  <si>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</si>
  <si>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</si>
  <si>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</si>
  <si>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</si>
  <si>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</si>
  <si>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</si>
  <si>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</si>
  <si>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</si>
  <si>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</si>
  <si>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</si>
  <si>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</si>
  <si>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</si>
  <si>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</si>
  <si>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</si>
  <si>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</si>
  <si>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</si>
  <si>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</si>
  <si>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</si>
  <si>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</si>
  <si>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</si>
  <si>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</si>
  <si>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</si>
  <si>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</si>
  <si>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</si>
  <si>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</si>
  <si>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</si>
  <si>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</si>
  <si>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</si>
  <si>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</si>
  <si>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</si>
  <si>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</si>
  <si>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</si>
  <si>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</si>
  <si>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</si>
  <si>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</si>
  <si>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</si>
  <si>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</si>
  <si>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</si>
  <si>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</si>
  <si>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</si>
  <si>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</si>
  <si>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</si>
  <si>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</si>
  <si>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</si>
  <si>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</si>
  <si>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</si>
  <si>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</si>
  <si>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</si>
  <si>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</si>
  <si>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</si>
  <si>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</si>
  <si>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</si>
  <si>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</si>
  <si>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</si>
  <si>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</si>
  <si>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</si>
  <si>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</si>
  <si>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</si>
  <si>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</si>
  <si>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</si>
  <si>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</si>
  <si>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</si>
  <si>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</si>
  <si>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</si>
  <si>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</si>
  <si>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</si>
  <si>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</si>
  <si>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</si>
  <si>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</si>
  <si>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</si>
  <si>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</si>
  <si>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</si>
  <si>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</si>
  <si>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</si>
  <si>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</si>
  <si>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</si>
  <si>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</si>
  <si>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</si>
  <si>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</si>
  <si>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</si>
  <si>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</si>
  <si>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</si>
  <si>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</si>
  <si>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</si>
  <si>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</si>
  <si>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</si>
  <si>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</si>
  <si>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</si>
  <si>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</si>
  <si>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</si>
  <si>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</si>
  <si>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</si>
  <si>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</si>
  <si>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</si>
  <si>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</si>
  <si>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</si>
  <si>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</si>
  <si>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</si>
  <si>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</si>
  <si>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</si>
  <si>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</si>
  <si>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</si>
  <si>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</si>
  <si>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</si>
  <si>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</si>
  <si>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</si>
  <si>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</si>
  <si>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</si>
  <si>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</si>
  <si>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</si>
  <si>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</si>
  <si>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</si>
  <si>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</si>
  <si>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</si>
  <si>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</si>
  <si>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</si>
  <si>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</si>
  <si>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</si>
  <si>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</si>
  <si>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</si>
  <si>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</si>
  <si>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</si>
  <si>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</si>
  <si>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</si>
  <si>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</si>
  <si>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</si>
  <si>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</si>
  <si>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</si>
  <si>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</si>
  <si>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</si>
  <si>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</si>
  <si>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</si>
  <si>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</si>
  <si>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</si>
  <si>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</si>
  <si>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</si>
  <si>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</si>
  <si>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</si>
  <si>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</si>
  <si>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</si>
  <si>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</si>
  <si>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</si>
  <si>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</si>
  <si>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</si>
  <si>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</si>
  <si>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</si>
  <si>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</si>
  <si>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</si>
  <si>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</si>
  <si>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</si>
  <si>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</si>
  <si>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</si>
  <si>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</si>
  <si>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</si>
  <si>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</si>
  <si>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</si>
  <si>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</si>
  <si>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</si>
  <si>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</si>
  <si>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</si>
  <si>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</si>
  <si>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</si>
  <si>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</si>
  <si>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</si>
  <si>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</si>
  <si>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</si>
  <si>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</si>
  <si>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</si>
  <si>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</si>
  <si>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</si>
  <si>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</si>
  <si>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</si>
  <si>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</si>
  <si>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</si>
  <si>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</si>
  <si>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</si>
  <si>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</si>
  <si>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</si>
  <si>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</si>
  <si>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</si>
  <si>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</si>
  <si>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</si>
  <si>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</si>
  <si>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</si>
  <si>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</si>
  <si>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</si>
  <si>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</si>
  <si>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</si>
  <si>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</si>
  <si>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</si>
  <si>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</si>
  <si>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</si>
  <si>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</si>
  <si>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</si>
  <si>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</si>
  <si>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</si>
  <si>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</si>
  <si>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</si>
  <si>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</si>
  <si>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</si>
  <si>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</si>
  <si>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</si>
  <si>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</si>
  <si>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</si>
  <si>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</si>
  <si>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</si>
  <si>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</si>
  <si>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</si>
  <si>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</si>
  <si>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</si>
  <si>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</si>
  <si>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</si>
  <si>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</si>
  <si>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</si>
  <si>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</si>
  <si>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</si>
  <si>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</si>
  <si>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</si>
  <si>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</si>
  <si>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</si>
  <si>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</si>
  <si>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</si>
  <si>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</si>
  <si>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</si>
  <si>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</si>
  <si>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</si>
  <si>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</si>
  <si>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</si>
  <si>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</si>
  <si>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</si>
  <si>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</si>
  <si>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</si>
  <si>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</si>
  <si>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</si>
  <si>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</si>
  <si>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</si>
  <si>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</si>
  <si>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</si>
  <si>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</si>
  <si>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</si>
  <si>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</si>
  <si>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</si>
  <si>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</si>
  <si>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</si>
  <si>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</si>
  <si>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</si>
  <si>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</si>
  <si>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</si>
  <si>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</si>
  <si>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</si>
  <si>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</si>
  <si>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</si>
  <si>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</si>
  <si>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</si>
  <si>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</si>
  <si>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</si>
  <si>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</si>
  <si>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</si>
  <si>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</si>
  <si>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</si>
  <si>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</si>
  <si>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</si>
  <si>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</si>
  <si>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</si>
  <si>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</si>
  <si>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</si>
  <si>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</si>
  <si>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</si>
  <si>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</si>
  <si>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</si>
  <si>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</si>
  <si>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</si>
  <si>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</si>
  <si>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</si>
  <si>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</si>
  <si>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</si>
  <si>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</si>
  <si>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</si>
  <si>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</si>
  <si>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</si>
  <si>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</si>
  <si>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</si>
  <si>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</si>
  <si>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</si>
  <si>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</si>
  <si>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</si>
  <si>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</si>
  <si>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</si>
  <si>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</si>
  <si>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</si>
  <si>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</si>
  <si>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</si>
  <si>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</si>
  <si>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</si>
  <si>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</si>
  <si>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</si>
  <si>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</si>
  <si>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</si>
  <si>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</si>
  <si>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</si>
  <si>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</si>
  <si>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</si>
  <si>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</si>
  <si>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</si>
  <si>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</si>
  <si>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</si>
  <si>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</si>
  <si>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</si>
  <si>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</si>
  <si>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</si>
  <si>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</si>
  <si>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</si>
  <si>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</si>
  <si>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</si>
  <si>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</si>
  <si>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</si>
  <si>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</si>
  <si>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</si>
  <si>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</si>
  <si>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</si>
  <si>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</si>
  <si>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</si>
  <si>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</si>
  <si>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</si>
  <si>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</si>
  <si>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</si>
  <si>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</si>
  <si>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</si>
  <si>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</si>
  <si>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</si>
  <si>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</si>
  <si>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</si>
  <si>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</si>
  <si>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</si>
  <si>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</si>
  <si>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</si>
  <si>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</si>
  <si>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</si>
  <si>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</si>
  <si>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</si>
  <si>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</si>
  <si>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</si>
  <si>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</si>
  <si>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</si>
  <si>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</si>
  <si>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</si>
  <si>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</si>
  <si>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</si>
  <si>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</si>
  <si>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</si>
  <si>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</si>
  <si>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</si>
  <si>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</si>
  <si>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</si>
  <si>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</si>
  <si>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</si>
  <si>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</si>
  <si>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</si>
  <si>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</si>
  <si>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</si>
  <si>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</si>
  <si>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</si>
  <si>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</si>
  <si>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</si>
  <si>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</si>
  <si>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</si>
  <si>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</si>
  <si>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</si>
  <si>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</si>
  <si>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</si>
  <si>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</si>
  <si>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</si>
  <si>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</si>
  <si>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</si>
  <si>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</si>
  <si>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</si>
  <si>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</si>
  <si>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</si>
  <si>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</si>
  <si>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</si>
  <si>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</si>
  <si>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</si>
  <si>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</si>
  <si>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</si>
  <si>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</si>
  <si>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</si>
  <si>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</si>
  <si>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</si>
  <si>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</si>
  <si>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</si>
  <si>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</si>
  <si>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</si>
  <si>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</si>
  <si>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</si>
  <si>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</si>
  <si>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</si>
  <si>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</si>
  <si>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</si>
  <si>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</si>
  <si>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</si>
  <si>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</si>
  <si>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</si>
  <si>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</si>
  <si>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</si>
  <si>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</si>
  <si>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</si>
  <si>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</si>
  <si>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</si>
  <si>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</si>
  <si>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</si>
  <si>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</si>
  <si>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</si>
  <si>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</si>
  <si>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</si>
  <si>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</si>
  <si>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</si>
  <si>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</si>
  <si>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</si>
  <si>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</si>
  <si>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</si>
  <si>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</si>
  <si>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</si>
  <si>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</si>
  <si>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</si>
  <si>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</si>
  <si>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</si>
  <si>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</si>
  <si>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</si>
  <si>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</si>
  <si>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</si>
  <si>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</si>
  <si>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</si>
  <si>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</si>
  <si>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</si>
  <si>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</si>
  <si>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</si>
  <si>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</si>
  <si>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</si>
  <si>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</si>
  <si>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</si>
  <si>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</si>
  <si>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</si>
  <si>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</si>
  <si>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</si>
  <si>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</si>
  <si>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</si>
  <si>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</si>
  <si>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</si>
  <si>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</si>
  <si>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</si>
  <si>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</si>
  <si>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</si>
  <si>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</si>
  <si>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</si>
  <si>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</si>
  <si>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</si>
  <si>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</si>
  <si>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</si>
  <si>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</si>
  <si>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</si>
  <si>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</si>
  <si>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</si>
  <si>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</si>
  <si>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</si>
  <si>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</si>
  <si>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</si>
  <si>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</si>
  <si>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</si>
  <si>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</si>
  <si>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</si>
  <si>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</si>
  <si>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</si>
  <si>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</si>
  <si>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</si>
  <si>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</si>
  <si>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</si>
  <si>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</si>
  <si>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</si>
  <si>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</si>
  <si>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</si>
  <si>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</si>
  <si>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</si>
  <si>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</si>
  <si>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</si>
  <si>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</si>
  <si>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</si>
  <si>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</si>
  <si>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</si>
  <si>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</si>
  <si>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</si>
  <si>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</si>
  <si>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</si>
  <si>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</si>
  <si>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</si>
  <si>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</si>
  <si>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</si>
  <si>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</si>
  <si>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</si>
  <si>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</si>
  <si>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</si>
  <si>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</si>
  <si>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</si>
  <si>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</si>
  <si>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</si>
  <si>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</si>
  <si>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</si>
  <si>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</si>
  <si>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</si>
  <si>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</si>
  <si>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</si>
  <si>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</si>
  <si>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</si>
  <si>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</si>
  <si>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</si>
  <si>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</si>
  <si>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</si>
  <si>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</si>
  <si>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</si>
  <si>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</si>
  <si>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</si>
  <si>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</si>
  <si>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</si>
  <si>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</si>
  <si>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</si>
  <si>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</si>
  <si>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</si>
  <si>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</si>
  <si>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</si>
  <si>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</si>
  <si>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</si>
  <si>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</si>
  <si>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</si>
  <si>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</si>
  <si>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</si>
  <si>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</si>
  <si>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</si>
  <si>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</si>
  <si>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</si>
  <si>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</si>
  <si>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</si>
  <si>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</si>
  <si>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</si>
  <si>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</si>
  <si>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</si>
  <si>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</si>
  <si>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</si>
  <si>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</si>
  <si>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</si>
  <si>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</si>
  <si>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</si>
  <si>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</si>
  <si>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</si>
  <si>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</si>
  <si>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</si>
  <si>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</si>
  <si>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</si>
  <si>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</si>
  <si>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</si>
  <si>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</si>
  <si>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</si>
  <si>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</si>
  <si>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</si>
  <si>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</si>
  <si>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</si>
  <si>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</si>
  <si>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</si>
  <si>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</si>
  <si>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</si>
  <si>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</si>
  <si>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</si>
  <si>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</si>
  <si>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</si>
  <si>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</si>
  <si>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</si>
  <si>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</si>
  <si>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</si>
  <si>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</si>
  <si>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</si>
  <si>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</si>
  <si>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</si>
  <si>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</si>
  <si>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</si>
  <si>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</si>
  <si>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</si>
  <si>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</si>
  <si>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</si>
  <si>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</si>
  <si>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</si>
  <si>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</si>
  <si>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</si>
  <si>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</si>
  <si>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</si>
  <si>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</si>
  <si>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</si>
  <si>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</si>
  <si>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</si>
  <si>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</si>
  <si>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</si>
  <si>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</si>
  <si>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</si>
  <si>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</si>
  <si>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</si>
  <si>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</si>
  <si>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</si>
  <si>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</si>
  <si>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</si>
  <si>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</si>
  <si>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</si>
  <si>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</si>
  <si>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</si>
  <si>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</si>
  <si>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</si>
  <si>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</si>
  <si>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</si>
  <si>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</si>
  <si>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</si>
  <si>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</si>
  <si>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</si>
  <si>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</si>
  <si>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</si>
  <si>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</si>
  <si>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</si>
  <si>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</si>
  <si>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</si>
  <si>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</si>
  <si>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</si>
  <si>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</si>
  <si>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</si>
  <si>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</si>
  <si>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</si>
  <si>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</si>
  <si>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</si>
  <si>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</si>
  <si>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</si>
  <si>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</si>
  <si>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</si>
  <si>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</si>
  <si>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</si>
  <si>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</si>
  <si>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</si>
  <si>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</si>
  <si>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</si>
  <si>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</si>
  <si>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</si>
  <si>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</si>
  <si>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</si>
  <si>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</si>
  <si>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</si>
  <si>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</si>
  <si>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</si>
  <si>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</si>
  <si>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</si>
  <si>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</si>
  <si>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</si>
  <si>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</si>
  <si>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</si>
  <si>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</si>
  <si>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</si>
  <si>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</si>
  <si>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</si>
  <si>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</si>
  <si>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</si>
  <si>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</si>
  <si>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</si>
  <si>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</si>
  <si>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</si>
  <si>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</si>
  <si>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</si>
  <si>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</si>
  <si>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</si>
  <si>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</si>
  <si>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</si>
  <si>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</si>
  <si>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</si>
  <si>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</si>
  <si>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</si>
  <si>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</si>
  <si>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</si>
  <si>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</si>
  <si>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</si>
  <si>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</si>
  <si>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</si>
  <si>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</si>
  <si>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</si>
  <si>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</si>
  <si>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</si>
  <si>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</si>
  <si>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</si>
  <si>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</si>
  <si>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</si>
  <si>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</si>
  <si>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</si>
  <si>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</si>
  <si>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</si>
  <si>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</si>
  <si>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</si>
  <si>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</si>
  <si>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</si>
  <si>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</si>
  <si>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</si>
  <si>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</si>
  <si>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</si>
  <si>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</si>
  <si>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</si>
  <si>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</si>
  <si>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</si>
  <si>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</si>
  <si>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</si>
  <si>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</si>
  <si>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</si>
  <si>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</si>
  <si>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</si>
  <si>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</si>
  <si>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</si>
  <si>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</si>
  <si>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</si>
  <si>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</si>
  <si>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</si>
  <si>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</si>
  <si>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</si>
  <si>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</si>
  <si>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</si>
  <si>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</si>
  <si>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</si>
  <si>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</si>
  <si>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</si>
  <si>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</si>
  <si>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</si>
  <si>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</si>
  <si>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</si>
  <si>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</si>
  <si>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</si>
  <si>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</si>
  <si>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</si>
  <si>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</si>
  <si>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</si>
  <si>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</si>
  <si>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</si>
  <si>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</si>
  <si>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</si>
  <si>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</si>
  <si>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</si>
  <si>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</si>
  <si>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</si>
  <si>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</si>
  <si>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</si>
  <si>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</si>
  <si>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</si>
  <si>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</si>
  <si>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</si>
  <si>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</si>
  <si>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</si>
  <si>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</si>
  <si>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</si>
  <si>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</si>
  <si>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</si>
  <si>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</si>
  <si>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</si>
  <si>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</si>
  <si>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</si>
  <si>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</si>
  <si>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</si>
  <si>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</si>
  <si>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</si>
  <si>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</si>
  <si>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</si>
  <si>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</si>
  <si>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</si>
  <si>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</si>
  <si>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</si>
  <si>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</si>
  <si>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</si>
  <si>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</si>
  <si>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</si>
  <si>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</si>
  <si>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</si>
  <si>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</si>
  <si>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</si>
  <si>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</si>
  <si>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</si>
  <si>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</si>
  <si>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</si>
  <si>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</si>
  <si>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</si>
  <si>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</si>
  <si>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</si>
  <si>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</si>
  <si>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</si>
  <si>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</si>
  <si>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</si>
  <si>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</si>
  <si>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</si>
  <si>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</si>
  <si>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</si>
  <si>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</si>
  <si>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</si>
  <si>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</si>
  <si>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</si>
  <si>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</si>
  <si>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</si>
  <si>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</si>
  <si>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</si>
  <si>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</si>
  <si>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</si>
  <si>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</si>
  <si>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</si>
  <si>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</si>
  <si>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</si>
  <si>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</si>
  <si>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</si>
  <si>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</si>
  <si>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</si>
  <si>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</si>
  <si>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</si>
  <si>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</si>
  <si>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</si>
  <si>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</si>
  <si>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</si>
  <si>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</si>
  <si>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</si>
  <si>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</si>
  <si>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</si>
  <si>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</si>
  <si>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</si>
  <si>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</si>
  <si>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</si>
  <si>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</si>
  <si>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</si>
  <si>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</si>
  <si>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</si>
  <si>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</si>
  <si>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</si>
  <si>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</si>
  <si>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</si>
  <si>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</si>
  <si>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</si>
  <si>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</si>
  <si>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</si>
  <si>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</si>
  <si>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</si>
  <si>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</si>
  <si>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</si>
  <si>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</si>
  <si>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</si>
  <si>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</si>
  <si>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</si>
  <si>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</si>
  <si>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</si>
  <si>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</si>
  <si>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</si>
  <si>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</si>
  <si>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</si>
  <si>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</si>
  <si>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</si>
  <si>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</si>
  <si>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</si>
  <si>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</si>
  <si>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</si>
  <si>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</si>
  <si>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</si>
  <si>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</si>
  <si>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</si>
  <si>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</si>
  <si>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</si>
  <si>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</si>
  <si>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</si>
  <si>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</si>
  <si>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</si>
  <si>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</si>
  <si>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</si>
  <si>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</si>
  <si>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</si>
  <si>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</si>
  <si>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</si>
  <si>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</si>
  <si>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</si>
  <si>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</si>
  <si>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</si>
  <si>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</si>
  <si>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</si>
  <si>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</si>
  <si>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</si>
  <si>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</si>
  <si>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</si>
  <si>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</si>
  <si>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</si>
  <si>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</si>
  <si>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</si>
  <si>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</si>
  <si>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</si>
  <si>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</si>
  <si>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</si>
  <si>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</si>
  <si>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</si>
  <si>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</si>
  <si>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</si>
  <si>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</si>
  <si>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</si>
  <si>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</si>
  <si>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</si>
  <si>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</si>
  <si>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</si>
  <si>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</si>
  <si>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</si>
  <si>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</si>
  <si>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</si>
  <si>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</si>
  <si>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</si>
  <si>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</si>
  <si>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</si>
  <si>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</si>
  <si>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</si>
  <si>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</si>
  <si>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</si>
  <si>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</si>
  <si>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</si>
  <si>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</si>
  <si>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</si>
  <si>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</si>
  <si>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</si>
  <si>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</si>
  <si>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</si>
  <si>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</si>
  <si>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</si>
  <si>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</si>
  <si>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</si>
  <si>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</si>
  <si>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</si>
  <si>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</si>
  <si>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</si>
  <si>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</si>
  <si>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</si>
  <si>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</si>
  <si>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</si>
  <si>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</si>
  <si>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</si>
  <si>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</si>
  <si>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</si>
  <si>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</si>
  <si>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</si>
  <si>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</si>
  <si>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</si>
  <si>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</si>
  <si>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</si>
  <si>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</si>
  <si>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</si>
  <si>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</si>
  <si>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</si>
  <si>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</si>
  <si>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</si>
  <si>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</si>
  <si>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</si>
  <si>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</si>
  <si>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</si>
  <si>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</si>
  <si>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</si>
  <si>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</si>
  <si>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</si>
  <si>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</si>
  <si>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</si>
  <si>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</si>
  <si>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</si>
  <si>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</si>
  <si>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</si>
  <si>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</si>
  <si>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</si>
  <si>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</si>
  <si>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</si>
  <si>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</si>
  <si>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</si>
  <si>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</si>
  <si>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</si>
  <si>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</si>
  <si>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</si>
  <si>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</si>
  <si>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</si>
  <si>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</si>
  <si>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</si>
  <si>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</si>
  <si>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</si>
  <si>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</si>
  <si>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</si>
  <si>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</si>
  <si>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</si>
  <si>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</si>
  <si>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</si>
  <si>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</si>
  <si>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</si>
  <si>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</si>
  <si>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</si>
  <si>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</si>
  <si>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</si>
  <si>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</si>
  <si>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</si>
  <si>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</si>
  <si>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</si>
  <si>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</si>
  <si>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</si>
  <si>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</si>
  <si>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</si>
  <si>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</si>
  <si>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</si>
  <si>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</si>
  <si>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</si>
  <si>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</si>
  <si>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</si>
  <si>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</si>
  <si>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</si>
  <si>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</si>
  <si>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</si>
  <si>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</si>
  <si>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</si>
  <si>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</si>
  <si>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</si>
  <si>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</si>
  <si>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</si>
  <si>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</si>
  <si>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</si>
  <si>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</si>
  <si>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</si>
  <si>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</si>
  <si>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</si>
  <si>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</si>
  <si>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</si>
  <si>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</si>
  <si>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</si>
  <si>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</si>
  <si>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</si>
  <si>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</si>
  <si>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</si>
  <si>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</si>
  <si>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</si>
  <si>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</si>
  <si>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</si>
  <si>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</si>
  <si>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</si>
  <si>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</si>
  <si>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</si>
  <si>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</si>
  <si>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</si>
  <si>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</si>
  <si>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</si>
  <si>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</si>
  <si>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</si>
  <si>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</si>
  <si>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</si>
  <si>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</si>
  <si>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</si>
  <si>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</si>
  <si>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</si>
  <si>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</si>
  <si>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</si>
  <si>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</si>
  <si>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</si>
  <si>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</si>
  <si>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</si>
  <si>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</si>
  <si>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</si>
  <si>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</si>
  <si>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</si>
  <si>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</si>
  <si>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</si>
  <si>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</si>
  <si>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</si>
  <si>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</si>
  <si>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</si>
  <si>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</si>
  <si>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</si>
  <si>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</si>
  <si>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</si>
  <si>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</si>
  <si>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</si>
  <si>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</si>
  <si>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</si>
  <si>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</si>
  <si>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</si>
  <si>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</si>
  <si>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</si>
  <si>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</si>
  <si>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</si>
  <si>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</si>
  <si>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</si>
  <si>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</si>
  <si>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</si>
  <si>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</si>
  <si>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</si>
  <si>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</si>
  <si>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</si>
  <si>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</si>
  <si>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</si>
  <si>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</si>
  <si>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</si>
  <si>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</si>
  <si>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</si>
  <si>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</si>
  <si>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</si>
  <si>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</si>
  <si>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</si>
  <si>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</si>
  <si>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</si>
  <si>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</si>
  <si>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</si>
  <si>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</si>
  <si>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</si>
  <si>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</si>
  <si>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</si>
  <si>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</si>
  <si>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</si>
  <si>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</si>
  <si>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</si>
  <si>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</si>
  <si>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</si>
  <si>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</si>
  <si>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</si>
  <si>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</si>
  <si>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</si>
  <si>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</si>
  <si>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</si>
  <si>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</si>
  <si>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</si>
  <si>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</si>
  <si>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</si>
  <si>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</si>
  <si>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</si>
  <si>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</si>
  <si>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</si>
  <si>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</si>
  <si>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</si>
  <si>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</si>
  <si>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</si>
  <si>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</si>
  <si>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</si>
  <si>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</si>
  <si>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</si>
  <si>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</si>
  <si>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</si>
  <si>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</si>
  <si>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</si>
  <si>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</si>
  <si>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</si>
  <si>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</si>
  <si>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</si>
  <si>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</si>
  <si>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</si>
  <si>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</si>
  <si>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</si>
  <si>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</si>
  <si>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</si>
  <si>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</si>
  <si>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</si>
  <si>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</si>
  <si>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</si>
  <si>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</si>
  <si>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</si>
  <si>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</si>
  <si>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</si>
  <si>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</si>
  <si>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</si>
  <si>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</si>
  <si>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</si>
  <si>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</si>
  <si>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</si>
  <si>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</si>
  <si>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</si>
  <si>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</si>
  <si>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</si>
  <si>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</si>
  <si>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</si>
  <si>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</si>
  <si>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</si>
  <si>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</si>
  <si>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</si>
  <si>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</si>
  <si>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</si>
  <si>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</si>
  <si>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</si>
  <si>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</si>
  <si>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</si>
  <si>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</si>
  <si>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</si>
  <si>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</si>
  <si>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</si>
  <si>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</si>
  <si>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</si>
  <si>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</si>
  <si>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</si>
  <si>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</si>
  <si>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</si>
  <si>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</si>
  <si>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</si>
  <si>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</si>
  <si>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</si>
  <si>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</si>
  <si>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</si>
  <si>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</si>
  <si>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</si>
  <si>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</si>
  <si>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</si>
  <si>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</si>
  <si>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</si>
  <si>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</si>
  <si>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</si>
  <si>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</si>
  <si>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</si>
  <si>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</si>
  <si>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</si>
  <si>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</si>
  <si>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</si>
  <si>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</si>
  <si>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</si>
  <si>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</si>
  <si>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</si>
  <si>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</si>
  <si>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</si>
  <si>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</si>
  <si>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</si>
  <si>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</si>
  <si>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</si>
  <si>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</si>
  <si>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</si>
  <si>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</si>
  <si>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</si>
  <si>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</si>
  <si>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</si>
  <si>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</si>
  <si>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</si>
  <si>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</si>
  <si>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</si>
  <si>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</si>
  <si>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</si>
  <si>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</si>
  <si>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</si>
  <si>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</si>
  <si>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</si>
  <si>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</si>
  <si>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</si>
  <si>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</si>
  <si>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</si>
  <si>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</si>
  <si>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</si>
  <si>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</si>
  <si>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</si>
  <si>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</si>
  <si>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</si>
  <si>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</si>
  <si>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</si>
  <si>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</si>
  <si>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</si>
  <si>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</si>
  <si>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</si>
  <si>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</si>
  <si>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</si>
  <si>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</si>
  <si>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</si>
  <si>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</si>
  <si>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</si>
  <si>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</si>
  <si>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</si>
  <si>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</si>
  <si>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</si>
  <si>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</si>
  <si>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</si>
  <si>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</si>
  <si>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</si>
  <si>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</si>
  <si>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</si>
  <si>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</si>
  <si>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</si>
  <si>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</si>
  <si>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</si>
  <si>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</si>
  <si>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</si>
  <si>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</si>
  <si>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</si>
  <si>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</si>
  <si>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</si>
  <si>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</si>
  <si>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</si>
  <si>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</si>
  <si>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</si>
  <si>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</si>
  <si>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</si>
  <si>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</si>
  <si>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</si>
  <si>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</si>
  <si>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</si>
  <si>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</si>
  <si>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</si>
  <si>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</si>
  <si>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</si>
  <si>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</si>
  <si>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</si>
  <si>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</si>
  <si>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</si>
  <si>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</si>
  <si>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</si>
  <si>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</si>
  <si>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</si>
  <si>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</si>
  <si>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</si>
  <si>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</si>
  <si>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</si>
  <si>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</si>
  <si>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</si>
  <si>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</si>
  <si>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</si>
  <si>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</si>
  <si>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</si>
  <si>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</si>
  <si>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</si>
  <si>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</si>
  <si>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</si>
  <si>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</si>
  <si>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</si>
  <si>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</si>
  <si>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</si>
  <si>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</si>
  <si>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</si>
  <si>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</si>
  <si>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</si>
  <si>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</si>
  <si>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</si>
  <si>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</si>
  <si>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</si>
  <si>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</si>
  <si>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</si>
  <si>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</si>
  <si>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</si>
  <si>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</si>
  <si>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</si>
  <si>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</si>
  <si>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</si>
  <si>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</si>
  <si>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</si>
  <si>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</si>
  <si>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</si>
  <si>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</si>
  <si>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</si>
  <si>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</si>
  <si>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</si>
  <si>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</si>
  <si>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</si>
  <si>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</si>
  <si>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</si>
  <si>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</si>
  <si>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</si>
  <si>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</si>
  <si>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</si>
  <si>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</si>
  <si>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</si>
  <si>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</si>
  <si>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</si>
  <si>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</si>
  <si>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</si>
  <si>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</si>
  <si>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</si>
  <si>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</si>
  <si>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</si>
  <si>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</si>
  <si>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</si>
  <si>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</si>
  <si>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</si>
  <si>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</si>
  <si>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</si>
  <si>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</si>
  <si>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</si>
  <si>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</si>
  <si>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</si>
  <si>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</si>
  <si>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</si>
  <si>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</si>
  <si>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</si>
  <si>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</si>
  <si>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</si>
  <si>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</si>
  <si>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</si>
  <si>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</si>
  <si>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</si>
  <si>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</si>
  <si>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</si>
  <si>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</si>
  <si>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</si>
  <si>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</si>
  <si>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</si>
  <si>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</si>
  <si>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</si>
  <si>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</si>
  <si>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</si>
  <si>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</si>
  <si>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</si>
  <si>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</si>
  <si>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</si>
  <si>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</si>
  <si>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</si>
  <si>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</si>
  <si>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</si>
  <si>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</si>
  <si>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</si>
  <si>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</si>
  <si>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</si>
  <si>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</si>
  <si>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</si>
  <si>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</si>
  <si>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</si>
  <si>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</si>
  <si>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</si>
  <si>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</si>
  <si>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</si>
  <si>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</si>
  <si>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</si>
  <si>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</si>
  <si>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</si>
  <si>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</si>
  <si>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</si>
  <si>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</si>
  <si>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</si>
  <si>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</si>
  <si>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</si>
  <si>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</si>
  <si>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</si>
  <si>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</si>
  <si>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</si>
  <si>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</si>
  <si>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</si>
  <si>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</si>
  <si>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</si>
  <si>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</si>
  <si>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</si>
  <si>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</si>
  <si>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</si>
  <si>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</si>
  <si>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</si>
  <si>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</si>
  <si>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</si>
  <si>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</si>
  <si>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</si>
  <si>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</si>
  <si>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</si>
  <si>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</si>
  <si>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</si>
  <si>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</si>
  <si>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</si>
  <si>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</si>
  <si>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</si>
  <si>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</si>
  <si>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</si>
  <si>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</si>
  <si>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</si>
  <si>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</si>
  <si>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</si>
  <si>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</si>
  <si>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</si>
  <si>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</si>
  <si>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</si>
  <si>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</si>
  <si>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</si>
  <si>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</si>
  <si>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</si>
  <si>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</si>
  <si>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</si>
  <si>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</si>
  <si>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</si>
  <si>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</si>
  <si>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</si>
  <si>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</si>
  <si>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</si>
  <si>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</si>
  <si>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</si>
  <si>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</si>
  <si>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</si>
  <si>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</si>
  <si>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</si>
  <si>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</si>
  <si>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</si>
  <si>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</si>
  <si>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</si>
  <si>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</si>
  <si>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</si>
  <si>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</si>
  <si>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</si>
  <si>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</si>
  <si>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</si>
  <si>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</si>
  <si>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</si>
  <si>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</si>
  <si>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</si>
  <si>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</si>
  <si>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</si>
  <si>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</si>
  <si>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</si>
  <si>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</si>
  <si>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</si>
  <si>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</si>
  <si>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</si>
  <si>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</si>
  <si>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</si>
  <si>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</si>
  <si>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</si>
  <si>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</si>
  <si>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</si>
  <si>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</si>
  <si>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</si>
  <si>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</si>
  <si>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</si>
  <si>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</si>
  <si>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</si>
  <si>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</si>
  <si>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</si>
  <si>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</si>
  <si>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</si>
  <si>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</si>
  <si>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</si>
  <si>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</si>
  <si>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</si>
  <si>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</si>
  <si>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</si>
  <si>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</si>
  <si>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</si>
  <si>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</si>
  <si>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</si>
  <si>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</si>
  <si>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</si>
  <si>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</si>
  <si>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</si>
  <si>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</si>
  <si>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</si>
  <si>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</si>
  <si>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</si>
  <si>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</si>
  <si>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</si>
  <si>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</si>
  <si>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</si>
  <si>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</si>
  <si>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</si>
  <si>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</si>
  <si>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</si>
  <si>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</si>
  <si>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</si>
  <si>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</si>
  <si>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</si>
  <si>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</si>
  <si>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</si>
  <si>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</si>
  <si>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</si>
  <si>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</si>
  <si>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</si>
  <si>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</si>
  <si>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</si>
  <si>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</si>
  <si>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</si>
  <si>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</si>
  <si>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</si>
  <si>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</si>
  <si>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</si>
  <si>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</si>
  <si>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</si>
  <si>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</si>
  <si>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</si>
  <si>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</si>
  <si>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</si>
  <si>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</si>
  <si>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</si>
  <si>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</si>
  <si>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</si>
  <si>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</si>
  <si>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</si>
  <si>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</si>
  <si>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</si>
  <si>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</si>
  <si>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</si>
  <si>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</si>
  <si>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</si>
  <si>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</si>
  <si>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</si>
  <si>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</si>
  <si>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</si>
  <si>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</si>
  <si>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</si>
  <si>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</si>
  <si>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</si>
  <si>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</si>
  <si>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</si>
  <si>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</si>
  <si>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</si>
  <si>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</si>
  <si>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</si>
  <si>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</si>
  <si>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</si>
  <si>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</si>
  <si>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</si>
  <si>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</si>
  <si>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</si>
  <si>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</si>
  <si>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</si>
  <si>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</si>
  <si>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</si>
  <si>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</si>
  <si>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</si>
  <si>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</si>
  <si>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</si>
  <si>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</si>
  <si>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</si>
  <si>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</si>
  <si>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</si>
  <si>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</si>
  <si>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</si>
  <si>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</si>
  <si>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</si>
  <si>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</si>
  <si>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</si>
  <si>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</si>
  <si>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</si>
  <si>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</si>
  <si>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</si>
  <si>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</si>
  <si>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</si>
  <si>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</si>
  <si>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</si>
  <si>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</si>
  <si>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</si>
  <si>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</si>
  <si>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</si>
  <si>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</si>
  <si>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</si>
  <si>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</si>
  <si>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</si>
  <si>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</si>
  <si>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</si>
  <si>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</si>
  <si>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</si>
  <si>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</si>
  <si>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</si>
  <si>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</si>
  <si>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</si>
  <si>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</si>
  <si>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</si>
  <si>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</si>
  <si>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</si>
  <si>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</si>
  <si>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</si>
  <si>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</si>
  <si>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</si>
  <si>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</si>
  <si>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</si>
  <si>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</si>
  <si>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</si>
  <si>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</si>
  <si>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</si>
  <si>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</si>
  <si>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</si>
  <si>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</si>
  <si>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</si>
  <si>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</si>
  <si>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</si>
  <si>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</si>
  <si>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</si>
  <si>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</si>
  <si>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</si>
  <si>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</si>
  <si>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</si>
  <si>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</si>
  <si>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</si>
  <si>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</si>
  <si>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</si>
  <si>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</si>
  <si>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</si>
  <si>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</si>
  <si>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</si>
  <si>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</si>
  <si>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</si>
  <si>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</si>
  <si>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</si>
  <si>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</si>
  <si>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</si>
  <si>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</si>
  <si>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</si>
  <si>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</si>
  <si>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</si>
  <si>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</si>
  <si>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</si>
  <si>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</si>
  <si>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</si>
  <si>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</si>
  <si>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</si>
  <si>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</si>
  <si>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</si>
  <si>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</si>
  <si>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</si>
  <si>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</si>
  <si>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</si>
  <si>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</si>
  <si>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</si>
  <si>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</si>
  <si>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</si>
  <si>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</si>
  <si>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</si>
  <si>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</si>
  <si>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</si>
  <si>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</si>
  <si>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</si>
  <si>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</si>
  <si>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</si>
  <si>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</si>
  <si>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</si>
  <si>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</si>
  <si>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</si>
  <si>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</si>
  <si>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</si>
  <si>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</si>
  <si>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</si>
  <si>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</si>
  <si>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</si>
  <si>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</si>
  <si>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</si>
  <si>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</si>
  <si>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</si>
  <si>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</si>
  <si>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</si>
  <si>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</si>
  <si>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</si>
  <si>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</si>
  <si>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</si>
  <si>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</si>
  <si>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</si>
  <si>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</si>
  <si>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</si>
  <si>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</si>
  <si>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</si>
  <si>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</si>
  <si>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</si>
  <si>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</si>
  <si>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</si>
  <si>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</si>
  <si>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</si>
  <si>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</si>
  <si>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</si>
  <si>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</si>
  <si>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</si>
  <si>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</si>
  <si>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</si>
  <si>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</si>
  <si>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</si>
  <si>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</si>
  <si>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</si>
  <si>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</si>
  <si>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</si>
  <si>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</si>
  <si>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</si>
  <si>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</si>
  <si>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</si>
  <si>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</si>
  <si>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</si>
  <si>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</si>
  <si>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</si>
  <si>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</si>
  <si>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</si>
  <si>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</si>
  <si>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</si>
  <si>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</si>
  <si>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</si>
  <si>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</si>
  <si>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</si>
  <si>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</si>
  <si>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</si>
  <si>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</si>
  <si>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</si>
  <si>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</si>
  <si>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</si>
  <si>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</si>
  <si>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</si>
  <si>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</si>
  <si>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</si>
  <si>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</si>
  <si>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</si>
  <si>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</si>
  <si>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</si>
  <si>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</si>
  <si>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</si>
  <si>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</si>
  <si>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</si>
  <si>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</si>
  <si>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</si>
  <si>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</si>
  <si>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</si>
  <si>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</si>
  <si>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</si>
  <si>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</si>
  <si>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</si>
  <si>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</si>
  <si>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</si>
  <si>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</si>
  <si>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</si>
  <si>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</si>
  <si>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</si>
  <si>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</si>
  <si>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</si>
  <si>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</si>
  <si>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</si>
  <si>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</si>
  <si>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</si>
  <si>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</si>
  <si>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</si>
  <si>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</si>
  <si>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</si>
  <si>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</si>
  <si>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</si>
  <si>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</si>
  <si>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</si>
  <si>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</si>
  <si>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</si>
  <si>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</si>
  <si>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</si>
  <si>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</si>
  <si>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</si>
  <si>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</si>
  <si>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</si>
  <si>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</si>
  <si>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</si>
  <si>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</si>
  <si>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</si>
  <si>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</si>
  <si>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</si>
  <si>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</si>
  <si>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</si>
  <si>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</si>
  <si>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</si>
  <si>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</si>
  <si>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</si>
  <si>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</si>
  <si>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</si>
  <si>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</si>
  <si>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</si>
  <si>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</si>
  <si>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</si>
  <si>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</si>
  <si>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</si>
  <si>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</si>
  <si>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</si>
  <si>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</si>
  <si>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</si>
  <si>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</si>
  <si>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</si>
  <si>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</si>
  <si>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</si>
  <si>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</si>
  <si>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</si>
  <si>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</si>
  <si>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</si>
  <si>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</si>
  <si>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</si>
  <si>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</si>
  <si>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</si>
  <si>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</si>
  <si>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</si>
  <si>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</si>
  <si>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</si>
  <si>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</si>
  <si>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</si>
  <si>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</si>
  <si>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</si>
  <si>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</si>
  <si>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</si>
  <si>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</si>
  <si>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</si>
  <si>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</si>
  <si>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</si>
  <si>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</si>
  <si>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</si>
  <si>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</si>
  <si>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</si>
  <si>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</si>
  <si>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</si>
  <si>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</si>
  <si>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</si>
  <si>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</si>
  <si>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</si>
  <si>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</si>
  <si>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</si>
  <si>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</si>
  <si>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</si>
  <si>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</si>
  <si>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</si>
  <si>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</si>
  <si>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</si>
  <si>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</si>
  <si>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</si>
  <si>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</si>
  <si>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</si>
  <si>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</si>
  <si>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</si>
  <si>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</si>
  <si>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</si>
  <si>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</si>
  <si>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</si>
  <si>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</si>
  <si>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</si>
  <si>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</si>
  <si>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</si>
  <si>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</si>
  <si>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</si>
  <si>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</si>
  <si>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</si>
  <si>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</si>
  <si>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</si>
  <si>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</si>
  <si>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</si>
  <si>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</si>
  <si>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</si>
  <si>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</si>
  <si>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</si>
  <si>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</si>
  <si>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</si>
  <si>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</si>
  <si>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</si>
  <si>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</si>
  <si>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</si>
  <si>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</si>
  <si>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</si>
  <si>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</si>
  <si>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</si>
  <si>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</si>
  <si>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</si>
  <si>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</si>
  <si>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</si>
  <si>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</si>
  <si>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</si>
  <si>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</si>
  <si>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</si>
  <si>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</si>
  <si>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</si>
  <si>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</si>
  <si>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</si>
  <si>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</si>
  <si>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</si>
  <si>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</si>
  <si>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</si>
  <si>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</si>
  <si>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</si>
  <si>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</si>
  <si>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</si>
  <si>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</si>
  <si>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</si>
  <si>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</si>
  <si>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</si>
  <si>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</si>
  <si>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</si>
  <si>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</si>
  <si>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</si>
  <si>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</si>
  <si>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</si>
  <si>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</si>
  <si>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</si>
  <si>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</si>
  <si>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</si>
  <si>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</si>
  <si>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</si>
  <si>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</si>
  <si>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</si>
  <si>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</si>
  <si>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</si>
  <si>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</si>
  <si>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</si>
  <si>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</si>
  <si>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</si>
  <si>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</si>
  <si>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</si>
  <si>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</si>
  <si>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</si>
  <si>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</si>
  <si>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</si>
  <si>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</si>
  <si>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</si>
  <si>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</si>
  <si>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</si>
  <si>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</si>
  <si>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</si>
  <si>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</si>
  <si>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</si>
  <si>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</si>
  <si>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</si>
  <si>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</si>
  <si>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</si>
  <si>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</si>
  <si>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</si>
  <si>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</si>
  <si>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</si>
  <si>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</si>
  <si>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</si>
  <si>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</si>
  <si>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</si>
  <si>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</si>
  <si>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</si>
  <si>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</si>
  <si>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</si>
  <si>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</si>
  <si>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</si>
  <si>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</si>
  <si>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</si>
  <si>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</si>
  <si>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</si>
  <si>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</si>
  <si>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</si>
  <si>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</si>
  <si>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</si>
  <si>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</si>
  <si>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</si>
  <si>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</si>
  <si>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</si>
  <si>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</si>
  <si>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</si>
  <si>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</si>
  <si>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</si>
  <si>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</si>
  <si>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</si>
  <si>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</si>
  <si>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</si>
  <si>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</si>
  <si>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</si>
  <si>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</si>
  <si>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</si>
  <si>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</si>
  <si>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</si>
  <si>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</si>
  <si>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</si>
  <si>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</si>
  <si>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</si>
  <si>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</si>
  <si>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</si>
  <si>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</si>
  <si>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</si>
  <si>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</si>
  <si>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</si>
  <si>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</si>
  <si>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</si>
  <si>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</si>
  <si>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</si>
  <si>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</si>
  <si>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</si>
  <si>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</si>
  <si>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</si>
  <si>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</si>
  <si>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</si>
  <si>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</si>
  <si>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</si>
  <si>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</si>
  <si>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</si>
  <si>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</si>
  <si>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</si>
  <si>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</si>
  <si>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</si>
  <si>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</si>
  <si>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</si>
  <si>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</si>
  <si>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</si>
  <si>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</si>
  <si>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</si>
  <si>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</si>
  <si>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</si>
  <si>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</si>
  <si>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</si>
  <si>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</si>
  <si>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</si>
  <si>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</si>
  <si>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</si>
  <si>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</si>
  <si>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</si>
  <si>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</si>
  <si>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</si>
  <si>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</si>
  <si>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</si>
  <si>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</si>
  <si>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</si>
  <si>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</si>
  <si>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</si>
  <si>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</si>
  <si>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</si>
  <si>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</si>
  <si>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</si>
  <si>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</si>
  <si>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</si>
  <si>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</si>
  <si>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</si>
  <si>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</si>
  <si>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</si>
  <si>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</si>
  <si>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</si>
  <si>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</si>
  <si>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</si>
  <si>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</si>
  <si>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</si>
  <si>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</si>
  <si>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</si>
  <si>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</si>
  <si>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</si>
  <si>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</si>
  <si>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</si>
  <si>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</si>
  <si>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</si>
  <si>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</si>
  <si>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</si>
  <si>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</si>
  <si>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</si>
  <si>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</si>
  <si>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</si>
  <si>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</si>
  <si>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</si>
  <si>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</si>
  <si>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</si>
  <si>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</si>
  <si>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</si>
  <si>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</si>
  <si>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</si>
  <si>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</si>
  <si>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</si>
  <si>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</si>
  <si>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</si>
  <si>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</si>
  <si>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</si>
  <si>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</si>
  <si>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</si>
  <si>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</si>
  <si>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</si>
  <si>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</si>
  <si>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</si>
  <si>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</si>
  <si>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</si>
  <si>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</si>
  <si>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</si>
  <si>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</si>
  <si>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</si>
  <si>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</si>
  <si>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</si>
  <si>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</si>
  <si>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</si>
  <si>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</si>
  <si>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</si>
  <si>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</si>
  <si>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</si>
  <si>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</si>
  <si>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</si>
  <si>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</si>
  <si>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</si>
  <si>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</si>
  <si>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</si>
  <si>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</si>
  <si>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</si>
  <si>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</si>
  <si>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</si>
  <si>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</si>
  <si>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</si>
  <si>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</si>
  <si>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</si>
  <si>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</si>
  <si>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</si>
  <si>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</si>
  <si>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</si>
  <si>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</si>
  <si>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</si>
  <si>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</si>
  <si>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</si>
  <si>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</si>
  <si>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</si>
  <si>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</si>
  <si>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</si>
  <si>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</si>
  <si>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</si>
  <si>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</si>
  <si>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</si>
  <si>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</si>
  <si>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</si>
  <si>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</si>
  <si>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</si>
  <si>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</si>
  <si>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</si>
  <si>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</si>
  <si>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</si>
  <si>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</si>
  <si>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</si>
  <si>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</si>
  <si>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</si>
  <si>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</si>
  <si>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</si>
  <si>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</si>
  <si>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</si>
  <si>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</si>
  <si>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</si>
  <si>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</si>
  <si>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</si>
  <si>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</si>
  <si>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</si>
  <si>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</si>
  <si>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</si>
  <si>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</si>
  <si>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</si>
  <si>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</si>
  <si>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</si>
  <si>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</si>
  <si>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</si>
  <si>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</si>
  <si>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</si>
  <si>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</si>
  <si>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</si>
  <si>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</si>
  <si>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</si>
  <si>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</si>
  <si>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</si>
  <si>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</si>
  <si>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</si>
  <si>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</si>
  <si>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</si>
  <si>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</si>
  <si>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</si>
  <si>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</si>
  <si>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</si>
  <si>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</si>
  <si>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</si>
  <si>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</si>
  <si>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</si>
  <si>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</si>
  <si>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</si>
  <si>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</si>
  <si>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</si>
  <si>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</si>
  <si>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</si>
  <si>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</si>
  <si>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</si>
  <si>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</si>
  <si>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</si>
  <si>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</si>
  <si>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</si>
  <si>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</si>
  <si>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</si>
  <si>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</si>
  <si>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</si>
  <si>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</si>
  <si>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</si>
  <si>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</si>
  <si>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</si>
  <si>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</si>
  <si>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</si>
  <si>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</si>
  <si>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</si>
  <si>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</si>
  <si>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</si>
  <si>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</si>
  <si>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</si>
  <si>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</si>
  <si>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</si>
  <si>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</si>
  <si>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</si>
  <si>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</si>
  <si>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</si>
  <si>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</si>
  <si>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</si>
  <si>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</si>
  <si>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</si>
  <si>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</si>
  <si>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</si>
  <si>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</si>
  <si>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</si>
  <si>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</si>
  <si>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</si>
  <si>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</si>
  <si>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</si>
  <si>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</si>
  <si>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</si>
  <si>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</si>
  <si>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</si>
  <si>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</si>
  <si>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</si>
  <si>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</si>
  <si>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</si>
  <si>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</si>
  <si>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</si>
  <si>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</si>
  <si>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</si>
  <si>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</si>
  <si>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</si>
  <si>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</si>
  <si>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</si>
  <si>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</si>
  <si>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</si>
  <si>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</si>
  <si>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</si>
  <si>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</si>
  <si>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</si>
  <si>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</si>
  <si>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</si>
  <si>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</si>
  <si>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</si>
  <si>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</si>
  <si>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</si>
  <si>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</si>
  <si>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</si>
  <si>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</si>
  <si>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</si>
  <si>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</si>
  <si>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</si>
  <si>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</si>
  <si>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</si>
  <si>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</si>
  <si>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</si>
  <si>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</si>
  <si>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</si>
  <si>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</si>
  <si>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</si>
  <si>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</si>
  <si>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</si>
  <si>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</si>
  <si>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</si>
  <si>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</si>
  <si>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</si>
  <si>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</si>
  <si>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</si>
  <si>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</si>
  <si>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</si>
  <si>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</si>
  <si>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</si>
  <si>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</si>
  <si>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</si>
  <si>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</si>
  <si>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</si>
  <si>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</si>
  <si>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</si>
  <si>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</si>
  <si>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</si>
  <si>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</si>
  <si>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</si>
  <si>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</si>
  <si>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</si>
  <si>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</si>
  <si>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</si>
  <si>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</si>
  <si>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</si>
  <si>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</si>
  <si>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</si>
  <si>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</si>
  <si>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</si>
  <si>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</si>
  <si>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</si>
  <si>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</si>
  <si>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</si>
  <si>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</si>
  <si>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</si>
  <si>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</si>
  <si>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</si>
  <si>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</si>
  <si>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</si>
  <si>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</si>
  <si>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</si>
  <si>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</si>
  <si>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</si>
  <si>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</si>
  <si>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</si>
  <si>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</si>
  <si>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</si>
  <si>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</si>
  <si>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</si>
  <si>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</si>
  <si>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</si>
  <si>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</si>
  <si>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</si>
  <si>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</si>
  <si>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</si>
  <si>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</si>
  <si>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</si>
  <si>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</si>
  <si>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</si>
  <si>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</si>
  <si>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</si>
  <si>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</si>
  <si>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</si>
  <si>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</si>
  <si>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</si>
  <si>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</si>
  <si>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</si>
  <si>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</si>
  <si>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</si>
  <si>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</si>
  <si>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</si>
  <si>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</si>
  <si>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</si>
  <si>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</si>
  <si>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</si>
  <si>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</si>
  <si>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</si>
  <si>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</si>
  <si>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</si>
  <si>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</si>
  <si>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</si>
  <si>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</si>
  <si>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</si>
  <si>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</si>
  <si>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</si>
  <si>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</si>
  <si>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</si>
  <si>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</si>
  <si>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</si>
  <si>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</si>
  <si>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</si>
  <si>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</si>
  <si>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</si>
  <si>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</si>
  <si>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</si>
  <si>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</si>
  <si>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</si>
  <si>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</si>
  <si>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</si>
  <si>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</si>
  <si>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</si>
  <si>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</si>
  <si>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</si>
  <si>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</si>
  <si>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</si>
  <si>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</si>
  <si>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</si>
  <si>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</si>
  <si>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</si>
  <si>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</si>
  <si>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</si>
  <si>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</si>
  <si>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</si>
  <si>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</si>
  <si>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</si>
  <si>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</si>
  <si>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</si>
  <si>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</si>
  <si>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</si>
  <si>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</si>
  <si>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</si>
  <si>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</si>
  <si>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</si>
  <si>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</si>
  <si>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</si>
  <si>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</si>
  <si>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</si>
  <si>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</si>
  <si>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</si>
  <si>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</si>
  <si>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</si>
  <si>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</si>
  <si>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</si>
  <si>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</si>
  <si>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</si>
  <si>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</si>
  <si>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</si>
  <si>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</si>
  <si>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</si>
  <si>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</si>
  <si>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</si>
  <si>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</si>
  <si>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</si>
  <si>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</si>
  <si>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</si>
  <si>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</si>
  <si>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</si>
  <si>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</si>
  <si>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</si>
  <si>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</si>
  <si>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</si>
  <si>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</si>
  <si>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</si>
  <si>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</si>
  <si>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</si>
  <si>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</si>
  <si>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</si>
  <si>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</si>
  <si>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</si>
  <si>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</si>
  <si>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</si>
  <si>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</si>
  <si>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</si>
  <si>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</si>
  <si>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</si>
  <si>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</si>
  <si>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</si>
  <si>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</si>
  <si>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</si>
  <si>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</si>
  <si>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</si>
  <si>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</si>
  <si>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</si>
  <si>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</si>
  <si>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</si>
  <si>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</si>
  <si>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</si>
  <si>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</si>
  <si>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</si>
  <si>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</si>
  <si>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</si>
  <si>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</si>
  <si>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</si>
  <si>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</si>
  <si>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</si>
  <si>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</si>
  <si>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</si>
  <si>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</si>
  <si>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</si>
  <si>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</si>
  <si>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</si>
  <si>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</si>
  <si>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</si>
  <si>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</si>
  <si>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</si>
  <si>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</si>
  <si>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</si>
  <si>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</si>
  <si>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</si>
  <si>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</si>
  <si>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</si>
  <si>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</si>
  <si>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</si>
  <si>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</si>
  <si>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</si>
  <si>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</si>
  <si>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</si>
  <si>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</si>
  <si>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</si>
  <si>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</si>
  <si>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</si>
  <si>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</si>
  <si>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</si>
  <si>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</si>
  <si>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</si>
  <si>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</si>
  <si>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</si>
  <si>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</si>
  <si>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</si>
  <si>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</si>
  <si>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</si>
  <si>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</si>
  <si>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</si>
  <si>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</si>
  <si>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</si>
  <si>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</si>
  <si>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</si>
  <si>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</si>
  <si>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</si>
  <si>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</si>
  <si>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</si>
  <si>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</si>
  <si>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</si>
  <si>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</si>
  <si>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</si>
  <si>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</si>
  <si>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</si>
  <si>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</si>
  <si>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</si>
  <si>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</si>
  <si>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</si>
  <si>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</si>
  <si>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</si>
  <si>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</si>
  <si>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</si>
  <si>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</si>
  <si>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</si>
  <si>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</si>
  <si>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</si>
  <si>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</si>
  <si>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</si>
  <si>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</si>
  <si>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</si>
  <si>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</si>
  <si>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</si>
  <si>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</si>
  <si>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</si>
  <si>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</si>
  <si>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</si>
  <si>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</si>
  <si>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</si>
  <si>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</si>
  <si>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</si>
  <si>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</si>
  <si>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</si>
  <si>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</si>
  <si>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</si>
  <si>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</si>
  <si>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</si>
  <si>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</si>
  <si>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</si>
  <si>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</si>
  <si>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</si>
  <si>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</si>
  <si>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</si>
  <si>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</si>
  <si>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</si>
  <si>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</si>
  <si>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</si>
  <si>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</si>
  <si>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</si>
  <si>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</si>
  <si>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</si>
  <si>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</si>
  <si>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</si>
  <si>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</si>
  <si>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</si>
  <si>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</si>
  <si>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</si>
  <si>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</si>
  <si>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</si>
  <si>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</si>
  <si>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</si>
  <si>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</si>
  <si>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</si>
  <si>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</si>
  <si>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</si>
  <si>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</si>
  <si>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</si>
  <si>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</si>
  <si>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</si>
  <si>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</si>
  <si>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</si>
  <si>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</si>
  <si>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</si>
  <si>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</si>
  <si>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</si>
  <si>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</si>
  <si>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</si>
  <si>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</si>
  <si>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</si>
  <si>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</si>
  <si>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</si>
  <si>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</si>
  <si>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</si>
  <si>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</si>
  <si>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</si>
  <si>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</si>
  <si>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</si>
  <si>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</si>
  <si>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</si>
  <si>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</si>
  <si>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</si>
  <si>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</si>
  <si>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</si>
  <si>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</si>
  <si>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</si>
  <si>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</si>
  <si>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</si>
  <si>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</si>
  <si>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</si>
  <si>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</si>
  <si>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</si>
  <si>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</si>
  <si>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</si>
  <si>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</si>
  <si>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</si>
  <si>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</si>
  <si>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</si>
  <si>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</si>
  <si>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</si>
  <si>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</si>
  <si>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</si>
  <si>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</si>
  <si>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</si>
  <si>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</si>
  <si>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</si>
  <si>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</si>
  <si>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</si>
  <si>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</si>
  <si>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</si>
  <si>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</si>
  <si>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</si>
  <si>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</si>
  <si>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</si>
  <si>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</si>
  <si>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</si>
  <si>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</si>
  <si>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</si>
  <si>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</si>
  <si>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</si>
  <si>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</si>
  <si>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</si>
  <si>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</si>
  <si>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</si>
  <si>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</si>
  <si>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</si>
  <si>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</si>
  <si>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</si>
  <si>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</si>
  <si>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</si>
  <si>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</si>
  <si>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</si>
  <si>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</si>
  <si>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</si>
  <si>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</si>
  <si>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</si>
  <si>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</si>
  <si>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</si>
  <si>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</si>
  <si>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</si>
  <si>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</si>
  <si>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</si>
  <si>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</si>
  <si>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</si>
  <si>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</si>
  <si>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</si>
  <si>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</si>
  <si>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</si>
  <si>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</si>
  <si>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</si>
  <si>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</si>
  <si>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</si>
  <si>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</si>
  <si>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</si>
  <si>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</si>
  <si>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</si>
  <si>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</si>
  <si>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</si>
  <si>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</si>
  <si>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</si>
  <si>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</si>
  <si>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</si>
  <si>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</si>
  <si>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</si>
  <si>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</si>
  <si>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</si>
  <si>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</si>
  <si>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</si>
  <si>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</si>
  <si>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</si>
  <si>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</si>
  <si>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</si>
  <si>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</si>
  <si>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</si>
  <si>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</si>
  <si>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</si>
  <si>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</si>
  <si>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</si>
  <si>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</si>
  <si>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</si>
  <si>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</si>
  <si>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</si>
  <si>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</si>
  <si>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</si>
  <si>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</si>
  <si>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</si>
  <si>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</si>
  <si>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</si>
  <si>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</si>
  <si>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</si>
  <si>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</si>
  <si>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</si>
  <si>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</si>
  <si>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</si>
  <si>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</si>
  <si>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</si>
  <si>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</si>
  <si>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</si>
  <si>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</si>
  <si>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</si>
  <si>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</si>
  <si>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</si>
  <si>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</si>
  <si>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</si>
  <si>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</si>
  <si>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</si>
  <si>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</si>
  <si>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</si>
  <si>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</si>
  <si>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</si>
  <si>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</si>
  <si>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</si>
  <si>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</si>
  <si>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</si>
  <si>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</si>
  <si>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</si>
  <si>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</si>
  <si>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</si>
  <si>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</si>
  <si>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</si>
  <si>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</si>
  <si>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</si>
  <si>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</si>
  <si>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</si>
  <si>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</si>
  <si>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</si>
  <si>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</si>
  <si>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</si>
  <si>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</si>
  <si>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</si>
  <si>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</si>
  <si>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</si>
  <si>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</si>
  <si>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</si>
  <si>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</si>
  <si>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</si>
  <si>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</si>
  <si>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</si>
  <si>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</si>
  <si>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</si>
  <si>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</si>
  <si>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</si>
  <si>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</si>
  <si>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</si>
  <si>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</si>
  <si>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</si>
  <si>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</si>
  <si>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</si>
  <si>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</si>
  <si>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</si>
  <si>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</si>
  <si>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</si>
  <si>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</si>
  <si>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</si>
  <si>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</si>
  <si>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</si>
  <si>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</si>
  <si>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</si>
  <si>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</si>
  <si>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</si>
  <si>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</si>
  <si>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</si>
  <si>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</si>
  <si>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</si>
  <si>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</si>
  <si>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</si>
  <si>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</si>
  <si>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</si>
  <si>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</si>
  <si>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</si>
  <si>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</si>
  <si>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</si>
  <si>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</si>
  <si>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</si>
  <si>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</si>
  <si>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</si>
  <si>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</si>
  <si>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</si>
  <si>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</si>
  <si>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</si>
  <si>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</si>
  <si>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</si>
  <si>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</si>
  <si>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</si>
  <si>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</si>
  <si>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</si>
  <si>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</si>
  <si>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</si>
  <si>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</si>
  <si>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</si>
  <si>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</si>
  <si>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</si>
  <si>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</si>
  <si>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</si>
  <si>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</si>
  <si>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</si>
  <si>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</si>
  <si>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</si>
  <si>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</si>
  <si>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</si>
  <si>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</si>
  <si>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</si>
  <si>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</si>
  <si>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</si>
  <si>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</si>
  <si>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</si>
  <si>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</si>
  <si>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</si>
  <si>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</si>
  <si>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</si>
  <si>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</si>
  <si>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</si>
  <si>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</si>
  <si>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</si>
  <si>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</si>
  <si>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</si>
  <si>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</si>
  <si>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</si>
  <si>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</si>
  <si>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</si>
  <si>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</si>
  <si>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</si>
  <si>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</si>
  <si>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</si>
  <si>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</si>
  <si>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</si>
  <si>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</si>
  <si>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</si>
  <si>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</si>
  <si>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</si>
  <si>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</si>
  <si>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</si>
  <si>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</si>
  <si>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</si>
  <si>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</si>
  <si>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</si>
  <si>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</si>
  <si>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</si>
  <si>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</si>
  <si>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</si>
  <si>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</si>
  <si>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</si>
  <si>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</si>
  <si>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</si>
  <si>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</si>
  <si>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</si>
  <si>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</si>
  <si>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</si>
  <si>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</si>
  <si>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</si>
  <si>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</si>
  <si>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</si>
  <si>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</si>
  <si>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</si>
  <si>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</si>
  <si>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</si>
  <si>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</si>
  <si>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</si>
  <si>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</si>
  <si>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</si>
  <si>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</si>
  <si>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</si>
  <si>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</si>
  <si>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</si>
  <si>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</si>
  <si>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</si>
  <si>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</si>
  <si>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</si>
  <si>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</si>
  <si>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</si>
  <si>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</si>
  <si>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</si>
  <si>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</si>
  <si>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</si>
  <si>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</si>
  <si>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</si>
  <si>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</si>
  <si>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</si>
  <si>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</si>
  <si>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</si>
  <si>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</si>
  <si>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</si>
  <si>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</si>
  <si>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</si>
  <si>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</si>
  <si>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</si>
  <si>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</si>
  <si>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</si>
  <si>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</si>
  <si>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</si>
  <si>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</si>
  <si>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</si>
  <si>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</si>
  <si>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</si>
  <si>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</si>
  <si>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</si>
  <si>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</si>
  <si>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</si>
  <si>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</si>
  <si>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</si>
  <si>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</si>
  <si>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</si>
  <si>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</si>
  <si>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</si>
  <si>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</si>
  <si>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</si>
  <si>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</si>
  <si>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</si>
  <si>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</si>
  <si>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</si>
  <si>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</si>
  <si>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</si>
  <si>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</si>
  <si>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</si>
  <si>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</si>
  <si>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</si>
  <si>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</si>
  <si>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</si>
  <si>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</si>
  <si>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</si>
  <si>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</si>
  <si>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</si>
  <si>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</si>
  <si>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</si>
  <si>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</si>
  <si>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</si>
  <si>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</si>
  <si>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</si>
  <si>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</si>
  <si>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</si>
  <si>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</si>
  <si>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</si>
  <si>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</si>
  <si>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</si>
  <si>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</si>
  <si>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</si>
  <si>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</si>
  <si>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</si>
  <si>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</si>
  <si>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</si>
  <si>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</si>
  <si>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</si>
  <si>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</si>
  <si>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</si>
  <si>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</si>
  <si>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</si>
  <si>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</si>
  <si>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</si>
  <si>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</si>
  <si>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</si>
  <si>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</si>
  <si>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</si>
  <si>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</si>
  <si>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</si>
  <si>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</si>
  <si>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</si>
  <si>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</si>
  <si>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</si>
  <si>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</si>
  <si>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</si>
  <si>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</si>
  <si>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</si>
  <si>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</si>
  <si>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</si>
  <si>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</si>
  <si>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</si>
  <si>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</si>
  <si>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</si>
  <si>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</si>
  <si>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</si>
  <si>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</si>
  <si>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</si>
  <si>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</si>
  <si>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</si>
  <si>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</si>
  <si>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</si>
  <si>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</si>
  <si>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</si>
  <si>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</si>
  <si>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</si>
  <si>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</si>
  <si>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</si>
  <si>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</si>
  <si>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</si>
  <si>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</si>
  <si>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</si>
  <si>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</si>
  <si>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</si>
  <si>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</si>
  <si>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</si>
  <si>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</si>
  <si>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</si>
  <si>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</si>
  <si>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</si>
  <si>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</si>
  <si>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</si>
  <si>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</si>
  <si>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</si>
  <si>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</si>
  <si>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</si>
  <si>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</si>
  <si>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</si>
  <si>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</si>
  <si>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</si>
  <si>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</si>
  <si>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</si>
  <si>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</si>
  <si>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</si>
  <si>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</si>
  <si>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</si>
  <si>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</si>
  <si>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</si>
  <si>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</si>
  <si>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</si>
  <si>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</si>
  <si>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</si>
  <si>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</si>
  <si>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</si>
  <si>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</si>
  <si>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</si>
  <si>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</si>
  <si>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</si>
  <si>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</si>
  <si>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</si>
  <si>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</si>
  <si>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</si>
  <si>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</si>
  <si>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</si>
  <si>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</si>
  <si>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</si>
  <si>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</si>
  <si>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</si>
  <si>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</si>
  <si>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</si>
  <si>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</si>
  <si>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</si>
  <si>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</si>
  <si>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</si>
  <si>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</si>
  <si>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</si>
  <si>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</si>
  <si>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</si>
  <si>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</si>
  <si>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</si>
  <si>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</si>
  <si>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</si>
  <si>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</si>
  <si>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</si>
  <si>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</si>
  <si>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</si>
  <si>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</si>
  <si>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</si>
  <si>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</si>
  <si>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</si>
  <si>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</si>
  <si>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</si>
  <si>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</si>
  <si>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</si>
  <si>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</si>
  <si>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</si>
  <si>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</si>
  <si>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</si>
  <si>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</si>
  <si>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</si>
  <si>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</si>
  <si>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</si>
  <si>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</si>
  <si>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</si>
  <si>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</si>
  <si>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</si>
  <si>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</si>
  <si>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</si>
  <si>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</si>
  <si>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</si>
  <si>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</si>
  <si>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</si>
  <si>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</si>
  <si>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</si>
  <si>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</si>
  <si>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</si>
  <si>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</si>
  <si>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</si>
  <si>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</si>
  <si>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</si>
  <si>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</si>
  <si>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</si>
  <si>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</si>
  <si>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</si>
  <si>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</si>
  <si>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</si>
  <si>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</si>
  <si>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</si>
  <si>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</si>
  <si>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</si>
  <si>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</si>
  <si>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</si>
  <si>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</si>
  <si>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</si>
  <si>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</si>
  <si>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</si>
  <si>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</si>
  <si>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</si>
  <si>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</si>
  <si>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</si>
  <si>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</si>
  <si>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</si>
  <si>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</si>
  <si>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</si>
  <si>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</si>
  <si>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</si>
  <si>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</si>
  <si>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</si>
  <si>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</si>
  <si>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</si>
  <si>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</si>
  <si>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</si>
  <si>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</si>
  <si>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</si>
  <si>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</si>
  <si>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</si>
  <si>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</si>
  <si>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</si>
  <si>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</si>
  <si>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</si>
  <si>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</si>
  <si>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</si>
  <si>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</si>
  <si>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</si>
  <si>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</si>
  <si>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</si>
  <si>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</si>
  <si>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</si>
  <si>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</si>
  <si>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</si>
  <si>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</si>
  <si>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</si>
  <si>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</si>
  <si>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</si>
  <si>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</si>
  <si>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</si>
  <si>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</si>
  <si>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</si>
  <si>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</si>
  <si>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</si>
  <si>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</si>
  <si>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</si>
  <si>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</si>
  <si>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</si>
  <si>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</si>
  <si>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</si>
  <si>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</si>
  <si>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</si>
  <si>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</si>
  <si>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</si>
  <si>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</si>
  <si>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</si>
  <si>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</si>
  <si>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</si>
  <si>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</si>
  <si>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</si>
  <si>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</si>
  <si>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</si>
  <si>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</si>
  <si>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</si>
  <si>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</si>
  <si>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</si>
  <si>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</si>
  <si>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</si>
  <si>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</si>
  <si>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</si>
  <si>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</si>
  <si>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</si>
  <si>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</si>
  <si>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</si>
  <si>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</si>
  <si>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</si>
  <si>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</si>
  <si>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</si>
  <si>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</si>
  <si>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</si>
  <si>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</si>
  <si>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</si>
  <si>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</si>
  <si>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</si>
  <si>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</si>
  <si>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</si>
  <si>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</si>
  <si>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</si>
  <si>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</si>
  <si>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</si>
  <si>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</si>
  <si>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</si>
  <si>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</si>
  <si>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</si>
  <si>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</si>
  <si>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</si>
  <si>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</si>
  <si>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</si>
  <si>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</si>
  <si>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</si>
  <si>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</si>
  <si>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</si>
  <si>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</si>
  <si>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</si>
  <si>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</si>
  <si>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</si>
  <si>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</si>
  <si>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</si>
  <si>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</si>
  <si>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</si>
  <si>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</si>
  <si>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</si>
  <si>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</si>
  <si>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</si>
  <si>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</si>
  <si>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</si>
  <si>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</si>
  <si>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</si>
  <si>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</si>
  <si>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</si>
  <si>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</si>
  <si>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</si>
  <si>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</si>
  <si>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</si>
  <si>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</si>
  <si>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</si>
  <si>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</si>
  <si>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</si>
  <si>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</si>
  <si>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</si>
  <si>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</si>
  <si>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</si>
  <si>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</si>
  <si>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</si>
  <si>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</si>
  <si>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</si>
  <si>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</si>
  <si>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</si>
  <si>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</si>
  <si>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</si>
  <si>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</si>
  <si>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</si>
  <si>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</si>
  <si>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</si>
  <si>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</si>
  <si>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</si>
  <si>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</si>
  <si>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</si>
  <si>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</si>
  <si>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</si>
  <si>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</si>
  <si>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</si>
  <si>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</si>
  <si>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</si>
  <si>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</si>
  <si>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</si>
  <si>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</si>
  <si>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</si>
  <si>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</si>
  <si>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</si>
  <si>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</si>
  <si>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</si>
  <si>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</si>
  <si>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</si>
  <si>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</si>
  <si>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</si>
  <si>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</si>
  <si>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</si>
  <si>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</si>
  <si>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</si>
  <si>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</si>
  <si>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</si>
  <si>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</si>
  <si>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</si>
  <si>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</si>
  <si>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</si>
  <si>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</si>
  <si>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</si>
  <si>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</si>
  <si>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</si>
  <si>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</si>
  <si>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</si>
  <si>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</si>
  <si>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</si>
  <si>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</si>
  <si>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</si>
  <si>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</si>
  <si>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</si>
  <si>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</si>
  <si>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</si>
  <si>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</si>
  <si>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</si>
  <si>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</si>
  <si>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</si>
  <si>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</si>
  <si>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</si>
  <si>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</si>
  <si>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</si>
  <si>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</si>
  <si>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</si>
  <si>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</si>
  <si>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</si>
  <si>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</si>
  <si>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</si>
  <si>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</si>
  <si>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</si>
  <si>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</si>
  <si>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</si>
  <si>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</si>
  <si>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</si>
  <si>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</si>
  <si>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</si>
  <si>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</si>
  <si>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</si>
  <si>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</si>
  <si>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</si>
  <si>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</si>
  <si>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</si>
  <si>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</si>
  <si>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</si>
  <si>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</si>
  <si>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</si>
  <si>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</si>
  <si>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</si>
  <si>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</si>
  <si>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</si>
  <si>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</si>
  <si>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</si>
  <si>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</si>
  <si>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</si>
  <si>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</si>
  <si>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</si>
  <si>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</si>
  <si>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</si>
  <si>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</si>
  <si>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</si>
  <si>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</si>
  <si>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</si>
  <si>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</si>
  <si>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</si>
  <si>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</si>
  <si>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</si>
  <si>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</si>
  <si>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</si>
  <si>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</si>
  <si>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</si>
  <si>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</si>
  <si>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</si>
  <si>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</si>
  <si>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</si>
  <si>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</si>
  <si>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</si>
  <si>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</si>
  <si>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</si>
  <si>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</si>
  <si>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</si>
  <si>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</si>
  <si>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</si>
  <si>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</si>
  <si>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</si>
  <si>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</si>
  <si>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</si>
  <si>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</si>
  <si>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</si>
  <si>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</si>
  <si>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</si>
  <si>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</si>
  <si>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</si>
  <si>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</si>
  <si>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</si>
  <si>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</si>
  <si>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</si>
  <si>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</si>
  <si>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</si>
  <si>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</si>
  <si>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</si>
  <si>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</si>
  <si>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</si>
  <si>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</si>
  <si>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</si>
  <si>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</si>
  <si>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</si>
  <si>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</si>
  <si>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</si>
  <si>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</si>
  <si>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</si>
  <si>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</si>
  <si>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</si>
  <si>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</si>
  <si>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</si>
  <si>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</si>
  <si>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</si>
  <si>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</si>
  <si>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</si>
  <si>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</si>
  <si>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</si>
  <si>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</si>
  <si>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</si>
  <si>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</si>
  <si>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</si>
  <si>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</si>
  <si>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</si>
  <si>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</si>
  <si>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</si>
  <si>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</si>
  <si>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</si>
  <si>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</si>
  <si>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</si>
  <si>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</si>
  <si>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</si>
  <si>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</si>
  <si>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</si>
  <si>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</si>
  <si>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</si>
  <si>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</si>
  <si>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</si>
  <si>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</si>
  <si>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</si>
  <si>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</si>
  <si>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</si>
  <si>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</si>
  <si>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</si>
  <si>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</si>
  <si>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</si>
  <si>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</si>
  <si>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</si>
  <si>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</si>
  <si>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</si>
  <si>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</si>
  <si>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</si>
  <si>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</si>
  <si>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</si>
  <si>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</si>
  <si>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</si>
  <si>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</si>
  <si>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</si>
  <si>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</si>
  <si>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</si>
  <si>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</si>
  <si>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</si>
  <si>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</si>
  <si>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</si>
  <si>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</si>
  <si>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</si>
  <si>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</si>
  <si>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</si>
  <si>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</si>
  <si>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</si>
  <si>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</si>
  <si>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</si>
  <si>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</si>
  <si>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</si>
  <si>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</si>
  <si>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</si>
  <si>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</si>
  <si>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</si>
  <si>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</si>
  <si>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</si>
  <si>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</si>
  <si>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</si>
  <si>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</si>
  <si>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</si>
  <si>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</si>
  <si>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</si>
  <si>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</si>
  <si>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</si>
  <si>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</si>
  <si>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</si>
  <si>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</si>
  <si>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</si>
  <si>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</si>
  <si>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</si>
  <si>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</si>
  <si>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</si>
  <si>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</si>
  <si>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</si>
  <si>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</si>
  <si>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</si>
  <si>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</si>
  <si>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</si>
  <si>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</si>
  <si>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</si>
  <si>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</si>
  <si>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</si>
  <si>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</si>
  <si>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</si>
  <si>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</si>
  <si>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</si>
  <si>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</si>
  <si>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</si>
  <si>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</si>
  <si>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</si>
  <si>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</si>
  <si>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</si>
  <si>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</si>
  <si>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</si>
  <si>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</si>
  <si>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</si>
  <si>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</si>
  <si>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</si>
  <si>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</si>
  <si>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</si>
  <si>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</si>
  <si>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</si>
  <si>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</si>
  <si>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</si>
  <si>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</si>
  <si>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</si>
  <si>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</si>
  <si>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</si>
  <si>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</si>
  <si>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</si>
  <si>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</si>
  <si>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</si>
  <si>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</si>
  <si>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</si>
  <si>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</si>
  <si>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</si>
  <si>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</si>
  <si>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</si>
  <si>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</si>
  <si>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</si>
  <si>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</si>
  <si>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</si>
  <si>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</si>
  <si>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</si>
  <si>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</si>
  <si>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</si>
  <si>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</si>
  <si>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</si>
  <si>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</si>
  <si>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</si>
  <si>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</si>
  <si>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</si>
  <si>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</si>
  <si>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</si>
  <si>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</si>
  <si>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</si>
  <si>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</si>
  <si>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</si>
  <si>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</si>
  <si>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</si>
  <si>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</si>
  <si>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</si>
  <si>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</si>
  <si>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</si>
  <si>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</si>
  <si>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</si>
  <si>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</si>
  <si>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</si>
  <si>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</si>
  <si>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</si>
  <si>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</si>
  <si>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</si>
  <si>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</si>
  <si>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</si>
  <si>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</si>
  <si>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</si>
  <si>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</si>
  <si>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</si>
  <si>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</si>
  <si>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</si>
  <si>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</si>
  <si>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</si>
  <si>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</si>
  <si>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</si>
  <si>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</si>
  <si>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</si>
  <si>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</si>
  <si>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</si>
  <si>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</si>
  <si>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</si>
  <si>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</si>
  <si>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</si>
  <si>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</si>
  <si>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</si>
  <si>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</si>
  <si>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</si>
  <si>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</si>
  <si>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</si>
  <si>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</si>
  <si>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</si>
  <si>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</si>
  <si>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</si>
  <si>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</si>
  <si>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</si>
  <si>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</si>
  <si>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</si>
  <si>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</si>
  <si>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</si>
  <si>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</si>
  <si>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</si>
  <si>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</si>
  <si>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</si>
  <si>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</si>
  <si>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</si>
  <si>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</si>
  <si>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</si>
  <si>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</si>
  <si>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</si>
  <si>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</si>
  <si>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</si>
  <si>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</si>
  <si>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</si>
  <si>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</si>
  <si>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</si>
  <si>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</si>
  <si>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</si>
  <si>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</si>
  <si>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</si>
  <si>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</si>
  <si>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</si>
  <si>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</si>
  <si>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</si>
  <si>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</si>
  <si>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</si>
  <si>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</si>
  <si>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</si>
  <si>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</si>
  <si>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</si>
  <si>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</si>
  <si>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</si>
  <si>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</si>
  <si>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</si>
  <si>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</si>
  <si>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</si>
  <si>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</si>
  <si>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</si>
  <si>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</si>
  <si>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</si>
  <si>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</si>
  <si>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</si>
  <si>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</si>
  <si>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</si>
  <si>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</si>
  <si>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</si>
  <si>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</si>
  <si>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</si>
  <si>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</si>
  <si>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</si>
  <si>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</si>
  <si>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</si>
  <si>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</si>
  <si>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</si>
  <si>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</si>
  <si>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</si>
  <si>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</si>
  <si>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</si>
  <si>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</si>
  <si>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</si>
  <si>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</si>
  <si>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</si>
  <si>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</si>
  <si>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</si>
  <si>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</si>
  <si>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</si>
  <si>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</si>
  <si>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</si>
  <si>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</si>
  <si>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</si>
  <si>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</si>
  <si>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</si>
  <si>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</si>
  <si>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</si>
  <si>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</si>
  <si>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</si>
  <si>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</si>
  <si>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</si>
  <si>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</si>
  <si>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</si>
  <si>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</si>
  <si>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</si>
  <si>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</si>
  <si>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</si>
  <si>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</si>
  <si>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</si>
  <si>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</si>
  <si>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</si>
  <si>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</si>
  <si>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</si>
  <si>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</si>
  <si>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</si>
  <si>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</si>
  <si>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</si>
  <si>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</si>
  <si>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</si>
  <si>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</si>
  <si>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</si>
  <si>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</si>
  <si>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</si>
  <si>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</si>
  <si>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</si>
  <si>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</si>
  <si>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</si>
  <si>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</si>
  <si>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</si>
  <si>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</si>
  <si>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</si>
  <si>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</si>
  <si>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</si>
  <si>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</si>
  <si>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</si>
  <si>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</si>
  <si>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</si>
  <si>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</si>
  <si>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</si>
  <si>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</si>
  <si>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</si>
  <si>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</si>
  <si>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</si>
  <si>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</si>
  <si>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</si>
  <si>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</si>
  <si>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</si>
  <si>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</si>
  <si>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</si>
  <si>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</si>
  <si>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</si>
  <si>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</si>
  <si>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</si>
  <si>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</si>
  <si>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</si>
  <si>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</si>
  <si>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</si>
  <si>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</si>
  <si>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</si>
  <si>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</si>
  <si>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</si>
  <si>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</si>
  <si>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</si>
  <si>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</si>
  <si>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</si>
  <si>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</si>
  <si>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</si>
  <si>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</si>
  <si>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</si>
  <si>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</si>
  <si>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</si>
  <si>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</si>
  <si>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</si>
  <si>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</si>
  <si>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</si>
  <si>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</si>
  <si>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</si>
  <si>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</si>
  <si>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</si>
  <si>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</si>
  <si>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</si>
  <si>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</si>
  <si>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</si>
  <si>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</si>
  <si>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</si>
  <si>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</si>
  <si>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</si>
  <si>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</si>
  <si>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</si>
  <si>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</si>
  <si>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</si>
  <si>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</si>
  <si>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</si>
  <si>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</si>
  <si>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</si>
  <si>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</si>
  <si>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</si>
  <si>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</si>
  <si>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</si>
  <si>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</si>
  <si>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</si>
  <si>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</si>
  <si>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</si>
  <si>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</si>
  <si>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</si>
  <si>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</si>
  <si>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</si>
  <si>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</si>
  <si>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</si>
  <si>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</si>
  <si>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</si>
  <si>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</si>
  <si>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</si>
  <si>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</si>
  <si>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</si>
  <si>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</si>
  <si>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</si>
  <si>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</si>
  <si>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</si>
  <si>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</si>
  <si>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</si>
  <si>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</si>
  <si>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</si>
  <si>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</si>
  <si>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</si>
  <si>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</si>
  <si>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</si>
  <si>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</si>
  <si>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</si>
  <si>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</si>
  <si>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</si>
  <si>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</si>
  <si>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</si>
  <si>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</si>
  <si>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</si>
  <si>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</si>
  <si>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</si>
  <si>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</si>
  <si>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</si>
  <si>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</si>
  <si>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</si>
  <si>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</si>
  <si>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</si>
  <si>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</si>
  <si>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</si>
  <si>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</si>
  <si>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</si>
  <si>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</si>
  <si>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</si>
  <si>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</si>
  <si>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</si>
  <si>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</si>
  <si>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</si>
  <si>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</si>
  <si>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</si>
  <si>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</si>
  <si>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</si>
  <si>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</si>
  <si>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</si>
  <si>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</si>
  <si>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</si>
  <si>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</si>
  <si>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</si>
  <si>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</si>
  <si>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</si>
  <si>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</si>
  <si>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</si>
  <si>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</si>
  <si>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</si>
  <si>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</si>
  <si>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</si>
  <si>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</si>
  <si>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</si>
  <si>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</si>
  <si>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</si>
  <si>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</si>
  <si>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</si>
  <si>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</si>
  <si>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</si>
  <si>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</si>
  <si>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</si>
  <si>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</si>
  <si>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</si>
  <si>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</si>
  <si>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</si>
  <si>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</si>
  <si>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</si>
  <si>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</si>
  <si>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</si>
  <si>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</si>
  <si>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</si>
  <si>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</si>
  <si>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</si>
  <si>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</si>
  <si>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</si>
  <si>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</si>
  <si>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</si>
  <si>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</si>
  <si>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</si>
  <si>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</si>
  <si>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</si>
  <si>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</si>
  <si>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</si>
  <si>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</si>
  <si>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</si>
  <si>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</si>
  <si>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</si>
  <si>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</si>
  <si>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</si>
  <si>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</si>
  <si>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</si>
  <si>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</si>
  <si>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</si>
  <si>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</si>
  <si>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</si>
  <si>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</si>
  <si>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</si>
  <si>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</si>
  <si>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</si>
  <si>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</si>
  <si>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</si>
  <si>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</si>
  <si>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</si>
  <si>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</si>
  <si>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</si>
  <si>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</si>
  <si>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</si>
  <si>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</si>
  <si>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</si>
  <si>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</si>
  <si>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</si>
  <si>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</si>
  <si>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</si>
  <si>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</si>
  <si>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</si>
  <si>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</si>
  <si>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</si>
  <si>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</si>
  <si>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</si>
  <si>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</si>
  <si>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</si>
  <si>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</si>
  <si>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</si>
  <si>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</si>
  <si>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</si>
  <si>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</si>
  <si>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</si>
  <si>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</si>
  <si>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</si>
  <si>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</si>
  <si>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</si>
  <si>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</si>
  <si>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</si>
  <si>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</si>
  <si>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</si>
  <si>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</si>
  <si>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</si>
  <si>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</si>
  <si>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</si>
  <si>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</si>
  <si>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</si>
  <si>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</si>
  <si>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</si>
  <si>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</si>
  <si>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</si>
  <si>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</si>
  <si>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</si>
  <si>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</si>
  <si>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</si>
  <si>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</si>
  <si>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</si>
  <si>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</si>
  <si>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</si>
  <si>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</si>
  <si>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</si>
  <si>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</si>
  <si>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</si>
  <si>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</si>
  <si>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</si>
  <si>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</si>
  <si>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</si>
  <si>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</si>
  <si>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</si>
  <si>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</si>
  <si>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</si>
  <si>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</si>
  <si>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</si>
  <si>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</si>
  <si>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</si>
  <si>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</si>
  <si>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</si>
  <si>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</si>
  <si>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</si>
  <si>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</si>
  <si>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</si>
  <si>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</si>
  <si>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</si>
  <si>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</si>
  <si>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</si>
  <si>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</si>
  <si>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</si>
  <si>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</si>
  <si>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</si>
  <si>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</si>
  <si>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</si>
  <si>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</si>
  <si>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</si>
  <si>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</si>
  <si>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</si>
  <si>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</si>
  <si>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</si>
  <si>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</si>
  <si>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</si>
  <si>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</si>
  <si>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</si>
  <si>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</si>
  <si>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</si>
  <si>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</si>
  <si>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</si>
  <si>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</si>
  <si>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</si>
  <si>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</si>
  <si>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</si>
  <si>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</si>
  <si>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</si>
  <si>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</si>
  <si>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</si>
  <si>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</si>
  <si>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</si>
  <si>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</si>
  <si>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</si>
  <si>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</si>
  <si>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</si>
  <si>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</si>
  <si>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</si>
  <si>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</si>
  <si>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</si>
  <si>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</si>
  <si>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</si>
  <si>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</si>
  <si>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</si>
  <si>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</si>
  <si>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</si>
  <si>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</si>
  <si>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</si>
  <si>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</si>
  <si>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</si>
  <si>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</si>
  <si>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</si>
  <si>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</si>
  <si>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</si>
  <si>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</si>
  <si>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</si>
  <si>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</si>
  <si>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</si>
  <si>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</si>
  <si>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</si>
  <si>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</si>
  <si>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</si>
  <si>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</si>
  <si>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</si>
  <si>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</si>
  <si>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</si>
  <si>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</si>
  <si>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</si>
  <si>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</si>
  <si>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</si>
  <si>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</si>
  <si>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</si>
  <si>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</si>
  <si>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</si>
  <si>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</si>
  <si>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</si>
  <si>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</si>
  <si>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</si>
  <si>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</si>
  <si>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</si>
  <si>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</si>
  <si>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</si>
  <si>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</si>
  <si>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</si>
  <si>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</si>
  <si>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</si>
  <si>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</si>
  <si>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</si>
  <si>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</si>
  <si>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</si>
  <si>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</si>
  <si>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</si>
  <si>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</si>
  <si>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</si>
  <si>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</si>
  <si>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</si>
  <si>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</si>
  <si>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</si>
  <si>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</si>
  <si>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</si>
  <si>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</si>
  <si>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</si>
  <si>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</si>
  <si>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</si>
  <si>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</si>
  <si>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</si>
  <si>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</si>
  <si>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</si>
  <si>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</si>
  <si>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</si>
  <si>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</si>
  <si>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</si>
  <si>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</si>
  <si>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</si>
  <si>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</si>
  <si>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</si>
  <si>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</si>
  <si>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</si>
  <si>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</si>
  <si>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</si>
  <si>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</si>
  <si>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</si>
  <si>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</si>
  <si>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</si>
  <si>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</si>
  <si>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</si>
  <si>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</si>
  <si>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</si>
  <si>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</si>
  <si>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</si>
  <si>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</si>
  <si>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</si>
  <si>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</si>
  <si>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</si>
  <si>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</si>
  <si>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</si>
  <si>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</si>
  <si>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</si>
  <si>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</si>
  <si>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</si>
  <si>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</si>
  <si>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</si>
  <si>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</si>
  <si>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</si>
  <si>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</si>
  <si>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</si>
  <si>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</si>
  <si>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</si>
  <si>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</si>
  <si>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</si>
  <si>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</si>
  <si>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</si>
  <si>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</si>
  <si>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</si>
  <si>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</si>
  <si>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</si>
  <si>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</si>
  <si>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</si>
  <si>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</si>
  <si>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</si>
  <si>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</si>
  <si>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</si>
  <si>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</si>
  <si>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</si>
  <si>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</si>
  <si>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</si>
  <si>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</si>
  <si>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</si>
  <si>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</si>
  <si>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</si>
  <si>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</si>
  <si>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</si>
  <si>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</si>
  <si>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</si>
  <si>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</si>
  <si>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</si>
  <si>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</si>
  <si>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</si>
  <si>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</si>
  <si>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</si>
  <si>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</si>
  <si>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</si>
  <si>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</si>
  <si>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</si>
  <si>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</si>
  <si>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</si>
  <si>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</si>
  <si>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</si>
  <si>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</si>
  <si>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</si>
  <si>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</si>
  <si>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</si>
  <si>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</si>
  <si>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</si>
  <si>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</si>
  <si>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</si>
  <si>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</si>
  <si>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</si>
  <si>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</si>
  <si>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</si>
  <si>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</si>
  <si>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</si>
  <si>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</si>
  <si>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</si>
  <si>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</si>
  <si>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</si>
  <si>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</si>
  <si>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</si>
  <si>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</si>
  <si>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</si>
  <si>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</si>
  <si>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</si>
  <si>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</si>
  <si>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</si>
  <si>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</si>
  <si>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</si>
  <si>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</si>
  <si>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</si>
  <si>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</si>
  <si>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</si>
  <si>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</si>
  <si>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</si>
  <si>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</si>
  <si>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</si>
  <si>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</si>
  <si>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</si>
  <si>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</si>
  <si>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</si>
  <si>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</si>
  <si>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</si>
  <si>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</si>
  <si>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</si>
  <si>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</si>
  <si>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</si>
  <si>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</si>
  <si>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</si>
  <si>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</si>
  <si>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</si>
  <si>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</si>
  <si>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</si>
  <si>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</si>
  <si>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</si>
  <si>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</si>
  <si>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</si>
  <si>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</si>
  <si>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</si>
  <si>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</si>
  <si>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</si>
  <si>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</si>
  <si>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</si>
  <si>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</si>
  <si>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</si>
  <si>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</si>
  <si>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</si>
  <si>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</si>
  <si>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</si>
  <si>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</si>
  <si>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</si>
  <si>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</si>
  <si>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</si>
  <si>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</si>
  <si>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</si>
  <si>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</si>
  <si>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</si>
  <si>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</si>
  <si>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</si>
  <si>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</si>
  <si>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</si>
  <si>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</si>
  <si>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</si>
  <si>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</si>
  <si>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</si>
  <si>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</si>
  <si>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</si>
  <si>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</si>
  <si>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</si>
  <si>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</si>
  <si>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</si>
  <si>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</si>
  <si>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</si>
  <si>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</si>
  <si>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</si>
  <si>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</si>
  <si>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</si>
  <si>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</si>
  <si>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</si>
  <si>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</si>
  <si>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</si>
  <si>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</si>
  <si>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</si>
  <si>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</si>
  <si>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</si>
  <si>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</si>
  <si>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</si>
  <si>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</si>
  <si>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</si>
  <si>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</si>
  <si>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</si>
  <si>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</si>
  <si>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</si>
  <si>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</si>
  <si>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</si>
  <si>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</si>
  <si>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</si>
  <si>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</si>
  <si>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</si>
  <si>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</si>
  <si>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</si>
  <si>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</si>
  <si>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</si>
  <si>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</si>
  <si>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</si>
  <si>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</si>
  <si>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</si>
  <si>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</si>
  <si>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</si>
  <si>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</si>
  <si>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</si>
  <si>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</si>
  <si>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</si>
  <si>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</si>
  <si>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</si>
  <si>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</si>
  <si>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</si>
  <si>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</si>
  <si>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</si>
  <si>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</si>
  <si>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</si>
  <si>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</si>
  <si>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</si>
  <si>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</si>
  <si>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</si>
  <si>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</si>
  <si>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</si>
  <si>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</si>
  <si>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</si>
  <si>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</si>
  <si>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</si>
  <si>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</si>
  <si>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</si>
  <si>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</si>
  <si>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</si>
  <si>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</si>
  <si>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</si>
  <si>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</si>
  <si>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</si>
  <si>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</si>
  <si>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</si>
  <si>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</si>
  <si>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</si>
  <si>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</si>
  <si>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</si>
  <si>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</si>
  <si>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</si>
  <si>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</si>
  <si>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</si>
  <si>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</si>
  <si>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</si>
  <si>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</si>
  <si>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</si>
  <si>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</si>
  <si>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</si>
  <si>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</si>
  <si>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</si>
  <si>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</si>
  <si>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</si>
  <si>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</si>
  <si>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</si>
  <si>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</si>
  <si>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</si>
  <si>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</si>
  <si>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</si>
  <si>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</si>
  <si>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</si>
  <si>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</si>
  <si>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</si>
  <si>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</si>
  <si>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</si>
  <si>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</si>
  <si>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</si>
  <si>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</si>
  <si>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</si>
  <si>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</si>
  <si>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</si>
  <si>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</si>
  <si>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</si>
  <si>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</si>
  <si>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</si>
  <si>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</si>
  <si>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</si>
  <si>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</si>
  <si>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</si>
  <si>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</si>
  <si>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</si>
  <si>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</si>
  <si>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</si>
  <si>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</si>
  <si>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</si>
  <si>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</si>
  <si>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</si>
  <si>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</si>
  <si>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</si>
  <si>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</si>
  <si>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</si>
  <si>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</si>
  <si>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</si>
  <si>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</si>
  <si>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</si>
  <si>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</si>
  <si>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</si>
  <si>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</si>
  <si>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</si>
  <si>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</si>
  <si>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</si>
  <si>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</si>
  <si>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</si>
  <si>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</si>
  <si>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</si>
  <si>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</si>
  <si>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</si>
  <si>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</si>
  <si>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</si>
  <si>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</si>
  <si>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</si>
  <si>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</si>
  <si>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</si>
  <si>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</si>
  <si>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</si>
  <si>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</si>
  <si>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</si>
  <si>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</si>
  <si>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</si>
  <si>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</si>
  <si>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</si>
  <si>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</si>
  <si>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</si>
  <si>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</si>
  <si>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</si>
  <si>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</si>
  <si>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</si>
  <si>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</si>
  <si>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</si>
  <si>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</si>
  <si>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</si>
  <si>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</si>
  <si>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</si>
  <si>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</si>
  <si>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</si>
  <si>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</si>
  <si>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</si>
  <si>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</si>
  <si>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</si>
  <si>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</si>
  <si>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</si>
  <si>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</si>
  <si>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</si>
  <si>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</si>
  <si>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</si>
  <si>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</si>
  <si>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</si>
  <si>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</si>
  <si>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</si>
  <si>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</si>
  <si>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</si>
  <si>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</si>
  <si>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</si>
  <si>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</si>
  <si>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</si>
  <si>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</si>
  <si>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</si>
  <si>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</si>
  <si>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</si>
  <si>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</si>
  <si>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</si>
  <si>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</si>
  <si>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</si>
  <si>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</si>
  <si>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</si>
  <si>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</si>
  <si>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</si>
  <si>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</si>
  <si>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</si>
  <si>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</si>
  <si>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</si>
  <si>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</si>
  <si>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</si>
  <si>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</si>
  <si>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</si>
  <si>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</si>
  <si>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</si>
  <si>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</si>
  <si>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</si>
  <si>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</si>
  <si>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</si>
  <si>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</si>
  <si>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</si>
  <si>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</si>
  <si>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</si>
  <si>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</si>
  <si>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</si>
  <si>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</si>
  <si>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</si>
  <si>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</si>
  <si>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</si>
  <si>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</si>
  <si>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</si>
  <si>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</si>
  <si>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</si>
  <si>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</si>
  <si>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</si>
  <si>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</si>
  <si>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</si>
  <si>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</si>
  <si>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</si>
  <si>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</si>
  <si>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</si>
  <si>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</si>
  <si>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</si>
  <si>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</si>
  <si>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</si>
  <si>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</si>
  <si>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</si>
  <si>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</si>
  <si>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</si>
  <si>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</si>
  <si>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</si>
  <si>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</si>
  <si>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</si>
  <si>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</si>
  <si>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</si>
  <si>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</si>
  <si>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</si>
  <si>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</si>
  <si>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</si>
  <si>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</si>
  <si>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</si>
  <si>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</si>
  <si>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</si>
  <si>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</si>
  <si>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</si>
  <si>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</si>
  <si>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</si>
  <si>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</si>
  <si>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</si>
  <si>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</si>
  <si>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</si>
  <si>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</si>
  <si>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</si>
  <si>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</si>
  <si>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</si>
  <si>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</si>
  <si>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</si>
  <si>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</si>
  <si>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</si>
  <si>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</si>
  <si>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</si>
  <si>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</si>
  <si>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</si>
  <si>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</si>
  <si>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</si>
  <si>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</si>
  <si>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</si>
  <si>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</si>
  <si>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</si>
  <si>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</si>
  <si>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</si>
  <si>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</si>
  <si>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</si>
  <si>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</si>
  <si>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</si>
  <si>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</si>
  <si>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</si>
  <si>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</si>
  <si>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</si>
  <si>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</si>
  <si>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</si>
  <si>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</si>
  <si>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</si>
  <si>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</si>
  <si>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</si>
  <si>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</si>
  <si>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</si>
  <si>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</si>
  <si>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</si>
  <si>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</si>
  <si>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</si>
  <si>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</si>
  <si>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</si>
  <si>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</si>
  <si>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</si>
  <si>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</si>
  <si>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</si>
  <si>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</si>
  <si>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</si>
  <si>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</si>
  <si>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</si>
  <si>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</si>
  <si>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</si>
  <si>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</si>
  <si>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</si>
  <si>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</si>
  <si>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</si>
  <si>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</si>
  <si>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</si>
  <si>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</si>
  <si>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</si>
  <si>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</si>
  <si>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</si>
  <si>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</si>
  <si>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</si>
  <si>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</si>
  <si>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</si>
  <si>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</si>
  <si>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</si>
  <si>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</si>
  <si>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</si>
  <si>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</si>
  <si>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</si>
  <si>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</si>
  <si>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</si>
  <si>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</si>
  <si>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</si>
  <si>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</si>
  <si>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</si>
  <si>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</si>
  <si>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</si>
  <si>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</si>
  <si>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</si>
  <si>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</si>
  <si>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</si>
  <si>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</si>
  <si>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</si>
  <si>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</si>
  <si>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</si>
  <si>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</si>
  <si>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</si>
  <si>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</si>
  <si>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</si>
  <si>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</si>
  <si>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</si>
  <si>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</si>
  <si>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</si>
  <si>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</si>
  <si>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</si>
  <si>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</si>
  <si>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</si>
  <si>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</si>
  <si>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</si>
  <si>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</si>
  <si>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</si>
  <si>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</si>
  <si>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</si>
  <si>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</si>
  <si>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</si>
  <si>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</si>
  <si>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</si>
  <si>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</si>
  <si>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</si>
  <si>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</si>
  <si>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</si>
  <si>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</si>
  <si>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</si>
  <si>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</si>
  <si>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</si>
  <si>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</si>
  <si>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</si>
  <si>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</si>
  <si>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</si>
  <si>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</si>
  <si>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</si>
  <si>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</si>
  <si>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</si>
  <si>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</si>
  <si>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</si>
  <si>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</si>
  <si>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</si>
  <si>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</si>
  <si>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</si>
  <si>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</si>
  <si>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</si>
  <si>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</si>
  <si>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</si>
  <si>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</si>
  <si>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</si>
  <si>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</si>
  <si>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</si>
  <si>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</si>
  <si>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</si>
  <si>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</si>
  <si>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</si>
  <si>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</si>
  <si>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</si>
  <si>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</si>
  <si>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</si>
  <si>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</si>
  <si>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</si>
  <si>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</si>
  <si>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</si>
  <si>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</si>
  <si>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</si>
  <si>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</si>
  <si>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</si>
  <si>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</si>
  <si>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</si>
  <si>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</si>
  <si>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</si>
  <si>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</si>
  <si>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</si>
  <si>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</si>
  <si>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</si>
  <si>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</si>
  <si>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</si>
  <si>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</si>
  <si>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</si>
  <si>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</si>
  <si>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</si>
  <si>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</si>
  <si>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</si>
  <si>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</si>
  <si>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</si>
  <si>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</si>
  <si>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</si>
  <si>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</si>
  <si>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</si>
  <si>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</si>
  <si>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</si>
  <si>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</si>
  <si>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</si>
  <si>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</si>
  <si>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</si>
  <si>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</si>
  <si>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</si>
  <si>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</si>
  <si>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</si>
  <si>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</si>
  <si>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</si>
  <si>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</si>
  <si>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</si>
  <si>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</si>
  <si>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</si>
  <si>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</si>
  <si>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</si>
  <si>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</si>
  <si>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</si>
  <si>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</si>
  <si>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</si>
  <si>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</si>
  <si>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</si>
  <si>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</si>
  <si>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</si>
  <si>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</si>
  <si>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</si>
  <si>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</si>
  <si>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</si>
  <si>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</si>
  <si>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</si>
  <si>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</si>
  <si>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</si>
  <si>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</si>
  <si>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</si>
  <si>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</si>
  <si>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</si>
  <si>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</si>
  <si>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</si>
  <si>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</si>
  <si>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</si>
  <si>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</si>
  <si>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</si>
  <si>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</si>
  <si>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</si>
  <si>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</si>
  <si>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</si>
  <si>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</si>
  <si>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</si>
  <si>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</si>
  <si>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</si>
  <si>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</si>
  <si>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</si>
  <si>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</si>
  <si>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</si>
  <si>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</si>
  <si>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</si>
  <si>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</si>
  <si>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</si>
  <si>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</si>
  <si>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</si>
  <si>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</si>
  <si>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</si>
  <si>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</si>
  <si>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</si>
  <si>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</si>
  <si>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</si>
  <si>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</si>
  <si>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</si>
  <si>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</si>
  <si>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</si>
  <si>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</si>
  <si>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</si>
  <si>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</si>
  <si>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</si>
  <si>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</si>
  <si>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</si>
  <si>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</si>
  <si>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</si>
  <si>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</si>
  <si>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</si>
  <si>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</si>
  <si>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</si>
  <si>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</si>
  <si>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</si>
  <si>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</si>
  <si>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</si>
  <si>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</si>
  <si>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</si>
  <si>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</si>
  <si>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</si>
  <si>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</si>
  <si>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</si>
  <si>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</si>
  <si>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</si>
  <si>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</si>
  <si>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</si>
  <si>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</si>
  <si>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</si>
  <si>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</si>
  <si>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</si>
  <si>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</si>
  <si>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</si>
  <si>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</si>
  <si>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</si>
  <si>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</si>
  <si>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</si>
  <si>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</si>
  <si>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</si>
  <si>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</si>
  <si>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</si>
  <si>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</si>
  <si>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</si>
  <si>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</si>
  <si>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</si>
  <si>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</si>
  <si>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</si>
  <si>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</si>
  <si>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</si>
  <si>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</si>
  <si>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</si>
  <si>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</si>
  <si>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</si>
  <si>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</si>
  <si>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</si>
  <si>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</si>
  <si>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</si>
  <si>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</si>
  <si>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</si>
  <si>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</si>
  <si>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</si>
  <si>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</si>
  <si>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</si>
  <si>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</si>
  <si>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</si>
  <si>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</si>
  <si>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</si>
  <si>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</si>
  <si>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</si>
  <si>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</si>
  <si>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</si>
  <si>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</si>
  <si>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</si>
  <si>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</si>
  <si>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</si>
  <si>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</si>
  <si>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</si>
  <si>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</si>
  <si>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</si>
  <si>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</si>
  <si>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</si>
  <si>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</si>
  <si>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</si>
  <si>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</si>
  <si>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</si>
  <si>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</si>
  <si>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</si>
  <si>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</si>
  <si>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</si>
  <si>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</si>
  <si>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</si>
  <si>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</si>
  <si>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</si>
  <si>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</si>
  <si>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</si>
  <si>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</si>
  <si>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</si>
  <si>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</si>
  <si>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</si>
  <si>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</si>
  <si>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</si>
  <si>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</si>
  <si>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</si>
  <si>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</si>
  <si>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</si>
  <si>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</si>
  <si>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</si>
  <si>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</si>
  <si>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</si>
  <si>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</si>
  <si>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</si>
  <si>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</si>
  <si>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</si>
  <si>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</si>
  <si>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</si>
  <si>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</si>
  <si>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</si>
  <si>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</si>
  <si>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</si>
  <si>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</si>
  <si>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</si>
  <si>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</si>
  <si>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</si>
  <si>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</si>
  <si>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</si>
  <si>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</si>
  <si>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</si>
  <si>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</si>
  <si>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</si>
  <si>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</si>
  <si>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</si>
  <si>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</si>
  <si>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</si>
  <si>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</si>
  <si>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</si>
  <si>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</si>
  <si>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</si>
  <si>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</si>
  <si>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</si>
  <si>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</si>
  <si>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</si>
  <si>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</si>
  <si>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</si>
  <si>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</si>
  <si>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</si>
  <si>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</si>
  <si>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</si>
  <si>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</si>
  <si>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</si>
  <si>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</si>
  <si>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</si>
  <si>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</si>
  <si>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</si>
  <si>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</si>
  <si>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</si>
  <si>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</si>
  <si>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</si>
  <si>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</si>
  <si>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</si>
  <si>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</si>
  <si>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</si>
  <si>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</si>
  <si>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</si>
  <si>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</si>
  <si>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</si>
  <si>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</si>
  <si>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</si>
  <si>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</si>
  <si>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</si>
  <si>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</si>
  <si>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</si>
  <si>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</si>
  <si>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</si>
  <si>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</si>
  <si>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</si>
  <si>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</si>
  <si>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</si>
  <si>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</si>
  <si>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</si>
  <si>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</si>
  <si>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</si>
  <si>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</si>
  <si>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</si>
  <si>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</si>
  <si>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</si>
  <si>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</si>
  <si>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</si>
  <si>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</si>
  <si>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</si>
  <si>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</si>
  <si>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</si>
  <si>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</si>
  <si>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</si>
  <si>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</si>
  <si>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</si>
  <si>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</si>
  <si>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</si>
  <si>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</si>
  <si>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</si>
  <si>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</si>
  <si>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</si>
  <si>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</si>
  <si>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</si>
  <si>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</si>
  <si>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</si>
  <si>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</si>
  <si>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</si>
  <si>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</si>
  <si>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</si>
  <si>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</si>
  <si>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</si>
  <si>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</si>
  <si>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</si>
  <si>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</si>
  <si>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</si>
  <si>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</si>
  <si>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</si>
  <si>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</si>
  <si>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</si>
  <si>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</si>
  <si>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</si>
  <si>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</si>
  <si>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</si>
  <si>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</si>
  <si>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</si>
  <si>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</si>
  <si>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</si>
  <si>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</si>
  <si>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</si>
  <si>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</si>
  <si>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</si>
  <si>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</si>
  <si>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</si>
  <si>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</si>
  <si>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</si>
  <si>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</si>
  <si>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</si>
  <si>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</si>
  <si>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</si>
  <si>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</si>
  <si>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</si>
  <si>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</si>
  <si>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</si>
  <si>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</si>
  <si>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</si>
  <si>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</si>
  <si>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</si>
  <si>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</si>
  <si>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</si>
  <si>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</si>
  <si>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</si>
  <si>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</si>
  <si>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</si>
  <si>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</si>
  <si>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</si>
  <si>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</si>
  <si>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</si>
  <si>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</si>
  <si>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</si>
  <si>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</si>
  <si>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</si>
  <si>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</si>
  <si>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</si>
  <si>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</si>
  <si>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</si>
  <si>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</si>
  <si>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</si>
  <si>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</si>
  <si>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</si>
  <si>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</si>
  <si>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</si>
  <si>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</si>
  <si>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</si>
  <si>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</si>
  <si>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</si>
  <si>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</si>
  <si>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</si>
  <si>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</si>
  <si>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</si>
  <si>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</si>
  <si>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</si>
  <si>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</si>
  <si>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</si>
  <si>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</si>
  <si>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</si>
  <si>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</si>
  <si>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</si>
  <si>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</si>
  <si>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</si>
  <si>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</si>
  <si>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</si>
  <si>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</si>
  <si>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</si>
  <si>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</si>
  <si>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</si>
  <si>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</si>
  <si>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</si>
  <si>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</si>
  <si>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</si>
  <si>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</si>
  <si>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</si>
  <si>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</si>
  <si>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</si>
  <si>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</si>
  <si>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</si>
  <si>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</si>
  <si>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</si>
  <si>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</si>
  <si>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</si>
  <si>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</si>
  <si>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</si>
  <si>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</si>
  <si>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</si>
  <si>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</si>
  <si>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</si>
  <si>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</si>
  <si>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</si>
  <si>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</si>
  <si>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</si>
  <si>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</si>
  <si>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</si>
  <si>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</si>
  <si>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</si>
  <si>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</si>
  <si>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</si>
  <si>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</si>
  <si>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</si>
  <si>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</si>
  <si>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</si>
  <si>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</si>
  <si>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</si>
  <si>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</si>
  <si>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</si>
  <si>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</si>
  <si>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</si>
  <si>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</si>
  <si>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</si>
  <si>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</si>
  <si>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</si>
  <si>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</si>
  <si>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</si>
  <si>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</si>
  <si>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</si>
  <si>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</si>
  <si>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</si>
  <si>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</si>
  <si>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</si>
  <si>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</si>
  <si>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</si>
  <si>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</si>
  <si>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</si>
  <si>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</si>
  <si>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</si>
  <si>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</si>
  <si>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</si>
  <si>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</si>
  <si>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</si>
  <si>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</si>
  <si>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</si>
  <si>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</si>
  <si>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</si>
  <si>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</si>
  <si>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</si>
  <si>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</si>
  <si>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</si>
  <si>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</si>
  <si>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</si>
  <si>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</si>
  <si>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</si>
  <si>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</si>
  <si>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</si>
  <si>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</si>
  <si>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</si>
  <si>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</si>
  <si>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</si>
  <si>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</si>
  <si>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</si>
  <si>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</si>
  <si>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</si>
  <si>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</si>
  <si>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</si>
  <si>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</si>
  <si>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</si>
  <si>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</si>
  <si>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</si>
  <si>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</si>
  <si>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</si>
  <si>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</si>
  <si>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</si>
  <si>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</si>
  <si>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</si>
  <si>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</si>
  <si>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</si>
  <si>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</si>
  <si>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</si>
  <si>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</si>
  <si>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</si>
  <si>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</si>
  <si>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</si>
  <si>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</si>
  <si>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</si>
  <si>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</si>
  <si>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</si>
  <si>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</si>
  <si>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</si>
  <si>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</si>
  <si>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</si>
  <si>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</si>
  <si>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</si>
  <si>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</si>
  <si>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</si>
  <si>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</si>
  <si>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</si>
  <si>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</si>
  <si>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</si>
  <si>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</si>
  <si>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</si>
  <si>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</si>
  <si>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</si>
  <si>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</si>
  <si>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</si>
  <si>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</si>
  <si>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</si>
  <si>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</si>
  <si>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</si>
  <si>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</si>
  <si>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</si>
  <si>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</si>
  <si>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</si>
  <si>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</si>
  <si>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</si>
  <si>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</si>
  <si>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</si>
  <si>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</si>
  <si>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</si>
  <si>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</si>
  <si>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</si>
  <si>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</si>
  <si>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</si>
  <si>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</si>
  <si>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</si>
  <si>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</si>
  <si>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</si>
  <si>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</si>
  <si>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</si>
  <si>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</si>
  <si>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</si>
  <si>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</si>
  <si>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</si>
  <si>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</si>
  <si>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</si>
  <si>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</si>
  <si>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</si>
  <si>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</si>
  <si>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</si>
  <si>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</si>
  <si>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</si>
  <si>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</si>
  <si>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</si>
  <si>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</si>
  <si>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</si>
  <si>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</si>
  <si>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</si>
  <si>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</si>
  <si>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</si>
  <si>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</si>
  <si>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</si>
  <si>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</si>
  <si>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</si>
  <si>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</si>
  <si>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</si>
  <si>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</si>
  <si>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</si>
  <si>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</si>
  <si>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</si>
  <si>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</si>
  <si>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</si>
  <si>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</si>
  <si>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</si>
  <si>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</si>
  <si>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</si>
  <si>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</si>
  <si>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</si>
  <si>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</si>
  <si>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</si>
  <si>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</si>
  <si>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</si>
  <si>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</si>
  <si>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</si>
  <si>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</si>
  <si>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</si>
  <si>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</si>
  <si>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</si>
  <si>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</si>
  <si>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</si>
  <si>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</si>
  <si>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</si>
  <si>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</si>
  <si>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</si>
  <si>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</si>
  <si>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</si>
  <si>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</si>
  <si>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</si>
  <si>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</si>
  <si>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</si>
  <si>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</si>
  <si>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</si>
  <si>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</si>
  <si>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</si>
  <si>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</si>
  <si>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</si>
  <si>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</si>
  <si>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</si>
  <si>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</si>
  <si>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</si>
  <si>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</si>
  <si>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</si>
  <si>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</si>
  <si>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</si>
  <si>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</si>
  <si>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</si>
  <si>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</si>
  <si>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</si>
  <si>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</si>
  <si>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</si>
  <si>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</si>
  <si>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</si>
  <si>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</si>
  <si>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</si>
  <si>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</si>
  <si>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</si>
  <si>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</si>
  <si>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</si>
  <si>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</si>
  <si>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</si>
  <si>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</si>
  <si>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</si>
  <si>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</si>
  <si>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</si>
  <si>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</si>
  <si>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</si>
  <si>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</si>
  <si>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</si>
  <si>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</si>
  <si>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</si>
  <si>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</si>
  <si>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</si>
  <si>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</si>
  <si>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</si>
  <si>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</si>
  <si>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</si>
  <si>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</si>
  <si>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</si>
  <si>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</si>
  <si>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</si>
  <si>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</si>
  <si>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</si>
  <si>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</si>
  <si>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</si>
  <si>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</si>
  <si>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</si>
  <si>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</si>
  <si>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</si>
  <si>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</si>
  <si>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</si>
  <si>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</si>
  <si>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</si>
  <si>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</si>
  <si>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</si>
  <si>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</si>
  <si>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</si>
  <si>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</si>
  <si>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</si>
  <si>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</si>
  <si>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</si>
  <si>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</si>
  <si>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</si>
  <si>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</si>
  <si>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</si>
  <si>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</si>
  <si>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</si>
  <si>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</si>
  <si>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</si>
  <si>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</si>
  <si>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</si>
  <si>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</si>
  <si>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</si>
  <si>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</si>
  <si>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</si>
  <si>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</si>
  <si>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</si>
  <si>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</si>
  <si>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</si>
  <si>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</si>
  <si>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</si>
  <si>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</si>
  <si>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</si>
  <si>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</si>
  <si>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</si>
  <si>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</si>
  <si>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</si>
  <si>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</si>
  <si>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</si>
  <si>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</si>
  <si>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</si>
  <si>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</si>
  <si>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</si>
  <si>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</si>
  <si>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</si>
  <si>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</si>
  <si>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</si>
  <si>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</si>
  <si>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</si>
  <si>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</si>
  <si>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</si>
  <si>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</si>
  <si>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</si>
  <si>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</si>
  <si>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</si>
  <si>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</si>
  <si>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</si>
  <si>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</si>
  <si>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</si>
  <si>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</si>
  <si>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</si>
  <si>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</si>
  <si>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</si>
  <si>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</si>
  <si>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</si>
  <si>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</si>
  <si>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</si>
  <si>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</si>
  <si>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</si>
  <si>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</si>
  <si>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</si>
  <si>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</si>
  <si>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</si>
  <si>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</si>
  <si>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</si>
  <si>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</si>
  <si>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</si>
  <si>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</si>
  <si>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</si>
  <si>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</si>
  <si>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</si>
  <si>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</si>
  <si>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</si>
  <si>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</si>
  <si>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</si>
  <si>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</si>
  <si>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</si>
  <si>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</si>
  <si>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</si>
  <si>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</si>
  <si>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</si>
  <si>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</si>
  <si>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</si>
  <si>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</si>
  <si>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</si>
  <si>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</si>
  <si>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</si>
  <si>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</si>
  <si>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</si>
  <si>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</si>
  <si>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</si>
  <si>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</si>
  <si>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</si>
  <si>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</si>
  <si>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</si>
  <si>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</si>
  <si>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</si>
  <si>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</si>
  <si>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</si>
  <si>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</si>
  <si>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</si>
  <si>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</si>
  <si>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</si>
  <si>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</si>
  <si>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</si>
  <si>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</si>
  <si>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</si>
  <si>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</si>
  <si>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</si>
  <si>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</si>
  <si>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</si>
  <si>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</si>
  <si>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</si>
  <si>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</si>
  <si>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</si>
  <si>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</si>
  <si>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</si>
  <si>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</si>
  <si>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</si>
  <si>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</si>
  <si>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</si>
  <si>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</si>
  <si>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</si>
  <si>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</si>
  <si>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</si>
  <si>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</si>
  <si>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</si>
  <si>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</si>
  <si>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</si>
  <si>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</si>
  <si>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</si>
  <si>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</si>
  <si>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</si>
  <si>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</si>
  <si>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</si>
  <si>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</si>
  <si>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</si>
  <si>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</si>
  <si>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</si>
  <si>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</si>
  <si>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</si>
  <si>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</si>
  <si>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</si>
  <si>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</si>
  <si>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</si>
  <si>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</si>
  <si>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</si>
  <si>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</si>
  <si>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</si>
  <si>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</si>
  <si>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</si>
  <si>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</si>
  <si>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</si>
  <si>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</si>
  <si>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</si>
  <si>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</si>
  <si>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</si>
  <si>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</si>
  <si>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</si>
  <si>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</si>
  <si>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</si>
  <si>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</si>
  <si>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</si>
  <si>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</si>
  <si>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</si>
  <si>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</si>
  <si>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</si>
  <si>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</si>
  <si>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</si>
  <si>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</si>
  <si>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</si>
  <si>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</si>
  <si>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</si>
  <si>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</si>
  <si>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</si>
  <si>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</si>
  <si>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</si>
  <si>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</si>
  <si>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</si>
  <si>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</si>
  <si>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</si>
  <si>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</si>
  <si>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</si>
  <si>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</si>
  <si>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</si>
  <si>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</si>
  <si>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</si>
  <si>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</si>
  <si>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</si>
  <si>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</si>
  <si>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</si>
  <si>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</si>
  <si>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</si>
  <si>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</si>
  <si>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</si>
  <si>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</si>
  <si>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</si>
  <si>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</si>
  <si>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</si>
  <si>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</si>
  <si>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</si>
  <si>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</si>
  <si>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</si>
  <si>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</si>
  <si>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</si>
  <si>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</si>
  <si>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</si>
  <si>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</si>
  <si>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</si>
  <si>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</si>
  <si>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</si>
  <si>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</si>
  <si>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</si>
  <si>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</si>
  <si>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</si>
  <si>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</si>
  <si>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</si>
  <si>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</si>
  <si>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</si>
  <si>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</si>
  <si>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</si>
  <si>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</si>
  <si>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</si>
  <si>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</si>
  <si>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</si>
  <si>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</si>
  <si>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</si>
  <si>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</si>
  <si>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</si>
  <si>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</si>
  <si>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</si>
  <si>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</si>
  <si>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</si>
  <si>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</si>
  <si>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</si>
  <si>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</si>
  <si>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</si>
  <si>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</si>
  <si>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</si>
  <si>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</si>
  <si>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</si>
  <si>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</si>
  <si>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</si>
  <si>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</si>
  <si>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</si>
  <si>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</si>
  <si>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</si>
  <si>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</si>
  <si>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</si>
  <si>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</si>
  <si>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</si>
  <si>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</si>
  <si>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</si>
  <si>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</si>
  <si>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</si>
  <si>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</si>
  <si>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</si>
  <si>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</si>
  <si>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</si>
  <si>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</si>
  <si>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</si>
  <si>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</si>
  <si>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</si>
  <si>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</si>
  <si>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</si>
  <si>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</si>
  <si>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</si>
  <si>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</si>
  <si>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</si>
  <si>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</si>
  <si>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</si>
  <si>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</si>
  <si>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</si>
  <si>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</si>
  <si>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</si>
  <si>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</si>
  <si>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</si>
  <si>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</si>
  <si>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</si>
  <si>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</si>
  <si>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</si>
  <si>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</si>
  <si>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</si>
  <si>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</si>
  <si>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</si>
  <si>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</si>
  <si>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</si>
  <si>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</si>
  <si>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</si>
  <si>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</si>
  <si>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</si>
  <si>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</si>
  <si>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</si>
  <si>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</si>
  <si>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</si>
  <si>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</si>
  <si>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</si>
  <si>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</si>
  <si>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</si>
  <si>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</si>
  <si>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</si>
  <si>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</si>
  <si>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</si>
  <si>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</si>
  <si>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</si>
  <si>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</si>
  <si>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</si>
  <si>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</si>
  <si>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</si>
  <si>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</si>
  <si>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</si>
  <si>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</si>
  <si>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</si>
  <si>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</si>
  <si>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</si>
  <si>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</si>
  <si>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</si>
  <si>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</si>
  <si>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</si>
  <si>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</si>
  <si>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</si>
  <si>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</si>
  <si>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</si>
  <si>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</si>
  <si>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</si>
  <si>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</si>
  <si>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</si>
  <si>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</si>
  <si>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</si>
  <si>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</si>
  <si>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</si>
  <si>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</si>
  <si>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</si>
  <si>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</si>
  <si>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</si>
  <si>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</si>
  <si>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</si>
  <si>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</si>
  <si>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</si>
  <si>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</si>
  <si>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</si>
  <si>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</si>
  <si>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</si>
  <si>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</si>
  <si>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</si>
  <si>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</si>
  <si>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</si>
  <si>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</si>
  <si>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</si>
  <si>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</si>
  <si>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</si>
  <si>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</si>
  <si>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</si>
  <si>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</si>
  <si>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</si>
  <si>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</si>
  <si>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</si>
  <si>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</si>
  <si>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</si>
  <si>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</si>
  <si>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</si>
  <si>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</si>
  <si>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</si>
  <si>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</si>
  <si>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</si>
  <si>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</si>
  <si>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</si>
  <si>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</si>
  <si>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</si>
  <si>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</si>
  <si>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</si>
  <si>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</si>
  <si>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</si>
  <si>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</si>
  <si>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</si>
  <si>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</si>
  <si>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</si>
  <si>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</si>
  <si>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</si>
  <si>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</si>
  <si>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</si>
  <si>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</si>
  <si>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</si>
  <si>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</si>
  <si>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</si>
  <si>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</si>
  <si>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</si>
  <si>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</si>
  <si>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</si>
  <si>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</si>
  <si>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</si>
  <si>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</si>
  <si>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</si>
  <si>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</si>
  <si>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</si>
  <si>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</si>
  <si>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</si>
  <si>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</si>
  <si>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</si>
  <si>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</si>
  <si>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</si>
  <si>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</si>
  <si>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</si>
  <si>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</si>
  <si>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</si>
  <si>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</si>
  <si>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</si>
  <si>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</si>
  <si>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</si>
  <si>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</si>
  <si>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</si>
  <si>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</si>
  <si>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</si>
  <si>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</si>
  <si>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</si>
  <si>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</si>
  <si>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</si>
  <si>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</si>
  <si>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</si>
  <si>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</si>
  <si>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</si>
  <si>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</si>
  <si>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</si>
  <si>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</si>
  <si>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</si>
  <si>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</si>
  <si>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</si>
  <si>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</si>
  <si>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</si>
  <si>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</si>
  <si>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</si>
  <si>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</si>
  <si>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</si>
  <si>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</si>
  <si>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</si>
  <si>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</si>
  <si>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</si>
  <si>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</si>
  <si>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</si>
  <si>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</si>
  <si>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</si>
  <si>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</si>
  <si>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</si>
  <si>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</si>
  <si>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</si>
  <si>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</si>
  <si>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</si>
  <si>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</si>
  <si>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</si>
  <si>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</si>
  <si>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</si>
  <si>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</si>
  <si>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</si>
  <si>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</si>
  <si>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</si>
  <si>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</si>
  <si>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</si>
  <si>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</si>
  <si>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</si>
  <si>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</si>
  <si>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</si>
  <si>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</si>
  <si>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</si>
  <si>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</si>
  <si>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</si>
  <si>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</si>
  <si>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</si>
  <si>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</si>
  <si>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</si>
  <si>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</si>
  <si>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</si>
  <si>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</si>
  <si>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</si>
  <si>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</si>
  <si>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</si>
  <si>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</si>
  <si>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</si>
  <si>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</si>
  <si>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</si>
  <si>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</si>
  <si>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</si>
  <si>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</si>
  <si>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</si>
  <si>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</si>
  <si>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</si>
  <si>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</si>
  <si>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</si>
  <si>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</si>
  <si>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</si>
  <si>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</si>
  <si>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</si>
  <si>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</si>
  <si>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</si>
  <si>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</si>
  <si>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</si>
  <si>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</si>
  <si>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</si>
  <si>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</si>
  <si>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</si>
  <si>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</si>
  <si>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</si>
  <si>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</si>
  <si>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</si>
  <si>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</si>
  <si>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</si>
  <si>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</si>
  <si>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</si>
  <si>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</si>
  <si>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</si>
  <si>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</si>
  <si>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</si>
  <si>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</si>
  <si>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</si>
  <si>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</si>
  <si>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</si>
  <si>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</si>
  <si>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</si>
  <si>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</si>
  <si>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</si>
  <si>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</si>
  <si>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</si>
  <si>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</si>
  <si>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</si>
  <si>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</si>
  <si>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</si>
  <si>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</si>
  <si>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</si>
  <si>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</si>
  <si>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</si>
  <si>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</si>
  <si>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</si>
  <si>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</si>
  <si>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</si>
  <si>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</si>
  <si>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</si>
  <si>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</si>
  <si>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</si>
  <si>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</si>
  <si>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</si>
  <si>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</si>
  <si>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</si>
  <si>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</si>
  <si>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</si>
  <si>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</si>
  <si>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</si>
  <si>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</si>
  <si>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</si>
  <si>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</si>
  <si>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</si>
  <si>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</si>
  <si>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</si>
  <si>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</si>
  <si>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</si>
  <si>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</si>
  <si>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</si>
  <si>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</si>
  <si>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</si>
  <si>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</si>
  <si>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</si>
  <si>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</si>
  <si>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</si>
  <si>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</si>
  <si>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</si>
  <si>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</si>
  <si>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</si>
  <si>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</si>
  <si>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</si>
  <si>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</si>
  <si>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</si>
  <si>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</si>
  <si>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</si>
  <si>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</si>
  <si>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</si>
  <si>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</si>
  <si>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</si>
  <si>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</si>
  <si>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</si>
  <si>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</si>
  <si>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</si>
  <si>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</si>
  <si>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</si>
  <si>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</si>
  <si>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</si>
  <si>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</si>
  <si>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</si>
  <si>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</si>
  <si>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</si>
  <si>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</si>
  <si>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</si>
  <si>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</si>
  <si>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</si>
  <si>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</si>
  <si>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</si>
  <si>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</si>
  <si>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</si>
  <si>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</si>
  <si>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</si>
  <si>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</si>
  <si>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</si>
  <si>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</si>
  <si>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</si>
  <si>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</si>
  <si>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</si>
  <si>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</si>
  <si>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</si>
  <si>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</si>
  <si>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</si>
  <si>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</si>
  <si>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</si>
  <si>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</si>
  <si>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</si>
  <si>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</si>
  <si>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</si>
  <si>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</si>
  <si>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</si>
  <si>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</si>
  <si>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</si>
  <si>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</si>
  <si>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</si>
  <si>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</si>
  <si>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</si>
  <si>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</si>
  <si>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</si>
  <si>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</si>
  <si>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</si>
  <si>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</si>
  <si>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</si>
  <si>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</si>
  <si>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</si>
  <si>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</si>
  <si>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</si>
  <si>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</si>
  <si>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</si>
  <si>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</si>
  <si>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</si>
  <si>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</si>
  <si>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</si>
  <si>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</si>
  <si>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</si>
  <si>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</si>
  <si>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</si>
  <si>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</si>
  <si>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</si>
  <si>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</si>
  <si>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</si>
  <si>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</si>
  <si>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</si>
  <si>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</si>
  <si>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</si>
  <si>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</si>
  <si>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</si>
  <si>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</si>
  <si>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</si>
  <si>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</si>
  <si>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</si>
  <si>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</si>
  <si>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</si>
  <si>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</si>
  <si>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</si>
  <si>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</si>
  <si>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</si>
  <si>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</si>
  <si>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</si>
  <si>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</si>
  <si>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</si>
  <si>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</si>
  <si>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</si>
  <si>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</si>
  <si>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</si>
  <si>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</si>
  <si>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</si>
  <si>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</si>
  <si>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</si>
  <si>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</si>
  <si>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</si>
  <si>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</si>
  <si>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</si>
  <si>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</si>
  <si>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</si>
  <si>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</si>
  <si>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</si>
  <si>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</si>
  <si>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</si>
  <si>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</si>
  <si>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</si>
  <si>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</si>
  <si>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</si>
  <si>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</si>
  <si>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</si>
  <si>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</si>
  <si>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</si>
  <si>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</si>
  <si>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</si>
  <si>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</si>
  <si>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</si>
  <si>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</si>
  <si>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</si>
  <si>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</si>
  <si>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</si>
  <si>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</si>
  <si>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</si>
  <si>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</si>
  <si>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</si>
  <si>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</si>
  <si>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</si>
  <si>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</si>
  <si>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</si>
  <si>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</si>
  <si>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</si>
  <si>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</si>
  <si>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</si>
  <si>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</si>
  <si>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</si>
  <si>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</si>
  <si>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</si>
  <si>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</si>
  <si>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</si>
  <si>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</si>
  <si>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</si>
  <si>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</si>
  <si>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</si>
  <si>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</si>
  <si>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</si>
  <si>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</si>
  <si>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</si>
  <si>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</si>
  <si>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</si>
  <si>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</si>
  <si>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</si>
  <si>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</si>
  <si>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</si>
  <si>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</si>
  <si>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</si>
  <si>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</si>
  <si>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</si>
  <si>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</si>
  <si>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</si>
  <si>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</si>
  <si>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</si>
  <si>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</si>
  <si>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</si>
  <si>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</si>
  <si>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</si>
  <si>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</si>
  <si>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</si>
  <si>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</si>
  <si>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</si>
  <si>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</si>
  <si>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</si>
  <si>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</si>
  <si>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</si>
  <si>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</si>
  <si>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</si>
  <si>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</si>
  <si>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</si>
  <si>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</si>
  <si>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</si>
  <si>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</si>
  <si>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</si>
  <si>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</si>
  <si>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</si>
  <si>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</si>
  <si>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</si>
  <si>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</si>
  <si>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</si>
  <si>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</si>
  <si>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</si>
  <si>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</si>
  <si>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</si>
  <si>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</si>
  <si>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</si>
  <si>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</si>
  <si>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</si>
  <si>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</si>
  <si>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</si>
  <si>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</si>
  <si>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</si>
  <si>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</si>
  <si>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</si>
  <si>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</si>
  <si>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</si>
  <si>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</si>
  <si>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</si>
  <si>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</si>
  <si>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</si>
  <si>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</si>
  <si>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</si>
  <si>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</si>
  <si>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</si>
  <si>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</si>
  <si>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</si>
  <si>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</si>
  <si>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</si>
  <si>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</si>
  <si>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</si>
  <si>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</si>
  <si>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</si>
  <si>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</si>
  <si>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</si>
  <si>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</si>
  <si>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</si>
  <si>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</si>
  <si>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</si>
  <si>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</si>
  <si>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</si>
  <si>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</si>
  <si>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</si>
  <si>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</si>
  <si>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</si>
  <si>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</si>
  <si>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</si>
  <si>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</si>
  <si>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</si>
  <si>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</si>
  <si>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</si>
  <si>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</si>
  <si>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</si>
  <si>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</si>
  <si>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</si>
  <si>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</si>
  <si>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</si>
  <si>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</si>
  <si>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</si>
  <si>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</si>
  <si>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</si>
  <si>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</si>
  <si>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</si>
  <si>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</si>
  <si>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</si>
  <si>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</si>
  <si>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</si>
  <si>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</si>
  <si>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</si>
  <si>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</si>
  <si>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</si>
  <si>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</si>
  <si>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</si>
  <si>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</si>
  <si>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</si>
  <si>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</si>
  <si>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</si>
  <si>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</si>
  <si>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</si>
  <si>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</si>
  <si>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</si>
  <si>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</si>
  <si>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</si>
  <si>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</si>
  <si>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</si>
  <si>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</si>
  <si>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</si>
  <si>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</si>
  <si>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</si>
  <si>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</si>
  <si>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</si>
  <si>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</si>
  <si>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</si>
  <si>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</si>
  <si>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</si>
  <si>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</si>
  <si>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</si>
  <si>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</si>
  <si>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</si>
  <si>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</si>
  <si>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</si>
  <si>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</si>
  <si>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</si>
  <si>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</si>
  <si>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</si>
  <si>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</si>
  <si>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</si>
  <si>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</si>
  <si>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</si>
  <si>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</si>
  <si>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</si>
  <si>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</si>
  <si>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</si>
  <si>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</si>
  <si>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</si>
  <si>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</si>
  <si>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</si>
  <si>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</si>
  <si>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</si>
  <si>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</si>
  <si>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</si>
  <si>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</si>
  <si>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</si>
  <si>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</si>
  <si>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</si>
  <si>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</si>
  <si>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</si>
  <si>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</si>
  <si>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</si>
  <si>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</si>
  <si>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</si>
  <si>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</si>
  <si>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</si>
  <si>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</si>
  <si>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</si>
  <si>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</si>
  <si>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</si>
  <si>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</si>
  <si>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</si>
  <si>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</si>
  <si>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</si>
  <si>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</si>
  <si>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</si>
  <si>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</si>
  <si>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</si>
  <si>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</si>
  <si>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</si>
  <si>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</si>
  <si>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</si>
  <si>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</si>
  <si>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</si>
  <si>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</si>
  <si>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</si>
  <si>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</si>
  <si>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</si>
  <si>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</si>
  <si>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</si>
  <si>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</si>
  <si>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</si>
  <si>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</si>
  <si>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</si>
  <si>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</si>
  <si>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</si>
  <si>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</si>
  <si>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</si>
  <si>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</si>
  <si>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</si>
  <si>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</si>
  <si>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</si>
  <si>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</si>
  <si>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</si>
  <si>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</si>
  <si>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</si>
  <si>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</si>
  <si>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</si>
  <si>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</si>
  <si>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</si>
  <si>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</si>
  <si>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</si>
  <si>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</si>
  <si>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</si>
  <si>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</si>
  <si>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</si>
  <si>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</si>
  <si>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</si>
  <si>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</si>
  <si>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</si>
  <si>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</si>
  <si>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</si>
  <si>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</si>
  <si>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</si>
  <si>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</si>
  <si>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</si>
  <si>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</si>
  <si>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</si>
  <si>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</si>
  <si>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</si>
  <si>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</si>
  <si>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</si>
  <si>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</si>
  <si>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</si>
  <si>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</si>
  <si>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</si>
  <si>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</si>
  <si>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</si>
  <si>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</si>
  <si>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</si>
  <si>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</si>
  <si>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</si>
  <si>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</si>
  <si>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</si>
  <si>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</si>
  <si>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</si>
  <si>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</si>
  <si>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</si>
  <si>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</si>
  <si>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</si>
  <si>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</si>
  <si>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</si>
  <si>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</si>
  <si>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</si>
  <si>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</si>
  <si>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</si>
  <si>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</si>
  <si>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</si>
  <si>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</si>
  <si>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</si>
  <si>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</si>
  <si>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</si>
  <si>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</si>
  <si>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</si>
  <si>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</si>
  <si>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</si>
  <si>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</si>
  <si>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</si>
  <si>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</si>
  <si>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</si>
  <si>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</si>
  <si>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</si>
  <si>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</si>
  <si>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</si>
  <si>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</si>
  <si>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</si>
  <si>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</si>
  <si>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</si>
  <si>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</si>
  <si>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</si>
  <si>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</si>
  <si>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</si>
  <si>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</si>
  <si>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</si>
  <si>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</si>
  <si>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</si>
  <si>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</si>
  <si>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</si>
  <si>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</si>
  <si>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</si>
  <si>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</si>
  <si>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</si>
  <si>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</si>
  <si>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</si>
  <si>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</si>
  <si>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</si>
  <si>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</si>
  <si>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</si>
  <si>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</si>
  <si>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</si>
  <si>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</si>
  <si>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</si>
  <si>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</si>
  <si>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</si>
  <si>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</si>
  <si>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</si>
  <si>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</si>
  <si>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</si>
  <si>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</si>
  <si>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</si>
  <si>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</si>
  <si>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</si>
  <si>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</si>
  <si>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</si>
  <si>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</si>
  <si>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</si>
  <si>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</si>
  <si>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</si>
  <si>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</si>
  <si>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</si>
  <si>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</si>
  <si>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</si>
  <si>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</si>
  <si>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</si>
  <si>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</si>
  <si>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</si>
  <si>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</si>
  <si>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</si>
  <si>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</si>
  <si>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</si>
  <si>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</si>
  <si>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</si>
  <si>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</si>
  <si>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</si>
  <si>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</si>
  <si>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</si>
  <si>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</si>
  <si>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</si>
  <si>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</si>
  <si>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</si>
  <si>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</si>
  <si>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</si>
  <si>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</si>
  <si>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</si>
  <si>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</si>
  <si>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</si>
  <si>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</si>
  <si>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</si>
  <si>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</si>
  <si>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</si>
  <si>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</si>
  <si>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</si>
  <si>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</si>
  <si>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</si>
  <si>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</si>
  <si>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</si>
  <si>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</si>
  <si>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</si>
  <si>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</si>
  <si>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</si>
  <si>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</si>
  <si>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</si>
  <si>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</si>
  <si>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</si>
  <si>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</si>
  <si>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</si>
  <si>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</si>
  <si>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</si>
  <si>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</si>
  <si>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</si>
  <si>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</si>
  <si>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</si>
  <si>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</si>
  <si>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</si>
  <si>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</si>
  <si>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</si>
  <si>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</si>
  <si>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</si>
  <si>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</si>
  <si>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</si>
  <si>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</si>
  <si>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</si>
  <si>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</si>
  <si>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</si>
  <si>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</si>
  <si>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</si>
  <si>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</si>
  <si>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</si>
  <si>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</si>
  <si>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</si>
  <si>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</si>
  <si>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</si>
  <si>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</si>
  <si>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</si>
  <si>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</si>
  <si>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</si>
  <si>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</si>
  <si>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</si>
  <si>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</si>
  <si>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</si>
  <si>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</si>
  <si>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</si>
  <si>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</si>
  <si>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</si>
  <si>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</si>
  <si>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</si>
  <si>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</si>
  <si>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</si>
  <si>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</si>
  <si>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</si>
  <si>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</si>
  <si>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</si>
  <si>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</si>
  <si>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</si>
  <si>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</si>
  <si>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</si>
  <si>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</si>
  <si>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</si>
  <si>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</si>
  <si>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</si>
  <si>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</si>
  <si>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</si>
  <si>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</si>
  <si>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</si>
  <si>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</si>
  <si>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</si>
  <si>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</si>
  <si>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</si>
  <si>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</si>
  <si>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</si>
  <si>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</si>
  <si>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</si>
  <si>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</si>
  <si>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</si>
  <si>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</si>
  <si>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</si>
  <si>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</si>
  <si>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</si>
  <si>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</si>
  <si>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</si>
  <si>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</si>
  <si>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</si>
  <si>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</si>
  <si>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</si>
  <si>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</si>
  <si>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</si>
  <si>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</si>
  <si>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</si>
  <si>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</si>
  <si>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</si>
  <si>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</si>
  <si>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</si>
  <si>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</si>
  <si>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</si>
  <si>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</si>
  <si>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</si>
  <si>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</si>
  <si>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</si>
  <si>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</si>
  <si>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</si>
  <si>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</si>
  <si>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</si>
  <si>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</si>
  <si>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</si>
  <si>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</si>
  <si>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</si>
  <si>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</si>
  <si>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</si>
  <si>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</si>
  <si>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</si>
  <si>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</si>
  <si>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</si>
  <si>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</si>
  <si>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</si>
  <si>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</si>
  <si>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</si>
  <si>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</si>
  <si>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</si>
  <si>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</si>
  <si>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</si>
  <si>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</si>
  <si>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</si>
  <si>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</si>
  <si>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</si>
  <si>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</si>
  <si>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</si>
  <si>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</si>
  <si>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</si>
  <si>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</si>
  <si>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</si>
  <si>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</si>
  <si>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</si>
  <si>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</si>
  <si>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</si>
  <si>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</si>
  <si>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</si>
  <si>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</si>
  <si>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</si>
  <si>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</si>
  <si>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</si>
  <si>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</si>
  <si>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</si>
  <si>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</si>
  <si>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</si>
  <si>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</si>
  <si>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</si>
  <si>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</si>
  <si>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</si>
  <si>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</si>
  <si>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</si>
  <si>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</si>
  <si>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</si>
  <si>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</si>
  <si>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</si>
  <si>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</si>
  <si>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</si>
  <si>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</si>
  <si>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</si>
  <si>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</si>
  <si>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</si>
  <si>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</si>
  <si>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</si>
  <si>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</si>
  <si>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</si>
  <si>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</si>
  <si>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</si>
  <si>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</si>
  <si>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</si>
  <si>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</si>
  <si>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</si>
  <si>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</si>
  <si>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</si>
  <si>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</si>
  <si>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</si>
  <si>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</si>
  <si>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</si>
  <si>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</si>
  <si>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</si>
  <si>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</si>
  <si>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</si>
  <si>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</si>
  <si>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</si>
  <si>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</si>
  <si>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</si>
  <si>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</si>
  <si>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</si>
  <si>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</si>
  <si>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</si>
  <si>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</si>
  <si>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</si>
  <si>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</si>
  <si>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</si>
  <si>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</si>
  <si>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</si>
  <si>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</si>
  <si>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</si>
  <si>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</si>
  <si>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</si>
  <si>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</si>
  <si>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</si>
  <si>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</si>
  <si>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</si>
  <si>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</si>
  <si>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</si>
  <si>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</si>
  <si>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</si>
  <si>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</si>
  <si>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</si>
  <si>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</si>
  <si>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</si>
  <si>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</si>
  <si>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</si>
  <si>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</si>
  <si>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</si>
  <si>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</si>
  <si>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</si>
  <si>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</si>
  <si>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</si>
  <si>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</si>
  <si>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</si>
  <si>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</si>
  <si>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</si>
  <si>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</si>
  <si>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</si>
  <si>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</si>
  <si>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</si>
  <si>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</si>
  <si>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</si>
  <si>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</si>
  <si>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</si>
  <si>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</si>
  <si>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</si>
  <si>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</si>
  <si>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</si>
  <si>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</si>
  <si>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</si>
  <si>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</si>
  <si>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</si>
  <si>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</si>
  <si>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</si>
  <si>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</si>
  <si>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</si>
  <si>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</si>
  <si>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</si>
  <si>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</si>
  <si>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</si>
  <si>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</si>
  <si>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</si>
  <si>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</si>
  <si>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</si>
  <si>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</si>
  <si>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</si>
  <si>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</si>
  <si>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</si>
  <si>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</si>
  <si>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</si>
  <si>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</si>
  <si>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</si>
  <si>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</si>
  <si>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</si>
  <si>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</si>
  <si>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</si>
  <si>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</si>
  <si>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</si>
  <si>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</si>
  <si>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</si>
  <si>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</si>
  <si>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</si>
  <si>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</si>
  <si>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</si>
  <si>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</si>
  <si>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</si>
  <si>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</si>
  <si>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</si>
  <si>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</si>
  <si>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</si>
  <si>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</si>
  <si>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</si>
  <si>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</si>
  <si>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</si>
  <si>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</si>
  <si>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</si>
  <si>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</si>
  <si>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</si>
  <si>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</si>
  <si>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</si>
  <si>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</si>
  <si>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</si>
  <si>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</si>
  <si>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</si>
  <si>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</si>
  <si>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</si>
  <si>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</si>
  <si>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</si>
  <si>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</si>
  <si>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</si>
  <si>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</si>
  <si>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</si>
  <si>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</si>
  <si>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</si>
  <si>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</si>
  <si>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</si>
  <si>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</si>
  <si>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</si>
  <si>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</si>
  <si>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</si>
  <si>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</si>
  <si>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</si>
  <si>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</si>
  <si>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</si>
  <si>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</si>
  <si>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</si>
  <si>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</si>
  <si>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</si>
  <si>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</si>
  <si>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</si>
  <si>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</si>
  <si>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</si>
  <si>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</si>
  <si>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</si>
  <si>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</si>
  <si>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</si>
  <si>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</si>
  <si>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</si>
  <si>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</si>
  <si>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</si>
  <si>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</si>
  <si>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</si>
  <si>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</si>
  <si>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</si>
  <si>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</si>
  <si>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</si>
  <si>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</si>
  <si>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</si>
  <si>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</si>
  <si>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</si>
  <si>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</si>
  <si>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</si>
  <si>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</si>
  <si>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</si>
  <si>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</si>
  <si>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</si>
  <si>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</si>
  <si>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</si>
  <si>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</si>
  <si>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</si>
  <si>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</si>
  <si>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</si>
  <si>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</si>
  <si>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</si>
  <si>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</si>
  <si>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</si>
  <si>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</si>
  <si>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</si>
  <si>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</si>
  <si>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</si>
  <si>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</si>
  <si>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</si>
  <si>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</si>
  <si>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</si>
  <si>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</si>
  <si>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</si>
  <si>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</si>
  <si>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</si>
  <si>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</si>
  <si>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</si>
  <si>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</si>
  <si>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</si>
  <si>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</si>
  <si>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</si>
  <si>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</si>
  <si>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</si>
  <si>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</si>
  <si>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</si>
  <si>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</si>
  <si>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</si>
  <si>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</si>
  <si>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</si>
  <si>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</si>
  <si>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</si>
  <si>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</si>
  <si>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</si>
  <si>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</si>
  <si>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</si>
  <si>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</si>
  <si>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</si>
  <si>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</si>
  <si>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</si>
  <si>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</si>
  <si>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</si>
  <si>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</si>
  <si>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</si>
  <si>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</si>
  <si>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</si>
  <si>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</si>
  <si>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</si>
  <si>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</si>
  <si>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</si>
  <si>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</si>
  <si>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</si>
  <si>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</si>
  <si>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</si>
  <si>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</si>
  <si>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</si>
  <si>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</si>
  <si>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</si>
  <si>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</si>
  <si>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</si>
  <si>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</si>
  <si>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</si>
  <si>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</si>
  <si>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</si>
  <si>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</si>
  <si>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</si>
  <si>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</si>
  <si>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</si>
  <si>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</si>
  <si>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</si>
  <si>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</si>
  <si>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</si>
  <si>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</si>
  <si>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</si>
  <si>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</si>
  <si>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</si>
  <si>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</si>
  <si>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</si>
  <si>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</si>
  <si>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</si>
  <si>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</si>
  <si>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</si>
  <si>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</si>
  <si>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</si>
  <si>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</si>
  <si>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</si>
  <si>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</si>
  <si>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</si>
  <si>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</si>
  <si>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</si>
  <si>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</si>
  <si>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</si>
  <si>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</si>
  <si>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</si>
  <si>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</si>
  <si>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</si>
  <si>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</si>
  <si>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</si>
  <si>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</si>
  <si>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</si>
  <si>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</si>
  <si>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</si>
  <si>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</si>
  <si>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</si>
  <si>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</si>
  <si>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</si>
  <si>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</si>
  <si>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</si>
  <si>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</si>
  <si>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</si>
  <si>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</si>
  <si>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</si>
  <si>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</si>
  <si>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</si>
  <si>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</si>
  <si>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</si>
  <si>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</si>
  <si>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</si>
  <si>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</si>
  <si>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</si>
  <si>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</si>
  <si>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</si>
  <si>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</si>
  <si>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</si>
  <si>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</si>
  <si>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</si>
  <si>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</si>
  <si>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</si>
  <si>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</si>
  <si>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</si>
  <si>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</si>
  <si>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</si>
  <si>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</si>
  <si>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</si>
  <si>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</si>
  <si>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</si>
  <si>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</si>
  <si>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</si>
  <si>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</si>
  <si>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</si>
  <si>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</si>
  <si>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</si>
  <si>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</si>
  <si>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</si>
  <si>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</si>
  <si>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</si>
  <si>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</si>
  <si>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</si>
  <si>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</si>
  <si>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</si>
  <si>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</si>
  <si>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</si>
  <si>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</si>
  <si>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</si>
  <si>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</si>
  <si>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</si>
  <si>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</si>
  <si>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</si>
  <si>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</si>
  <si>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</si>
  <si>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</si>
  <si>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</si>
  <si>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</si>
  <si>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</si>
  <si>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</si>
  <si>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</si>
  <si>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</si>
  <si>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</si>
  <si>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</si>
  <si>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</si>
  <si>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</si>
  <si>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</si>
  <si>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</si>
  <si>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</si>
  <si>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</si>
  <si>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</si>
  <si>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</si>
  <si>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</si>
  <si>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</si>
  <si>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</si>
  <si>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</si>
  <si>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</si>
  <si>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</si>
  <si>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</si>
  <si>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</si>
  <si>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</si>
  <si>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</si>
  <si>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</si>
  <si>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</si>
  <si>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</si>
  <si>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</si>
  <si>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</si>
  <si>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</si>
  <si>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</si>
  <si>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</si>
  <si>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</si>
  <si>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</si>
  <si>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</si>
  <si>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</si>
  <si>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</si>
  <si>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</si>
  <si>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</si>
  <si>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</si>
  <si>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</si>
  <si>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</si>
  <si>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</si>
  <si>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</si>
  <si>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</si>
  <si>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</si>
  <si>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</si>
  <si>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</si>
  <si>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</si>
  <si>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</si>
  <si>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</si>
  <si>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</si>
  <si>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</si>
  <si>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</si>
  <si>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</si>
  <si>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</si>
  <si>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</si>
  <si>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</si>
  <si>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</si>
  <si>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</si>
  <si>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</si>
  <si>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</si>
  <si>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</si>
  <si>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</si>
  <si>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</si>
  <si>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</si>
  <si>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</si>
  <si>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</si>
  <si>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</si>
  <si>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</si>
  <si>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</si>
  <si>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</si>
  <si>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</si>
  <si>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</si>
  <si>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</si>
  <si>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</si>
  <si>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</si>
  <si>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</si>
  <si>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</si>
  <si>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</si>
  <si>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</si>
  <si>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</si>
  <si>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</si>
  <si>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</si>
  <si>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</si>
  <si>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</si>
  <si>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</si>
  <si>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</si>
  <si>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</si>
  <si>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</si>
  <si>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</si>
  <si>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</si>
  <si>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</si>
  <si>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</si>
  <si>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</si>
  <si>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</si>
  <si>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</si>
  <si>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</si>
  <si>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</si>
  <si>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</si>
  <si>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</si>
  <si>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</si>
  <si>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</si>
  <si>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</si>
  <si>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</si>
  <si>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</si>
  <si>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</si>
  <si>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</si>
  <si>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</si>
  <si>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</si>
  <si>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</si>
  <si>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</si>
  <si>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</si>
  <si>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</si>
  <si>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</si>
  <si>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</si>
  <si>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</si>
  <si>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</si>
  <si>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</si>
  <si>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</si>
  <si>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</si>
  <si>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</si>
  <si>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</si>
  <si>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</si>
  <si>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</si>
  <si>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</si>
  <si>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</si>
  <si>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</si>
  <si>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</si>
  <si>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</si>
  <si>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</si>
  <si>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</si>
  <si>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</si>
  <si>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</si>
  <si>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</si>
  <si>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</si>
  <si>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</si>
  <si>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</si>
  <si>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</si>
  <si>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</si>
  <si>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</si>
  <si>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</si>
  <si>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</si>
  <si>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</si>
  <si>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</si>
  <si>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</si>
  <si>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</si>
  <si>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</si>
  <si>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</si>
  <si>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</si>
  <si>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</si>
  <si>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</si>
  <si>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</si>
  <si>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</si>
  <si>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</si>
  <si>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</si>
  <si>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</si>
  <si>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</si>
  <si>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</si>
  <si>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</si>
  <si>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</si>
  <si>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</si>
  <si>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</si>
  <si>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</si>
  <si>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</si>
  <si>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</si>
  <si>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</si>
  <si>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</si>
  <si>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</si>
  <si>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</si>
  <si>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</si>
  <si>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</si>
  <si>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</si>
  <si>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</si>
  <si>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</si>
  <si>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</si>
  <si>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</si>
  <si>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</si>
  <si>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</si>
  <si>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</si>
  <si>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</si>
  <si>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</si>
  <si>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</si>
  <si>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</si>
  <si>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</si>
  <si>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</si>
  <si>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</si>
  <si>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</si>
  <si>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</si>
  <si>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</si>
  <si>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</si>
  <si>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</si>
  <si>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</si>
  <si>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</si>
  <si>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</si>
  <si>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</si>
  <si>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</si>
  <si>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</si>
  <si>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</si>
  <si>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</si>
  <si>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</si>
  <si>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</si>
  <si>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</si>
  <si>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</si>
  <si>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</si>
  <si>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</si>
  <si>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</si>
  <si>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</si>
  <si>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</si>
  <si>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</si>
  <si>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</si>
  <si>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</si>
  <si>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</si>
  <si>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</si>
  <si>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</si>
  <si>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</si>
  <si>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</si>
  <si>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</si>
  <si>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</si>
  <si>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</si>
  <si>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</si>
  <si>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</si>
  <si>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</si>
  <si>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</si>
  <si>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</si>
  <si>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</si>
  <si>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</si>
  <si>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</si>
  <si>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</si>
  <si>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</si>
  <si>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</si>
  <si>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</si>
  <si>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</si>
  <si>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</si>
  <si>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</si>
  <si>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</si>
  <si>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</si>
  <si>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</si>
  <si>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</si>
  <si>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</si>
  <si>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</si>
  <si>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</si>
  <si>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</si>
  <si>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</si>
  <si>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</si>
  <si>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</si>
  <si>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</si>
  <si>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</si>
  <si>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</si>
  <si>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</si>
  <si>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</si>
  <si>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</si>
  <si>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</si>
  <si>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</si>
  <si>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</si>
  <si>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</si>
  <si>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</si>
  <si>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</si>
  <si>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</si>
  <si>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</si>
  <si>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</si>
  <si>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</si>
  <si>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</si>
  <si>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</si>
  <si>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</si>
  <si>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</si>
  <si>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</si>
  <si>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</si>
  <si>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</si>
  <si>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</si>
  <si>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</si>
  <si>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</si>
  <si>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</si>
  <si>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</si>
  <si>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</si>
  <si>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</si>
  <si>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</si>
  <si>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</si>
  <si>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</si>
  <si>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</si>
  <si>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</si>
  <si>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</si>
  <si>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</si>
  <si>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</si>
  <si>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</si>
  <si>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</si>
  <si>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</si>
  <si>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</si>
  <si>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</si>
  <si>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</si>
  <si>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</si>
  <si>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</si>
  <si>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</si>
  <si>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</si>
  <si>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</si>
  <si>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</si>
  <si>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</si>
  <si>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</si>
  <si>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</si>
  <si>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</si>
  <si>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</si>
  <si>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</si>
  <si>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</si>
  <si>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</si>
  <si>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</si>
  <si>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</si>
  <si>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</si>
  <si>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</si>
  <si>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</si>
  <si>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</si>
  <si>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</si>
  <si>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</si>
  <si>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</si>
  <si>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</si>
  <si>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</si>
  <si>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</si>
  <si>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</si>
  <si>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</si>
  <si>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</si>
  <si>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</si>
  <si>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</si>
  <si>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</si>
  <si>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</si>
  <si>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</si>
  <si>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</si>
  <si>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</si>
  <si>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</si>
  <si>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</si>
  <si>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</si>
  <si>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</si>
  <si>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</si>
  <si>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</si>
  <si>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</si>
  <si>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</si>
  <si>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</si>
  <si>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</si>
  <si>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</si>
  <si>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</si>
  <si>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</si>
  <si>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</si>
  <si>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</si>
  <si>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</si>
  <si>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</si>
  <si>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</si>
  <si>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</si>
  <si>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</si>
  <si>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</si>
  <si>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</si>
  <si>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</si>
  <si>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</si>
  <si>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</si>
  <si>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</si>
  <si>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</si>
  <si>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</si>
  <si>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</si>
  <si>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</si>
  <si>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</si>
  <si>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</si>
  <si>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</si>
  <si>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</si>
  <si>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</si>
  <si>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</si>
  <si>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</si>
  <si>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</si>
  <si>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</si>
  <si>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</si>
  <si>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</si>
  <si>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</si>
  <si>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</si>
  <si>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</si>
  <si>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</si>
  <si>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</si>
  <si>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</si>
  <si>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</si>
  <si>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</si>
  <si>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</si>
  <si>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</si>
  <si>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</si>
  <si>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</si>
  <si>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</si>
  <si>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</si>
  <si>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</si>
  <si>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</si>
  <si>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</si>
  <si>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</si>
  <si>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</si>
  <si>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</si>
  <si>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</si>
  <si>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</si>
  <si>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</si>
  <si>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</si>
  <si>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</si>
  <si>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</si>
  <si>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</si>
  <si>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</si>
  <si>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</si>
  <si>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</si>
  <si>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</si>
  <si>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</si>
  <si>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</si>
  <si>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</si>
  <si>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</si>
  <si>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</si>
  <si>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</si>
  <si>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</si>
  <si>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</si>
  <si>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</si>
  <si>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</si>
  <si>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</si>
  <si>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</si>
  <si>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</si>
  <si>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</si>
  <si>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</si>
  <si>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</si>
  <si>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</si>
  <si>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</si>
  <si>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</si>
  <si>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</si>
  <si>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</si>
  <si>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</si>
  <si>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</si>
  <si>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</si>
  <si>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</si>
  <si>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</si>
  <si>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</si>
  <si>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</si>
  <si>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</si>
  <si>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</si>
  <si>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</si>
  <si>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</si>
  <si>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</si>
  <si>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</si>
  <si>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</si>
  <si>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</si>
  <si>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</si>
  <si>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</si>
  <si>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</si>
  <si>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</si>
  <si>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</si>
  <si>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</si>
  <si>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</si>
  <si>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</si>
  <si>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</si>
  <si>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</si>
  <si>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</si>
  <si>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</si>
  <si>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</si>
  <si>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</si>
  <si>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</si>
  <si>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</si>
  <si>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</si>
  <si>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</si>
  <si>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</si>
  <si>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</si>
  <si>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</si>
  <si>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</si>
  <si>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</si>
  <si>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</si>
  <si>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</si>
  <si>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</si>
  <si>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</si>
  <si>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</si>
  <si>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</si>
  <si>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</si>
  <si>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</si>
  <si>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</si>
  <si>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</si>
  <si>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</si>
  <si>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</si>
  <si>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</si>
  <si>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</si>
  <si>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</si>
  <si>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</si>
  <si>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</si>
  <si>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</si>
  <si>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</si>
  <si>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</si>
  <si>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</si>
  <si>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</si>
  <si>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</si>
  <si>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</si>
  <si>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</si>
  <si>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</si>
  <si>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</si>
  <si>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</si>
  <si>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</si>
  <si>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</si>
  <si>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</si>
  <si>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</si>
  <si>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</si>
  <si>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</si>
  <si>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</si>
  <si>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</si>
  <si>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</si>
  <si>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</si>
  <si>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</si>
  <si>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</si>
  <si>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</si>
  <si>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</si>
  <si>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</si>
  <si>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</si>
  <si>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</si>
  <si>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</si>
  <si>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</si>
  <si>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</si>
  <si>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</si>
  <si>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</si>
  <si>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</si>
  <si>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</si>
  <si>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</si>
  <si>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</si>
  <si>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</si>
  <si>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</si>
  <si>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</si>
  <si>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</si>
  <si>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</si>
  <si>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</si>
  <si>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</si>
  <si>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</si>
  <si>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</si>
  <si>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</si>
  <si>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</si>
  <si>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</si>
  <si>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</si>
  <si>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</si>
  <si>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</si>
  <si>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</si>
  <si>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</si>
  <si>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</si>
  <si>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</si>
  <si>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</si>
  <si>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</si>
  <si>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</si>
  <si>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</si>
  <si>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</si>
  <si>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</si>
  <si>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</si>
  <si>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</si>
  <si>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</si>
  <si>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</si>
  <si>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</si>
  <si>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</si>
  <si>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</si>
  <si>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</si>
  <si>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</si>
  <si>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</si>
  <si>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</si>
  <si>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</si>
  <si>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</si>
  <si>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</si>
  <si>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</si>
  <si>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</si>
  <si>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</si>
  <si>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</si>
  <si>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</si>
  <si>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</si>
  <si>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</si>
  <si>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</si>
  <si>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</si>
  <si>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</si>
  <si>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</si>
  <si>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</si>
  <si>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</si>
  <si>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</si>
  <si>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</si>
  <si>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</si>
  <si>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</si>
  <si>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</si>
  <si>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</si>
  <si>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</si>
  <si>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</si>
  <si>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</si>
  <si>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</si>
  <si>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</si>
  <si>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</si>
  <si>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</si>
  <si>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</si>
  <si>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</si>
  <si>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</si>
  <si>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</si>
  <si>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</si>
  <si>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</si>
  <si>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</si>
  <si>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</si>
  <si>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</si>
  <si>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</si>
  <si>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</si>
  <si>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</si>
  <si>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</si>
  <si>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</si>
  <si>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</si>
  <si>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</si>
  <si>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</si>
  <si>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</si>
  <si>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</si>
  <si>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</si>
  <si>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</si>
  <si>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</si>
  <si>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</si>
  <si>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</si>
  <si>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</si>
  <si>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</si>
  <si>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</si>
  <si>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</si>
  <si>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</si>
  <si>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</si>
  <si>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</si>
  <si>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</si>
  <si>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</si>
  <si>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</si>
  <si>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</si>
  <si>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</si>
  <si>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</si>
  <si>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</si>
  <si>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</si>
  <si>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</si>
  <si>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</si>
  <si>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</si>
  <si>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</si>
  <si>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</si>
  <si>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</si>
  <si>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</si>
  <si>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</si>
  <si>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</si>
  <si>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</si>
  <si>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</si>
  <si>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</si>
  <si>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</si>
  <si>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</si>
  <si>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</si>
  <si>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</si>
  <si>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</si>
  <si>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</si>
  <si>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</si>
  <si>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</si>
  <si>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</si>
  <si>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</si>
  <si>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</si>
  <si>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</si>
  <si>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</si>
  <si>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</si>
  <si>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</si>
  <si>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</si>
  <si>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</si>
  <si>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</si>
  <si>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</si>
  <si>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</si>
  <si>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</si>
  <si>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</si>
  <si>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</si>
  <si>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</si>
  <si>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</si>
  <si>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</si>
  <si>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</si>
  <si>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</si>
  <si>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</si>
  <si>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</si>
  <si>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</si>
  <si>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</si>
  <si>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</si>
  <si>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</si>
  <si>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</si>
  <si>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</si>
  <si>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</si>
  <si>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</si>
  <si>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</si>
  <si>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</si>
  <si>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</si>
  <si>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</si>
  <si>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</si>
  <si>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</si>
  <si>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</si>
  <si>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</si>
  <si>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</si>
  <si>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</si>
  <si>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</si>
  <si>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</si>
  <si>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</si>
  <si>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</si>
  <si>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</si>
  <si>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</si>
  <si>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</si>
  <si>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</si>
  <si>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</si>
  <si>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</si>
  <si>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</si>
  <si>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</si>
  <si>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</si>
  <si>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</si>
  <si>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</si>
  <si>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</si>
  <si>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</si>
  <si>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</si>
  <si>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</si>
  <si>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</si>
  <si>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</si>
  <si>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</si>
  <si>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</si>
  <si>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</si>
  <si>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</si>
  <si>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</si>
  <si>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</si>
  <si>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</si>
  <si>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</si>
  <si>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</si>
  <si>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</si>
  <si>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</si>
  <si>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</si>
  <si>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</si>
  <si>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</si>
  <si>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</si>
  <si>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</si>
  <si>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</si>
  <si>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</si>
  <si>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</si>
  <si>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</si>
  <si>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</si>
  <si>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</si>
  <si>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</si>
  <si>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</si>
  <si>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</si>
  <si>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</si>
  <si>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</si>
  <si>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</si>
  <si>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</si>
  <si>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</si>
  <si>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</si>
  <si>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</si>
  <si>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</si>
  <si>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</si>
  <si>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</si>
  <si>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</si>
  <si>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</si>
  <si>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</si>
  <si>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</si>
  <si>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</si>
  <si>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</si>
  <si>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</si>
  <si>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</si>
  <si>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</si>
  <si>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</si>
  <si>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</si>
  <si>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</si>
  <si>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</si>
  <si>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</si>
  <si>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</si>
  <si>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</si>
  <si>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</si>
  <si>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</si>
  <si>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</si>
  <si>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</si>
  <si>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</si>
  <si>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</si>
  <si>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</si>
  <si>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</si>
  <si>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</si>
  <si>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</si>
  <si>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</si>
  <si>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</si>
  <si>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</si>
  <si>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</si>
  <si>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</si>
  <si>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</si>
  <si>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</si>
  <si>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</si>
  <si>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</si>
  <si>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</si>
  <si>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</si>
  <si>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</si>
  <si>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</si>
  <si>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</si>
  <si>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</si>
  <si>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</si>
  <si>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</si>
  <si>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</si>
  <si>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</si>
  <si>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</si>
  <si>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</si>
  <si>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</si>
  <si>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</si>
  <si>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</si>
  <si>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</si>
  <si>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</si>
  <si>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</si>
  <si>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</si>
  <si>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</si>
  <si>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</si>
  <si>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</si>
  <si>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</si>
  <si>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</si>
  <si>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</si>
  <si>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</si>
  <si>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</si>
  <si>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</si>
  <si>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</si>
  <si>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</si>
  <si>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</si>
  <si>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</si>
  <si>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</si>
  <si>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</si>
  <si>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</si>
  <si>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</si>
  <si>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</si>
  <si>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</si>
  <si>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</si>
  <si>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</si>
  <si>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</si>
  <si>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</si>
  <si>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</si>
  <si>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</si>
  <si>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</si>
  <si>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</si>
  <si>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</si>
  <si>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</si>
  <si>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</si>
  <si>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</si>
  <si>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</si>
  <si>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</si>
  <si>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</si>
  <si>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</si>
  <si>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</si>
  <si>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</si>
  <si>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</si>
  <si>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</si>
  <si>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</si>
  <si>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</si>
  <si>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</si>
  <si>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</si>
  <si>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</si>
  <si>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</si>
  <si>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</si>
  <si>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</si>
  <si>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</si>
  <si>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</si>
  <si>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</si>
  <si>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</si>
  <si>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</si>
  <si>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</si>
  <si>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</si>
  <si>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</si>
  <si>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</si>
  <si>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</si>
  <si>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</si>
  <si>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</si>
  <si>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</si>
  <si>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</si>
  <si>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</si>
  <si>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</si>
  <si>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</si>
  <si>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</si>
  <si>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</si>
  <si>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</si>
  <si>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</si>
  <si>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</si>
  <si>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</si>
  <si>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</si>
  <si>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</si>
  <si>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</si>
  <si>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</si>
  <si>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</si>
  <si>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</si>
  <si>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</si>
  <si>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</si>
  <si>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</si>
  <si>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</si>
  <si>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</si>
  <si>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</si>
  <si>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</si>
  <si>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</si>
  <si>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</si>
  <si>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</si>
  <si>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</si>
  <si>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</si>
  <si>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</si>
  <si>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</si>
  <si>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</si>
  <si>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</si>
  <si>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</si>
  <si>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</si>
  <si>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</si>
  <si>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</si>
  <si>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</si>
  <si>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</si>
  <si>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</si>
  <si>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</si>
  <si>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</si>
  <si>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</si>
  <si>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</si>
  <si>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</si>
  <si>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</si>
  <si>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</si>
  <si>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</si>
  <si>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</si>
  <si>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</si>
  <si>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</si>
  <si>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</si>
  <si>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</si>
  <si>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</si>
  <si>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</si>
  <si>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</si>
  <si>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</si>
  <si>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</si>
  <si>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</si>
  <si>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</si>
  <si>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</si>
  <si>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</si>
  <si>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</si>
  <si>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</si>
  <si>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</si>
  <si>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</si>
  <si>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</si>
  <si>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</si>
  <si>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</si>
  <si>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</si>
  <si>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</si>
  <si>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</si>
  <si>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</si>
  <si>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</si>
  <si>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</si>
  <si>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</si>
  <si>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</si>
  <si>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</si>
  <si>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</si>
  <si>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</si>
  <si>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</si>
  <si>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</si>
  <si>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</si>
  <si>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</si>
  <si>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</si>
  <si>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</si>
  <si>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</si>
  <si>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</si>
  <si>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</si>
  <si>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</si>
  <si>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</si>
  <si>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</si>
  <si>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</si>
  <si>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</si>
  <si>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</si>
  <si>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</si>
  <si>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</si>
  <si>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</si>
  <si>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</si>
  <si>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</si>
  <si>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</si>
  <si>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</si>
  <si>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</si>
  <si>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</si>
  <si>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</si>
  <si>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</si>
  <si>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</si>
  <si>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</si>
  <si>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</si>
  <si>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</si>
  <si>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</si>
  <si>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</si>
  <si>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</si>
  <si>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</si>
  <si>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</si>
  <si>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</si>
  <si>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</si>
  <si>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</si>
  <si>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</si>
  <si>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</si>
  <si>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</si>
  <si>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</si>
  <si>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</si>
  <si>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</si>
  <si>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</si>
  <si>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</si>
  <si>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</si>
  <si>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</si>
  <si>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</si>
  <si>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</si>
  <si>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</si>
  <si>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</si>
  <si>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</si>
  <si>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</si>
  <si>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</si>
  <si>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</si>
  <si>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</si>
  <si>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</si>
  <si>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</si>
  <si>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</si>
  <si>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</si>
  <si>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</si>
  <si>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</si>
  <si>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</si>
  <si>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</si>
  <si>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</si>
  <si>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</si>
  <si>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</si>
  <si>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</si>
  <si>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</si>
  <si>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</si>
  <si>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</si>
  <si>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</si>
  <si>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</si>
  <si>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</si>
  <si>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</si>
  <si>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</si>
  <si>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</si>
  <si>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</si>
  <si>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</si>
  <si>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</si>
  <si>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</si>
  <si>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</si>
  <si>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</si>
  <si>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</si>
  <si>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</si>
  <si>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</si>
  <si>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</si>
  <si>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</si>
  <si>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</si>
  <si>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</si>
  <si>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</si>
  <si>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</si>
  <si>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</si>
  <si>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</si>
  <si>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</si>
  <si>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</si>
  <si>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</si>
  <si>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</si>
  <si>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</si>
  <si>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</si>
  <si>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</si>
  <si>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</si>
  <si>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</si>
  <si>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</si>
  <si>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</si>
  <si>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</si>
  <si>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</si>
  <si>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</si>
  <si>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</si>
  <si>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</si>
  <si>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</si>
  <si>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</si>
  <si>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</si>
  <si>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</si>
  <si>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</si>
  <si>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</si>
  <si>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</si>
  <si>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</si>
  <si>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</si>
  <si>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</si>
  <si>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</si>
  <si>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</si>
  <si>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</si>
  <si>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</si>
  <si>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</si>
  <si>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</si>
  <si>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</si>
  <si>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</si>
  <si>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</si>
  <si>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</si>
  <si>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</si>
  <si>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</si>
  <si>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</si>
  <si>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</si>
  <si>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</si>
  <si>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</si>
  <si>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</si>
  <si>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</si>
  <si>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</si>
  <si>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</si>
  <si>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</si>
  <si>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</si>
  <si>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</si>
  <si>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</si>
  <si>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</si>
  <si>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</si>
  <si>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</si>
  <si>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</si>
  <si>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</si>
  <si>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</si>
  <si>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</si>
  <si>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</si>
  <si>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</si>
  <si>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</si>
  <si>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</si>
  <si>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</si>
  <si>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</si>
  <si>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</si>
  <si>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</si>
  <si>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</si>
  <si>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</si>
  <si>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</si>
  <si>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</si>
  <si>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</si>
  <si>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</si>
  <si>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</si>
  <si>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</si>
  <si>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</si>
  <si>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</si>
  <si>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</si>
  <si>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</si>
  <si>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</si>
  <si>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</si>
  <si>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</si>
  <si>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</si>
  <si>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</si>
  <si>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</si>
  <si>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</si>
  <si>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</si>
  <si>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</si>
  <si>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</si>
  <si>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</si>
  <si>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</si>
  <si>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</si>
  <si>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</si>
  <si>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</si>
  <si>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</si>
  <si>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</si>
  <si>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</si>
  <si>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</si>
  <si>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</si>
  <si>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</si>
  <si>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</si>
  <si>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</si>
  <si>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</si>
  <si>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</si>
  <si>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</si>
  <si>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</si>
  <si>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</si>
  <si>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</si>
  <si>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</si>
  <si>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</si>
  <si>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</si>
  <si>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</si>
  <si>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</si>
  <si>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</si>
  <si>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</si>
  <si>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</si>
  <si>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</si>
  <si>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</si>
  <si>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</si>
  <si>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</si>
  <si>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</si>
  <si>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</si>
  <si>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</si>
  <si>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</si>
  <si>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</si>
  <si>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</si>
  <si>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</si>
  <si>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</si>
  <si>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</si>
  <si>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</si>
  <si>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</si>
  <si>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</si>
  <si>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</si>
  <si>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</si>
  <si>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</si>
  <si>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</si>
  <si>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</si>
  <si>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</si>
  <si>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</si>
  <si>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</si>
  <si>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</si>
  <si>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</si>
  <si>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</si>
  <si>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</si>
  <si>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</si>
  <si>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</si>
  <si>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</si>
  <si>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</si>
  <si>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</si>
  <si>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</si>
  <si>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</si>
  <si>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</si>
  <si>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</si>
  <si>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</si>
  <si>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</si>
  <si>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</si>
  <si>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</si>
  <si>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</si>
  <si>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</si>
  <si>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</si>
  <si>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</si>
  <si>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</si>
  <si>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</si>
  <si>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</si>
  <si>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</si>
  <si>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</si>
  <si>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</si>
  <si>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</si>
  <si>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</si>
  <si>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</si>
  <si>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</si>
  <si>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</si>
  <si>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</si>
  <si>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</si>
  <si>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</si>
  <si>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</si>
  <si>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</si>
  <si>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</si>
  <si>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</si>
  <si>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</si>
  <si>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</si>
  <si>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</si>
  <si>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</si>
  <si>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</si>
  <si>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</si>
  <si>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</si>
  <si>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</si>
  <si>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</si>
  <si>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</si>
  <si>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</si>
  <si>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</si>
  <si>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</si>
  <si>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</si>
  <si>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</si>
  <si>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</si>
  <si>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</si>
  <si>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</si>
  <si>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</si>
  <si>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</si>
  <si>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</si>
  <si>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</si>
  <si>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</si>
  <si>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</si>
  <si>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</si>
  <si>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</si>
  <si>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</si>
  <si>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</si>
  <si>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</si>
  <si>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</si>
  <si>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</si>
  <si>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</si>
  <si>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</si>
  <si>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</si>
  <si>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</si>
  <si>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</si>
  <si>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</si>
  <si>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</si>
  <si>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</si>
  <si>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</si>
  <si>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</si>
  <si>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</si>
  <si>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</si>
  <si>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</si>
  <si>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</si>
  <si>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</si>
  <si>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</si>
  <si>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</si>
  <si>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</si>
  <si>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</si>
  <si>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</si>
  <si>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</si>
  <si>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</si>
  <si>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</si>
  <si>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</si>
  <si>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</si>
  <si>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</si>
  <si>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</si>
  <si>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</si>
  <si>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</si>
  <si>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</si>
  <si>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</si>
  <si>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</si>
  <si>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</si>
  <si>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</si>
  <si>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</si>
  <si>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</si>
  <si>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</si>
  <si>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</si>
  <si>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</si>
  <si>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</si>
  <si>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</si>
  <si>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</si>
  <si>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</si>
  <si>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</si>
  <si>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</si>
  <si>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</si>
  <si>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</si>
  <si>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</si>
  <si>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</si>
  <si>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</si>
  <si>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</si>
  <si>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</si>
  <si>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</si>
  <si>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</si>
  <si>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</si>
  <si>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</si>
  <si>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</si>
  <si>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</si>
  <si>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</si>
  <si>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</si>
  <si>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</si>
  <si>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</si>
  <si>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</si>
  <si>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</si>
  <si>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</si>
  <si>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</si>
  <si>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</si>
  <si>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</si>
  <si>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</si>
  <si>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</si>
  <si>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</si>
  <si>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</si>
  <si>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</si>
  <si>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</si>
  <si>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</si>
  <si>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</si>
  <si>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</si>
  <si>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</si>
  <si>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</si>
  <si>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</si>
  <si>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</si>
  <si>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</si>
  <si>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</si>
  <si>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</si>
  <si>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</si>
  <si>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</si>
  <si>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</si>
  <si>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</si>
  <si>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</si>
  <si>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</si>
  <si>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</si>
  <si>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</si>
  <si>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</si>
  <si>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</si>
  <si>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</si>
  <si>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</si>
  <si>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</si>
  <si>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</si>
  <si>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</si>
  <si>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</si>
  <si>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</si>
  <si>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</si>
  <si>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</si>
  <si>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</si>
  <si>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</si>
  <si>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</si>
  <si>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</si>
  <si>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</si>
  <si>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</si>
  <si>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</si>
  <si>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</si>
  <si>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</si>
  <si>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</si>
  <si>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</si>
  <si>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</si>
  <si>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</si>
  <si>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</si>
  <si>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</si>
  <si>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</si>
  <si>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</si>
  <si>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</si>
  <si>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</si>
  <si>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</si>
  <si>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</si>
  <si>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</si>
  <si>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</si>
  <si>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</si>
  <si>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</si>
  <si>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</si>
  <si>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</si>
  <si>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</si>
  <si>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</si>
  <si>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</si>
  <si>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</si>
  <si>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</si>
  <si>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</si>
  <si>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</si>
  <si>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</si>
  <si>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</si>
  <si>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</si>
  <si>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</si>
  <si>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</si>
  <si>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</si>
  <si>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</si>
  <si>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</si>
  <si>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</si>
  <si>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</si>
  <si>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</si>
  <si>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</si>
  <si>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</si>
  <si>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</si>
  <si>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</si>
  <si>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</si>
  <si>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</si>
  <si>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</si>
  <si>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</si>
  <si>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</si>
  <si>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</si>
  <si>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</si>
  <si>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</si>
  <si>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</si>
  <si>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</si>
  <si>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</si>
  <si>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</si>
  <si>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</si>
  <si>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</si>
  <si>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</si>
  <si>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</si>
  <si>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</si>
  <si>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</si>
  <si>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</si>
  <si>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</si>
  <si>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</si>
  <si>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</si>
  <si>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</si>
  <si>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</si>
  <si>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</si>
  <si>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</si>
  <si>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</si>
  <si>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</si>
  <si>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</si>
  <si>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</si>
  <si>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</si>
  <si>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</si>
  <si>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</si>
  <si>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</si>
  <si>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</si>
  <si>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</si>
  <si>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</si>
  <si>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</si>
  <si>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</si>
  <si>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</si>
  <si>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</si>
  <si>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</si>
  <si>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</si>
  <si>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</si>
  <si>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</si>
  <si>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</si>
  <si>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</si>
  <si>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</si>
  <si>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</si>
  <si>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</si>
  <si>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</si>
  <si>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</si>
  <si>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</si>
  <si>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</si>
  <si>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</si>
  <si>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</si>
  <si>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</si>
  <si>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</si>
  <si>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</si>
  <si>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</si>
  <si>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</si>
  <si>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</si>
  <si>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</si>
  <si>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</si>
  <si>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</si>
  <si>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</si>
  <si>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</si>
  <si>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</si>
  <si>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</si>
  <si>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</si>
  <si>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</si>
  <si>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</si>
  <si>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</si>
  <si>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</si>
  <si>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</si>
  <si>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</si>
  <si>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</si>
  <si>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</si>
  <si>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</si>
  <si>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</si>
  <si>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</si>
  <si>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</si>
  <si>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</si>
  <si>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</si>
  <si>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</si>
  <si>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</si>
  <si>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</si>
  <si>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</si>
  <si>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</si>
  <si>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</si>
  <si>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</si>
  <si>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</si>
  <si>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</si>
  <si>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</si>
  <si>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</si>
  <si>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</si>
  <si>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</si>
  <si>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</si>
  <si>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</si>
  <si>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</si>
  <si>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</si>
  <si>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</si>
  <si>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</si>
  <si>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</si>
  <si>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</si>
  <si>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</si>
  <si>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</si>
  <si>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</si>
  <si>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</si>
  <si>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</si>
  <si>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</si>
  <si>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</si>
  <si>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</si>
  <si>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</si>
  <si>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</si>
  <si>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</si>
  <si>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</si>
  <si>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</si>
  <si>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</si>
  <si>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</si>
  <si>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</si>
  <si>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</si>
  <si>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</si>
  <si>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</si>
  <si>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</si>
  <si>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</si>
  <si>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</si>
  <si>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</si>
  <si>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</si>
  <si>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</si>
  <si>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</si>
  <si>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</si>
  <si>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</si>
  <si>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</si>
  <si>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</si>
  <si>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</si>
  <si>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</si>
  <si>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</si>
  <si>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</si>
  <si>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</si>
  <si>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</si>
  <si>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</si>
  <si>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</si>
  <si>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</si>
  <si>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</si>
  <si>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</si>
  <si>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</si>
  <si>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</si>
  <si>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</si>
  <si>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</si>
  <si>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</si>
  <si>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</si>
  <si>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</si>
  <si>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</si>
  <si>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</si>
  <si>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</si>
  <si>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</si>
  <si>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</si>
  <si>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</si>
  <si>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</si>
  <si>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</si>
  <si>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</si>
  <si>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</si>
  <si>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</si>
  <si>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</si>
  <si>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</si>
  <si>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</si>
  <si>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</si>
  <si>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</si>
  <si>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</si>
  <si>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</si>
  <si>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</si>
  <si>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</si>
  <si>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</si>
  <si>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</si>
  <si>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</si>
  <si>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</si>
  <si>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</si>
  <si>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</si>
  <si>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</si>
  <si>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</si>
  <si>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</si>
  <si>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</si>
  <si>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</si>
  <si>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</si>
  <si>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</si>
  <si>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</si>
  <si>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</si>
  <si>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</si>
  <si>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</si>
  <si>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</si>
  <si>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</si>
  <si>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</si>
  <si>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</si>
  <si>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</si>
  <si>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</si>
  <si>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</si>
  <si>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</si>
  <si>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</si>
  <si>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</si>
  <si>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</si>
  <si>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</si>
  <si>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</si>
  <si>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</si>
  <si>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</si>
  <si>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</si>
  <si>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</si>
  <si>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</si>
  <si>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</si>
  <si>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</si>
  <si>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</si>
  <si>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</si>
  <si>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</si>
  <si>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</si>
  <si>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</si>
  <si>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</si>
  <si>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</si>
  <si>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</si>
  <si>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</si>
  <si>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</si>
  <si>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</si>
  <si>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</si>
  <si>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</si>
  <si>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</si>
  <si>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</si>
  <si>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</si>
  <si>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</si>
  <si>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</si>
  <si>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</si>
  <si>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</si>
  <si>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</si>
  <si>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</si>
  <si>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</si>
  <si>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</si>
  <si>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</si>
  <si>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</si>
  <si>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</si>
  <si>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</si>
  <si>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</si>
  <si>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</si>
  <si>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</si>
  <si>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</si>
  <si>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</si>
  <si>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</si>
  <si>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</si>
  <si>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</si>
  <si>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</si>
  <si>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</si>
  <si>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</si>
  <si>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</si>
  <si>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</si>
  <si>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</si>
  <si>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</si>
  <si>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</si>
  <si>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</si>
  <si>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</si>
  <si>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</si>
  <si>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</si>
  <si>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</si>
  <si>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</si>
  <si>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</si>
  <si>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</si>
  <si>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</si>
  <si>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</si>
  <si>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</si>
  <si>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</si>
  <si>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</si>
  <si>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</si>
  <si>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</si>
  <si>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</si>
  <si>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</si>
  <si>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</si>
  <si>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</si>
  <si>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</si>
  <si>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</si>
  <si>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</si>
  <si>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</si>
  <si>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</si>
  <si>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</si>
  <si>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</si>
  <si>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</si>
  <si>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</si>
  <si>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</si>
  <si>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</si>
  <si>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</si>
  <si>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</si>
  <si>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</si>
  <si>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</si>
  <si>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</si>
  <si>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</si>
  <si>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</si>
  <si>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</si>
  <si>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</si>
  <si>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</si>
  <si>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</si>
  <si>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</si>
  <si>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</si>
  <si>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</si>
  <si>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</si>
  <si>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</si>
  <si>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</si>
  <si>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</si>
  <si>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</si>
  <si>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</si>
  <si>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</si>
  <si>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</si>
  <si>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</si>
  <si>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</si>
  <si>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</si>
  <si>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</si>
  <si>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</si>
  <si>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</si>
  <si>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</si>
  <si>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</si>
  <si>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</si>
  <si>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</si>
  <si>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</si>
  <si>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</si>
  <si>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</si>
  <si>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</si>
  <si>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</si>
  <si>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</si>
  <si>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</si>
  <si>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</si>
  <si>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</si>
  <si>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</si>
  <si>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</si>
  <si>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</si>
  <si>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</si>
  <si>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</si>
  <si>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</si>
  <si>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</si>
  <si>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</si>
  <si>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</si>
  <si>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</si>
  <si>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</si>
  <si>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</si>
  <si>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</si>
  <si>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</si>
  <si>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</si>
  <si>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</si>
  <si>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</si>
  <si>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</si>
  <si>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</si>
  <si>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</si>
  <si>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</si>
  <si>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</si>
  <si>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</si>
  <si>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</si>
  <si>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</si>
  <si>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</si>
  <si>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</si>
  <si>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</si>
  <si>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</si>
  <si>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</si>
  <si>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</si>
  <si>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</si>
  <si>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</si>
  <si>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</si>
  <si>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</si>
  <si>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</si>
  <si>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</si>
  <si>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</si>
  <si>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</si>
  <si>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</si>
  <si>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</si>
  <si>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</si>
  <si>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</si>
  <si>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</si>
  <si>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</si>
  <si>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</si>
  <si>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</si>
  <si>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</si>
  <si>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</si>
  <si>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</si>
  <si>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</si>
  <si>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</si>
  <si>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</si>
  <si>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</si>
  <si>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</si>
  <si>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</si>
  <si>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</si>
  <si>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</si>
  <si>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</si>
  <si>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</si>
  <si>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</si>
  <si>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</si>
  <si>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</si>
  <si>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</si>
  <si>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</si>
  <si>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</si>
  <si>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</si>
  <si>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</si>
  <si>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</si>
  <si>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</si>
  <si>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</si>
  <si>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</si>
  <si>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</si>
  <si>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</si>
  <si>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</si>
  <si>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</si>
  <si>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</si>
  <si>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</si>
  <si>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</si>
  <si>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</si>
  <si>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</si>
  <si>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</si>
  <si>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</si>
  <si>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</si>
  <si>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</si>
  <si>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</si>
  <si>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</si>
  <si>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</si>
  <si>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</si>
  <si>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</si>
  <si>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</si>
  <si>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</si>
  <si>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</si>
  <si>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</si>
  <si>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</si>
  <si>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</si>
  <si>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</si>
  <si>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</si>
  <si>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</si>
  <si>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</si>
  <si>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</si>
  <si>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</si>
  <si>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</si>
  <si>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</si>
  <si>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</si>
  <si>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</si>
  <si>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</si>
  <si>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</si>
  <si>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</si>
  <si>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</si>
  <si>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</si>
  <si>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</si>
  <si>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</si>
  <si>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</si>
  <si>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</si>
  <si>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</si>
  <si>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</si>
  <si>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</si>
  <si>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</si>
  <si>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</si>
  <si>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</si>
  <si>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</si>
  <si>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</si>
  <si>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</si>
  <si>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</si>
  <si>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</si>
  <si>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</si>
  <si>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</si>
  <si>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</si>
  <si>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</si>
  <si>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</si>
  <si>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</si>
  <si>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</si>
  <si>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</si>
  <si>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</si>
  <si>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</si>
  <si>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</si>
  <si>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</si>
  <si>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</si>
  <si>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</si>
  <si>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</si>
  <si>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</si>
  <si>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</si>
  <si>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</si>
  <si>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</si>
  <si>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</si>
  <si>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</si>
  <si>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</si>
  <si>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</si>
  <si>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</si>
  <si>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</si>
  <si>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</si>
  <si>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</si>
  <si>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</si>
  <si>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</si>
  <si>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</si>
  <si>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</si>
  <si>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</si>
  <si>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</si>
  <si>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</si>
  <si>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</si>
  <si>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</si>
  <si>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</si>
  <si>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</si>
  <si>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</si>
  <si>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</si>
  <si>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</si>
  <si>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</si>
  <si>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</si>
  <si>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</si>
  <si>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</si>
  <si>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</si>
  <si>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</si>
  <si>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</si>
  <si>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</si>
  <si>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</si>
  <si>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</si>
  <si>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</si>
  <si>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</si>
  <si>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</si>
  <si>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</si>
  <si>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</si>
  <si>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</si>
  <si>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</si>
  <si>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</si>
  <si>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</si>
  <si>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</si>
  <si>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</si>
  <si>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</si>
  <si>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</si>
  <si>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</si>
  <si>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</si>
  <si>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</si>
  <si>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</si>
  <si>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</si>
  <si>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</si>
  <si>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</si>
  <si>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</si>
  <si>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</si>
  <si>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</si>
  <si>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</si>
  <si>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</si>
  <si>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</si>
  <si>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</si>
  <si>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</si>
  <si>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</si>
  <si>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</si>
  <si>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</si>
  <si>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</si>
  <si>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</si>
  <si>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</si>
  <si>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</si>
  <si>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</si>
  <si>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</si>
  <si>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</si>
  <si>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</si>
  <si>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</si>
  <si>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</si>
  <si>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</si>
  <si>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</si>
  <si>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</si>
  <si>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</si>
  <si>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</si>
  <si>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</si>
  <si>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</si>
  <si>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</si>
  <si>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</si>
  <si>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</si>
  <si>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</si>
  <si>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</si>
  <si>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</si>
  <si>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</si>
  <si>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</si>
  <si>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</si>
  <si>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</si>
  <si>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</si>
  <si>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</si>
  <si>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</si>
  <si>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</si>
  <si>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</si>
  <si>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</si>
  <si>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</si>
  <si>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</si>
  <si>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</si>
  <si>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</si>
  <si>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</si>
  <si>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</si>
  <si>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</si>
  <si>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</si>
  <si>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</si>
  <si>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</si>
  <si>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</si>
  <si>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</si>
  <si>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</si>
  <si>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</si>
  <si>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</si>
  <si>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</si>
  <si>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</si>
  <si>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</si>
  <si>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</si>
  <si>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</si>
  <si>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</si>
  <si>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</si>
  <si>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</si>
  <si>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</si>
  <si>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</si>
  <si>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</si>
  <si>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</si>
  <si>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</si>
  <si>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</si>
  <si>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</si>
  <si>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</si>
  <si>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</si>
  <si>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</si>
  <si>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</si>
  <si>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</si>
  <si>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</si>
  <si>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</si>
  <si>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</si>
  <si>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</si>
  <si>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</si>
  <si>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</si>
  <si>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</si>
  <si>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</si>
  <si>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</si>
  <si>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</si>
  <si>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</si>
  <si>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</si>
  <si>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</si>
  <si>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</si>
  <si>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</si>
  <si>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</si>
  <si>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</si>
  <si>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</si>
  <si>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</si>
  <si>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</si>
  <si>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</si>
  <si>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</si>
  <si>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</si>
  <si>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</si>
  <si>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</si>
  <si>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</si>
  <si>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</si>
  <si>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</si>
  <si>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</si>
  <si>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</si>
  <si>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</si>
  <si>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</si>
  <si>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</si>
  <si>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</si>
  <si>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</si>
  <si>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</si>
  <si>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</si>
  <si>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</si>
  <si>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</si>
  <si>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</si>
  <si>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</si>
  <si>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</si>
  <si>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</si>
  <si>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</si>
  <si>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</si>
  <si>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</si>
  <si>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</si>
  <si>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</si>
  <si>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</si>
  <si>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</si>
  <si>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</si>
  <si>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</si>
  <si>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</si>
  <si>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</si>
  <si>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</si>
  <si>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</si>
  <si>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</si>
  <si>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</si>
  <si>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</si>
  <si>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</si>
  <si>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</si>
  <si>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</si>
  <si>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</si>
  <si>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</si>
  <si>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</si>
  <si>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</si>
  <si>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</si>
  <si>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</si>
  <si>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</si>
  <si>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</si>
  <si>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</si>
  <si>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</si>
  <si>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</si>
  <si>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</si>
  <si>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</si>
  <si>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</si>
  <si>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</si>
  <si>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</si>
  <si>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</si>
  <si>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</si>
  <si>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</si>
  <si>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</si>
  <si>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</si>
  <si>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</si>
  <si>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</si>
  <si>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</si>
  <si>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</si>
  <si>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</si>
  <si>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</si>
  <si>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</si>
  <si>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</si>
  <si>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</si>
  <si>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</si>
  <si>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</si>
  <si>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</si>
  <si>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</si>
  <si>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</si>
  <si>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</si>
  <si>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</si>
  <si>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</si>
  <si>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</si>
  <si>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</si>
  <si>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</si>
  <si>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</si>
  <si>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</si>
  <si>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</si>
  <si>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</si>
  <si>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</si>
  <si>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</si>
  <si>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</si>
  <si>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</si>
  <si>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</si>
  <si>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</si>
  <si>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</si>
  <si>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</si>
  <si>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</si>
  <si>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</si>
  <si>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</si>
  <si>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</si>
  <si>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</si>
  <si>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</si>
  <si>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</si>
  <si>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</si>
  <si>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</si>
  <si>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</si>
  <si>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</si>
  <si>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</si>
  <si>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</si>
  <si>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</si>
  <si>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</si>
  <si>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</si>
  <si>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</si>
  <si>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</si>
  <si>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</si>
  <si>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</si>
  <si>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</si>
  <si>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</si>
  <si>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</si>
  <si>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</si>
  <si>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</si>
  <si>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</si>
  <si>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</si>
  <si>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</si>
  <si>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</si>
  <si>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</si>
  <si>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</si>
  <si>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</si>
  <si>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</si>
  <si>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</si>
  <si>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</si>
  <si>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</si>
  <si>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</si>
  <si>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</si>
  <si>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</si>
  <si>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</si>
  <si>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</si>
  <si>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</si>
  <si>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</si>
  <si>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</si>
  <si>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</si>
  <si>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</si>
  <si>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</si>
  <si>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</si>
  <si>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</si>
  <si>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</si>
  <si>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</si>
  <si>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</si>
  <si>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</si>
  <si>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</si>
  <si>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</si>
  <si>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</si>
  <si>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</si>
  <si>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</si>
  <si>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</si>
  <si>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</si>
  <si>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</si>
  <si>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</si>
  <si>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</si>
  <si>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</si>
  <si>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</si>
  <si>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</si>
  <si>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</si>
  <si>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</si>
  <si>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</si>
  <si>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</si>
  <si>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</si>
  <si>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</si>
  <si>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</si>
  <si>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</si>
  <si>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</si>
  <si>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</si>
  <si>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</si>
  <si>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</si>
  <si>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</si>
  <si>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</si>
  <si>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</si>
  <si>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</si>
  <si>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</si>
  <si>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</si>
  <si>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</si>
  <si>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</si>
  <si>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</si>
  <si>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</si>
  <si>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</si>
  <si>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</si>
  <si>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</si>
  <si>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</si>
  <si>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</si>
  <si>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</si>
  <si>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</si>
  <si>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</si>
  <si>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</si>
  <si>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</si>
  <si>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</si>
  <si>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</si>
  <si>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</si>
  <si>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</si>
  <si>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</si>
  <si>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</si>
  <si>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</si>
  <si>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</si>
  <si>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</si>
  <si>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</si>
  <si>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</si>
  <si>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</si>
  <si>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</si>
  <si>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</si>
  <si>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</si>
  <si>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</si>
  <si>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</si>
  <si>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</si>
  <si>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</si>
  <si>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</si>
  <si>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</si>
  <si>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</si>
  <si>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</si>
  <si>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</si>
  <si>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</si>
  <si>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</si>
  <si>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</si>
  <si>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</si>
  <si>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</si>
  <si>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</si>
  <si>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</si>
  <si>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</si>
  <si>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</si>
  <si>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</si>
  <si>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</si>
  <si>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</si>
  <si>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</si>
  <si>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</si>
  <si>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</si>
  <si>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</si>
  <si>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</si>
  <si>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</si>
  <si>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</si>
  <si>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</si>
  <si>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</si>
  <si>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</si>
  <si>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</si>
  <si>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</si>
  <si>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</si>
  <si>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</si>
  <si>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</si>
  <si>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</si>
  <si>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</si>
  <si>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</si>
  <si>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</si>
  <si>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</si>
  <si>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</si>
  <si>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</si>
  <si>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</si>
  <si>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</si>
  <si>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</si>
  <si>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</si>
  <si>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</si>
  <si>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</si>
  <si>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</si>
  <si>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</si>
  <si>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</si>
  <si>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</si>
  <si>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</si>
  <si>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</si>
  <si>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</si>
  <si>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</si>
  <si>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</si>
  <si>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</si>
  <si>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</si>
  <si>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</si>
  <si>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</si>
  <si>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</si>
  <si>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</si>
  <si>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</si>
  <si>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</si>
  <si>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</si>
  <si>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</si>
  <si>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</si>
  <si>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</si>
  <si>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</si>
  <si>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</si>
  <si>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</si>
  <si>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</si>
  <si>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</si>
  <si>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</si>
  <si>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</si>
  <si>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</si>
  <si>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</si>
  <si>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</si>
  <si>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</si>
  <si>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</si>
  <si>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</si>
  <si>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</si>
  <si>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</si>
  <si>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</si>
  <si>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</si>
  <si>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</si>
  <si>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</si>
  <si>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</si>
  <si>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</si>
  <si>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</si>
  <si>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</si>
  <si>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</si>
  <si>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</si>
  <si>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</si>
  <si>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</si>
  <si>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</si>
  <si>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</si>
  <si>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</si>
  <si>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</si>
  <si>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</si>
  <si>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</si>
  <si>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</si>
  <si>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</si>
  <si>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</si>
  <si>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</si>
  <si>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</si>
  <si>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</si>
  <si>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</si>
  <si>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</si>
  <si>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</si>
  <si>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</si>
  <si>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</si>
  <si>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</si>
  <si>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</si>
  <si>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</si>
  <si>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</si>
  <si>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</si>
  <si>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</si>
  <si>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</si>
  <si>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</si>
  <si>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</si>
  <si>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</si>
  <si>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</si>
  <si>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</si>
  <si>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</si>
  <si>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</si>
  <si>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</si>
  <si>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</si>
  <si>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</si>
  <si>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</si>
  <si>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</si>
  <si>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</si>
  <si>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</si>
  <si>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</si>
  <si>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</si>
  <si>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</si>
  <si>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</si>
  <si>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</si>
  <si>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</si>
  <si>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</si>
  <si>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</si>
  <si>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</si>
  <si>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</si>
  <si>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</si>
  <si>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</si>
  <si>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</si>
  <si>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</si>
  <si>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</si>
  <si>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</si>
  <si>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</si>
  <si>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</si>
  <si>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</si>
  <si>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</si>
  <si>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</si>
  <si>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</si>
  <si>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</si>
  <si>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</si>
  <si>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</si>
  <si>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</si>
  <si>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</si>
  <si>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</si>
  <si>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</si>
  <si>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</si>
  <si>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</si>
  <si>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</si>
  <si>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</si>
  <si>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</si>
  <si>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</si>
  <si>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</si>
  <si>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</si>
  <si>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</si>
  <si>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</si>
  <si>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</si>
  <si>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</si>
  <si>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</si>
  <si>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</si>
  <si>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</si>
  <si>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</si>
  <si>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</si>
  <si>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</si>
  <si>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</si>
  <si>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</si>
  <si>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</si>
  <si>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</si>
  <si>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</si>
  <si>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</si>
  <si>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</si>
  <si>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</si>
  <si>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</si>
  <si>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</si>
  <si>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</si>
  <si>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</si>
  <si>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</si>
  <si>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</si>
  <si>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</si>
  <si>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</si>
  <si>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</si>
  <si>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</si>
  <si>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</si>
  <si>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</si>
  <si>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</si>
  <si>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</si>
  <si>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</si>
  <si>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</si>
  <si>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</si>
  <si>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</si>
  <si>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</si>
  <si>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</si>
  <si>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</si>
  <si>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</si>
  <si>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</si>
  <si>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</si>
  <si>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</si>
  <si>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</si>
  <si>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</si>
  <si>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</si>
  <si>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</si>
  <si>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</si>
  <si>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</si>
  <si>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</si>
  <si>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</si>
  <si>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</si>
  <si>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</si>
  <si>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</si>
  <si>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</si>
  <si>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</si>
  <si>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</si>
  <si>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</si>
  <si>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</si>
  <si>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</si>
  <si>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</si>
  <si>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</si>
  <si>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</si>
  <si>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</si>
  <si>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</si>
  <si>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</si>
  <si>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</si>
  <si>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</si>
  <si>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</si>
  <si>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</si>
  <si>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</si>
  <si>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</si>
  <si>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</si>
  <si>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</si>
  <si>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</si>
  <si>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</si>
  <si>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</si>
  <si>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</si>
  <si>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</si>
  <si>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</si>
  <si>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</si>
  <si>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</si>
  <si>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</si>
  <si>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</si>
  <si>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</si>
  <si>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</si>
  <si>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</si>
  <si>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</si>
  <si>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</si>
  <si>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</si>
  <si>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</si>
  <si>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</si>
  <si>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</si>
  <si>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</si>
  <si>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</si>
  <si>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</si>
  <si>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</si>
  <si>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</si>
  <si>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</si>
  <si>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</si>
  <si>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</si>
  <si>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</si>
  <si>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</si>
  <si>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</si>
  <si>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</si>
  <si>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</si>
  <si>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</si>
  <si>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</si>
  <si>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</si>
  <si>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</si>
  <si>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</si>
  <si>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</si>
  <si>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</si>
  <si>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</si>
  <si>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</si>
  <si>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</si>
  <si>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</si>
  <si>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</si>
  <si>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</si>
  <si>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</si>
  <si>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</si>
  <si>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</si>
  <si>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</si>
  <si>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</si>
  <si>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</si>
  <si>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</si>
  <si>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</si>
  <si>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</si>
  <si>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</si>
  <si>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</si>
  <si>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</si>
  <si>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</si>
  <si>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</si>
  <si>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</si>
  <si>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</si>
  <si>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</si>
  <si>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</si>
  <si>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</si>
  <si>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</si>
  <si>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</si>
  <si>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</si>
  <si>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</si>
  <si>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</si>
  <si>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</si>
  <si>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</si>
  <si>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</si>
  <si>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</si>
  <si>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</si>
  <si>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</si>
  <si>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</si>
  <si>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</si>
  <si>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</si>
  <si>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</si>
  <si>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</si>
  <si>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</si>
  <si>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</si>
  <si>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</si>
  <si>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</si>
  <si>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</si>
  <si>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</si>
  <si>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</si>
  <si>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</si>
  <si>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</si>
  <si>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</si>
  <si>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</si>
  <si>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</si>
  <si>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</si>
  <si>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</si>
  <si>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</si>
  <si>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</si>
  <si>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</si>
  <si>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</si>
  <si>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</si>
  <si>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</si>
  <si>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</si>
  <si>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</si>
  <si>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</si>
  <si>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</si>
  <si>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</si>
  <si>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</si>
  <si>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</si>
  <si>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</si>
  <si>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</si>
  <si>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</si>
  <si>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</si>
  <si>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</si>
  <si>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</si>
  <si>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</si>
  <si>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</si>
  <si>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</si>
  <si>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</si>
  <si>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</si>
  <si>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</si>
  <si>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</si>
  <si>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</si>
  <si>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</si>
  <si>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</si>
  <si>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</si>
  <si>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</si>
  <si>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</si>
  <si>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</si>
  <si>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</si>
  <si>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</si>
  <si>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</si>
  <si>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</si>
  <si>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</si>
  <si>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</si>
  <si>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</si>
  <si>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</si>
  <si>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</si>
  <si>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</si>
  <si>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</si>
  <si>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</si>
  <si>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</si>
  <si>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</si>
  <si>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</si>
  <si>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</si>
  <si>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</si>
  <si>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</si>
  <si>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</si>
  <si>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</si>
  <si>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</si>
  <si>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</si>
  <si>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</si>
  <si>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</si>
  <si>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</si>
  <si>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</si>
  <si>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</si>
  <si>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</si>
  <si>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</si>
  <si>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</si>
  <si>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</si>
  <si>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</si>
  <si>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</si>
  <si>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</si>
  <si>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</si>
  <si>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</si>
  <si>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</si>
  <si>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</si>
  <si>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</si>
  <si>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</si>
  <si>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</si>
  <si>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</si>
  <si>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</si>
  <si>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</si>
  <si>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</si>
  <si>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</si>
  <si>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</si>
  <si>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</si>
  <si>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</si>
  <si>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</si>
  <si>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</si>
  <si>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</si>
  <si>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</si>
  <si>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</si>
  <si>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</si>
  <si>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</si>
  <si>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</si>
  <si>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</si>
  <si>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</si>
  <si>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</si>
  <si>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</si>
  <si>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</si>
  <si>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</si>
  <si>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</si>
  <si>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</si>
  <si>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</si>
  <si>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</si>
  <si>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</si>
  <si>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</si>
  <si>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</si>
  <si>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</si>
  <si>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</si>
  <si>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</si>
  <si>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</si>
  <si>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</si>
  <si>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</si>
  <si>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</si>
  <si>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</si>
  <si>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</si>
  <si>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</si>
  <si>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</si>
  <si>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</si>
  <si>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</si>
  <si>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</si>
  <si>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</si>
  <si>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</si>
  <si>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</si>
  <si>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</si>
  <si>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</si>
  <si>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</si>
  <si>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</si>
  <si>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</si>
  <si>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</si>
  <si>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</si>
  <si>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</si>
  <si>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</si>
  <si>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</si>
  <si>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</si>
  <si>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</si>
  <si>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</si>
  <si>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</si>
  <si>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</si>
  <si>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</si>
  <si>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</si>
  <si>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</si>
  <si>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</si>
  <si>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</si>
  <si>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</si>
  <si>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</si>
  <si>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</si>
  <si>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</si>
  <si>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</si>
  <si>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</si>
  <si>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</si>
  <si>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</si>
  <si>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</si>
  <si>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</si>
  <si>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</si>
  <si>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</si>
  <si>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</si>
  <si>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</si>
  <si>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</si>
  <si>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</si>
  <si>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</si>
  <si>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</si>
  <si>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</si>
  <si>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</si>
  <si>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</si>
  <si>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</si>
  <si>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</si>
  <si>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</si>
  <si>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</si>
  <si>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</si>
  <si>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</si>
  <si>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</si>
  <si>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</si>
  <si>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</si>
  <si>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</si>
  <si>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</si>
  <si>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</si>
  <si>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</si>
  <si>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</si>
  <si>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</si>
  <si>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</si>
  <si>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</si>
  <si>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</si>
  <si>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</si>
  <si>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</si>
  <si>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</si>
  <si>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</si>
  <si>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</si>
  <si>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</si>
  <si>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</si>
  <si>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</si>
  <si>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</si>
  <si>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</si>
  <si>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</si>
  <si>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</si>
  <si>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</si>
  <si>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</si>
  <si>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</si>
  <si>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</si>
  <si>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</si>
  <si>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</si>
  <si>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</si>
  <si>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</si>
  <si>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</si>
  <si>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</si>
  <si>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</si>
  <si>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</si>
  <si>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</si>
  <si>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</si>
  <si>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</si>
  <si>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</si>
  <si>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</si>
  <si>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</si>
  <si>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</si>
  <si>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</si>
  <si>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</si>
  <si>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</si>
  <si>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</si>
  <si>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</si>
  <si>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</si>
  <si>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</si>
  <si>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</si>
  <si>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</si>
  <si>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</si>
  <si>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</si>
  <si>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</si>
  <si>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</si>
  <si>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</si>
  <si>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</si>
  <si>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</si>
  <si>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</si>
  <si>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</si>
  <si>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</si>
  <si>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</si>
  <si>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</si>
  <si>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</si>
  <si>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</si>
  <si>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</si>
  <si>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</si>
  <si>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</si>
  <si>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</si>
  <si>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</si>
  <si>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</si>
  <si>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</si>
  <si>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</si>
  <si>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</si>
  <si>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</si>
  <si>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</si>
  <si>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</si>
  <si>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</si>
  <si>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</si>
  <si>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</si>
  <si>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</si>
  <si>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</si>
  <si>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</si>
  <si>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</si>
  <si>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</si>
  <si>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</si>
  <si>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</si>
  <si>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</si>
  <si>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</si>
  <si>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</si>
  <si>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</si>
  <si>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</si>
  <si>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</si>
  <si>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</si>
  <si>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</si>
  <si>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</si>
  <si>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</si>
  <si>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</si>
  <si>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</si>
  <si>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</si>
  <si>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</si>
  <si>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</si>
  <si>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</si>
  <si>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</si>
  <si>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</si>
  <si>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</si>
  <si>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</si>
  <si>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</si>
  <si>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</si>
  <si>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</si>
  <si>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</si>
  <si>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</si>
  <si>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</si>
  <si>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</si>
  <si>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</si>
  <si>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</si>
  <si>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</si>
  <si>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</si>
  <si>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</si>
  <si>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</si>
  <si>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</si>
  <si>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</si>
  <si>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</si>
  <si>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</si>
  <si>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</si>
  <si>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</si>
  <si>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</si>
  <si>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</si>
  <si>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</si>
  <si>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</si>
  <si>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</si>
  <si>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</si>
  <si>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</si>
  <si>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</si>
  <si>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</si>
  <si>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</si>
  <si>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</si>
  <si>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</si>
  <si>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</si>
  <si>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</si>
  <si>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</si>
  <si>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</si>
  <si>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</si>
  <si>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</si>
  <si>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</si>
  <si>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</si>
  <si>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</si>
  <si>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</si>
  <si>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</si>
  <si>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</si>
  <si>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</si>
  <si>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</si>
  <si>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</si>
  <si>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</si>
  <si>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</si>
  <si>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</si>
  <si>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</si>
  <si>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</si>
  <si>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</si>
  <si>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</si>
  <si>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</si>
  <si>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</si>
  <si>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</si>
  <si>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</si>
  <si>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</si>
  <si>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</si>
  <si>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</si>
  <si>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</si>
  <si>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</si>
  <si>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</si>
  <si>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</si>
  <si>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</si>
  <si>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</si>
  <si>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</si>
  <si>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</si>
  <si>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</si>
  <si>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</si>
  <si>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</si>
  <si>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</si>
  <si>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</si>
  <si>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</si>
  <si>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</si>
  <si>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</si>
  <si>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</si>
  <si>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</si>
  <si>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</si>
  <si>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</si>
  <si>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</si>
  <si>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</si>
  <si>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</si>
  <si>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</si>
  <si>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</si>
  <si>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</si>
  <si>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</si>
  <si>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</si>
  <si>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</si>
  <si>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</si>
  <si>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</si>
  <si>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</si>
  <si>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</si>
  <si>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</si>
  <si>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</si>
  <si>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</si>
  <si>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</si>
  <si>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</si>
  <si>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</si>
  <si>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</si>
  <si>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</si>
  <si>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</si>
  <si>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</si>
  <si>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</si>
  <si>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</si>
  <si>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</si>
  <si>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</si>
  <si>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</si>
  <si>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</si>
  <si>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</si>
  <si>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</si>
  <si>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</si>
  <si>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</si>
  <si>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</si>
  <si>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</si>
  <si>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</si>
  <si>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</si>
  <si>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</si>
  <si>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</si>
  <si>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</si>
  <si>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</si>
  <si>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</si>
  <si>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</si>
  <si>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</si>
  <si>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</si>
  <si>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</si>
  <si>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</si>
  <si>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</si>
  <si>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</si>
  <si>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</si>
  <si>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</si>
  <si>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</si>
  <si>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</si>
  <si>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</si>
  <si>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</si>
  <si>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</si>
  <si>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</si>
  <si>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</si>
  <si>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</si>
  <si>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</si>
  <si>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</si>
  <si>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</si>
  <si>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</si>
  <si>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</si>
  <si>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</si>
  <si>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</si>
  <si>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</si>
  <si>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</si>
  <si>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</si>
  <si>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</si>
  <si>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</si>
  <si>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</si>
  <si>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</si>
  <si>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</si>
  <si>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</si>
  <si>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</si>
  <si>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</si>
  <si>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</si>
  <si>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</si>
  <si>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</si>
  <si>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</si>
  <si>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</si>
  <si>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</si>
  <si>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</si>
  <si>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</si>
  <si>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</si>
  <si>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</si>
  <si>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</si>
  <si>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</si>
  <si>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</si>
  <si>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</si>
  <si>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</si>
  <si>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</si>
  <si>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</si>
  <si>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</si>
  <si>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</si>
  <si>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</si>
  <si>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</si>
  <si>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</si>
  <si>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</si>
  <si>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</si>
  <si>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</si>
  <si>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</si>
  <si>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</si>
  <si>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</si>
  <si>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</si>
  <si>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</si>
  <si>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</si>
  <si>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</si>
  <si>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</si>
  <si>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</si>
  <si>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</si>
  <si>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</si>
  <si>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</si>
  <si>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</si>
  <si>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</si>
  <si>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</si>
  <si>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</si>
  <si>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</si>
  <si>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</si>
  <si>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</si>
  <si>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</si>
  <si>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</si>
  <si>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</si>
  <si>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</si>
  <si>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</si>
  <si>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</si>
  <si>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</si>
  <si>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</si>
  <si>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</si>
  <si>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</si>
  <si>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</si>
  <si>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</si>
  <si>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</si>
  <si>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</si>
  <si>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</si>
  <si>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</si>
  <si>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</si>
  <si>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</si>
  <si>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</si>
  <si>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</si>
  <si>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</si>
  <si>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</si>
  <si>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</si>
  <si>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</si>
  <si>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</si>
  <si>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</si>
  <si>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</si>
  <si>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</si>
  <si>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</si>
  <si>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</si>
  <si>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</si>
  <si>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</si>
  <si>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</si>
  <si>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</si>
  <si>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</si>
  <si>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</si>
  <si>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</si>
  <si>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</si>
  <si>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</si>
  <si>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</si>
  <si>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</si>
  <si>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</si>
  <si>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</si>
  <si>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</si>
  <si>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</si>
  <si>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</si>
  <si>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</si>
  <si>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</si>
  <si>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</si>
  <si>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</si>
  <si>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</si>
  <si>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</si>
  <si>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</si>
  <si>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</si>
  <si>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</si>
  <si>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</si>
  <si>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</si>
  <si>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</si>
  <si>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</si>
  <si>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</si>
  <si>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</si>
  <si>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</si>
  <si>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</si>
  <si>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</si>
  <si>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</si>
  <si>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</si>
  <si>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</si>
  <si>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</si>
  <si>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</si>
  <si>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</si>
  <si>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</si>
  <si>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</si>
  <si>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</si>
  <si>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</si>
  <si>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</si>
  <si>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</si>
  <si>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</si>
  <si>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</si>
  <si>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</si>
  <si>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</si>
  <si>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</si>
  <si>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</si>
  <si>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</si>
  <si>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</si>
  <si>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</si>
  <si>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</si>
  <si>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</si>
  <si>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</si>
  <si>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</si>
  <si>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</si>
  <si>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</si>
  <si>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</si>
  <si>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</si>
  <si>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</si>
  <si>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</si>
  <si>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</si>
  <si>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</si>
  <si>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</si>
  <si>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</si>
  <si>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</si>
  <si>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</si>
  <si>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</si>
  <si>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</si>
  <si>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</si>
  <si>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</si>
  <si>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</si>
  <si>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</si>
  <si>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</si>
  <si>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</si>
  <si>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</si>
  <si>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</si>
  <si>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</si>
  <si>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</si>
  <si>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</si>
  <si>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</si>
  <si>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</si>
  <si>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</si>
  <si>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</si>
  <si>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</si>
  <si>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</si>
  <si>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</si>
  <si>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</si>
  <si>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</si>
  <si>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</si>
  <si>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</si>
  <si>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</si>
  <si>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</si>
  <si>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</si>
  <si>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</si>
  <si>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</si>
  <si>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</si>
  <si>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</si>
  <si>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</si>
  <si>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</si>
  <si>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</si>
  <si>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</si>
  <si>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</si>
  <si>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</si>
  <si>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</si>
  <si>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</si>
  <si>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</si>
  <si>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</si>
  <si>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</si>
  <si>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</si>
  <si>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</si>
  <si>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</si>
  <si>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</si>
  <si>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</si>
  <si>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</si>
  <si>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</si>
  <si>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</si>
  <si>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</si>
  <si>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</si>
  <si>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</si>
  <si>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</si>
  <si>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</si>
  <si>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</si>
  <si>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</si>
  <si>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</si>
  <si>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</si>
  <si>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</si>
  <si>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</si>
  <si>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</si>
  <si>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</si>
  <si>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</si>
  <si>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</si>
  <si>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</si>
  <si>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</si>
  <si>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</si>
  <si>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</si>
  <si>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</si>
  <si>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</si>
  <si>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</si>
  <si>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</si>
  <si>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</si>
  <si>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</si>
  <si>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</si>
  <si>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</si>
  <si>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</si>
  <si>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</si>
  <si>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</si>
  <si>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</si>
  <si>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</si>
  <si>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</si>
  <si>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</si>
  <si>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</si>
  <si>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</si>
  <si>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</si>
  <si>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</si>
  <si>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</si>
  <si>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</si>
  <si>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</si>
  <si>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</si>
  <si>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</si>
  <si>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</si>
  <si>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</si>
  <si>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</si>
  <si>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</si>
  <si>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</si>
  <si>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</si>
  <si>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</si>
  <si>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</si>
  <si>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</si>
  <si>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</si>
  <si>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</si>
  <si>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</si>
  <si>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</si>
  <si>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</si>
  <si>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</si>
  <si>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</si>
  <si>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</si>
  <si>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</si>
  <si>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</si>
  <si>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</si>
  <si>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</si>
  <si>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</si>
  <si>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</si>
  <si>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</si>
  <si>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</si>
  <si>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</si>
  <si>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</si>
  <si>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</si>
  <si>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</si>
  <si>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</si>
  <si>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</si>
  <si>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</si>
  <si>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</si>
  <si>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</si>
  <si>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</si>
  <si>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</si>
  <si>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</si>
  <si>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</si>
  <si>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</si>
  <si>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</si>
  <si>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</si>
  <si>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</si>
  <si>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</si>
  <si>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</si>
  <si>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</si>
  <si>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</si>
  <si>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</si>
  <si>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</si>
  <si>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</si>
  <si>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</si>
  <si>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</si>
  <si>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</si>
  <si>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</si>
  <si>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</si>
  <si>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</si>
  <si>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</si>
  <si>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</si>
  <si>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</si>
  <si>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</si>
  <si>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</si>
  <si>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</si>
  <si>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</si>
  <si>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</si>
  <si>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</si>
  <si>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</si>
  <si>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</si>
  <si>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</si>
  <si>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</si>
  <si>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</si>
  <si>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</si>
  <si>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</si>
  <si>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</si>
  <si>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</si>
  <si>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</si>
  <si>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</si>
  <si>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</si>
  <si>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</si>
  <si>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</si>
  <si>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</si>
  <si>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</si>
  <si>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</si>
  <si>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</si>
  <si>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</si>
  <si>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</si>
  <si>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</si>
  <si>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</si>
  <si>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</si>
  <si>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</si>
  <si>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</si>
  <si>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</si>
  <si>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</si>
  <si>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</si>
  <si>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</si>
  <si>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</si>
  <si>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</si>
  <si>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</si>
  <si>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</si>
  <si>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</si>
  <si>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</si>
  <si>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</si>
  <si>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</si>
  <si>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</si>
  <si>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</si>
  <si>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</si>
  <si>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</si>
  <si>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</si>
  <si>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</si>
  <si>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</si>
  <si>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</si>
  <si>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</si>
  <si>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</si>
  <si>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</si>
  <si>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</si>
  <si>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</si>
  <si>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</si>
  <si>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</si>
  <si>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</si>
  <si>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</si>
  <si>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</si>
  <si>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</si>
  <si>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</si>
  <si>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</si>
  <si>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</si>
  <si>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</si>
  <si>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</si>
  <si>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</si>
  <si>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</si>
  <si>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</si>
  <si>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</si>
  <si>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</si>
  <si>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</si>
  <si>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</si>
  <si>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</si>
  <si>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</si>
  <si>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</si>
  <si>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</si>
  <si>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</si>
  <si>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</si>
  <si>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</si>
  <si>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</si>
  <si>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</si>
  <si>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</si>
  <si>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</si>
  <si>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</si>
  <si>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</si>
  <si>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</si>
  <si>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</si>
  <si>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</si>
  <si>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</si>
  <si>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</si>
  <si>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</si>
  <si>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</si>
  <si>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</si>
  <si>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</si>
  <si>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</si>
  <si>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</si>
  <si>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</si>
  <si>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</si>
  <si>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</si>
  <si>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</si>
  <si>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</si>
  <si>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</si>
  <si>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</si>
  <si>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</si>
  <si>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</si>
  <si>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</si>
  <si>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</si>
  <si>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</si>
  <si>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</si>
  <si>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</si>
  <si>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</si>
  <si>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</si>
  <si>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</si>
  <si>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</si>
  <si>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</si>
  <si>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</si>
  <si>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</si>
  <si>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</si>
  <si>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</si>
  <si>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</si>
  <si>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</si>
  <si>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</si>
  <si>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</si>
  <si>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</si>
  <si>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</si>
  <si>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</si>
  <si>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</si>
  <si>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</si>
  <si>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</si>
  <si>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</si>
  <si>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</si>
  <si>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</si>
  <si>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</si>
  <si>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</si>
  <si>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</si>
  <si>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</si>
  <si>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</si>
  <si>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</si>
  <si>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</si>
  <si>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</si>
  <si>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</si>
  <si>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</si>
  <si>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</si>
  <si>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</si>
  <si>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</si>
  <si>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</si>
  <si>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</si>
  <si>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</si>
  <si>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</si>
  <si>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</si>
  <si>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</si>
  <si>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</si>
  <si>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</si>
  <si>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</si>
  <si>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</si>
  <si>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</si>
  <si>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</si>
  <si>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</si>
  <si>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</si>
  <si>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</si>
  <si>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</si>
  <si>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</si>
  <si>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</si>
  <si>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</si>
  <si>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</si>
  <si>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</si>
  <si>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</si>
  <si>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</si>
  <si>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</si>
  <si>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</si>
  <si>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</si>
  <si>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</si>
  <si>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</si>
  <si>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</si>
  <si>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</si>
  <si>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</si>
  <si>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</si>
  <si>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</si>
  <si>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</si>
  <si>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</si>
  <si>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</si>
  <si>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</si>
  <si>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</si>
  <si>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</si>
  <si>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</si>
  <si>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</si>
  <si>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</si>
  <si>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</si>
  <si>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</si>
  <si>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</si>
  <si>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</si>
  <si>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</si>
  <si>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</si>
  <si>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</si>
  <si>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</si>
  <si>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</si>
  <si>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</si>
  <si>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</si>
  <si>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</si>
  <si>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</si>
  <si>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</si>
  <si>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</si>
  <si>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</si>
  <si>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</si>
  <si>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</si>
  <si>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</si>
  <si>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</si>
  <si>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</si>
  <si>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</si>
  <si>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</si>
  <si>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</si>
  <si>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</si>
  <si>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</si>
  <si>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</si>
  <si>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</si>
  <si>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</si>
  <si>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</si>
  <si>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</si>
  <si>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</si>
  <si>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</si>
  <si>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</si>
  <si>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</si>
  <si>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</si>
  <si>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</si>
  <si>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</si>
  <si>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</si>
  <si>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</si>
  <si>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</si>
  <si>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</si>
  <si>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</si>
  <si>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</si>
  <si>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</si>
  <si>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</si>
  <si>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</si>
  <si>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</si>
  <si>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</si>
  <si>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</si>
  <si>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</si>
  <si>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</si>
  <si>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</si>
  <si>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</si>
  <si>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</si>
  <si>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</si>
  <si>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</si>
  <si>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</si>
  <si>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</si>
  <si>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</si>
  <si>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</si>
  <si>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</si>
  <si>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</si>
  <si>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</si>
  <si>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</si>
  <si>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</si>
  <si>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</si>
  <si>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</si>
  <si>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</si>
  <si>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</si>
  <si>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</si>
  <si>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</si>
  <si>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</si>
  <si>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</si>
  <si>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</si>
  <si>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</si>
  <si>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</si>
  <si>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</si>
  <si>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</si>
  <si>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</si>
  <si>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</si>
  <si>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</si>
  <si>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</si>
  <si>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</si>
  <si>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</si>
  <si>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</si>
  <si>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</si>
  <si>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</si>
  <si>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</si>
  <si>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</si>
  <si>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</si>
  <si>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</si>
  <si>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</si>
  <si>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</si>
  <si>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</si>
  <si>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</si>
  <si>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</si>
  <si>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</si>
  <si>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</si>
  <si>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</si>
  <si>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</si>
  <si>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</si>
  <si>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</si>
  <si>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</si>
  <si>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</si>
  <si>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</si>
  <si>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</si>
  <si>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</si>
  <si>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</si>
  <si>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</si>
  <si>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</si>
  <si>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</si>
  <si>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</si>
  <si>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</si>
  <si>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</si>
  <si>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</si>
  <si>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</si>
  <si>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</si>
  <si>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</si>
  <si>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</si>
  <si>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</si>
  <si>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</si>
  <si>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</si>
  <si>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</si>
  <si>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</si>
  <si>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</si>
  <si>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</si>
  <si>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</si>
  <si>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</si>
  <si>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</si>
  <si>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</si>
  <si>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</si>
  <si>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</si>
  <si>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</si>
  <si>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</si>
  <si>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</si>
  <si>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</si>
  <si>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</si>
  <si>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</si>
  <si>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</si>
  <si>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</si>
  <si>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</si>
  <si>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</si>
  <si>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</si>
  <si>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</si>
  <si>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</si>
  <si>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</si>
  <si>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</si>
  <si>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</si>
  <si>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</si>
  <si>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</si>
  <si>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</si>
  <si>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</si>
  <si>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</si>
  <si>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</si>
  <si>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</si>
  <si>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</si>
  <si>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</si>
  <si>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</si>
  <si>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</si>
  <si>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</si>
  <si>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</si>
  <si>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</si>
  <si>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</si>
  <si>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</si>
  <si>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</si>
  <si>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</si>
  <si>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</si>
  <si>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</si>
  <si>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</si>
  <si>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</si>
  <si>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</si>
  <si>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</si>
  <si>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</si>
  <si>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</si>
  <si>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</si>
  <si>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</si>
  <si>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</si>
  <si>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</si>
  <si>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</si>
  <si>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</si>
  <si>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</si>
  <si>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</si>
  <si>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</si>
  <si>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</si>
  <si>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</si>
  <si>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</si>
  <si>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</si>
  <si>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</si>
  <si>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</si>
  <si>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</si>
  <si>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</si>
  <si>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</si>
  <si>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</si>
  <si>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</si>
  <si>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</si>
  <si>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</si>
  <si>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</si>
  <si>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</si>
  <si>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</si>
  <si>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</si>
  <si>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</si>
  <si>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</si>
  <si>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</si>
  <si>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</si>
  <si>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</si>
  <si>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</si>
  <si>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</si>
  <si>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</si>
  <si>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</si>
  <si>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</si>
  <si>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</si>
  <si>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</si>
  <si>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</si>
  <si>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</si>
  <si>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</si>
  <si>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</si>
  <si>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</si>
  <si>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</si>
  <si>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</si>
  <si>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</si>
  <si>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</si>
  <si>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</si>
  <si>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</si>
  <si>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</si>
  <si>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</si>
  <si>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</si>
  <si>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</si>
  <si>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</si>
  <si>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</si>
  <si>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</si>
  <si>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</si>
  <si>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</si>
  <si>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</si>
  <si>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</si>
  <si>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</si>
  <si>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</si>
  <si>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</si>
  <si>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</si>
  <si>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</si>
  <si>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</si>
  <si>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</si>
  <si>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</si>
  <si>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</si>
  <si>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</si>
  <si>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</si>
  <si>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</si>
  <si>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</si>
  <si>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</si>
  <si>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</si>
  <si>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</si>
  <si>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</si>
  <si>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</si>
  <si>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</si>
  <si>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</si>
  <si>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</si>
  <si>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</si>
  <si>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</si>
  <si>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</si>
  <si>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</si>
  <si>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</si>
  <si>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</si>
  <si>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</si>
  <si>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</si>
  <si>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</si>
  <si>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</si>
  <si>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</si>
  <si>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</si>
  <si>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</si>
  <si>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</si>
  <si>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</si>
  <si>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</si>
  <si>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</si>
  <si>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</si>
  <si>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</si>
  <si>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</si>
  <si>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</si>
  <si>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</si>
  <si>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</si>
  <si>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</si>
  <si>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</si>
  <si>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</si>
  <si>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</si>
  <si>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</si>
  <si>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</si>
  <si>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</si>
  <si>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</si>
  <si>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</si>
  <si>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</si>
  <si>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</si>
  <si>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</si>
  <si>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</si>
  <si>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</si>
  <si>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</si>
  <si>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</si>
  <si>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</si>
  <si>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</si>
  <si>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</si>
  <si>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</si>
  <si>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</si>
  <si>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</si>
  <si>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</si>
  <si>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</si>
  <si>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</si>
  <si>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</si>
  <si>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</si>
  <si>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</si>
  <si>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</si>
  <si>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</si>
  <si>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</si>
  <si>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</si>
  <si>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</si>
  <si>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</si>
  <si>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</si>
  <si>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</si>
  <si>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</si>
  <si>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</si>
  <si>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</si>
  <si>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</si>
  <si>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</si>
  <si>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</si>
  <si>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</si>
  <si>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</si>
  <si>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</si>
  <si>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</si>
  <si>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</si>
  <si>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</si>
  <si>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</si>
  <si>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</si>
  <si>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</si>
  <si>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</si>
  <si>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</si>
  <si>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</si>
  <si>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</si>
  <si>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</si>
  <si>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</si>
  <si>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</si>
  <si>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</si>
  <si>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</si>
  <si>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</si>
  <si>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</si>
  <si>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</si>
  <si>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</si>
  <si>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</si>
  <si>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</si>
  <si>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</si>
  <si>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</si>
  <si>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</si>
  <si>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</si>
  <si>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</si>
  <si>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</si>
  <si>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</si>
  <si>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</si>
  <si>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</si>
  <si>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</si>
  <si>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</si>
  <si>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</si>
  <si>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</si>
  <si>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</si>
  <si>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</si>
  <si>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</si>
  <si>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</si>
  <si>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</si>
  <si>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</si>
  <si>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</si>
  <si>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</si>
  <si>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</si>
  <si>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</si>
  <si>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</si>
  <si>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</si>
  <si>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</si>
  <si>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</si>
  <si>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</si>
  <si>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</si>
  <si>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</si>
  <si>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</si>
  <si>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</si>
  <si>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</si>
  <si>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</si>
  <si>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</si>
  <si>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</si>
  <si>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</si>
  <si>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</si>
  <si>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</si>
  <si>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</si>
  <si>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</si>
  <si>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</si>
  <si>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</si>
  <si>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</si>
  <si>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</si>
  <si>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</si>
  <si>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</si>
  <si>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</si>
  <si>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</si>
  <si>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</si>
  <si>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</si>
  <si>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</si>
  <si>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</si>
  <si>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</si>
  <si>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</si>
  <si>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</si>
  <si>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</si>
  <si>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</si>
  <si>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</si>
  <si>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</si>
  <si>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</si>
  <si>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</si>
  <si>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</si>
  <si>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</si>
  <si>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</si>
  <si>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</si>
  <si>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</si>
  <si>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</si>
  <si>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</si>
  <si>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</si>
  <si>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</si>
  <si>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</si>
  <si>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</si>
  <si>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</si>
  <si>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</si>
  <si>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</si>
  <si>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</si>
  <si>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</si>
  <si>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</si>
  <si>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</si>
  <si>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</si>
  <si>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</si>
  <si>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</si>
  <si>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</si>
  <si>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</si>
  <si>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</si>
  <si>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</si>
  <si>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</si>
  <si>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</si>
  <si>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</si>
  <si>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</si>
  <si>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</si>
  <si>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</si>
  <si>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</si>
  <si>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</si>
  <si>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</si>
  <si>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</si>
  <si>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</si>
  <si>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</si>
  <si>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</si>
  <si>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</si>
  <si>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</si>
  <si>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</si>
  <si>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</si>
  <si>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</si>
  <si>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</si>
  <si>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</si>
  <si>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</si>
  <si>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</si>
  <si>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</si>
  <si>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</si>
  <si>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</si>
  <si>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</si>
  <si>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</si>
  <si>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</si>
  <si>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</si>
  <si>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</si>
  <si>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</si>
  <si>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</si>
  <si>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</si>
  <si>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</si>
  <si>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</si>
  <si>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</si>
  <si>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</si>
  <si>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</si>
  <si>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</si>
  <si>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</si>
  <si>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</si>
  <si>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</si>
  <si>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</si>
  <si>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</si>
  <si>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</si>
  <si>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</si>
  <si>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</si>
  <si>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</si>
  <si>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</si>
  <si>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</si>
  <si>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</si>
  <si>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</si>
  <si>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</si>
  <si>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</si>
  <si>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</si>
  <si>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</si>
  <si>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</si>
  <si>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</si>
  <si>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</si>
  <si>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</si>
  <si>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</si>
  <si>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</si>
  <si>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</si>
  <si>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</si>
  <si>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</si>
  <si>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</si>
  <si>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</si>
  <si>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</si>
  <si>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</si>
  <si>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</si>
  <si>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</si>
  <si>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</si>
  <si>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</si>
  <si>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</si>
  <si>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</si>
  <si>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</si>
  <si>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</si>
  <si>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</si>
  <si>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</si>
  <si>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</si>
  <si>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</si>
  <si>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</si>
  <si>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</si>
  <si>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</si>
  <si>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</si>
  <si>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</si>
  <si>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</si>
  <si>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</si>
  <si>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</si>
  <si>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</si>
  <si>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</si>
  <si>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</si>
  <si>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</si>
  <si>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</si>
  <si>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</si>
  <si>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</si>
  <si>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</si>
  <si>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</si>
  <si>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</si>
  <si>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</si>
  <si>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</si>
  <si>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</si>
  <si>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</si>
  <si>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</si>
  <si>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</si>
  <si>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</si>
  <si>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</si>
  <si>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</si>
  <si>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</si>
  <si>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</si>
  <si>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</si>
  <si>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</si>
  <si>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</si>
  <si>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</si>
  <si>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</si>
  <si>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</si>
  <si>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</si>
  <si>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</si>
  <si>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</si>
  <si>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</si>
  <si>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</si>
  <si>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</si>
  <si>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</si>
  <si>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</si>
  <si>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</si>
  <si>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</si>
  <si>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</si>
  <si>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</si>
  <si>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</si>
  <si>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</si>
  <si>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</si>
  <si>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</si>
  <si>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</si>
  <si>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</si>
  <si>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</si>
  <si>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</si>
  <si>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</si>
  <si>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</si>
  <si>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</si>
  <si>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</si>
  <si>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</si>
  <si>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</si>
  <si>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</si>
  <si>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</si>
  <si>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</si>
  <si>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</si>
  <si>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</si>
  <si>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</si>
  <si>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</si>
  <si>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</si>
  <si>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</si>
  <si>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</si>
  <si>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</si>
  <si>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</si>
  <si>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</si>
  <si>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</si>
  <si>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</si>
  <si>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</si>
  <si>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</si>
  <si>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</si>
  <si>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</si>
  <si>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</si>
  <si>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</si>
  <si>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</si>
  <si>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</si>
  <si>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</si>
  <si>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</si>
  <si>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</si>
  <si>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</si>
  <si>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</si>
  <si>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</si>
  <si>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</si>
  <si>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</si>
  <si>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</si>
  <si>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</si>
  <si>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</si>
  <si>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</si>
  <si>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</si>
  <si>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</si>
  <si>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</si>
  <si>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</si>
  <si>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</si>
  <si>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</si>
  <si>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</si>
  <si>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</si>
  <si>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</si>
  <si>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</si>
  <si>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</si>
  <si>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</si>
  <si>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</si>
  <si>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</si>
  <si>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</si>
  <si>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</si>
  <si>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</si>
  <si>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</si>
  <si>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</si>
  <si>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</si>
  <si>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</si>
  <si>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</si>
  <si>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</si>
  <si>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</si>
  <si>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</si>
  <si>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</si>
  <si>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</si>
  <si>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</si>
  <si>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</si>
  <si>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</si>
  <si>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</si>
  <si>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</si>
  <si>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</si>
  <si>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</si>
  <si>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</si>
  <si>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</si>
  <si>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</si>
  <si>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</si>
  <si>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</si>
  <si>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</si>
  <si>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</si>
  <si>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</si>
  <si>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</si>
  <si>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</si>
  <si>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</si>
  <si>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</si>
  <si>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</si>
  <si>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</si>
  <si>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</si>
  <si>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</si>
  <si>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</si>
  <si>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</si>
  <si>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</si>
  <si>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</si>
  <si>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</si>
  <si>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</si>
  <si>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</si>
  <si>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</si>
  <si>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</si>
  <si>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</si>
  <si>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</si>
  <si>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</si>
  <si>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</si>
  <si>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</si>
  <si>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</si>
  <si>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</si>
  <si>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</si>
  <si>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</si>
  <si>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</si>
  <si>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</si>
  <si>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</si>
  <si>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</si>
  <si>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</si>
  <si>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</si>
  <si>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</si>
  <si>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</si>
  <si>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</si>
  <si>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</si>
  <si>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</si>
  <si>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</si>
  <si>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</si>
  <si>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</si>
  <si>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</si>
  <si>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</si>
  <si>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</si>
  <si>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</si>
  <si>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</si>
  <si>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</si>
  <si>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</si>
  <si>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</si>
  <si>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</si>
  <si>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</si>
  <si>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</si>
  <si>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</si>
  <si>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</si>
  <si>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</si>
  <si>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</si>
  <si>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</si>
  <si>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</si>
  <si>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</si>
  <si>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</si>
  <si>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</si>
  <si>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</si>
  <si>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</si>
  <si>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</si>
  <si>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</si>
  <si>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</si>
  <si>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</si>
  <si>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</si>
  <si>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</si>
  <si>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</si>
  <si>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</si>
  <si>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</si>
  <si>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</si>
  <si>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</si>
  <si>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</si>
  <si>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</si>
  <si>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</si>
  <si>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</si>
  <si>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</si>
  <si>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</si>
  <si>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</si>
  <si>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</si>
  <si>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</si>
  <si>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</si>
  <si>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</si>
  <si>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</si>
  <si>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</si>
  <si>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</si>
  <si>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</si>
  <si>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</si>
  <si>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</si>
  <si>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</si>
  <si>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</si>
  <si>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</si>
  <si>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</si>
  <si>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</si>
  <si>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</si>
  <si>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</si>
  <si>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</si>
  <si>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</si>
  <si>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</si>
  <si>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</si>
  <si>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</si>
  <si>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</si>
  <si>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</si>
  <si>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</si>
  <si>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</si>
  <si>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</si>
  <si>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</si>
  <si>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</si>
  <si>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</si>
  <si>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</si>
  <si>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</si>
  <si>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</si>
  <si>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</si>
  <si>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</si>
  <si>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</si>
  <si>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</si>
  <si>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</si>
  <si>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</si>
  <si>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</si>
  <si>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</si>
  <si>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</si>
  <si>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</si>
  <si>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</si>
  <si>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</si>
  <si>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</si>
  <si>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</si>
  <si>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</si>
  <si>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</si>
  <si>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</si>
  <si>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</si>
  <si>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</si>
  <si>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</si>
  <si>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</si>
  <si>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</si>
  <si>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</si>
  <si>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</si>
  <si>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</si>
  <si>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</si>
  <si>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</si>
  <si>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</si>
  <si>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</si>
  <si>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</si>
  <si>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</si>
  <si>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</si>
  <si>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</si>
  <si>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</si>
  <si>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</si>
  <si>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</si>
  <si>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</si>
  <si>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</si>
  <si>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</si>
  <si>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</si>
  <si>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</si>
  <si>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</si>
  <si>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</si>
  <si>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</si>
  <si>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</si>
  <si>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</si>
  <si>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</si>
  <si>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</si>
  <si>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</si>
  <si>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</si>
  <si>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</si>
  <si>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</si>
  <si>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</si>
  <si>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</si>
  <si>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</si>
  <si>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</si>
  <si>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</si>
  <si>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</si>
  <si>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</si>
  <si>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</si>
  <si>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</si>
  <si>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</si>
  <si>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</si>
  <si>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</si>
  <si>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</si>
  <si>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</si>
  <si>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</si>
  <si>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</si>
  <si>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</si>
  <si>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</si>
  <si>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</si>
  <si>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</si>
  <si>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</si>
  <si>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</si>
  <si>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</si>
  <si>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</si>
  <si>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</si>
  <si>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</si>
  <si>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</si>
  <si>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</si>
  <si>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</si>
  <si>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</si>
  <si>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</si>
  <si>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</si>
  <si>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</si>
  <si>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</si>
  <si>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</si>
  <si>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</si>
  <si>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</si>
  <si>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</si>
  <si>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</si>
  <si>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</si>
  <si>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</si>
  <si>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</si>
  <si>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</si>
  <si>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</si>
  <si>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</si>
  <si>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</si>
  <si>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</si>
  <si>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</si>
  <si>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</si>
  <si>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</si>
  <si>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</si>
  <si>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</si>
  <si>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</si>
  <si>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</si>
  <si>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</si>
  <si>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</si>
  <si>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</si>
  <si>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</si>
  <si>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</si>
  <si>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</si>
  <si>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</si>
  <si>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</si>
  <si>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</si>
  <si>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</si>
  <si>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</si>
  <si>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</si>
  <si>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</si>
  <si>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</si>
  <si>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</si>
  <si>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</si>
  <si>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</si>
  <si>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</si>
  <si>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</si>
  <si>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</si>
  <si>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</si>
  <si>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</si>
  <si>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</si>
  <si>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</si>
  <si>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</si>
  <si>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</si>
  <si>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</si>
  <si>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</si>
  <si>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</si>
  <si>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</si>
  <si>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</si>
  <si>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</si>
  <si>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</si>
  <si>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</si>
  <si>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</si>
  <si>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</si>
  <si>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</si>
  <si>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</si>
  <si>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</si>
  <si>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</si>
  <si>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</si>
  <si>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</si>
  <si>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</si>
  <si>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</si>
  <si>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</si>
  <si>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</si>
  <si>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</si>
  <si>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</si>
  <si>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</si>
  <si>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</si>
  <si>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</si>
  <si>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</si>
  <si>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</si>
  <si>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</si>
  <si>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</si>
  <si>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</si>
  <si>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</si>
  <si>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</si>
  <si>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</si>
  <si>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</si>
  <si>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</si>
  <si>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</si>
  <si>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</si>
  <si>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</si>
  <si>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</si>
  <si>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</si>
  <si>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</si>
  <si>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</si>
  <si>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</si>
  <si>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</si>
  <si>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</si>
  <si>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</si>
  <si>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</si>
  <si>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</si>
  <si>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</si>
  <si>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</si>
  <si>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</si>
  <si>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</si>
  <si>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</si>
  <si>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</si>
  <si>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</si>
  <si>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</si>
  <si>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</si>
  <si>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</si>
  <si>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</si>
  <si>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</si>
  <si>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</si>
  <si>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</si>
  <si>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</si>
  <si>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</si>
  <si>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</si>
  <si>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</si>
  <si>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</si>
  <si>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</si>
  <si>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</si>
  <si>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</si>
  <si>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</si>
  <si>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</si>
  <si>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</si>
  <si>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</si>
  <si>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</si>
  <si>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</si>
  <si>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</si>
  <si>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</si>
  <si>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</si>
  <si>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</si>
  <si>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</si>
  <si>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</si>
  <si>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</si>
  <si>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</si>
  <si>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</si>
  <si>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</si>
  <si>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</si>
  <si>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</si>
  <si>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</si>
  <si>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</si>
  <si>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</si>
  <si>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</si>
  <si>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</si>
  <si>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</si>
  <si>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</si>
  <si>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</si>
  <si>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</si>
  <si>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</si>
  <si>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</si>
  <si>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</si>
  <si>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</si>
  <si>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</si>
  <si>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</si>
  <si>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</si>
  <si>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</si>
  <si>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</si>
  <si>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</si>
  <si>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</si>
  <si>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</si>
  <si>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</si>
  <si>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</si>
  <si>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</si>
  <si>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</si>
  <si>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</si>
  <si>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</si>
  <si>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</si>
  <si>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</si>
  <si>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</si>
  <si>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</si>
  <si>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</si>
  <si>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</si>
  <si>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</si>
  <si>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</si>
  <si>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</si>
  <si>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</si>
  <si>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</si>
  <si>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</si>
  <si>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</si>
  <si>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</si>
  <si>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</si>
  <si>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</si>
  <si>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</si>
  <si>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</si>
  <si>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</si>
  <si>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</si>
  <si>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</si>
  <si>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</si>
  <si>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</si>
  <si>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</si>
  <si>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</si>
  <si>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</si>
  <si>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</si>
  <si>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</si>
  <si>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</si>
  <si>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</si>
  <si>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</si>
  <si>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</si>
  <si>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</si>
  <si>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</si>
  <si>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</si>
  <si>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</si>
  <si>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</si>
  <si>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</si>
  <si>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</si>
  <si>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</si>
  <si>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</si>
  <si>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</si>
  <si>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</si>
  <si>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</si>
  <si>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</si>
  <si>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</si>
  <si>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</si>
  <si>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</si>
  <si>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</si>
  <si>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</si>
  <si>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</si>
  <si>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</si>
  <si>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</si>
  <si>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</si>
  <si>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</si>
  <si>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</si>
  <si>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</si>
  <si>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</si>
  <si>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</si>
  <si>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</si>
  <si>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</si>
  <si>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</si>
  <si>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</si>
  <si>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</si>
  <si>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</si>
  <si>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</si>
  <si>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</si>
  <si>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</si>
  <si>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</si>
  <si>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</si>
  <si>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</si>
  <si>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</si>
  <si>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</si>
  <si>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</si>
  <si>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</si>
  <si>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</si>
  <si>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</si>
  <si>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</si>
  <si>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</si>
  <si>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</si>
  <si>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</si>
  <si>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</si>
  <si>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</si>
  <si>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</si>
  <si>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</si>
  <si>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</si>
  <si>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</si>
  <si>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</si>
  <si>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</si>
  <si>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</si>
  <si>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</si>
  <si>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</si>
  <si>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</si>
  <si>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</si>
  <si>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</si>
  <si>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</si>
  <si>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</si>
  <si>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</si>
  <si>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</si>
  <si>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</si>
  <si>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</si>
  <si>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</si>
  <si>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</si>
  <si>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</si>
  <si>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</si>
  <si>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</si>
  <si>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</si>
  <si>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</si>
  <si>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</si>
  <si>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</si>
  <si>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</si>
  <si>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</si>
  <si>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</si>
  <si>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</si>
  <si>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</si>
  <si>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</si>
  <si>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</si>
  <si>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</si>
  <si>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</si>
  <si>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</si>
  <si>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</si>
  <si>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</si>
  <si>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</si>
  <si>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</si>
  <si>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</si>
  <si>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</si>
  <si>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</si>
  <si>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</si>
  <si>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</si>
  <si>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</si>
  <si>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</si>
  <si>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</si>
  <si>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</si>
  <si>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</si>
  <si>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</si>
  <si>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</si>
  <si>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</si>
  <si>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</si>
  <si>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</si>
  <si>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</si>
  <si>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</si>
  <si>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</si>
  <si>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</si>
  <si>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</si>
  <si>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</si>
  <si>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</si>
  <si>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</si>
  <si>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</si>
  <si>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</si>
  <si>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</si>
  <si>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</si>
  <si>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</si>
  <si>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</si>
  <si>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</si>
  <si>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</si>
  <si>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</si>
  <si>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</si>
  <si>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</si>
  <si>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</si>
  <si>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</si>
  <si>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</si>
  <si>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</si>
  <si>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</si>
  <si>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</si>
  <si>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</si>
  <si>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</si>
  <si>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</si>
  <si>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</si>
  <si>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</si>
  <si>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</si>
  <si>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</si>
  <si>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</si>
  <si>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</si>
  <si>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</si>
  <si>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</si>
  <si>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</si>
  <si>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</si>
  <si>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</si>
  <si>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</si>
  <si>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</si>
  <si>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</si>
  <si>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</si>
  <si>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</si>
  <si>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</si>
  <si>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</si>
  <si>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</si>
  <si>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</si>
  <si>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</si>
  <si>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</si>
  <si>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</si>
  <si>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</si>
  <si>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</si>
  <si>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</si>
  <si>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</si>
  <si>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</si>
  <si>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</si>
  <si>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</si>
  <si>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</si>
  <si>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</si>
  <si>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</si>
  <si>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</si>
  <si>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</si>
  <si>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</si>
  <si>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</si>
  <si>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</si>
  <si>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</si>
  <si>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</si>
  <si>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</si>
  <si>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</si>
  <si>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</si>
  <si>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</si>
  <si>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</si>
  <si>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</si>
  <si>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</si>
  <si>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</si>
  <si>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</si>
  <si>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</si>
  <si>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</si>
  <si>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</si>
  <si>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</si>
  <si>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</si>
  <si>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</si>
  <si>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</si>
  <si>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</si>
  <si>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</si>
  <si>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</si>
  <si>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</si>
  <si>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</si>
  <si>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</si>
  <si>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</si>
  <si>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</si>
  <si>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</si>
  <si>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</si>
  <si>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</si>
  <si>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</si>
  <si>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</si>
  <si>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</si>
  <si>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</si>
  <si>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</si>
  <si>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</si>
  <si>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</si>
  <si>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</si>
  <si>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</si>
  <si>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</si>
  <si>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</si>
  <si>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</si>
  <si>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</si>
  <si>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</si>
  <si>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</si>
  <si>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</si>
  <si>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</si>
  <si>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</si>
  <si>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</si>
  <si>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</si>
  <si>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</si>
  <si>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</si>
  <si>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</si>
  <si>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</si>
  <si>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</si>
  <si>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</si>
  <si>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</si>
  <si>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</si>
  <si>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</si>
  <si>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</si>
  <si>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</si>
  <si>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</si>
  <si>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</si>
  <si>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</si>
  <si>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</si>
  <si>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</si>
  <si>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</si>
  <si>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</si>
  <si>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</si>
  <si>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</si>
  <si>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</si>
  <si>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</si>
  <si>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</si>
  <si>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</si>
  <si>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</si>
  <si>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</si>
  <si>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</si>
  <si>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</si>
  <si>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</si>
  <si>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</si>
  <si>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</si>
  <si>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</si>
  <si>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</si>
  <si>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</si>
  <si>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</si>
  <si>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</si>
  <si>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</si>
  <si>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</si>
  <si>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</si>
  <si>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</si>
  <si>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</si>
  <si>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</si>
  <si>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</si>
  <si>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</si>
  <si>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</si>
  <si>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</si>
  <si>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</si>
  <si>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</si>
  <si>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</si>
  <si>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</si>
  <si>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</si>
  <si>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</si>
  <si>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</si>
  <si>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</si>
  <si>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</si>
  <si>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</si>
  <si>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</si>
  <si>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</si>
  <si>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</si>
  <si>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</si>
  <si>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</si>
  <si>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</si>
  <si>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</si>
  <si>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</si>
  <si>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</si>
  <si>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</si>
  <si>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</si>
  <si>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</si>
  <si>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</si>
  <si>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</si>
  <si>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</si>
  <si>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</si>
  <si>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</si>
  <si>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</si>
  <si>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</si>
  <si>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</si>
  <si>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</si>
  <si>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</si>
  <si>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</si>
  <si>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</si>
  <si>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</si>
  <si>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</si>
  <si>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</si>
  <si>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</si>
  <si>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</si>
  <si>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</si>
  <si>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</si>
  <si>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</si>
  <si>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</si>
  <si>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</si>
  <si>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</si>
  <si>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</si>
  <si>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</si>
  <si>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</si>
  <si>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</si>
  <si>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</si>
  <si>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</si>
  <si>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</si>
  <si>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</si>
  <si>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</si>
  <si>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</si>
  <si>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</si>
  <si>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</si>
  <si>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</si>
  <si>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</si>
  <si>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</si>
  <si>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</si>
  <si>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</si>
  <si>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</si>
  <si>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</si>
  <si>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</si>
  <si>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</si>
  <si>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</si>
  <si>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</si>
  <si>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</si>
  <si>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</si>
  <si>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</si>
  <si>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</si>
  <si>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</si>
  <si>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</si>
  <si>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</si>
  <si>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</si>
  <si>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</si>
  <si>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</si>
  <si>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</si>
  <si>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</si>
  <si>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</si>
  <si>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</si>
  <si>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</si>
  <si>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</si>
  <si>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</si>
  <si>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</si>
  <si>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</si>
  <si>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</si>
  <si>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</si>
  <si>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</si>
  <si>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</si>
  <si>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</si>
  <si>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</si>
  <si>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</si>
  <si>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</si>
  <si>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</si>
  <si>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</si>
  <si>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</si>
  <si>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</si>
  <si>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</si>
  <si>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</si>
  <si>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</si>
  <si>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</si>
  <si>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</si>
  <si>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</si>
  <si>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</si>
  <si>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</si>
  <si>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</si>
  <si>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</si>
  <si>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</si>
  <si>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</si>
  <si>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</si>
  <si>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</si>
  <si>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</si>
  <si>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</si>
  <si>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</si>
  <si>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</si>
  <si>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</si>
  <si>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</si>
  <si>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</si>
  <si>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</si>
  <si>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</si>
  <si>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</si>
  <si>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</si>
  <si>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</si>
  <si>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</si>
  <si>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</si>
  <si>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</si>
  <si>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</si>
  <si>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</si>
  <si>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</si>
  <si>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</si>
  <si>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</si>
  <si>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</si>
  <si>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</si>
  <si>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</si>
  <si>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</si>
  <si>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</si>
  <si>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</si>
  <si>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</si>
  <si>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</si>
  <si>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</si>
  <si>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</si>
  <si>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</si>
  <si>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</si>
  <si>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</si>
  <si>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</si>
  <si>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</si>
  <si>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</si>
  <si>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</si>
  <si>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</si>
  <si>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</si>
  <si>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</si>
  <si>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</si>
  <si>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</si>
  <si>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</si>
  <si>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</si>
  <si>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</si>
  <si>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</si>
  <si>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</si>
  <si>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</si>
  <si>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</si>
  <si>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</si>
  <si>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</si>
  <si>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</si>
  <si>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</si>
  <si>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</si>
  <si>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</si>
  <si>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</si>
  <si>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</si>
  <si>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</si>
  <si>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</si>
  <si>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</si>
  <si>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</si>
  <si>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</si>
  <si>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</si>
  <si>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</si>
  <si>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</si>
  <si>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</si>
  <si>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</si>
  <si>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</si>
  <si>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</si>
  <si>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</si>
  <si>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</si>
  <si>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</si>
  <si>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</si>
  <si>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</si>
  <si>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</si>
  <si>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</si>
  <si>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</si>
  <si>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</si>
  <si>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</si>
  <si>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</si>
  <si>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</si>
  <si>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</si>
  <si>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</si>
  <si>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</si>
  <si>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</si>
  <si>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</si>
  <si>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</si>
  <si>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</si>
  <si>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</si>
  <si>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</si>
  <si>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</si>
  <si>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</si>
  <si>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</si>
  <si>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</si>
  <si>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</si>
  <si>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</si>
  <si>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</si>
  <si>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</si>
  <si>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</si>
  <si>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</si>
  <si>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</si>
  <si>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</si>
  <si>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</si>
  <si>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</si>
  <si>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</si>
  <si>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</si>
  <si>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</si>
  <si>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</si>
  <si>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</si>
  <si>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</si>
  <si>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</si>
  <si>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</si>
  <si>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</si>
  <si>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</si>
  <si>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</si>
  <si>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</si>
  <si>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</si>
  <si>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</si>
  <si>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</si>
  <si>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</si>
  <si>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</si>
  <si>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</si>
  <si>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</si>
  <si>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</si>
  <si>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</si>
  <si>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</si>
  <si>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</si>
  <si>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</si>
  <si>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</si>
  <si>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</si>
  <si>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</si>
  <si>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</si>
  <si>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</si>
  <si>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</si>
  <si>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</si>
  <si>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</si>
  <si>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</si>
  <si>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</si>
  <si>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</si>
  <si>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</si>
  <si>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</si>
  <si>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</si>
  <si>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</si>
  <si>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</si>
  <si>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</si>
  <si>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</si>
  <si>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</si>
  <si>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</si>
  <si>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</si>
  <si>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</si>
  <si>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</si>
  <si>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</si>
  <si>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</si>
  <si>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</si>
  <si>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</si>
  <si>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</si>
  <si>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</si>
  <si>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</si>
  <si>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</si>
  <si>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</si>
  <si>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</si>
  <si>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</si>
  <si>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</si>
  <si>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</si>
  <si>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</si>
  <si>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</si>
  <si>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</si>
  <si>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</si>
  <si>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</si>
  <si>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</si>
  <si>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</si>
  <si>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</si>
  <si>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</si>
  <si>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</si>
  <si>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</si>
  <si>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</si>
  <si>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</si>
  <si>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</si>
  <si>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</si>
  <si>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</si>
  <si>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</si>
  <si>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</si>
  <si>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</si>
  <si>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</si>
  <si>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</si>
  <si>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</si>
  <si>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</si>
  <si>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</si>
  <si>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</si>
  <si>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</si>
  <si>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</si>
  <si>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</si>
  <si>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</si>
  <si>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</si>
  <si>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</si>
  <si>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</si>
  <si>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</si>
  <si>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</si>
  <si>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</si>
  <si>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</si>
  <si>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</si>
  <si>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</si>
  <si>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</si>
  <si>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</si>
  <si>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</si>
  <si>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</si>
  <si>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</si>
  <si>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</si>
  <si>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</si>
  <si>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</si>
  <si>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</si>
  <si>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</si>
  <si>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</si>
  <si>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</si>
  <si>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</si>
  <si>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</si>
  <si>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</si>
  <si>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</si>
  <si>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</si>
  <si>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</si>
  <si>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</si>
  <si>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</si>
  <si>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</si>
  <si>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</si>
  <si>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</si>
  <si>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</si>
  <si>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</si>
  <si>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</si>
  <si>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</si>
  <si>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</si>
  <si>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</si>
  <si>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</si>
  <si>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</si>
  <si>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</si>
  <si>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</si>
  <si>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</si>
  <si>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</si>
  <si>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</si>
  <si>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</si>
  <si>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</si>
  <si>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</si>
  <si>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</si>
  <si>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</si>
  <si>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</si>
  <si>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</si>
  <si>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</si>
  <si>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</si>
  <si>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</si>
  <si>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</si>
  <si>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</si>
  <si>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</si>
  <si>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</si>
  <si>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</si>
  <si>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</si>
  <si>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</si>
  <si>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</si>
  <si>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</si>
  <si>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</si>
  <si>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</si>
  <si>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</si>
  <si>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</si>
  <si>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</si>
  <si>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</si>
  <si>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</si>
  <si>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</si>
  <si>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</si>
  <si>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</si>
  <si>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</si>
  <si>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</si>
  <si>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</si>
  <si>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</si>
  <si>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</si>
  <si>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</si>
  <si>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</si>
  <si>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</si>
  <si>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</si>
  <si>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</si>
  <si>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</si>
  <si>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</si>
  <si>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</si>
  <si>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</si>
  <si>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</si>
  <si>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</si>
  <si>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</si>
  <si>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</si>
  <si>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</si>
  <si>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</si>
  <si>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</si>
  <si>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</si>
  <si>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</si>
  <si>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</si>
  <si>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</si>
  <si>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</si>
  <si>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</si>
  <si>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</si>
  <si>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</si>
  <si>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</si>
  <si>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</si>
  <si>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</si>
  <si>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</si>
  <si>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</si>
  <si>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</si>
  <si>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</si>
  <si>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</si>
  <si>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</si>
  <si>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</si>
  <si>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</si>
  <si>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</si>
  <si>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</si>
  <si>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</si>
  <si>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</si>
  <si>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</si>
  <si>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</si>
  <si>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</si>
  <si>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</si>
  <si>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</si>
  <si>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</si>
  <si>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</si>
  <si>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</si>
  <si>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</si>
  <si>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</si>
  <si>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</si>
  <si>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</si>
  <si>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</si>
  <si>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</si>
  <si>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</si>
  <si>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</si>
  <si>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</si>
  <si>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</si>
  <si>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</si>
  <si>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</si>
  <si>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</si>
  <si>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</si>
  <si>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</si>
  <si>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</si>
  <si>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</si>
  <si>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</si>
  <si>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</si>
  <si>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</si>
  <si>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</si>
  <si>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</si>
  <si>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</si>
  <si>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</si>
  <si>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</si>
  <si>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</si>
  <si>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</si>
  <si>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</si>
  <si>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</si>
  <si>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</si>
  <si>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</si>
  <si>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</si>
  <si>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</si>
  <si>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</si>
  <si>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</si>
  <si>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</si>
  <si>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</si>
  <si>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</si>
  <si>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</si>
  <si>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</si>
  <si>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</si>
  <si>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</si>
  <si>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</si>
  <si>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</si>
  <si>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</si>
  <si>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</si>
  <si>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</si>
  <si>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</si>
  <si>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</si>
  <si>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</si>
  <si>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</si>
  <si>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</si>
  <si>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</si>
  <si>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</si>
  <si>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</si>
  <si>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</si>
  <si>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</si>
  <si>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</si>
  <si>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</si>
  <si>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</si>
  <si>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</si>
  <si>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</si>
  <si>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</si>
  <si>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</si>
  <si>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</si>
  <si>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</si>
  <si>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</si>
  <si>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</si>
  <si>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</si>
  <si>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</si>
  <si>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</si>
  <si>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</si>
  <si>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</si>
  <si>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</si>
  <si>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</si>
  <si>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</si>
  <si>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</si>
  <si>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</si>
  <si>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</si>
  <si>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</si>
  <si>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</si>
  <si>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</si>
  <si>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</si>
  <si>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</si>
  <si>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</si>
  <si>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</si>
  <si>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</si>
  <si>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</si>
  <si>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</si>
  <si>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</si>
  <si>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</si>
  <si>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</si>
  <si>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</si>
  <si>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</si>
  <si>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</si>
  <si>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</si>
  <si>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</si>
  <si>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</si>
  <si>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</si>
  <si>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</si>
  <si>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</si>
  <si>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</si>
  <si>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</si>
  <si>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</si>
  <si>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</si>
  <si>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</si>
  <si>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</si>
  <si>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</si>
  <si>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</si>
  <si>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</si>
  <si>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</si>
  <si>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</si>
  <si>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</si>
  <si>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</si>
  <si>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</si>
  <si>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</si>
  <si>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</si>
  <si>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</si>
  <si>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</si>
  <si>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</si>
  <si>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</si>
  <si>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</si>
  <si>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</si>
  <si>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</si>
  <si>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</si>
  <si>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</si>
  <si>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</si>
  <si>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</si>
  <si>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</si>
  <si>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</si>
  <si>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</si>
  <si>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</si>
  <si>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</si>
  <si>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</si>
  <si>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</si>
  <si>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</si>
  <si>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</si>
  <si>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</si>
  <si>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</si>
  <si>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</si>
  <si>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</si>
  <si>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</si>
  <si>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</si>
  <si>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</si>
  <si>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</si>
  <si>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</si>
  <si>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</si>
  <si>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</si>
  <si>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</si>
  <si>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</si>
  <si>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</si>
  <si>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</si>
  <si>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</si>
  <si>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</si>
  <si>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</si>
  <si>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</si>
  <si>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</si>
  <si>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</si>
  <si>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</si>
  <si>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</si>
  <si>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</si>
  <si>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</si>
  <si>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</si>
  <si>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</si>
  <si>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</si>
  <si>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</si>
  <si>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</si>
  <si>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</si>
  <si>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</si>
  <si>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</si>
  <si>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</si>
  <si>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</si>
  <si>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</si>
  <si>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</si>
  <si>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</si>
  <si>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</si>
  <si>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</si>
  <si>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</si>
  <si>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</si>
  <si>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</si>
  <si>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</si>
  <si>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</si>
  <si>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</si>
  <si>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</si>
  <si>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</si>
  <si>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</si>
  <si>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</si>
  <si>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</si>
  <si>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</si>
  <si>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</si>
  <si>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</si>
  <si>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</si>
  <si>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</si>
  <si>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</si>
  <si>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</si>
  <si>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</si>
  <si>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</si>
  <si>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</si>
  <si>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</si>
  <si>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</si>
  <si>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</si>
  <si>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</si>
  <si>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</si>
  <si>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</si>
  <si>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</si>
  <si>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</si>
  <si>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</si>
  <si>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</si>
  <si>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</si>
  <si>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</si>
  <si>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</si>
  <si>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</si>
  <si>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</si>
  <si>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</si>
  <si>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</si>
  <si>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</si>
  <si>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</si>
  <si>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</si>
  <si>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</si>
  <si>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</si>
  <si>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</si>
  <si>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</si>
  <si>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</si>
  <si>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</si>
  <si>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</si>
  <si>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</si>
  <si>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</si>
  <si>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</si>
  <si>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</si>
  <si>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</si>
  <si>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</si>
  <si>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</si>
  <si>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</si>
  <si>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</si>
  <si>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</si>
  <si>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</si>
  <si>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</si>
  <si>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</si>
  <si>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</si>
  <si>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</si>
  <si>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</si>
  <si>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</si>
  <si>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</si>
  <si>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</si>
  <si>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</si>
  <si>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</si>
  <si>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</si>
  <si>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</si>
  <si>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</si>
  <si>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</si>
  <si>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</si>
  <si>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</si>
  <si>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</si>
  <si>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</si>
  <si>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</si>
  <si>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</si>
  <si>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</si>
  <si>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</si>
  <si>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</si>
  <si>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</si>
  <si>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</si>
  <si>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</si>
  <si>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</si>
  <si>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</si>
  <si>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</si>
  <si>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</si>
  <si>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</si>
  <si>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</si>
  <si>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</si>
  <si>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</si>
  <si>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</si>
  <si>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</si>
  <si>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</si>
  <si>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</si>
  <si>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</si>
  <si>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</si>
  <si>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</si>
  <si>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</si>
  <si>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</si>
  <si>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</si>
  <si>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</si>
  <si>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</si>
  <si>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</si>
  <si>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</si>
  <si>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</si>
  <si>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</si>
  <si>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</si>
  <si>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</si>
  <si>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</si>
  <si>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</si>
  <si>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</si>
  <si>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</si>
  <si>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</si>
  <si>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</si>
  <si>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</si>
  <si>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</si>
  <si>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</si>
  <si>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</si>
  <si>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</si>
  <si>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</si>
  <si>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</si>
  <si>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</si>
  <si>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</si>
  <si>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</si>
  <si>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</si>
  <si>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</si>
  <si>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</si>
  <si>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</si>
  <si>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</si>
  <si>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</si>
  <si>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</si>
  <si>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</si>
  <si>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</si>
  <si>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</si>
  <si>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</si>
  <si>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</si>
  <si>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</si>
  <si>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</si>
  <si>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</si>
  <si>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</si>
  <si>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</si>
  <si>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</si>
  <si>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</si>
  <si>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</si>
  <si>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</si>
  <si>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</si>
  <si>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</si>
  <si>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</si>
  <si>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</si>
  <si>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</si>
  <si>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</si>
  <si>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</si>
  <si>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</si>
  <si>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</si>
  <si>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</si>
  <si>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</si>
  <si>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</si>
  <si>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</si>
  <si>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</si>
  <si>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</si>
  <si>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</si>
  <si>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</si>
  <si>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</si>
  <si>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</si>
  <si>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</si>
  <si>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</si>
  <si>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</si>
  <si>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</si>
  <si>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</si>
  <si>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</si>
  <si>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</si>
  <si>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</si>
  <si>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</si>
  <si>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</si>
  <si>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</si>
  <si>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</si>
  <si>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</si>
  <si>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</si>
  <si>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</si>
  <si>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</si>
  <si>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</si>
  <si>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</si>
  <si>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</si>
  <si>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</si>
  <si>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</si>
  <si>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</si>
  <si>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</si>
  <si>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</si>
  <si>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</si>
  <si>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</si>
  <si>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</si>
  <si>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</si>
  <si>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</si>
  <si>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</si>
  <si>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</si>
  <si>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</si>
  <si>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</si>
  <si>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</si>
  <si>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</si>
  <si>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</si>
  <si>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</si>
  <si>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</si>
  <si>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</si>
  <si>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</si>
  <si>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</si>
  <si>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</si>
  <si>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</si>
  <si>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</si>
  <si>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</si>
  <si>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</si>
  <si>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</si>
  <si>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</si>
  <si>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</si>
  <si>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</si>
  <si>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</si>
  <si>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</si>
  <si>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</si>
  <si>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</si>
  <si>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</si>
  <si>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</si>
  <si>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</si>
  <si>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</si>
  <si>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</si>
  <si>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</si>
  <si>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</si>
  <si>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</si>
  <si>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</si>
  <si>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</si>
  <si>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</si>
  <si>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</si>
  <si>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</si>
  <si>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</si>
  <si>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</si>
  <si>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</si>
  <si>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</si>
  <si>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</si>
  <si>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</si>
  <si>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</si>
  <si>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</si>
  <si>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</si>
  <si>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</si>
  <si>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</si>
  <si>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</si>
  <si>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</si>
  <si>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</si>
  <si>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</si>
  <si>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</si>
  <si>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</si>
  <si>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</si>
  <si>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</si>
  <si>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</si>
  <si>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</si>
  <si>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</si>
  <si>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</si>
  <si>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</si>
  <si>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</si>
  <si>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</si>
  <si>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</si>
  <si>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</si>
  <si>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</si>
  <si>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</si>
  <si>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</si>
  <si>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</si>
  <si>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</si>
  <si>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</si>
  <si>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</si>
  <si>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</si>
  <si>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</si>
  <si>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</si>
  <si>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</si>
  <si>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</si>
  <si>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</si>
  <si>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</si>
  <si>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</si>
  <si>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</si>
  <si>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</si>
  <si>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</si>
  <si>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</si>
  <si>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</si>
  <si>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</si>
  <si>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</si>
  <si>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</si>
  <si>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</si>
  <si>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</si>
  <si>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</si>
  <si>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</si>
  <si>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</si>
  <si>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</si>
  <si>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</si>
  <si>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</si>
  <si>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</si>
  <si>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</si>
  <si>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</si>
  <si>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</si>
  <si>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</si>
  <si>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</si>
  <si>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</si>
  <si>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</si>
  <si>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</si>
  <si>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</si>
  <si>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</si>
  <si>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</si>
  <si>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</si>
  <si>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</si>
  <si>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</si>
  <si>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</si>
  <si>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</si>
  <si>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</si>
  <si>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</si>
  <si>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</si>
  <si>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</si>
  <si>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</si>
  <si>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</si>
  <si>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</si>
  <si>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</si>
  <si>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</si>
  <si>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</si>
  <si>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</si>
  <si>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</si>
  <si>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</si>
  <si>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</si>
  <si>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</si>
  <si>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</si>
  <si>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</si>
  <si>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</si>
  <si>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</si>
  <si>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</si>
  <si>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</si>
  <si>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</si>
  <si>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</si>
  <si>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</si>
  <si>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</si>
  <si>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</si>
  <si>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</si>
  <si>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</si>
  <si>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</si>
  <si>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</si>
  <si>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</si>
  <si>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</si>
  <si>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</si>
  <si>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</si>
  <si>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</si>
  <si>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</si>
  <si>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</si>
  <si>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</si>
  <si>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</si>
  <si>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</si>
  <si>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</si>
  <si>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</si>
  <si>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</si>
  <si>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</si>
  <si>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</si>
  <si>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</si>
  <si>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</si>
  <si>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</si>
  <si>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</si>
  <si>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</si>
  <si>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</si>
  <si>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</si>
  <si>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</si>
  <si>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</si>
  <si>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</si>
  <si>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</si>
  <si>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</si>
  <si>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</si>
  <si>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</si>
  <si>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</si>
  <si>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</si>
  <si>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</si>
  <si>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</si>
  <si>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</si>
  <si>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</si>
  <si>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</si>
  <si>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</si>
  <si>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</si>
  <si>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</si>
  <si>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</si>
  <si>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</si>
  <si>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</si>
  <si>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</si>
  <si>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</si>
  <si>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</si>
  <si>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</si>
  <si>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</si>
  <si>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</si>
  <si>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</si>
  <si>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</si>
  <si>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</si>
  <si>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</si>
  <si>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</si>
  <si>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</si>
  <si>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</si>
  <si>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</si>
  <si>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</si>
  <si>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</si>
  <si>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</si>
  <si>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</si>
  <si>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</si>
  <si>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</si>
  <si>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</si>
  <si>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</si>
  <si>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</si>
  <si>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</si>
  <si>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</si>
  <si>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</si>
  <si>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</si>
  <si>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</si>
  <si>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</si>
  <si>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</si>
  <si>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</si>
  <si>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</si>
  <si>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</si>
  <si>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</si>
  <si>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</si>
  <si>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</si>
  <si>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</si>
  <si>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</si>
  <si>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</si>
  <si>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</si>
  <si>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</si>
  <si>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</si>
  <si>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</si>
  <si>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</si>
  <si>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</si>
  <si>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</si>
  <si>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</si>
  <si>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</si>
  <si>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</si>
  <si>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</si>
  <si>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</si>
  <si>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</si>
  <si>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</si>
  <si>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</si>
  <si>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</si>
  <si>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</si>
  <si>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</si>
  <si>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</si>
  <si>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</si>
  <si>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</si>
  <si>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</si>
  <si>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</si>
  <si>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</si>
  <si>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</si>
  <si>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</si>
  <si>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</si>
  <si>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</si>
  <si>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</si>
  <si>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</si>
  <si>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</si>
  <si>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</si>
  <si>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</si>
  <si>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</si>
  <si>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</si>
  <si>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</si>
  <si>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</si>
  <si>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</si>
  <si>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</si>
  <si>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</si>
  <si>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</si>
  <si>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</si>
  <si>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</si>
  <si>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</si>
  <si>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</si>
  <si>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</si>
  <si>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</si>
  <si>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</si>
  <si>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</si>
  <si>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</si>
  <si>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</si>
  <si>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</si>
  <si>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</si>
  <si>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</si>
  <si>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</si>
  <si>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</si>
  <si>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</si>
  <si>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</si>
  <si>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</si>
  <si>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</si>
  <si>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</si>
  <si>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</si>
  <si>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</si>
  <si>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</si>
  <si>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</si>
  <si>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</si>
  <si>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</si>
  <si>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</si>
  <si>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</si>
  <si>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</si>
  <si>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</si>
  <si>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</si>
  <si>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</si>
  <si>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</si>
  <si>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</si>
  <si>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</si>
  <si>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</si>
  <si>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</si>
  <si>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</si>
  <si>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</si>
  <si>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</si>
  <si>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</si>
  <si>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</si>
  <si>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</si>
  <si>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</si>
  <si>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</si>
  <si>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</si>
  <si>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</si>
  <si>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</si>
  <si>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</si>
  <si>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</si>
  <si>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</si>
  <si>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</si>
  <si>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</si>
  <si>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</si>
  <si>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</si>
  <si>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</si>
  <si>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</si>
  <si>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</si>
  <si>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</si>
  <si>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</si>
  <si>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</si>
  <si>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</si>
  <si>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</si>
  <si>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</si>
  <si>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</si>
  <si>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</si>
  <si>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</si>
  <si>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</si>
  <si>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</si>
  <si>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</si>
  <si>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</si>
  <si>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</si>
  <si>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</si>
  <si>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</si>
  <si>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</si>
  <si>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</si>
  <si>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</si>
  <si>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</si>
  <si>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</si>
  <si>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</si>
  <si>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</si>
  <si>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</si>
  <si>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</si>
  <si>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</si>
  <si>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</si>
  <si>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</si>
  <si>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</si>
  <si>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</si>
  <si>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</si>
  <si>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</si>
  <si>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</si>
  <si>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</si>
  <si>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</si>
  <si>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</si>
  <si>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</si>
  <si>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</si>
  <si>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</si>
  <si>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</si>
  <si>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</si>
  <si>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</si>
  <si>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</si>
  <si>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</si>
  <si>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</si>
  <si>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</si>
  <si>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</si>
  <si>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</si>
  <si>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</si>
  <si>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</si>
  <si>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</si>
  <si>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</si>
  <si>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</si>
  <si>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</si>
  <si>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</si>
  <si>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</si>
  <si>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</si>
  <si>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</si>
  <si>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</si>
  <si>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</si>
  <si>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</si>
  <si>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</si>
  <si>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</si>
  <si>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</si>
  <si>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</si>
  <si>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</si>
  <si>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</si>
  <si>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</si>
  <si>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</si>
  <si>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</si>
  <si>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</si>
  <si>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</si>
  <si>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</si>
  <si>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</si>
  <si>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</si>
  <si>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</si>
  <si>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</si>
  <si>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</si>
  <si>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</si>
  <si>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</si>
  <si>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</si>
  <si>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</si>
  <si>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</si>
  <si>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</si>
  <si>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</si>
  <si>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</si>
  <si>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</si>
  <si>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</si>
  <si>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</si>
  <si>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</si>
  <si>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</si>
  <si>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</si>
  <si>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</si>
  <si>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</si>
  <si>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</si>
  <si>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</si>
  <si>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</si>
  <si>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</si>
  <si>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</si>
  <si>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</si>
  <si>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</si>
  <si>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</si>
  <si>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</si>
  <si>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</si>
  <si>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</si>
  <si>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</si>
  <si>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</si>
  <si>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</si>
  <si>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</si>
  <si>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</si>
  <si>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</si>
  <si>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</si>
  <si>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</si>
  <si>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</si>
  <si>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</si>
  <si>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</si>
  <si>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</si>
  <si>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</si>
  <si>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</si>
  <si>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</si>
  <si>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</si>
  <si>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</si>
  <si>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</si>
  <si>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</si>
  <si>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</si>
  <si>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</si>
  <si>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</si>
  <si>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</si>
  <si>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</si>
  <si>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</si>
  <si>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</si>
  <si>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</si>
  <si>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</si>
  <si>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</si>
  <si>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</si>
  <si>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</si>
  <si>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</si>
  <si>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</si>
  <si>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</si>
  <si>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</si>
  <si>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</si>
  <si>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</si>
  <si>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</si>
  <si>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</si>
  <si>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</si>
  <si>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</si>
  <si>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</si>
  <si>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</si>
  <si>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</si>
  <si>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</si>
  <si>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</si>
  <si>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</si>
  <si>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</si>
  <si>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</si>
  <si>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</si>
  <si>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</si>
  <si>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</si>
  <si>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</si>
  <si>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</si>
  <si>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</si>
  <si>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</si>
  <si>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</si>
  <si>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</si>
  <si>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</si>
  <si>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</si>
  <si>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</si>
  <si>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</si>
  <si>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</si>
  <si>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</si>
  <si>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</si>
  <si>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</si>
  <si>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</si>
  <si>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</si>
  <si>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</si>
  <si>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</si>
  <si>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</si>
  <si>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</si>
  <si>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</si>
  <si>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</si>
  <si>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</si>
  <si>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</si>
  <si>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</si>
  <si>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</si>
  <si>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</si>
  <si>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</si>
  <si>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</si>
  <si>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</si>
  <si>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</si>
  <si>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</si>
  <si>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</si>
  <si>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</si>
  <si>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</si>
  <si>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</si>
  <si>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</si>
  <si>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</si>
  <si>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</si>
  <si>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</si>
  <si>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</si>
  <si>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</si>
  <si>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</si>
  <si>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</si>
  <si>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</si>
  <si>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</si>
  <si>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</si>
  <si>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</si>
  <si>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</si>
  <si>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</si>
  <si>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</si>
  <si>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</si>
  <si>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</si>
  <si>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</si>
  <si>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</si>
  <si>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</si>
  <si>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</si>
  <si>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</si>
  <si>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</si>
  <si>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</si>
  <si>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</si>
  <si>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</si>
  <si>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</si>
  <si>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</si>
  <si>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</si>
  <si>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</si>
  <si>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</si>
  <si>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</si>
  <si>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</si>
  <si>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</si>
  <si>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</si>
  <si>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</si>
  <si>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</si>
  <si>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</si>
  <si>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</si>
  <si>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</si>
  <si>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</si>
  <si>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</si>
  <si>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</si>
  <si>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</si>
  <si>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</si>
  <si>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</si>
  <si>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</si>
  <si>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</si>
  <si>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</si>
  <si>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</si>
  <si>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</si>
  <si>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</si>
  <si>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</si>
  <si>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</si>
  <si>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</si>
  <si>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</si>
  <si>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</si>
  <si>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</si>
  <si>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</si>
  <si>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</si>
  <si>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</si>
  <si>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</si>
  <si>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</si>
  <si>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</si>
  <si>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</si>
  <si>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</si>
  <si>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</si>
  <si>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</si>
  <si>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</si>
  <si>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</si>
  <si>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</si>
  <si>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</si>
  <si>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</si>
  <si>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</si>
  <si>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</si>
  <si>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</si>
  <si>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</si>
  <si>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</si>
  <si>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</si>
  <si>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</si>
  <si>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</si>
  <si>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</si>
  <si>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</si>
  <si>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</si>
  <si>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</si>
  <si>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</si>
  <si>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</si>
  <si>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</si>
  <si>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</si>
  <si>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</si>
  <si>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</si>
  <si>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</si>
  <si>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</si>
  <si>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</si>
  <si>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</si>
  <si>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</si>
  <si>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</si>
  <si>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</si>
  <si>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</si>
  <si>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</si>
  <si>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</si>
  <si>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</si>
  <si>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</si>
  <si>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</si>
  <si>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</si>
  <si>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</si>
  <si>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</si>
  <si>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</si>
  <si>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</si>
  <si>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</si>
  <si>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</si>
  <si>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</si>
  <si>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</si>
  <si>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</si>
  <si>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</si>
  <si>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</si>
  <si>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</si>
  <si>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</si>
  <si>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</si>
  <si>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</si>
  <si>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</si>
  <si>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</si>
  <si>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</si>
  <si>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</si>
  <si>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</si>
  <si>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</si>
  <si>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</si>
  <si>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</si>
  <si>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</si>
  <si>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</si>
  <si>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</si>
  <si>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</si>
  <si>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</si>
  <si>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</si>
  <si>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</si>
  <si>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</si>
  <si>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</si>
  <si>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</si>
  <si>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</si>
  <si>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</si>
  <si>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</si>
  <si>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</si>
  <si>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</si>
  <si>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</si>
  <si>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</si>
  <si>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</si>
  <si>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</si>
  <si>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</si>
  <si>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</si>
  <si>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</si>
  <si>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</si>
  <si>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</si>
  <si>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</si>
  <si>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</si>
  <si>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</si>
  <si>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</si>
  <si>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</si>
  <si>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</si>
  <si>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</si>
  <si>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</si>
  <si>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</si>
  <si>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</si>
  <si>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</si>
  <si>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</si>
  <si>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</si>
  <si>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</si>
  <si>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</si>
  <si>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</si>
  <si>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</si>
  <si>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</si>
  <si>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</si>
  <si>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</si>
  <si>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</si>
  <si>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</si>
  <si>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</si>
  <si>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</si>
  <si>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</si>
  <si>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</si>
  <si>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</si>
  <si>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</si>
  <si>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</si>
  <si>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</si>
  <si>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</si>
  <si>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</si>
  <si>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</si>
  <si>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</si>
  <si>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</si>
  <si>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</si>
  <si>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</si>
  <si>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</si>
  <si>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</si>
  <si>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</si>
  <si>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</si>
  <si>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</si>
  <si>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</si>
  <si>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</si>
  <si>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</si>
  <si>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</si>
  <si>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</si>
  <si>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</si>
  <si>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</si>
  <si>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</si>
  <si>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</si>
  <si>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</si>
  <si>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</si>
  <si>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</si>
  <si>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</si>
  <si>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</si>
  <si>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</si>
  <si>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</si>
  <si>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</si>
  <si>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</si>
  <si>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</si>
  <si>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</si>
  <si>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</si>
  <si>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</si>
  <si>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</si>
  <si>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</si>
  <si>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</si>
  <si>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</si>
  <si>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</si>
  <si>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</si>
  <si>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</si>
  <si>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</si>
  <si>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</si>
  <si>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</si>
  <si>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</si>
  <si>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</si>
  <si>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</si>
  <si>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</si>
  <si>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</si>
  <si>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</si>
  <si>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</si>
  <si>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</si>
  <si>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</si>
  <si>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</si>
  <si>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</si>
  <si>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</si>
  <si>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</si>
  <si>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</si>
  <si>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</si>
  <si>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</si>
  <si>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</si>
  <si>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</si>
  <si>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</si>
  <si>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</si>
  <si>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</si>
  <si>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</si>
  <si>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</si>
  <si>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</si>
  <si>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</si>
  <si>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</si>
  <si>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</si>
  <si>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</si>
  <si>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</si>
  <si>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</si>
  <si>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</si>
  <si>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</si>
  <si>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</si>
  <si>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</si>
  <si>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</si>
  <si>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</si>
  <si>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</si>
  <si>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</si>
  <si>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</si>
  <si>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</si>
  <si>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</si>
  <si>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</si>
  <si>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</si>
  <si>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</si>
  <si>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</si>
  <si>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</si>
  <si>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</si>
  <si>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</si>
  <si>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</si>
  <si>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</si>
  <si>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</si>
  <si>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</si>
  <si>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</si>
  <si>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</si>
  <si>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</si>
  <si>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</si>
  <si>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</si>
  <si>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</si>
  <si>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</si>
  <si>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</si>
  <si>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</si>
  <si>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</si>
  <si>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</si>
  <si>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</si>
  <si>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</si>
  <si>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</si>
  <si>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</si>
  <si>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</si>
  <si>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</si>
  <si>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</si>
  <si>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</si>
  <si>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</si>
  <si>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</si>
  <si>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</si>
  <si>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</si>
  <si>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</si>
  <si>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</si>
  <si>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</si>
  <si>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</si>
  <si>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</si>
  <si>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</si>
  <si>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</si>
  <si>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</si>
  <si>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</si>
  <si>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</si>
  <si>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</si>
  <si>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</si>
  <si>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</si>
  <si>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</si>
  <si>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</si>
  <si>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</si>
  <si>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</si>
  <si>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</si>
  <si>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</si>
  <si>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</si>
  <si>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</si>
  <si>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</si>
  <si>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</si>
  <si>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</si>
  <si>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</si>
  <si>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</si>
  <si>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</si>
  <si>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</si>
  <si>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</si>
  <si>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</si>
  <si>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</si>
  <si>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</si>
  <si>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</si>
  <si>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</si>
  <si>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</si>
  <si>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</si>
  <si>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</si>
  <si>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</si>
  <si>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</si>
  <si>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</si>
  <si>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</si>
  <si>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</si>
  <si>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</si>
  <si>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</si>
  <si>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</si>
  <si>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</si>
  <si>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</si>
  <si>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</si>
  <si>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</si>
  <si>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</si>
  <si>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</si>
  <si>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</si>
  <si>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</si>
  <si>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</si>
  <si>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</si>
  <si>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</si>
  <si>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</si>
  <si>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</si>
  <si>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</si>
  <si>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</si>
  <si>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</si>
  <si>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</si>
  <si>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</si>
  <si>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</si>
  <si>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</si>
  <si>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</si>
  <si>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</si>
  <si>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</si>
  <si>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</si>
  <si>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</si>
  <si>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</si>
  <si>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</si>
  <si>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</si>
  <si>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</si>
  <si>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</si>
  <si>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</si>
  <si>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</si>
  <si>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</si>
  <si>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</si>
  <si>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</si>
  <si>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</si>
  <si>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</si>
  <si>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</si>
  <si>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</si>
  <si>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</si>
  <si>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</si>
  <si>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</si>
  <si>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</si>
  <si>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</si>
  <si>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</si>
  <si>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</si>
  <si>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</si>
  <si>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</si>
  <si>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</si>
  <si>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</si>
  <si>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</si>
  <si>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</si>
  <si>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</si>
  <si>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</si>
  <si>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</si>
  <si>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</si>
  <si>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</si>
  <si>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</si>
  <si>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</si>
  <si>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</si>
  <si>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</si>
  <si>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</si>
  <si>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</si>
  <si>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</si>
  <si>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</si>
  <si>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</si>
  <si>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</si>
  <si>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</si>
  <si>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</si>
  <si>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</si>
  <si>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</si>
  <si>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</si>
  <si>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</si>
  <si>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</si>
  <si>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</si>
  <si>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</si>
  <si>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</si>
  <si>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</si>
  <si>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</si>
  <si>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</si>
  <si>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</si>
  <si>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</si>
  <si>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</si>
  <si>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</si>
  <si>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</si>
  <si>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</si>
  <si>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</si>
  <si>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</si>
  <si>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</si>
  <si>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</si>
  <si>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</si>
  <si>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</si>
  <si>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</si>
  <si>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</si>
  <si>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</si>
  <si>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</si>
  <si>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</si>
  <si>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</si>
  <si>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</si>
  <si>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</si>
  <si>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</si>
  <si>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</si>
  <si>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</si>
  <si>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</si>
  <si>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</si>
  <si>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</si>
  <si>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</si>
  <si>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</si>
  <si>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</si>
  <si>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</si>
  <si>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</si>
  <si>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</si>
  <si>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</si>
  <si>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</si>
  <si>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</si>
  <si>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</si>
  <si>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</si>
  <si>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</si>
  <si>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</si>
  <si>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</si>
  <si>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</si>
  <si>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</si>
  <si>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</si>
  <si>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</si>
  <si>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</si>
  <si>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</si>
  <si>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</si>
  <si>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</si>
  <si>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</si>
  <si>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</si>
  <si>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</si>
  <si>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</si>
  <si>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</si>
  <si>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</si>
  <si>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</si>
  <si>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</si>
  <si>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</si>
  <si>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</si>
  <si>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</si>
  <si>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</si>
  <si>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</si>
  <si>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</si>
  <si>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</si>
  <si>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</si>
  <si>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</si>
  <si>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</si>
  <si>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</si>
  <si>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</si>
  <si>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</si>
  <si>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</si>
  <si>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</si>
  <si>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</si>
  <si>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</si>
  <si>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</si>
  <si>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</si>
  <si>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</si>
  <si>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</si>
  <si>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</si>
  <si>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</si>
  <si>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</si>
  <si>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</si>
  <si>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</si>
  <si>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</si>
  <si>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</si>
  <si>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</si>
  <si>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</si>
  <si>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</si>
  <si>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</si>
  <si>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</si>
  <si>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</si>
  <si>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</si>
  <si>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</si>
  <si>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</si>
  <si>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</si>
  <si>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</si>
  <si>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</si>
  <si>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</si>
  <si>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</si>
  <si>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</si>
  <si>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</si>
  <si>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</si>
  <si>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</si>
  <si>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</si>
  <si>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</si>
  <si>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</si>
  <si>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</si>
  <si>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</si>
  <si>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</si>
  <si>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</si>
  <si>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</si>
  <si>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</si>
  <si>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</si>
  <si>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</si>
  <si>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</si>
  <si>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</si>
  <si>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</si>
  <si>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</si>
  <si>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</si>
  <si>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</si>
  <si>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</si>
  <si>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</si>
  <si>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</si>
  <si>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</si>
  <si>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</si>
  <si>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</si>
  <si>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</si>
  <si>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</si>
  <si>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</si>
  <si>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</si>
  <si>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</si>
  <si>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</si>
  <si>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</si>
  <si>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</si>
  <si>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</si>
  <si>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</si>
  <si>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</si>
  <si>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</si>
  <si>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</si>
  <si>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</si>
  <si>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</si>
  <si>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</si>
  <si>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</si>
  <si>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</si>
  <si>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</si>
  <si>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</si>
  <si>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</si>
  <si>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</si>
  <si>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</si>
  <si>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</si>
  <si>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</si>
  <si>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</si>
  <si>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</si>
  <si>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</si>
  <si>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</si>
  <si>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</si>
  <si>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</si>
  <si>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</si>
  <si>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</si>
  <si>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</si>
  <si>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</si>
  <si>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</si>
  <si>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</si>
  <si>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</si>
  <si>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</si>
  <si>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</si>
  <si>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</si>
  <si>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</si>
  <si>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</si>
  <si>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</si>
  <si>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</si>
  <si>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</si>
  <si>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</si>
  <si>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</si>
  <si>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</si>
  <si>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</si>
  <si>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</si>
  <si>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</si>
  <si>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</si>
  <si>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</si>
  <si>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</si>
  <si>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</si>
  <si>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</si>
  <si>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</si>
  <si>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</si>
  <si>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</si>
  <si>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</si>
  <si>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</si>
  <si>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</si>
  <si>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</si>
  <si>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</si>
  <si>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</si>
  <si>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</si>
  <si>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</si>
  <si>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</si>
  <si>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</si>
  <si>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</si>
  <si>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</si>
  <si>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</si>
  <si>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</si>
  <si>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</si>
  <si>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</si>
  <si>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</si>
  <si>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</si>
  <si>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</si>
  <si>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</si>
  <si>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</si>
  <si>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</si>
  <si>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</si>
  <si>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</si>
  <si>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</si>
  <si>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</si>
  <si>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</si>
  <si>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</si>
  <si>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</si>
  <si>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</si>
  <si>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</si>
  <si>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</si>
  <si>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</si>
  <si>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</si>
  <si>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</si>
  <si>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</si>
  <si>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</si>
  <si>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</si>
  <si>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</si>
  <si>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</si>
  <si>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</si>
  <si>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</si>
  <si>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</si>
  <si>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</si>
  <si>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</si>
  <si>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</si>
  <si>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</si>
  <si>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</si>
  <si>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</si>
  <si>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</si>
  <si>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</si>
  <si>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</si>
  <si>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</si>
  <si>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</si>
  <si>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</si>
  <si>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</si>
  <si>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</si>
  <si>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</si>
  <si>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</si>
  <si>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</si>
  <si>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</si>
  <si>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</si>
  <si>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</si>
  <si>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</si>
  <si>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</si>
  <si>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</si>
  <si>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</si>
  <si>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</si>
  <si>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</si>
  <si>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</si>
  <si>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</si>
  <si>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</si>
  <si>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</si>
  <si>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</si>
  <si>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</si>
  <si>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</si>
  <si>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</si>
  <si>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</si>
  <si>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</si>
  <si>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</si>
  <si>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</si>
  <si>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</si>
  <si>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</si>
  <si>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</si>
  <si>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</si>
  <si>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</si>
  <si>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</si>
  <si>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</si>
  <si>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</si>
  <si>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</si>
  <si>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</si>
  <si>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</si>
  <si>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</si>
  <si>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</si>
  <si>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</si>
  <si>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</si>
  <si>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</si>
  <si>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</si>
  <si>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</si>
  <si>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</si>
  <si>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</si>
  <si>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</si>
  <si>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</si>
  <si>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</si>
  <si>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</si>
  <si>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</si>
  <si>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</si>
  <si>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</si>
  <si>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</si>
  <si>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</si>
  <si>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</si>
  <si>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</si>
  <si>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</si>
  <si>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</si>
  <si>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</si>
  <si>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</si>
  <si>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</si>
  <si>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</si>
  <si>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</si>
  <si>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</si>
  <si>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</si>
  <si>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</si>
  <si>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</si>
  <si>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</si>
  <si>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</si>
  <si>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</si>
  <si>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</si>
  <si>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</si>
  <si>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</si>
  <si>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</si>
  <si>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</si>
  <si>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</si>
  <si>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</si>
  <si>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</si>
  <si>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</si>
  <si>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</si>
  <si>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</si>
  <si>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</si>
  <si>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</si>
  <si>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</si>
  <si>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</si>
  <si>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</si>
  <si>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</si>
  <si>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</si>
  <si>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</si>
  <si>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</si>
  <si>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</si>
  <si>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</si>
  <si>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</si>
  <si>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</si>
  <si>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</si>
  <si>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</si>
  <si>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</si>
  <si>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</si>
  <si>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</si>
  <si>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</si>
  <si>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</si>
  <si>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</si>
  <si>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</si>
  <si>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</si>
  <si>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</si>
  <si>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</si>
  <si>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</si>
  <si>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</si>
  <si>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</si>
  <si>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</si>
  <si>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</si>
  <si>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</si>
  <si>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</si>
  <si>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</si>
  <si>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</si>
  <si>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</si>
  <si>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</si>
  <si>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</si>
  <si>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</si>
  <si>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</si>
  <si>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</si>
  <si>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</si>
  <si>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</si>
  <si>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</si>
  <si>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</si>
  <si>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</si>
  <si>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</si>
  <si>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</si>
  <si>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</si>
  <si>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</si>
  <si>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</si>
  <si>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</si>
  <si>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</si>
  <si>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</si>
  <si>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</si>
  <si>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</si>
  <si>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</si>
  <si>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</si>
  <si>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</si>
  <si>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</si>
  <si>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</si>
  <si>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</si>
  <si>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</si>
  <si>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</si>
  <si>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</si>
  <si>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</si>
  <si>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</si>
  <si>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</si>
  <si>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</si>
  <si>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</si>
  <si>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</si>
  <si>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</si>
  <si>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</si>
  <si>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</si>
  <si>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</si>
  <si>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</si>
  <si>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</si>
  <si>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</si>
  <si>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</si>
  <si>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</si>
  <si>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</si>
  <si>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</si>
  <si>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</si>
  <si>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</si>
  <si>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</si>
  <si>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</si>
  <si>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</si>
  <si>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</si>
  <si>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</si>
  <si>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</si>
  <si>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</si>
  <si>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</si>
  <si>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</si>
  <si>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</si>
  <si>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</si>
  <si>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</si>
  <si>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</si>
  <si>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</si>
  <si>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</si>
  <si>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</si>
  <si>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</si>
  <si>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</si>
  <si>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</si>
  <si>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</si>
  <si>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</si>
  <si>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</si>
  <si>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</si>
  <si>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</si>
  <si>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</si>
  <si>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</si>
  <si>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</si>
  <si>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</si>
  <si>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</si>
  <si>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</si>
  <si>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</si>
  <si>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</si>
  <si>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</si>
  <si>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</si>
  <si>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</si>
  <si>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</si>
  <si>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</si>
  <si>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</si>
  <si>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</si>
  <si>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</si>
  <si>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</si>
  <si>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</si>
  <si>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</si>
  <si>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</si>
  <si>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</si>
  <si>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</si>
  <si>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</si>
  <si>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</si>
  <si>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</si>
  <si>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</si>
  <si>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</si>
  <si>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</si>
  <si>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</si>
  <si>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</si>
  <si>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</si>
  <si>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</si>
  <si>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</si>
  <si>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</si>
  <si>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</si>
  <si>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</si>
  <si>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</si>
  <si>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</si>
  <si>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</si>
  <si>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</si>
  <si>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</si>
  <si>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</si>
  <si>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</si>
  <si>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</si>
  <si>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</si>
  <si>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</si>
  <si>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</si>
  <si>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</si>
  <si>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</si>
  <si>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</si>
  <si>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</si>
  <si>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</si>
  <si>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</si>
  <si>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</si>
  <si>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</si>
  <si>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</si>
  <si>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</si>
  <si>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</si>
  <si>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</si>
  <si>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</si>
  <si>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</si>
  <si>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</si>
  <si>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</si>
  <si>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</si>
  <si>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</si>
  <si>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</si>
  <si>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</si>
  <si>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</si>
  <si>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</si>
  <si>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</si>
  <si>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</si>
  <si>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</si>
  <si>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</si>
  <si>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</si>
  <si>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</si>
  <si>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</si>
  <si>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</si>
  <si>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</si>
  <si>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</si>
  <si>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</si>
  <si>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</si>
  <si>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</si>
  <si>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</si>
  <si>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</si>
  <si>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</si>
  <si>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</si>
  <si>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</si>
  <si>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</si>
  <si>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</si>
  <si>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</si>
  <si>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</si>
  <si>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</si>
  <si>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</si>
  <si>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</si>
  <si>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</si>
  <si>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</si>
  <si>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</si>
  <si>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</si>
  <si>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</si>
  <si>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</si>
  <si>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</si>
  <si>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</si>
  <si>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</si>
  <si>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</si>
  <si>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</si>
  <si>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</si>
  <si>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</si>
  <si>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</si>
  <si>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</si>
  <si>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</si>
  <si>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</si>
  <si>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</si>
  <si>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</si>
  <si>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</si>
  <si>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</si>
  <si>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</si>
  <si>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</si>
  <si>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</si>
  <si>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</si>
  <si>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</si>
  <si>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</si>
  <si>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</si>
  <si>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</si>
  <si>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</si>
  <si>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</si>
  <si>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</si>
  <si>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</si>
  <si>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</si>
  <si>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</si>
  <si>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</si>
  <si>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</si>
  <si>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</si>
  <si>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</si>
  <si>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</si>
  <si>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</si>
  <si>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</si>
  <si>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</si>
  <si>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</si>
  <si>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</si>
  <si>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</si>
  <si>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</si>
  <si>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</si>
  <si>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</si>
  <si>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</si>
  <si>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</si>
  <si>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</si>
  <si>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</si>
  <si>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</si>
  <si>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</si>
  <si>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</si>
  <si>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</si>
  <si>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</si>
  <si>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</si>
  <si>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</si>
  <si>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</si>
  <si>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</si>
  <si>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</si>
  <si>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</si>
  <si>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</si>
  <si>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</si>
  <si>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</si>
  <si>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</si>
  <si>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</si>
  <si>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</si>
  <si>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</si>
  <si>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</si>
  <si>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</si>
  <si>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</si>
  <si>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</si>
  <si>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</si>
  <si>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</si>
  <si>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</si>
  <si>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</si>
  <si>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</si>
  <si>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</si>
  <si>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</si>
  <si>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</si>
  <si>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</si>
  <si>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</si>
  <si>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</si>
  <si>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</si>
  <si>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</si>
  <si>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</si>
  <si>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</si>
  <si>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</si>
  <si>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</si>
  <si>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</si>
  <si>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</si>
  <si>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</si>
  <si>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</si>
  <si>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</si>
  <si>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</si>
  <si>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</si>
  <si>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</si>
  <si>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</si>
  <si>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</si>
  <si>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</si>
  <si>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</si>
  <si>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</si>
  <si>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</si>
  <si>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</si>
  <si>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</si>
  <si>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</si>
  <si>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</si>
  <si>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</si>
  <si>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</si>
  <si>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</si>
  <si>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</si>
  <si>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</si>
  <si>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</si>
  <si>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</si>
  <si>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</si>
  <si>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</si>
  <si>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</si>
  <si>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</si>
  <si>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</si>
  <si>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</si>
  <si>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</si>
  <si>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</si>
  <si>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</si>
  <si>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</si>
  <si>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</si>
  <si>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</si>
  <si>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</si>
  <si>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</si>
  <si>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</si>
  <si>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</si>
  <si>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</si>
  <si>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</si>
  <si>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</si>
  <si>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</si>
  <si>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</si>
  <si>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</si>
  <si>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</si>
  <si>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</si>
  <si>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</si>
  <si>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</si>
  <si>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</si>
  <si>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</si>
  <si>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</si>
  <si>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</si>
  <si>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</si>
  <si>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</si>
  <si>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</si>
  <si>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</si>
  <si>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</si>
  <si>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</si>
  <si>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</si>
  <si>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</si>
  <si>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</si>
  <si>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</si>
  <si>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</si>
  <si>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</si>
  <si>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</si>
  <si>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</si>
  <si>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</si>
  <si>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</si>
  <si>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</si>
  <si>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</si>
  <si>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</si>
  <si>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</si>
  <si>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</si>
  <si>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</si>
  <si>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</si>
  <si>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</si>
  <si>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</si>
  <si>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</si>
  <si>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</si>
  <si>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</si>
  <si>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</si>
  <si>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</si>
  <si>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</si>
  <si>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</si>
  <si>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</si>
  <si>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</si>
  <si>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</si>
  <si>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</si>
  <si>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</si>
  <si>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</si>
  <si>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</si>
  <si>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</si>
  <si>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</si>
  <si>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</si>
  <si>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</si>
  <si>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</si>
  <si>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</si>
  <si>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</si>
  <si>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</si>
  <si>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</si>
  <si>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</si>
  <si>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</si>
  <si>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</si>
  <si>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</si>
  <si>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</si>
  <si>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</si>
  <si>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</si>
  <si>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</si>
  <si>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</si>
  <si>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</si>
  <si>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</si>
  <si>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</si>
  <si>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</si>
  <si>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</si>
  <si>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</si>
  <si>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</si>
  <si>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</si>
  <si>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</si>
  <si>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</si>
  <si>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</si>
  <si>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</si>
  <si>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</si>
  <si>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</si>
  <si>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</si>
  <si>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</si>
  <si>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</si>
  <si>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</si>
  <si>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</si>
  <si>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</si>
  <si>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</si>
  <si>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</si>
  <si>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</si>
  <si>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</si>
  <si>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</si>
  <si>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</si>
  <si>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</si>
  <si>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</si>
  <si>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</si>
  <si>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</si>
  <si>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</si>
  <si>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</si>
  <si>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</si>
  <si>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</si>
  <si>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</si>
  <si>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</si>
  <si>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</si>
  <si>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</si>
  <si>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</si>
  <si>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</si>
  <si>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</si>
  <si>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</si>
  <si>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</si>
  <si>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</si>
  <si>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</si>
  <si>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</si>
  <si>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</si>
  <si>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</si>
  <si>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</si>
  <si>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</si>
  <si>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</si>
  <si>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</si>
  <si>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</si>
  <si>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</si>
  <si>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</si>
  <si>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</si>
  <si>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</si>
  <si>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</si>
  <si>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</si>
  <si>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</si>
  <si>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</si>
  <si>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</si>
  <si>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</si>
  <si>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</si>
  <si>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</si>
  <si>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</si>
  <si>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</si>
  <si>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</si>
  <si>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</si>
  <si>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</si>
  <si>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</si>
  <si>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</si>
  <si>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</si>
  <si>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</si>
  <si>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</si>
  <si>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</si>
  <si>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</si>
  <si>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</si>
  <si>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</si>
  <si>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</si>
  <si>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</si>
  <si>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</si>
  <si>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</si>
  <si>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</si>
  <si>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</si>
  <si>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</si>
  <si>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</si>
  <si>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</si>
  <si>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</si>
  <si>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</si>
  <si>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</si>
  <si>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</si>
  <si>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</si>
  <si>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</si>
  <si>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</si>
  <si>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</si>
  <si>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</si>
  <si>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</si>
  <si>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</si>
  <si>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</si>
  <si>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</si>
  <si>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</si>
  <si>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</si>
  <si>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</si>
  <si>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</si>
  <si>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</si>
  <si>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</si>
  <si>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</si>
  <si>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</si>
  <si>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</si>
  <si>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</si>
  <si>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</si>
  <si>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</si>
  <si>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</si>
  <si>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</si>
  <si>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</si>
  <si>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</si>
  <si>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</si>
  <si>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</si>
  <si>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</si>
  <si>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</si>
  <si>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</si>
  <si>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</si>
  <si>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</si>
  <si>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</si>
  <si>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</si>
  <si>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</si>
  <si>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</si>
  <si>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</si>
  <si>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</si>
  <si>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</si>
  <si>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</si>
  <si>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</si>
  <si>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</si>
  <si>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</si>
  <si>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</si>
  <si>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</si>
  <si>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</si>
  <si>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</si>
  <si>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</si>
  <si>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</si>
  <si>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</si>
  <si>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</si>
  <si>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</si>
  <si>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</si>
  <si>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</si>
  <si>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</si>
  <si>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</si>
  <si>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</si>
  <si>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</si>
  <si>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</si>
  <si>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</si>
  <si>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</si>
  <si>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</si>
  <si>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</si>
  <si>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</si>
  <si>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</si>
  <si>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</si>
  <si>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</si>
  <si>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</si>
  <si>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</si>
  <si>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</si>
  <si>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</si>
  <si>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</si>
  <si>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</si>
  <si>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</si>
  <si>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</si>
  <si>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</si>
  <si>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</si>
  <si>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</si>
  <si>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</si>
  <si>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</si>
  <si>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</si>
  <si>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</si>
  <si>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</si>
  <si>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</si>
  <si>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</si>
  <si>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</si>
  <si>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</si>
  <si>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</si>
  <si>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</si>
  <si>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</si>
  <si>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</si>
  <si>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</si>
  <si>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</si>
  <si>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</si>
  <si>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</si>
  <si>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</si>
  <si>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</si>
  <si>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</si>
  <si>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</si>
  <si>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</si>
  <si>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</si>
  <si>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</si>
  <si>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</si>
  <si>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</si>
  <si>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</si>
  <si>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</si>
  <si>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</si>
  <si>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</si>
  <si>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</si>
  <si>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</si>
  <si>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</si>
  <si>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</si>
  <si>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</si>
  <si>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</si>
  <si>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</si>
  <si>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</si>
  <si>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</si>
  <si>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</si>
  <si>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</si>
  <si>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</si>
  <si>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</si>
  <si>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</si>
  <si>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</si>
  <si>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</si>
  <si>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</si>
  <si>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</si>
  <si>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</si>
  <si>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</si>
  <si>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</si>
  <si>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</si>
  <si>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</si>
  <si>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</si>
  <si>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</si>
  <si>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</si>
  <si>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</si>
  <si>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</si>
  <si>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</si>
  <si>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</si>
  <si>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</si>
  <si>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</si>
  <si>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</si>
  <si>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</si>
  <si>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</si>
  <si>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</si>
  <si>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</si>
  <si>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</si>
  <si>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</si>
  <si>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</si>
  <si>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</si>
  <si>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</si>
  <si>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</si>
  <si>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</si>
  <si>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</si>
  <si>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</si>
  <si>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</si>
  <si>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</si>
  <si>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</si>
  <si>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</si>
  <si>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</si>
  <si>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</si>
  <si>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</si>
  <si>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</si>
  <si>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</si>
  <si>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</si>
  <si>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</si>
  <si>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</si>
  <si>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</si>
  <si>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</si>
  <si>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</si>
  <si>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</si>
  <si>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</si>
  <si>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</si>
  <si>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</si>
  <si>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</si>
  <si>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</si>
  <si>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</si>
  <si>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</si>
  <si>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</si>
  <si>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</si>
  <si>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</si>
  <si>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</si>
  <si>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</si>
  <si>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</si>
  <si>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</si>
  <si>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</si>
  <si>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</si>
  <si>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</si>
  <si>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</si>
  <si>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</si>
  <si>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</si>
  <si>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</si>
  <si>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</si>
  <si>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</si>
  <si>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</si>
  <si>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</si>
  <si>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</si>
  <si>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</si>
  <si>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</si>
  <si>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</si>
  <si>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</si>
  <si>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</si>
  <si>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</si>
  <si>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</si>
  <si>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</si>
  <si>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</si>
  <si>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</si>
  <si>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</si>
  <si>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</si>
  <si>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</si>
  <si>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</si>
  <si>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</si>
  <si>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</si>
  <si>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</si>
  <si>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</si>
  <si>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</si>
  <si>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</si>
  <si>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</si>
  <si>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</si>
  <si>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</si>
  <si>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</si>
  <si>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</si>
  <si>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</si>
  <si>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</si>
  <si>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</si>
  <si>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</si>
  <si>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</si>
  <si>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</si>
  <si>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</si>
  <si>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</si>
  <si>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</si>
  <si>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</si>
  <si>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</si>
  <si>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</si>
  <si>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</si>
  <si>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</si>
  <si>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</si>
  <si>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</si>
  <si>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</si>
  <si>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</si>
  <si>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</si>
  <si>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</si>
  <si>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</si>
  <si>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</si>
  <si>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</si>
  <si>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</si>
  <si>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</si>
  <si>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</si>
  <si>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</si>
  <si>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</si>
  <si>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</si>
  <si>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</si>
  <si>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</si>
  <si>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</si>
  <si>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</si>
  <si>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</si>
  <si>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</si>
  <si>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</si>
  <si>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</si>
  <si>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</si>
  <si>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</si>
  <si>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</si>
  <si>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</si>
  <si>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</si>
  <si>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</si>
  <si>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</si>
  <si>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</si>
  <si>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</si>
  <si>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</si>
  <si>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</si>
  <si>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</si>
  <si>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</si>
  <si>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</si>
  <si>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</si>
  <si>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</si>
  <si>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</si>
  <si>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</si>
  <si>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</si>
  <si>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</si>
  <si>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</si>
  <si>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</si>
  <si>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</si>
  <si>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</si>
  <si>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</si>
  <si>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</si>
  <si>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</si>
  <si>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</si>
  <si>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</si>
  <si>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</si>
  <si>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</si>
  <si>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</si>
  <si>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</si>
  <si>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</si>
  <si>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</si>
  <si>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</si>
  <si>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</si>
  <si>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</si>
  <si>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</si>
  <si>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</si>
  <si>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</si>
  <si>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</si>
  <si>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</si>
  <si>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</si>
  <si>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</si>
  <si>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</si>
  <si>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</si>
  <si>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</si>
  <si>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</si>
  <si>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</si>
  <si>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</si>
  <si>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</si>
  <si>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</si>
  <si>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</si>
  <si>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</si>
  <si>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</si>
  <si>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</si>
  <si>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</si>
  <si>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</si>
  <si>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</si>
  <si>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</si>
  <si>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</si>
  <si>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</si>
  <si>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</si>
  <si>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</si>
  <si>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</si>
  <si>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</si>
  <si>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</si>
  <si>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</si>
  <si>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</si>
  <si>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</si>
  <si>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</si>
  <si>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</si>
  <si>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</si>
  <si>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</si>
  <si>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</si>
  <si>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</si>
  <si>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</si>
  <si>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</si>
  <si>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</si>
  <si>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</si>
  <si>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</si>
  <si>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</si>
  <si>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</si>
  <si>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</si>
  <si>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</si>
  <si>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</si>
  <si>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</si>
  <si>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</si>
  <si>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</si>
  <si>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</si>
  <si>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</si>
  <si>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</si>
  <si>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</si>
  <si>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</si>
  <si>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</si>
  <si>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</si>
  <si>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</si>
  <si>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</si>
  <si>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</si>
  <si>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</si>
  <si>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</si>
  <si>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</si>
  <si>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</si>
  <si>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</si>
  <si>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</si>
  <si>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</si>
  <si>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</si>
  <si>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</si>
  <si>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</si>
  <si>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</si>
  <si>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</si>
  <si>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</si>
  <si>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</si>
  <si>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</si>
  <si>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</si>
  <si>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</si>
  <si>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</si>
  <si>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</si>
  <si>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</si>
  <si>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</si>
  <si>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</si>
  <si>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</si>
  <si>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</si>
  <si>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</si>
  <si>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</si>
  <si>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</si>
  <si>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</si>
  <si>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</si>
  <si>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</si>
  <si>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</si>
  <si>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</si>
  <si>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</si>
  <si>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</si>
  <si>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</si>
  <si>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</si>
  <si>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</si>
  <si>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</si>
  <si>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</si>
  <si>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</si>
  <si>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</si>
  <si>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</si>
  <si>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</si>
  <si>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</si>
  <si>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</si>
  <si>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</si>
  <si>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</si>
  <si>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</si>
  <si>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</si>
  <si>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</si>
  <si>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</si>
  <si>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</si>
  <si>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</si>
  <si>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</si>
  <si>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</si>
  <si>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</si>
  <si>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</si>
  <si>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</si>
  <si>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</si>
  <si>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</si>
  <si>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</si>
  <si>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</si>
  <si>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</si>
  <si>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</si>
  <si>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</si>
  <si>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</si>
  <si>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</si>
  <si>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</si>
  <si>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</si>
  <si>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</si>
  <si>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</si>
  <si>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</si>
  <si>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</si>
  <si>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</si>
  <si>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</si>
  <si>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</si>
  <si>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</si>
  <si>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</si>
  <si>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</si>
  <si>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</si>
  <si>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</si>
  <si>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</si>
  <si>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</si>
  <si>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</si>
  <si>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</si>
  <si>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</si>
  <si>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</si>
  <si>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</si>
  <si>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</si>
  <si>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</si>
  <si>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</si>
  <si>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</si>
  <si>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</si>
  <si>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</si>
  <si>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</si>
  <si>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</si>
  <si>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</si>
  <si>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</si>
  <si>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</si>
  <si>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</si>
  <si>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</si>
  <si>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</si>
  <si>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</si>
  <si>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</si>
  <si>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</si>
  <si>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</si>
  <si>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</si>
  <si>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</si>
  <si>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</si>
  <si>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</si>
  <si>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</si>
  <si>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</si>
  <si>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</si>
  <si>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</si>
  <si>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</si>
  <si>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</si>
  <si>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</si>
  <si>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</si>
  <si>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</si>
  <si>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</si>
  <si>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</si>
  <si>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</si>
  <si>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</si>
  <si>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</si>
  <si>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</si>
  <si>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</si>
  <si>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</si>
  <si>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</si>
  <si>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</si>
  <si>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</si>
  <si>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</si>
  <si>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</si>
  <si>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</si>
  <si>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</si>
  <si>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</si>
  <si>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</si>
  <si>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</si>
  <si>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</si>
  <si>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</si>
  <si>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</si>
  <si>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</si>
  <si>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</si>
  <si>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</si>
  <si>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</si>
  <si>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</si>
  <si>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</si>
  <si>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</si>
  <si>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</si>
  <si>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</si>
  <si>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</si>
  <si>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</si>
  <si>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</si>
  <si>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</si>
  <si>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</si>
  <si>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</si>
  <si>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</si>
  <si>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</si>
  <si>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</si>
  <si>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</si>
  <si>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</si>
  <si>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</si>
  <si>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</si>
  <si>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</si>
  <si>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</si>
  <si>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</si>
  <si>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</si>
  <si>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</si>
  <si>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</si>
  <si>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</si>
  <si>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</si>
  <si>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</si>
  <si>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</si>
  <si>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</si>
  <si>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</si>
  <si>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</si>
  <si>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</si>
  <si>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</si>
  <si>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</si>
  <si>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</si>
  <si>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</si>
  <si>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</si>
  <si>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</si>
  <si>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</si>
  <si>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</si>
  <si>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</si>
  <si>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</si>
  <si>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</si>
  <si>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</si>
  <si>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</si>
  <si>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</si>
  <si>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</si>
  <si>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</si>
  <si>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</si>
  <si>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</si>
  <si>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</si>
  <si>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</si>
  <si>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</si>
  <si>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</si>
  <si>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</si>
  <si>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</si>
  <si>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</si>
  <si>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</si>
  <si>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</si>
  <si>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</si>
  <si>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</si>
  <si>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</si>
  <si>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</si>
  <si>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</si>
  <si>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</si>
  <si>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</si>
  <si>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</si>
  <si>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</si>
  <si>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</si>
  <si>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</si>
  <si>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</si>
  <si>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</si>
  <si>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</si>
  <si>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</si>
  <si>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</si>
  <si>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</si>
  <si>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</si>
  <si>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</si>
  <si>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</si>
  <si>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</si>
  <si>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</si>
  <si>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</si>
  <si>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</si>
  <si>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</si>
  <si>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</si>
  <si>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</si>
  <si>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</si>
  <si>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</si>
  <si>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</si>
  <si>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</si>
  <si>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</si>
  <si>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</si>
  <si>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</si>
  <si>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</si>
  <si>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</si>
  <si>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</si>
  <si>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</si>
  <si>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</si>
  <si>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</si>
  <si>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</si>
  <si>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</si>
  <si>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</si>
  <si>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</si>
  <si>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</si>
  <si>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</si>
  <si>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</si>
  <si>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</si>
  <si>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</si>
  <si>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</si>
  <si>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</si>
  <si>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</si>
  <si>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</si>
  <si>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</si>
  <si>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</si>
  <si>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</si>
  <si>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</si>
  <si>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</si>
  <si>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</si>
  <si>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</si>
  <si>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</si>
  <si>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</si>
  <si>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</si>
  <si>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</si>
  <si>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</si>
  <si>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</si>
  <si>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</si>
  <si>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</si>
  <si>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</si>
  <si>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</si>
  <si>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</si>
  <si>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</si>
  <si>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</si>
  <si>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</si>
  <si>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</si>
  <si>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</si>
  <si>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</si>
  <si>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</si>
  <si>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</si>
  <si>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</si>
  <si>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</si>
  <si>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</si>
  <si>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</si>
  <si>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</si>
  <si>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</si>
  <si>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</si>
  <si>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</si>
  <si>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</si>
  <si>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</si>
  <si>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</si>
  <si>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</si>
  <si>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</si>
  <si>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</si>
  <si>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</si>
  <si>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</si>
  <si>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</si>
  <si>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</si>
  <si>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</si>
  <si>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</si>
  <si>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</si>
  <si>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</si>
  <si>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</si>
  <si>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</si>
  <si>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</si>
  <si>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</si>
  <si>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</si>
  <si>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</si>
  <si>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</si>
  <si>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</si>
  <si>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</si>
  <si>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</si>
  <si>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</si>
  <si>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</si>
  <si>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</si>
  <si>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</si>
  <si>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</si>
  <si>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</si>
  <si>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</si>
  <si>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</si>
  <si>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</si>
  <si>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</si>
  <si>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</si>
  <si>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</si>
  <si>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</si>
  <si>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</si>
  <si>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</si>
  <si>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</si>
  <si>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</si>
  <si>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</si>
  <si>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</si>
  <si>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</si>
  <si>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</si>
  <si>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</si>
  <si>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</si>
  <si>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</si>
  <si>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</si>
  <si>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</si>
  <si>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</si>
  <si>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</si>
  <si>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</si>
  <si>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</si>
  <si>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</si>
  <si>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</si>
  <si>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</si>
  <si>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</si>
  <si>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</si>
  <si>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</si>
  <si>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</si>
  <si>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</si>
  <si>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</si>
  <si>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</si>
  <si>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</si>
  <si>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</si>
  <si>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</si>
  <si>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</si>
  <si>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</si>
  <si>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</si>
  <si>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</si>
  <si>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</si>
  <si>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</si>
  <si>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</si>
  <si>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</si>
  <si>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</si>
  <si>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</si>
  <si>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</si>
  <si>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</si>
  <si>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</si>
  <si>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</si>
  <si>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</si>
  <si>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</si>
  <si>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</si>
  <si>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</si>
  <si>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</si>
  <si>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</si>
  <si>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</si>
  <si>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</si>
  <si>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</si>
  <si>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</si>
  <si>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</si>
  <si>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</si>
  <si>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</si>
  <si>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</si>
  <si>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</si>
  <si>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</si>
  <si>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</si>
  <si>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</si>
  <si>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</si>
  <si>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</si>
  <si>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</si>
  <si>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</si>
  <si>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</si>
  <si>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</si>
  <si>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</si>
  <si>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</si>
  <si>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</si>
  <si>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</si>
  <si>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</si>
  <si>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</si>
  <si>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</si>
  <si>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</si>
  <si>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</si>
  <si>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</si>
  <si>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</si>
  <si>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</si>
  <si>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</si>
  <si>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</si>
  <si>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</si>
  <si>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</si>
  <si>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</si>
  <si>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</si>
  <si>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</si>
  <si>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</si>
  <si>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</si>
  <si>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</si>
  <si>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</si>
  <si>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</si>
  <si>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</si>
  <si>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</si>
  <si>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</si>
  <si>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</si>
  <si>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</si>
  <si>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</si>
  <si>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</si>
  <si>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</si>
  <si>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</si>
  <si>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</si>
  <si>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</si>
  <si>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</si>
  <si>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</si>
  <si>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</si>
  <si>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</si>
  <si>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</si>
  <si>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</si>
  <si>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</si>
  <si>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</si>
  <si>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</si>
  <si>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</si>
  <si>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</si>
  <si>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</si>
  <si>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</si>
  <si>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</si>
  <si>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</si>
  <si>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</si>
  <si>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</si>
  <si>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</si>
  <si>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</si>
  <si>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</si>
  <si>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</si>
  <si>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</si>
  <si>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</si>
  <si>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</si>
  <si>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</si>
  <si>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</si>
  <si>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</si>
  <si>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</si>
  <si>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</si>
  <si>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</si>
  <si>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</si>
  <si>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</si>
  <si>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</si>
  <si>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</si>
  <si>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</si>
  <si>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</si>
  <si>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</si>
  <si>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</si>
  <si>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</si>
  <si>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</si>
  <si>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</si>
  <si>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</si>
  <si>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</si>
  <si>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</si>
  <si>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</si>
  <si>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</si>
  <si>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</si>
  <si>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</si>
  <si>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</si>
  <si>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</si>
  <si>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</si>
  <si>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</si>
  <si>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</si>
  <si>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</si>
  <si>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</si>
  <si>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</si>
  <si>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</si>
  <si>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</si>
  <si>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</si>
  <si>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</si>
  <si>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</si>
  <si>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</si>
  <si>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</si>
  <si>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</si>
  <si>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</si>
  <si>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</si>
  <si>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</si>
  <si>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</si>
  <si>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</si>
  <si>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</si>
  <si>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</si>
  <si>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</si>
  <si>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</si>
  <si>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</si>
  <si>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</si>
  <si>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</si>
  <si>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</si>
  <si>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</si>
  <si>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</si>
  <si>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</si>
  <si>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</si>
  <si>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</si>
  <si>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</si>
  <si>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</si>
  <si>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</si>
  <si>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</si>
  <si>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</si>
  <si>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</si>
  <si>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</si>
  <si>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</si>
  <si>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</si>
  <si>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</si>
  <si>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</si>
  <si>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</si>
  <si>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</si>
  <si>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</si>
  <si>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</si>
  <si>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</si>
  <si>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</si>
  <si>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</si>
  <si>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</si>
  <si>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</si>
  <si>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</si>
  <si>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</si>
  <si>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</si>
  <si>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</si>
  <si>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</si>
  <si>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</si>
  <si>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</si>
  <si>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</si>
  <si>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</si>
  <si>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</si>
  <si>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</si>
  <si>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</si>
  <si>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</si>
  <si>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</si>
  <si>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</si>
  <si>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</si>
  <si>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</si>
  <si>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</si>
  <si>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</si>
  <si>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</si>
  <si>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</si>
  <si>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</si>
  <si>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</si>
  <si>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</si>
  <si>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</si>
  <si>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</si>
  <si>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</si>
  <si>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</si>
  <si>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</si>
  <si>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</si>
  <si>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</si>
  <si>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</si>
  <si>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</si>
  <si>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</si>
  <si>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</si>
  <si>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</si>
  <si>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</si>
  <si>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</si>
  <si>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</si>
  <si>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</si>
  <si>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</si>
  <si>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</si>
  <si>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</si>
  <si>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</si>
  <si>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</si>
  <si>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</si>
  <si>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</si>
  <si>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</si>
  <si>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</si>
  <si>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</si>
  <si>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</si>
  <si>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</si>
  <si>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</si>
  <si>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</si>
  <si>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</si>
  <si>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</si>
  <si>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</si>
  <si>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</si>
  <si>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</si>
  <si>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</si>
  <si>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</si>
  <si>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</si>
  <si>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</si>
  <si>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</si>
  <si>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</si>
  <si>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</si>
  <si>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</si>
  <si>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</si>
  <si>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</si>
  <si>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</si>
  <si>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</si>
  <si>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</si>
  <si>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</si>
  <si>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</si>
  <si>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</si>
  <si>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</si>
  <si>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</si>
  <si>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</si>
  <si>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</si>
  <si>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</si>
  <si>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</si>
  <si>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</si>
  <si>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</si>
  <si>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</si>
  <si>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</si>
  <si>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</si>
  <si>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</si>
  <si>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</si>
  <si>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</si>
  <si>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</si>
  <si>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</si>
  <si>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</si>
  <si>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</si>
  <si>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</si>
  <si>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</si>
  <si>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</si>
  <si>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</si>
  <si>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</si>
  <si>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</si>
  <si>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</si>
  <si>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</si>
  <si>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</si>
  <si>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</si>
  <si>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</si>
  <si>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</si>
  <si>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</si>
  <si>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</si>
  <si>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</si>
  <si>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</si>
  <si>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</si>
  <si>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</si>
  <si>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</si>
  <si>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</si>
  <si>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</si>
  <si>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</si>
  <si>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</si>
  <si>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</si>
  <si>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</si>
  <si>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</si>
  <si>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</si>
  <si>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</si>
  <si>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</si>
  <si>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</si>
  <si>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</si>
  <si>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</si>
  <si>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</si>
  <si>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</si>
  <si>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</si>
  <si>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</si>
  <si>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</si>
  <si>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</si>
  <si>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</si>
  <si>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</si>
  <si>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</si>
  <si>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</si>
  <si>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</si>
  <si>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</si>
  <si>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</si>
  <si>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</si>
  <si>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</si>
  <si>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</si>
  <si>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</si>
  <si>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</si>
  <si>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</si>
  <si>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</si>
  <si>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</si>
  <si>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</si>
  <si>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</si>
  <si>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</si>
  <si>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</si>
  <si>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</si>
  <si>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</si>
  <si>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</si>
  <si>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</si>
  <si>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</si>
  <si>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</si>
  <si>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</si>
  <si>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</si>
  <si>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</si>
  <si>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</si>
  <si>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</si>
  <si>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</si>
  <si>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</si>
  <si>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</si>
  <si>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</si>
  <si>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</si>
  <si>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</si>
  <si>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</si>
  <si>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</si>
  <si>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</si>
  <si>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</si>
  <si>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</si>
  <si>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</si>
  <si>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</si>
  <si>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</si>
  <si>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</si>
  <si>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</si>
  <si>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</si>
  <si>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</si>
  <si>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</si>
  <si>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</si>
  <si>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</si>
  <si>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</si>
  <si>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</si>
  <si>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</si>
  <si>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</si>
  <si>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</si>
  <si>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</si>
  <si>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</si>
  <si>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</si>
  <si>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</si>
  <si>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</si>
  <si>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</si>
  <si>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</si>
  <si>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</si>
  <si>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</si>
  <si>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</si>
  <si>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</si>
  <si>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</si>
  <si>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</si>
  <si>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</si>
  <si>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</si>
  <si>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</si>
  <si>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</si>
  <si>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</si>
  <si>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</si>
  <si>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</si>
  <si>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</si>
  <si>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</si>
  <si>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</si>
  <si>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</si>
  <si>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</si>
  <si>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</si>
  <si>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</si>
  <si>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</si>
  <si>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</si>
  <si>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</si>
  <si>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</si>
  <si>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</si>
  <si>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</si>
  <si>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</si>
  <si>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</si>
  <si>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</si>
  <si>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</si>
  <si>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</si>
  <si>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</si>
  <si>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</si>
  <si>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</si>
  <si>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</si>
  <si>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</si>
  <si>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</si>
  <si>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</si>
  <si>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</si>
  <si>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</si>
  <si>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</si>
  <si>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</si>
  <si>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</si>
  <si>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</si>
  <si>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</si>
  <si>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</si>
  <si>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</si>
  <si>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</si>
  <si>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</si>
  <si>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</si>
  <si>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</si>
  <si>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</si>
  <si>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</si>
  <si>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</si>
  <si>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</si>
  <si>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</si>
  <si>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</si>
  <si>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</si>
  <si>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</si>
  <si>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</si>
  <si>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</si>
  <si>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</si>
  <si>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</si>
  <si>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</si>
  <si>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</si>
  <si>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</si>
  <si>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</si>
  <si>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</si>
  <si>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</si>
  <si>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</si>
  <si>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</si>
  <si>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</si>
  <si>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</si>
  <si>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</si>
  <si>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</si>
  <si>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</si>
  <si>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</si>
  <si>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</si>
  <si>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</si>
  <si>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</si>
  <si>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</si>
  <si>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</si>
  <si>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</si>
  <si>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</si>
  <si>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</si>
  <si>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</si>
  <si>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</si>
  <si>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</si>
  <si>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</si>
  <si>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</si>
  <si>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</si>
  <si>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</si>
  <si>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</si>
  <si>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</si>
  <si>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</si>
  <si>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</si>
  <si>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</si>
  <si>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</si>
  <si>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</si>
  <si>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</si>
  <si>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</si>
  <si>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</si>
  <si>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</si>
  <si>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</si>
  <si>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</si>
  <si>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</si>
  <si>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</si>
  <si>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</si>
  <si>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</si>
  <si>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</si>
  <si>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</si>
  <si>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</si>
  <si>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</si>
  <si>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</si>
  <si>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</si>
  <si>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</si>
  <si>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</si>
  <si>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</si>
  <si>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</si>
  <si>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</si>
  <si>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</si>
  <si>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</si>
  <si>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</si>
  <si>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</si>
  <si>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</si>
  <si>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</si>
  <si>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</si>
  <si>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</si>
  <si>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</si>
  <si>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</si>
  <si>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</si>
  <si>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</si>
  <si>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</si>
  <si>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</si>
  <si>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</si>
  <si>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</si>
  <si>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</si>
  <si>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</si>
  <si>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</si>
  <si>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</si>
  <si>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</si>
  <si>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</si>
  <si>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</si>
  <si>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</si>
  <si>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</si>
  <si>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</si>
  <si>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</si>
  <si>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</si>
  <si>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</si>
  <si>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</si>
  <si>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</si>
  <si>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</si>
  <si>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</si>
  <si>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</si>
  <si>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</si>
  <si>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</si>
  <si>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</si>
  <si>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</si>
  <si>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</si>
  <si>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</si>
  <si>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</si>
  <si>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</si>
  <si>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</si>
  <si>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</si>
  <si>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</si>
  <si>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</si>
  <si>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</si>
  <si>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</si>
  <si>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</si>
  <si>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</si>
  <si>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</si>
  <si>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</si>
  <si>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</si>
  <si>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</si>
  <si>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</si>
  <si>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</si>
  <si>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</si>
  <si>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</si>
  <si>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</si>
  <si>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</si>
  <si>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</si>
  <si>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</si>
  <si>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</si>
  <si>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</si>
  <si>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</si>
  <si>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</si>
  <si>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</si>
  <si>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</si>
  <si>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</si>
  <si>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</si>
  <si>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</si>
  <si>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</si>
  <si>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</si>
  <si>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</si>
  <si>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</si>
  <si>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</si>
  <si>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</si>
  <si>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</si>
  <si>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</si>
  <si>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</si>
  <si>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</si>
  <si>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</si>
  <si>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</si>
  <si>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</si>
  <si>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</si>
  <si>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</si>
  <si>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</si>
  <si>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</si>
  <si>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</si>
  <si>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</si>
  <si>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</si>
  <si>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</si>
  <si>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</si>
  <si>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</si>
  <si>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</si>
  <si>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</si>
  <si>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</si>
  <si>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</si>
  <si>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</si>
  <si>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</si>
  <si>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</si>
  <si>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</si>
  <si>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</si>
  <si>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</si>
  <si>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</si>
  <si>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</si>
  <si>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</si>
  <si>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</si>
  <si>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</si>
  <si>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</si>
  <si>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</si>
  <si>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</si>
  <si>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</si>
  <si>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</si>
  <si>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</si>
  <si>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</si>
  <si>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</si>
  <si>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</si>
  <si>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</si>
  <si>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</si>
  <si>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</si>
  <si>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</si>
  <si>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</si>
  <si>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</si>
  <si>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</si>
  <si>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</si>
  <si>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</si>
  <si>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</si>
  <si>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</si>
  <si>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</si>
  <si>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</si>
  <si>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</si>
  <si>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</si>
  <si>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</si>
  <si>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</si>
  <si>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</si>
  <si>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</si>
  <si>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</si>
  <si>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</si>
  <si>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</si>
  <si>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</si>
  <si>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</si>
  <si>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</si>
  <si>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</si>
  <si>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</si>
  <si>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</si>
  <si>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</si>
  <si>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</si>
  <si>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</si>
  <si>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</si>
  <si>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</si>
  <si>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</si>
  <si>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</si>
  <si>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</si>
  <si>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</si>
  <si>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</si>
  <si>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</si>
  <si>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</si>
  <si>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</si>
  <si>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</si>
  <si>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</si>
  <si>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</si>
  <si>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</si>
  <si>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</si>
  <si>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</si>
  <si>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</si>
  <si>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</si>
  <si>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</si>
  <si>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</si>
  <si>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</si>
  <si>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</si>
  <si>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</si>
  <si>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</si>
  <si>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</si>
  <si>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</si>
  <si>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</si>
  <si>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</si>
  <si>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</si>
  <si>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</si>
  <si>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</si>
  <si>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</si>
  <si>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</si>
  <si>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</si>
  <si>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</si>
  <si>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</si>
  <si>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</si>
  <si>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</si>
  <si>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</si>
  <si>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</si>
  <si>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</si>
  <si>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</si>
  <si>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</si>
  <si>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</si>
  <si>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</si>
  <si>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</si>
  <si>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</si>
  <si>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</si>
  <si>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</si>
  <si>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</si>
  <si>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</si>
  <si>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</si>
  <si>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</si>
  <si>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</si>
  <si>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</si>
  <si>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</si>
  <si>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</si>
  <si>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</si>
  <si>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</si>
  <si>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</si>
  <si>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</si>
  <si>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</si>
  <si>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</si>
  <si>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</si>
  <si>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</si>
  <si>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</si>
  <si>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</si>
  <si>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</si>
  <si>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</si>
  <si>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</si>
  <si>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</si>
  <si>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</si>
  <si>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</si>
  <si>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</si>
  <si>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</si>
  <si>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</si>
  <si>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</si>
  <si>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</si>
  <si>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</si>
  <si>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</si>
  <si>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</si>
  <si>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</si>
  <si>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</si>
  <si>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</si>
  <si>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</si>
  <si>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</si>
  <si>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</si>
  <si>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</si>
  <si>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</si>
  <si>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</si>
  <si>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</si>
  <si>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</si>
  <si>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</si>
  <si>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</si>
  <si>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</si>
  <si>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</si>
  <si>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</si>
  <si>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</si>
  <si>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</si>
  <si>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</si>
  <si>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</si>
  <si>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</si>
  <si>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</si>
  <si>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</si>
  <si>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</si>
  <si>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</si>
  <si>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</si>
  <si>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</si>
  <si>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</si>
  <si>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</si>
  <si>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</si>
  <si>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</si>
  <si>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</si>
  <si>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</si>
  <si>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</si>
  <si>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</si>
  <si>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</si>
  <si>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</si>
  <si>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</si>
  <si>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</si>
  <si>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</si>
  <si>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</si>
  <si>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</si>
  <si>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</si>
  <si>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</si>
  <si>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</si>
  <si>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</si>
  <si>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</si>
  <si>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</si>
  <si>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</si>
  <si>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</si>
  <si>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</si>
  <si>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</si>
  <si>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</si>
  <si>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</si>
  <si>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</si>
  <si>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</si>
  <si>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</si>
  <si>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</si>
  <si>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</si>
  <si>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</si>
  <si>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</si>
  <si>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</si>
  <si>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</si>
  <si>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</si>
  <si>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</si>
  <si>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</si>
  <si>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</si>
  <si>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</si>
  <si>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</si>
  <si>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</si>
  <si>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</si>
  <si>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</si>
  <si>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</si>
  <si>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</si>
  <si>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</si>
  <si>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</si>
  <si>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</si>
  <si>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</si>
  <si>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</si>
  <si>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</si>
  <si>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</si>
  <si>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</si>
  <si>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</si>
  <si>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</si>
  <si>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</si>
  <si>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</si>
  <si>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</si>
  <si>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</si>
  <si>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</si>
  <si>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</si>
  <si>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</si>
  <si>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</si>
  <si>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</si>
  <si>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</si>
  <si>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</si>
  <si>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</si>
  <si>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</si>
  <si>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</si>
  <si>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</si>
  <si>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</si>
  <si>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</si>
  <si>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</si>
  <si>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</si>
  <si>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</si>
  <si>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</si>
  <si>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</si>
  <si>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</si>
  <si>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</si>
  <si>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</si>
  <si>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</si>
  <si>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</si>
  <si>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</si>
  <si>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</si>
  <si>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</si>
  <si>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</si>
  <si>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</si>
  <si>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</si>
  <si>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</si>
  <si>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</si>
  <si>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</si>
  <si>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</si>
  <si>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</si>
  <si>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</si>
  <si>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</si>
  <si>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</si>
  <si>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</si>
  <si>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</si>
  <si>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</si>
  <si>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</si>
  <si>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</si>
  <si>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</si>
  <si>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</si>
  <si>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</si>
  <si>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</si>
  <si>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</si>
  <si>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</si>
  <si>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</si>
  <si>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</si>
  <si>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</si>
  <si>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</si>
  <si>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</si>
  <si>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</si>
  <si>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</si>
  <si>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</si>
  <si>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</si>
  <si>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</si>
  <si>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</si>
  <si>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</si>
  <si>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</si>
  <si>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</si>
  <si>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</si>
  <si>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</si>
  <si>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</si>
  <si>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</si>
  <si>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</si>
  <si>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</si>
  <si>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</si>
  <si>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</si>
  <si>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</si>
  <si>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</si>
  <si>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</si>
  <si>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</si>
  <si>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</si>
  <si>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</si>
  <si>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</si>
  <si>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</si>
  <si>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</si>
  <si>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</si>
  <si>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</si>
  <si>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</si>
  <si>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</si>
  <si>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</si>
  <si>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</si>
  <si>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</si>
  <si>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</si>
  <si>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</si>
  <si>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</si>
  <si>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</si>
  <si>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</si>
  <si>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</si>
  <si>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</si>
  <si>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</si>
  <si>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</si>
  <si>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</si>
  <si>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</si>
  <si>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</si>
  <si>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</si>
  <si>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</si>
  <si>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</si>
  <si>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</si>
  <si>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</si>
  <si>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</si>
  <si>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</si>
  <si>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</si>
  <si>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</si>
  <si>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</si>
  <si>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</si>
  <si>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</si>
  <si>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</si>
  <si>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</si>
  <si>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</si>
  <si>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</si>
  <si>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</si>
  <si>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</si>
  <si>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</si>
  <si>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</si>
  <si>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</si>
  <si>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</si>
  <si>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</si>
  <si>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</si>
  <si>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</si>
  <si>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</si>
  <si>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</si>
  <si>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</si>
  <si>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</si>
  <si>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</si>
  <si>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</si>
  <si>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</si>
  <si>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</si>
  <si>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</si>
  <si>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</si>
  <si>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</si>
  <si>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</si>
  <si>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</si>
  <si>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</si>
  <si>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</si>
  <si>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</si>
  <si>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</si>
  <si>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</si>
  <si>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</si>
  <si>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</si>
  <si>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</si>
  <si>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</si>
  <si>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</si>
  <si>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</si>
  <si>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</si>
  <si>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</si>
  <si>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</si>
  <si>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</si>
  <si>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</si>
  <si>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</si>
  <si>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</si>
  <si>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</si>
  <si>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</si>
  <si>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</si>
  <si>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</si>
  <si>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</si>
  <si>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</si>
  <si>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</si>
  <si>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</si>
  <si>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</si>
  <si>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</si>
  <si>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</si>
  <si>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</si>
  <si>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</si>
  <si>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</si>
  <si>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</si>
  <si>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</si>
  <si>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</si>
  <si>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</si>
  <si>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</si>
  <si>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</si>
  <si>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</si>
  <si>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</si>
  <si>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</si>
  <si>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</si>
  <si>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</si>
  <si>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</si>
  <si>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</si>
  <si>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</si>
  <si>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</si>
  <si>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</si>
  <si>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</si>
  <si>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</si>
  <si>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</si>
  <si>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</si>
  <si>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</si>
  <si>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</si>
  <si>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</si>
  <si>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</si>
  <si>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</si>
  <si>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</si>
  <si>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</si>
  <si>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</si>
  <si>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</si>
  <si>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</si>
  <si>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</si>
  <si>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</si>
  <si>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</si>
  <si>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</si>
  <si>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</si>
  <si>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</si>
  <si>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</si>
  <si>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</si>
  <si>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</si>
  <si>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</si>
  <si>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</si>
  <si>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</si>
  <si>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</si>
  <si>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</si>
  <si>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</si>
  <si>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</si>
  <si>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</si>
  <si>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</si>
  <si>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</si>
  <si>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</si>
  <si>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</si>
  <si>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</si>
  <si>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</si>
  <si>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</si>
  <si>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</si>
  <si>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</si>
  <si>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</si>
  <si>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</si>
  <si>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</si>
  <si>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</si>
  <si>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</si>
  <si>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</si>
  <si>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</si>
  <si>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</si>
  <si>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</si>
  <si>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</si>
  <si>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</si>
  <si>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</si>
  <si>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</si>
  <si>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</si>
  <si>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</si>
  <si>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</si>
  <si>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</si>
  <si>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</si>
  <si>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</si>
  <si>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</si>
  <si>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</si>
  <si>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</si>
  <si>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</si>
  <si>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</si>
  <si>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</si>
  <si>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</si>
  <si>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</si>
  <si>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</si>
  <si>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</si>
  <si>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</si>
  <si>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</si>
  <si>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</si>
  <si>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</si>
  <si>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</si>
  <si>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</si>
  <si>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</si>
  <si>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</si>
  <si>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</si>
  <si>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</si>
  <si>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</si>
  <si>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</si>
  <si>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</si>
  <si>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</si>
  <si>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</si>
  <si>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</si>
  <si>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</si>
  <si>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</si>
  <si>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</si>
  <si>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</si>
  <si>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</si>
  <si>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</si>
  <si>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</si>
  <si>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</si>
  <si>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</si>
  <si>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</si>
  <si>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</si>
  <si>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</si>
  <si>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</si>
  <si>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</si>
  <si>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</si>
  <si>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</si>
  <si>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</si>
  <si>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</si>
  <si>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</si>
  <si>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</si>
  <si>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</si>
  <si>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</si>
  <si>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</si>
  <si>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</si>
  <si>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</si>
  <si>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</si>
  <si>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</si>
  <si>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</si>
  <si>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</si>
  <si>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</si>
  <si>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</si>
  <si>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</si>
  <si>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</si>
  <si>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</si>
  <si>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</si>
  <si>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</si>
  <si>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</si>
  <si>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</si>
  <si>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</si>
  <si>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</si>
  <si>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</si>
  <si>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</si>
  <si>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</si>
  <si>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</si>
  <si>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</si>
  <si>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</si>
  <si>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</si>
  <si>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</si>
  <si>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</si>
  <si>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</si>
  <si>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</si>
  <si>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</si>
  <si>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</si>
  <si>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</si>
  <si>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</si>
  <si>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</si>
  <si>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</si>
  <si>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</si>
  <si>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</si>
  <si>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</si>
  <si>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</si>
  <si>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</si>
  <si>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</si>
  <si>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</si>
  <si>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</si>
  <si>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</si>
  <si>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</si>
  <si>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</si>
  <si>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</si>
  <si>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</si>
  <si>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</si>
  <si>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</si>
  <si>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</si>
  <si>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</si>
  <si>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</si>
  <si>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</si>
  <si>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</si>
  <si>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</si>
  <si>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</si>
  <si>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</si>
  <si>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</si>
  <si>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</si>
  <si>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</si>
  <si>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</si>
  <si>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</si>
  <si>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</si>
  <si>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</si>
  <si>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</si>
  <si>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</si>
  <si>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</si>
  <si>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</si>
  <si>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</si>
  <si>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</si>
  <si>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</si>
  <si>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</si>
  <si>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</si>
  <si>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</si>
  <si>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</si>
  <si>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</si>
  <si>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</si>
  <si>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</si>
  <si>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</si>
  <si>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</si>
  <si>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</si>
  <si>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</si>
  <si>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</si>
  <si>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</si>
  <si>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</si>
  <si>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</si>
  <si>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</si>
  <si>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</si>
  <si>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</si>
  <si>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</si>
  <si>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</si>
  <si>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</si>
  <si>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</si>
  <si>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</si>
  <si>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</si>
  <si>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</si>
  <si>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</si>
  <si>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</si>
  <si>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</si>
  <si>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</si>
  <si>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</si>
  <si>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</si>
  <si>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</si>
  <si>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</si>
  <si>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</si>
  <si>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</si>
  <si>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</si>
  <si>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</si>
  <si>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</si>
  <si>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</si>
  <si>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</si>
  <si>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</si>
  <si>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</si>
  <si>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</si>
  <si>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</si>
  <si>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</si>
  <si>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</si>
  <si>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</si>
  <si>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</si>
  <si>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</si>
  <si>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</si>
  <si>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</si>
  <si>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</si>
  <si>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</si>
  <si>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</si>
  <si>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</si>
  <si>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</si>
  <si>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</si>
  <si>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</si>
  <si>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</si>
  <si>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</si>
  <si>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</si>
  <si>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</si>
  <si>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</si>
  <si>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</si>
  <si>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</si>
  <si>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</si>
  <si>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</si>
  <si>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</si>
  <si>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</si>
  <si>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</si>
  <si>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</si>
  <si>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</si>
  <si>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</si>
  <si>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</si>
  <si>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</si>
  <si>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</si>
  <si>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</si>
  <si>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</si>
  <si>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</si>
  <si>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</si>
  <si>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</si>
  <si>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</si>
  <si>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</si>
  <si>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</si>
  <si>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</si>
  <si>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</si>
  <si>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</si>
  <si>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</si>
  <si>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</si>
  <si>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</si>
  <si>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</si>
  <si>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</si>
  <si>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</si>
  <si>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</si>
  <si>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</si>
  <si>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</si>
  <si>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</si>
  <si>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</si>
  <si>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</si>
  <si>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</si>
  <si>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</si>
  <si>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</si>
  <si>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</si>
  <si>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</si>
  <si>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</si>
  <si>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</si>
  <si>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</si>
  <si>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</si>
  <si>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</si>
  <si>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</si>
  <si>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</si>
  <si>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</si>
  <si>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</si>
  <si>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</si>
  <si>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</si>
  <si>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</si>
  <si>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</si>
  <si>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</si>
  <si>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</si>
  <si>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</si>
  <si>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</si>
  <si>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</si>
  <si>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</si>
  <si>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</si>
  <si>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</si>
  <si>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</si>
  <si>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</si>
  <si>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</si>
  <si>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</si>
  <si>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</si>
  <si>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</si>
  <si>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</si>
  <si>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</si>
  <si>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</si>
  <si>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</si>
  <si>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</si>
  <si>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</si>
  <si>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</si>
  <si>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</si>
  <si>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</si>
  <si>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</si>
  <si>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</si>
  <si>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</si>
  <si>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</si>
  <si>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</si>
  <si>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</si>
  <si>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</si>
  <si>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</si>
  <si>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</si>
  <si>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</si>
  <si>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</si>
  <si>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</si>
  <si>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</si>
  <si>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</si>
  <si>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</si>
  <si>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</si>
  <si>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</si>
  <si>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</si>
  <si>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</si>
  <si>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</si>
  <si>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</si>
  <si>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</si>
  <si>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</si>
  <si>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</si>
  <si>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</si>
  <si>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</si>
  <si>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</si>
  <si>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</si>
  <si>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</si>
  <si>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</si>
  <si>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</si>
  <si>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</si>
  <si>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</si>
  <si>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</si>
  <si>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</si>
  <si>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</si>
  <si>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</si>
  <si>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</si>
  <si>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</si>
  <si>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</si>
  <si>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</si>
  <si>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</si>
  <si>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</si>
  <si>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</si>
  <si>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</si>
  <si>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</si>
  <si>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</si>
  <si>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</si>
  <si>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</si>
  <si>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</si>
  <si>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</si>
  <si>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</si>
  <si>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</si>
  <si>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</si>
  <si>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</si>
  <si>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</si>
  <si>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</si>
  <si>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</si>
  <si>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</si>
  <si>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</si>
  <si>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</si>
  <si>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</si>
  <si>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</si>
  <si>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</si>
  <si>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</si>
  <si>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</si>
  <si>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</si>
  <si>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</si>
  <si>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</si>
  <si>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</si>
  <si>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</si>
  <si>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</si>
  <si>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</si>
  <si>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</si>
  <si>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</si>
  <si>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</si>
  <si>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</si>
  <si>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</si>
  <si>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</si>
  <si>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</si>
  <si>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</si>
  <si>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</si>
  <si>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</si>
  <si>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</si>
  <si>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</si>
  <si>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</si>
  <si>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</si>
  <si>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</si>
  <si>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</si>
  <si>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</si>
  <si>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</si>
  <si>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</si>
  <si>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</si>
  <si>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</si>
  <si>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</si>
  <si>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</si>
  <si>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</si>
  <si>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</si>
  <si>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</si>
  <si>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</si>
  <si>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</si>
  <si>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</si>
  <si>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</si>
  <si>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</si>
  <si>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</si>
  <si>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</si>
  <si>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</si>
  <si>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</si>
  <si>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</si>
  <si>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</si>
  <si>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</si>
  <si>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</si>
  <si>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</si>
  <si>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</si>
  <si>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</si>
  <si>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</si>
  <si>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</si>
  <si>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</si>
  <si>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</si>
  <si>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</si>
  <si>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</si>
  <si>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</si>
  <si>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</si>
  <si>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</si>
  <si>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</si>
  <si>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</si>
  <si>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</si>
  <si>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</si>
  <si>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</si>
  <si>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</si>
  <si>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</si>
  <si>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</si>
  <si>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</si>
  <si>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</si>
  <si>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</si>
  <si>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</si>
  <si>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</si>
  <si>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</si>
  <si>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</si>
  <si>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</si>
  <si>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</si>
  <si>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</si>
  <si>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</si>
  <si>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</si>
  <si>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</si>
  <si>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</si>
  <si>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</si>
  <si>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</si>
  <si>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</si>
  <si>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</si>
  <si>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</si>
  <si>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</si>
  <si>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</si>
  <si>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</si>
  <si>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</si>
  <si>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</si>
  <si>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</si>
  <si>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</si>
  <si>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</si>
  <si>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</si>
  <si>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</si>
  <si>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</si>
  <si>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</si>
  <si>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</si>
  <si>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</si>
  <si>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</si>
  <si>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</si>
  <si>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</si>
  <si>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</si>
  <si>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</si>
  <si>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</si>
  <si>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</si>
  <si>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</si>
  <si>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</si>
  <si>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</si>
  <si>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</si>
  <si>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</si>
  <si>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</si>
  <si>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</si>
  <si>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</si>
  <si>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</si>
  <si>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</si>
  <si>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</si>
  <si>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</si>
  <si>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</si>
  <si>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</si>
  <si>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</si>
  <si>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</si>
  <si>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</si>
  <si>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</si>
  <si>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</si>
  <si>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</si>
  <si>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</si>
  <si>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</si>
  <si>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</si>
  <si>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</si>
  <si>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</si>
  <si>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</si>
  <si>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</si>
  <si>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</si>
  <si>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</si>
  <si>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</si>
  <si>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</si>
  <si>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</si>
  <si>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</si>
  <si>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</si>
  <si>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</si>
  <si>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</si>
  <si>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</si>
  <si>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</si>
  <si>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</si>
  <si>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</si>
  <si>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</si>
  <si>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</si>
  <si>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</si>
  <si>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</si>
  <si>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</si>
  <si>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</si>
  <si>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</si>
  <si>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</si>
  <si>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</si>
  <si>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</si>
  <si>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</si>
  <si>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</si>
  <si>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</si>
  <si>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</si>
  <si>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</si>
  <si>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</si>
  <si>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</si>
  <si>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</si>
  <si>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</si>
  <si>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</si>
  <si>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</si>
  <si>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</si>
  <si>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</si>
  <si>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</si>
  <si>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</si>
  <si>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</si>
  <si>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</si>
  <si>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</si>
  <si>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</si>
  <si>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</si>
  <si>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</si>
  <si>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</si>
  <si>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</si>
  <si>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</si>
  <si>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</si>
  <si>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</si>
  <si>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</si>
  <si>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</si>
  <si>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</si>
  <si>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</si>
  <si>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</si>
  <si>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</si>
  <si>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</si>
  <si>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</si>
  <si>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</si>
  <si>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</si>
  <si>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</si>
  <si>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</si>
  <si>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</si>
  <si>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</si>
  <si>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</si>
  <si>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</si>
  <si>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</si>
  <si>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</si>
  <si>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</si>
  <si>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</si>
  <si>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</si>
  <si>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</si>
  <si>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</si>
  <si>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</si>
  <si>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</si>
  <si>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</si>
  <si>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</si>
  <si>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</si>
  <si>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</si>
  <si>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</si>
  <si>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</si>
  <si>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</si>
  <si>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</si>
  <si>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</si>
  <si>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</si>
  <si>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</si>
  <si>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</si>
  <si>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</si>
  <si>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</si>
  <si>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</si>
  <si>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</si>
  <si>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</si>
  <si>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</si>
  <si>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</si>
  <si>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</si>
  <si>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</si>
  <si>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</si>
  <si>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</si>
  <si>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</si>
  <si>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</si>
  <si>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</si>
  <si>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</si>
  <si>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</si>
  <si>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</si>
  <si>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</si>
  <si>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</si>
  <si>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</si>
  <si>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</si>
  <si>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</si>
  <si>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</si>
  <si>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</si>
  <si>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</si>
  <si>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</si>
  <si>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</si>
  <si>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</si>
  <si>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</si>
  <si>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</si>
  <si>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</si>
  <si>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</si>
  <si>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</si>
  <si>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</si>
  <si>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</si>
  <si>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</si>
  <si>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</si>
  <si>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</si>
  <si>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</si>
  <si>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</si>
  <si>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</si>
  <si>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</si>
  <si>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</si>
  <si>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</si>
  <si>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</si>
  <si>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</si>
  <si>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</si>
  <si>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</si>
  <si>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</si>
  <si>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</si>
  <si>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</si>
  <si>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</si>
  <si>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</si>
  <si>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</si>
  <si>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</si>
  <si>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</si>
  <si>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</si>
  <si>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</si>
  <si>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</si>
  <si>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</si>
  <si>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</si>
  <si>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</si>
  <si>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</si>
  <si>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</si>
  <si>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</si>
  <si>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</si>
  <si>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</si>
  <si>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</si>
  <si>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</si>
  <si>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</si>
  <si>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</si>
  <si>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</si>
  <si>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</si>
  <si>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</si>
  <si>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</si>
  <si>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</si>
  <si>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</si>
  <si>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</si>
  <si>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</si>
  <si>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</si>
  <si>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</si>
  <si>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</si>
  <si>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</si>
  <si>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</si>
  <si>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</si>
  <si>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</si>
  <si>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</si>
  <si>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</si>
  <si>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</si>
  <si>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</si>
  <si>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</si>
  <si>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</si>
  <si>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</si>
  <si>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</si>
  <si>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</si>
  <si>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</si>
  <si>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</si>
  <si>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</si>
  <si>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</si>
  <si>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</si>
  <si>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</si>
  <si>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</si>
  <si>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</si>
  <si>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</si>
  <si>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</si>
  <si>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</si>
  <si>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</si>
  <si>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</si>
  <si>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</si>
  <si>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</si>
  <si>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</si>
  <si>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</si>
  <si>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</si>
  <si>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</si>
  <si>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</si>
  <si>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</si>
  <si>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</si>
  <si>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</si>
  <si>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</si>
  <si>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</si>
  <si>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</si>
  <si>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</si>
  <si>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</si>
  <si>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</si>
  <si>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</si>
  <si>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</si>
  <si>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</si>
  <si>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</si>
  <si>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</si>
  <si>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</si>
  <si>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</si>
  <si>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</si>
  <si>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</si>
  <si>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</si>
  <si>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</si>
  <si>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</si>
  <si>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</si>
  <si>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</si>
  <si>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</si>
  <si>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</si>
  <si>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</si>
  <si>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</si>
  <si>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</si>
  <si>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</si>
  <si>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</si>
  <si>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</si>
  <si>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</si>
  <si>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</si>
  <si>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</si>
  <si>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</si>
  <si>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</si>
  <si>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</si>
  <si>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</si>
  <si>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</si>
  <si>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</si>
  <si>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</si>
  <si>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</si>
  <si>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</si>
  <si>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</si>
  <si>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</si>
  <si>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</si>
  <si>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</si>
  <si>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</si>
  <si>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</si>
  <si>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</si>
  <si>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</si>
  <si>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</si>
  <si>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</si>
  <si>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</si>
  <si>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</si>
  <si>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</si>
  <si>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</si>
  <si>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</si>
  <si>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</si>
  <si>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</si>
  <si>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</si>
  <si>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</si>
  <si>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</si>
  <si>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</si>
  <si>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</si>
  <si>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</si>
  <si>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</si>
  <si>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</si>
  <si>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</si>
  <si>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</si>
  <si>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</si>
  <si>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</si>
  <si>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</si>
  <si>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</si>
  <si>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</si>
  <si>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</si>
  <si>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</si>
  <si>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</si>
  <si>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</si>
  <si>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</si>
  <si>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</si>
  <si>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</si>
  <si>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</si>
  <si>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</si>
  <si>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</si>
  <si>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</si>
  <si>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</si>
  <si>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</si>
  <si>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</si>
  <si>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</si>
  <si>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</si>
  <si>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</si>
  <si>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</si>
  <si>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</si>
  <si>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</si>
  <si>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</si>
  <si>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</si>
  <si>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</si>
  <si>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</si>
  <si>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</si>
  <si>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</si>
  <si>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</si>
  <si>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</si>
  <si>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</si>
  <si>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</si>
  <si>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</si>
  <si>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</si>
  <si>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</si>
  <si>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</si>
  <si>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</si>
  <si>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</si>
  <si>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</si>
  <si>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</si>
  <si>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</si>
  <si>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</si>
  <si>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</si>
  <si>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</si>
  <si>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</si>
  <si>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</si>
  <si>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</si>
  <si>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</si>
  <si>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</si>
  <si>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</si>
  <si>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</si>
  <si>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</si>
  <si>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</si>
  <si>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</si>
  <si>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</si>
  <si>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</si>
  <si>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</si>
  <si>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</si>
  <si>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</si>
  <si>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</si>
  <si>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</si>
  <si>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</si>
  <si>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</si>
  <si>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</si>
  <si>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</si>
  <si>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</si>
  <si>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</si>
  <si>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</si>
  <si>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</si>
  <si>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</si>
  <si>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</si>
  <si>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</si>
  <si>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</si>
  <si>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</si>
  <si>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</si>
  <si>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</si>
  <si>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</si>
  <si>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</si>
  <si>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</si>
  <si>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</si>
  <si>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</si>
  <si>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</si>
  <si>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</si>
  <si>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</si>
  <si>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</si>
  <si>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</si>
  <si>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</si>
  <si>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</si>
  <si>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</si>
  <si>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</si>
  <si>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</si>
  <si>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</si>
  <si>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</si>
  <si>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</si>
  <si>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</si>
  <si>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</si>
  <si>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</si>
  <si>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</si>
  <si>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</si>
  <si>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</si>
  <si>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</si>
  <si>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</si>
  <si>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</si>
  <si>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</si>
  <si>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</si>
  <si>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</si>
  <si>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</si>
  <si>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</si>
  <si>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</si>
  <si>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</si>
  <si>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</si>
  <si>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</si>
  <si>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</si>
  <si>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</si>
  <si>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</si>
  <si>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</si>
  <si>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</si>
  <si>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</si>
  <si>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</si>
  <si>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</si>
  <si>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</si>
  <si>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</si>
  <si>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</si>
  <si>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</si>
  <si>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</si>
  <si>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</si>
  <si>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</si>
  <si>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</si>
  <si>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</si>
  <si>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</si>
  <si>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</si>
  <si>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</si>
  <si>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</si>
  <si>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</si>
  <si>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</si>
  <si>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</si>
  <si>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</si>
  <si>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</si>
  <si>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</si>
  <si>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</si>
  <si>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</si>
  <si>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</si>
  <si>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</si>
  <si>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</si>
  <si>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</si>
  <si>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</si>
  <si>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</si>
  <si>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</si>
  <si>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</si>
  <si>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</si>
  <si>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</si>
  <si>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</si>
  <si>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</si>
  <si>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</si>
  <si>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</si>
  <si>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</si>
  <si>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</si>
  <si>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</si>
  <si>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</si>
  <si>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</si>
  <si>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</si>
  <si>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</si>
  <si>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</si>
  <si>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</si>
  <si>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</si>
  <si>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</si>
  <si>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</si>
  <si>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</si>
  <si>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</si>
  <si>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</si>
  <si>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</si>
  <si>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</si>
  <si>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</si>
  <si>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</si>
  <si>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</si>
  <si>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</si>
  <si>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</si>
  <si>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</si>
  <si>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</si>
  <si>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</si>
  <si>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</si>
  <si>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</si>
  <si>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</si>
  <si>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</si>
  <si>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</si>
  <si>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</si>
  <si>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</si>
  <si>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</si>
  <si>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</si>
  <si>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</si>
  <si>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</si>
  <si>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</si>
  <si>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</si>
  <si>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</si>
  <si>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</si>
  <si>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</si>
  <si>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</si>
  <si>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</si>
  <si>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</si>
  <si>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</si>
  <si>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</si>
  <si>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</si>
  <si>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</si>
  <si>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</si>
  <si>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</si>
  <si>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</si>
  <si>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</si>
  <si>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</si>
  <si>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</si>
  <si>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</si>
  <si>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</si>
  <si>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</si>
  <si>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</si>
  <si>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</si>
  <si>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</si>
  <si>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</si>
  <si>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</si>
  <si>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</si>
  <si>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</si>
  <si>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</si>
  <si>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</si>
  <si>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</si>
  <si>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</si>
  <si>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</si>
  <si>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</si>
  <si>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</si>
  <si>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</si>
  <si>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</si>
  <si>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</si>
  <si>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</si>
  <si>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</si>
  <si>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</si>
  <si>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</si>
  <si>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</si>
  <si>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</si>
  <si>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</si>
  <si>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</si>
  <si>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</si>
  <si>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</si>
  <si>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</si>
  <si>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</si>
  <si>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</si>
  <si>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</si>
  <si>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</si>
  <si>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</si>
  <si>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</si>
  <si>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</si>
  <si>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</si>
  <si>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</si>
  <si>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</si>
  <si>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</si>
  <si>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</si>
  <si>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</si>
  <si>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</si>
  <si>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</si>
  <si>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</si>
  <si>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</si>
  <si>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</si>
  <si>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</si>
  <si>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</si>
  <si>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</si>
  <si>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</si>
  <si>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</si>
  <si>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</si>
  <si>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</si>
  <si>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</si>
  <si>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</si>
  <si>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</si>
  <si>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</si>
  <si>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</si>
  <si>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</si>
  <si>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</si>
  <si>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</si>
  <si>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</si>
  <si>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</si>
  <si>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</si>
  <si>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</si>
  <si>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</si>
  <si>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</si>
  <si>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</si>
  <si>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</si>
  <si>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</si>
  <si>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</si>
  <si>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</si>
  <si>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</si>
  <si>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</si>
  <si>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</si>
  <si>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</si>
  <si>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</si>
  <si>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</si>
  <si>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</si>
  <si>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</si>
  <si>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</si>
  <si>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</si>
  <si>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</si>
  <si>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</si>
  <si>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</si>
  <si>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</si>
  <si>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</si>
  <si>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</si>
  <si>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</si>
  <si>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</si>
  <si>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</si>
  <si>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</si>
  <si>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</si>
  <si>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</si>
  <si>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</si>
  <si>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</si>
  <si>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</si>
  <si>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</si>
  <si>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</si>
  <si>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</si>
  <si>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</si>
  <si>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</si>
  <si>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</si>
  <si>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</si>
  <si>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</si>
  <si>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</si>
  <si>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</si>
  <si>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</si>
  <si>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</si>
  <si>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</si>
  <si>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</si>
  <si>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</si>
  <si>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</si>
  <si>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</si>
  <si>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</si>
  <si>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</si>
  <si>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</si>
  <si>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</si>
  <si>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</si>
  <si>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</si>
  <si>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</si>
  <si>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</si>
  <si>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</si>
  <si>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</si>
  <si>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</si>
  <si>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</si>
  <si>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</si>
  <si>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</si>
  <si>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</si>
  <si>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</si>
  <si>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</si>
  <si>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</si>
  <si>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</si>
  <si>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</si>
  <si>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</si>
  <si>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</si>
  <si>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</si>
  <si>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</si>
  <si>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</si>
  <si>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</si>
  <si>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</si>
  <si>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</si>
  <si>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</si>
  <si>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</si>
  <si>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</si>
  <si>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</si>
  <si>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</si>
  <si>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</si>
  <si>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</si>
  <si>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</si>
  <si>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</si>
  <si>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</si>
  <si>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</si>
  <si>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</si>
  <si>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</si>
  <si>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</si>
  <si>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</si>
  <si>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</si>
  <si>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</si>
  <si>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</si>
  <si>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</si>
  <si>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</si>
  <si>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</si>
  <si>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</si>
  <si>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</si>
  <si>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</si>
  <si>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</si>
  <si>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</si>
  <si>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</si>
  <si>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</si>
  <si>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</si>
  <si>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</si>
  <si>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</si>
  <si>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</si>
  <si>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</si>
  <si>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</si>
  <si>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</si>
  <si>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</si>
  <si>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</si>
  <si>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</si>
  <si>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</si>
  <si>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</si>
  <si>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</si>
  <si>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</si>
  <si>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</si>
  <si>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</si>
  <si>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</si>
  <si>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</si>
  <si>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</si>
  <si>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</si>
  <si>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</si>
  <si>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</si>
  <si>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</si>
  <si>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</si>
  <si>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</si>
  <si>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</si>
  <si>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</si>
  <si>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</si>
  <si>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</si>
  <si>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</si>
  <si>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</si>
  <si>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</si>
  <si>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</si>
  <si>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</si>
  <si>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</si>
  <si>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</si>
  <si>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</si>
  <si>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</si>
  <si>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</si>
  <si>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</si>
  <si>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</si>
  <si>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</si>
  <si>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</si>
  <si>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</si>
  <si>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</si>
  <si>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</si>
  <si>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</si>
  <si>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</si>
  <si>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</si>
  <si>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</si>
  <si>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</si>
  <si>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</si>
  <si>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</si>
  <si>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</si>
  <si>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</si>
  <si>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</si>
  <si>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</si>
  <si>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</si>
  <si>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</si>
  <si>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</si>
  <si>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</si>
  <si>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</si>
  <si>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</si>
  <si>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</si>
  <si>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</si>
  <si>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</si>
  <si>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</si>
  <si>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</si>
  <si>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</si>
  <si>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</si>
  <si>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</si>
  <si>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</si>
  <si>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</si>
  <si>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</si>
  <si>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</si>
  <si>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</si>
  <si>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</si>
  <si>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</si>
  <si>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</si>
  <si>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</si>
  <si>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</si>
  <si>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</si>
  <si>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</si>
  <si>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</si>
  <si>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</si>
  <si>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</si>
  <si>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</si>
  <si>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</si>
  <si>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</si>
  <si>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</si>
  <si>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</si>
  <si>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</si>
  <si>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</si>
  <si>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</si>
  <si>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</si>
  <si>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</si>
  <si>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</si>
  <si>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</si>
  <si>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</si>
  <si>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</si>
  <si>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</si>
  <si>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</si>
  <si>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</si>
  <si>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</si>
  <si>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</si>
  <si>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</si>
  <si>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</si>
  <si>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</si>
  <si>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</si>
  <si>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</si>
  <si>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</si>
  <si>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</si>
  <si>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</si>
  <si>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</si>
  <si>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</si>
  <si>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</si>
  <si>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</si>
  <si>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</si>
  <si>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</si>
  <si>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</si>
  <si>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</si>
  <si>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</si>
  <si>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</si>
  <si>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</si>
  <si>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</si>
  <si>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</si>
  <si>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</si>
  <si>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</si>
  <si>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</si>
  <si>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</si>
  <si>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</si>
  <si>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</si>
  <si>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</si>
  <si>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</si>
  <si>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</si>
  <si>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</si>
  <si>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</si>
  <si>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</si>
  <si>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</si>
  <si>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</si>
  <si>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</si>
  <si>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</si>
  <si>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</si>
  <si>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</si>
  <si>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</si>
  <si>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</si>
  <si>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</si>
  <si>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</si>
  <si>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</si>
  <si>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</si>
  <si>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</si>
  <si>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</si>
  <si>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</si>
  <si>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</si>
  <si>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</si>
  <si>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</si>
  <si>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</si>
  <si>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</si>
  <si>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</si>
  <si>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</si>
  <si>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</si>
  <si>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</si>
  <si>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</si>
  <si>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</si>
  <si>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</si>
  <si>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</si>
  <si>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</si>
  <si>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</si>
  <si>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</si>
  <si>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</si>
  <si>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</si>
  <si>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</si>
  <si>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</si>
  <si>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</si>
  <si>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</si>
  <si>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</si>
  <si>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</si>
  <si>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</si>
  <si>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</si>
  <si>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</si>
  <si>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</si>
  <si>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</si>
  <si>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</si>
  <si>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</si>
  <si>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</si>
  <si>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</si>
  <si>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</si>
  <si>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</si>
  <si>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</si>
  <si>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</si>
  <si>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</si>
  <si>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</si>
  <si>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</si>
  <si>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</si>
  <si>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</si>
  <si>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</si>
  <si>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</si>
  <si>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</si>
  <si>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</si>
  <si>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</si>
  <si>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</si>
  <si>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</si>
  <si>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</si>
  <si>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</si>
  <si>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</si>
  <si>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</si>
  <si>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</si>
  <si>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</si>
  <si>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</si>
  <si>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</si>
  <si>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</si>
  <si>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</si>
  <si>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</si>
  <si>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</si>
  <si>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</si>
  <si>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</si>
  <si>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</si>
  <si>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</si>
  <si>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</si>
  <si>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</si>
  <si>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</si>
  <si>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</si>
  <si>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</si>
  <si>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</si>
  <si>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</si>
  <si>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</si>
  <si>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</si>
  <si>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</si>
  <si>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</si>
  <si>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</si>
  <si>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</si>
  <si>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</si>
  <si>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</si>
  <si>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</si>
  <si>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</si>
  <si>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</si>
  <si>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</si>
  <si>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</si>
  <si>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</si>
  <si>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</si>
  <si>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</si>
  <si>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</si>
  <si>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</si>
  <si>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</si>
  <si>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</si>
  <si>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</si>
  <si>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</si>
  <si>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</si>
  <si>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</si>
  <si>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</si>
  <si>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</si>
  <si>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</si>
  <si>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</si>
  <si>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</si>
  <si>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</si>
  <si>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</si>
  <si>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</si>
  <si>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</si>
  <si>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</si>
  <si>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</si>
  <si>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</si>
  <si>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</si>
  <si>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</si>
  <si>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</si>
  <si>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</si>
  <si>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</si>
  <si>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</si>
  <si>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</si>
  <si>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</si>
  <si>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</si>
  <si>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</si>
  <si>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</si>
  <si>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</si>
  <si>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</si>
  <si>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</si>
  <si>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</si>
  <si>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</si>
  <si>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</si>
  <si>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</si>
  <si>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</si>
  <si>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</si>
  <si>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</si>
  <si>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</si>
  <si>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</si>
  <si>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</si>
  <si>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</si>
  <si>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</si>
  <si>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</si>
  <si>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</si>
  <si>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</si>
  <si>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</si>
  <si>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</si>
  <si>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</si>
  <si>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</si>
  <si>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</si>
  <si>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</si>
  <si>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</si>
  <si>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</si>
  <si>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</si>
  <si>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</si>
  <si>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</si>
  <si>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</si>
  <si>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</si>
  <si>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</si>
  <si>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</si>
  <si>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</si>
  <si>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</si>
  <si>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</si>
  <si>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</si>
  <si>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</si>
  <si>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</si>
  <si>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</si>
  <si>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</si>
  <si>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</si>
  <si>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</si>
  <si>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</si>
  <si>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</si>
  <si>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</si>
  <si>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</si>
  <si>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</si>
  <si>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</si>
  <si>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</si>
  <si>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</si>
  <si>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</si>
  <si>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</si>
  <si>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</si>
  <si>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</si>
  <si>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</si>
  <si>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</si>
  <si>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</si>
  <si>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</si>
  <si>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</si>
  <si>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</si>
  <si>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</si>
  <si>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</si>
  <si>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</si>
  <si>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</si>
  <si>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</si>
  <si>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</si>
  <si>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</si>
  <si>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</si>
  <si>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</si>
  <si>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</si>
  <si>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</si>
  <si>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</si>
  <si>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</si>
  <si>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</si>
  <si>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</si>
  <si>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</si>
  <si>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</si>
  <si>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</si>
  <si>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</si>
  <si>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</si>
  <si>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</si>
  <si>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</si>
  <si>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</si>
  <si>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</si>
  <si>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</si>
  <si>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</si>
  <si>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</si>
  <si>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</si>
  <si>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</si>
  <si>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</si>
  <si>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</si>
  <si>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</si>
  <si>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</si>
  <si>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</si>
  <si>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</si>
  <si>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</si>
  <si>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</si>
  <si>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</si>
  <si>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</si>
  <si>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</si>
  <si>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</si>
  <si>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</si>
  <si>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</si>
  <si>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</si>
  <si>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</si>
  <si>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</si>
  <si>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</si>
  <si>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</si>
  <si>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</si>
  <si>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</si>
  <si>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</si>
  <si>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</si>
  <si>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</si>
  <si>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</si>
  <si>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</si>
  <si>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</si>
  <si>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</si>
  <si>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</si>
  <si>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</si>
  <si>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</si>
  <si>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</si>
  <si>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</si>
  <si>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</si>
  <si>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</si>
  <si>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</si>
  <si>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</si>
  <si>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</si>
  <si>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</si>
  <si>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</si>
  <si>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</si>
  <si>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</si>
  <si>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</si>
  <si>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</si>
  <si>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</si>
  <si>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</si>
  <si>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</si>
  <si>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</si>
  <si>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</si>
  <si>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</si>
  <si>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</si>
  <si>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</si>
  <si>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</si>
  <si>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</si>
  <si>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</si>
  <si>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</si>
  <si>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</si>
  <si>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</si>
  <si>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</si>
  <si>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</si>
  <si>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</si>
  <si>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</si>
  <si>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</si>
  <si>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</si>
  <si>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</si>
  <si>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</si>
  <si>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</si>
  <si>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</si>
  <si>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</si>
  <si>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</si>
  <si>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</si>
  <si>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</si>
  <si>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</si>
  <si>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</si>
  <si>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</si>
  <si>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</si>
  <si>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</si>
  <si>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</si>
  <si>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</si>
  <si>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</si>
  <si>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</si>
  <si>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</si>
  <si>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</si>
  <si>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</si>
  <si>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</si>
  <si>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</si>
  <si>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</si>
  <si>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</si>
  <si>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</si>
  <si>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</si>
  <si>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</si>
  <si>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</si>
  <si>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</si>
  <si>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</si>
  <si>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</si>
  <si>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</si>
  <si>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</si>
  <si>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</si>
  <si>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</si>
  <si>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</si>
  <si>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</si>
  <si>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</si>
  <si>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</si>
  <si>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</si>
  <si>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</si>
  <si>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</si>
  <si>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</si>
  <si>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</si>
  <si>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</si>
  <si>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</si>
  <si>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</si>
  <si>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</si>
  <si>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</si>
  <si>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</si>
  <si>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</si>
  <si>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</si>
  <si>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</si>
  <si>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</si>
  <si>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</si>
  <si>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</si>
  <si>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</si>
  <si>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</si>
  <si>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</si>
  <si>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</si>
  <si>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</si>
  <si>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</si>
  <si>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</si>
  <si>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</si>
  <si>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</si>
  <si>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</si>
  <si>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</si>
  <si>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</si>
  <si>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</si>
  <si>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</si>
  <si>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</si>
  <si>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</si>
  <si>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</si>
  <si>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</si>
  <si>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</si>
  <si>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</si>
  <si>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</si>
  <si>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</si>
  <si>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</si>
  <si>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</si>
  <si>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</si>
  <si>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</si>
  <si>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</si>
  <si>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</si>
  <si>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</si>
  <si>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</si>
  <si>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</si>
  <si>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</si>
  <si>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</si>
  <si>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</si>
  <si>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</si>
  <si>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</si>
  <si>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</si>
  <si>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</si>
  <si>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</si>
  <si>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</si>
  <si>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</si>
  <si>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</si>
  <si>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</si>
  <si>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</si>
  <si>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</si>
  <si>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</si>
  <si>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</si>
  <si>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</si>
  <si>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</si>
  <si>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</si>
  <si>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</si>
  <si>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</si>
  <si>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</si>
  <si>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</si>
  <si>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</si>
  <si>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</si>
  <si>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</si>
  <si>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</si>
  <si>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</si>
  <si>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</si>
  <si>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</si>
  <si>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</si>
  <si>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</si>
  <si>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</si>
  <si>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</si>
  <si>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</si>
  <si>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</si>
  <si>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</si>
  <si>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</si>
  <si>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</si>
  <si>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</si>
  <si>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</si>
  <si>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</si>
  <si>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</si>
  <si>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</si>
  <si>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</si>
  <si>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</si>
  <si>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</si>
  <si>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</si>
  <si>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</si>
  <si>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</si>
  <si>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</si>
  <si>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</si>
  <si>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</si>
  <si>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</si>
  <si>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</si>
  <si>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</si>
  <si>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</si>
  <si>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</si>
  <si>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</si>
  <si>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</si>
  <si>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</si>
  <si>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</si>
  <si>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</si>
  <si>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</si>
  <si>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</si>
  <si>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</si>
  <si>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</si>
  <si>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</si>
  <si>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</si>
  <si>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</si>
  <si>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</si>
  <si>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</si>
  <si>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</si>
  <si>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</si>
  <si>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</si>
  <si>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</si>
  <si>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</si>
  <si>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</si>
  <si>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</si>
  <si>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</si>
  <si>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</si>
  <si>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</si>
  <si>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</si>
  <si>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</si>
  <si>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</si>
  <si>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</si>
  <si>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</si>
  <si>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</si>
  <si>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</si>
  <si>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</si>
  <si>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</si>
  <si>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</si>
  <si>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</si>
  <si>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</si>
  <si>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</si>
  <si>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</si>
  <si>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</si>
  <si>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</si>
  <si>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</si>
  <si>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</si>
  <si>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</si>
  <si>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</si>
  <si>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</si>
  <si>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</si>
  <si>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</si>
  <si>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</si>
  <si>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</si>
  <si>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</si>
  <si>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</si>
  <si>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</si>
  <si>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</si>
  <si>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</si>
  <si>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</si>
  <si>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</si>
  <si>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</si>
  <si>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</si>
  <si>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</si>
  <si>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</si>
  <si>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</si>
  <si>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</si>
  <si>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</si>
  <si>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</si>
  <si>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</si>
  <si>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</si>
  <si>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</si>
  <si>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</si>
  <si>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</si>
  <si>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</si>
  <si>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</si>
  <si>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</si>
  <si>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</si>
  <si>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</si>
  <si>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</si>
  <si>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</si>
  <si>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</si>
  <si>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</si>
  <si>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</si>
  <si>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</si>
  <si>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</si>
  <si>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</si>
  <si>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</si>
  <si>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</si>
  <si>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</si>
  <si>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</si>
  <si>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</si>
  <si>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</si>
  <si>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</si>
  <si>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</si>
  <si>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</si>
  <si>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</si>
  <si>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</si>
  <si>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</si>
  <si>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</si>
  <si>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</si>
  <si>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</si>
  <si>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</si>
  <si>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</si>
  <si>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</si>
  <si>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</si>
  <si>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</si>
  <si>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</si>
  <si>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</si>
  <si>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</si>
  <si>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</si>
  <si>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</si>
  <si>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</si>
  <si>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</si>
  <si>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</si>
  <si>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</si>
  <si>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</si>
  <si>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</si>
  <si>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</si>
  <si>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</si>
  <si>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</si>
  <si>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</si>
  <si>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</si>
  <si>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</si>
  <si>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</si>
  <si>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</si>
  <si>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</si>
  <si>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</si>
  <si>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</si>
  <si>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</si>
  <si>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</si>
  <si>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</si>
  <si>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</si>
  <si>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</si>
  <si>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</si>
  <si>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</si>
  <si>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</si>
  <si>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</si>
  <si>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</si>
  <si>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</si>
  <si>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</si>
  <si>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</si>
  <si>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</si>
  <si>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</si>
  <si>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</si>
  <si>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</si>
  <si>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</si>
  <si>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</si>
  <si>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</si>
  <si>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</si>
  <si>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</si>
  <si>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</si>
  <si>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</si>
  <si>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</si>
  <si>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</si>
  <si>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</si>
  <si>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</si>
  <si>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</si>
  <si>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</si>
  <si>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</si>
  <si>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</si>
  <si>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</si>
  <si>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</si>
  <si>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</si>
  <si>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</si>
  <si>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</si>
  <si>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</si>
  <si>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</si>
  <si>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</si>
  <si>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</si>
  <si>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</si>
  <si>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</si>
  <si>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</si>
  <si>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</si>
  <si>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</si>
  <si>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</si>
  <si>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</si>
  <si>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</si>
  <si>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</si>
  <si>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</si>
  <si>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</si>
  <si>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</si>
  <si>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</si>
  <si>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</si>
  <si>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</si>
  <si>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</si>
  <si>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</si>
  <si>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</si>
  <si>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</si>
  <si>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</si>
  <si>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</si>
  <si>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</si>
  <si>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</si>
  <si>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</si>
  <si>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</si>
  <si>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</si>
  <si>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</si>
  <si>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</si>
  <si>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</si>
  <si>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</si>
  <si>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</si>
  <si>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</si>
  <si>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</si>
  <si>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</si>
  <si>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</si>
  <si>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</si>
  <si>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</si>
  <si>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</si>
  <si>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</si>
  <si>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</si>
  <si>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</si>
  <si>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</si>
  <si>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</si>
  <si>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</si>
  <si>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</si>
  <si>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</si>
  <si>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</si>
  <si>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</si>
  <si>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</si>
  <si>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</si>
  <si>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</si>
  <si>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</si>
  <si>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</si>
  <si>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</si>
  <si>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</si>
  <si>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</si>
  <si>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</si>
  <si>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</si>
  <si>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</si>
  <si>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</si>
  <si>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</si>
  <si>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</si>
  <si>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</si>
  <si>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</si>
  <si>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</si>
  <si>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</si>
  <si>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</si>
  <si>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</si>
  <si>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</si>
  <si>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</si>
  <si>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</si>
  <si>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</si>
  <si>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</si>
  <si>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</si>
  <si>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</si>
  <si>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</si>
  <si>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</si>
  <si>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</si>
  <si>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</si>
  <si>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</si>
  <si>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</si>
  <si>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</si>
  <si>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</si>
  <si>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</si>
  <si>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</si>
  <si>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</si>
  <si>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</si>
  <si>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</si>
  <si>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</si>
  <si>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</si>
  <si>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</si>
  <si>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</si>
  <si>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</si>
  <si>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</si>
  <si>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</si>
  <si>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</si>
  <si>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</si>
  <si>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</si>
  <si>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</si>
  <si>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</si>
  <si>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</si>
  <si>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</si>
  <si>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</si>
  <si>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</si>
  <si>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</si>
  <si>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</si>
  <si>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</si>
  <si>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</si>
  <si>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</si>
  <si>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</si>
  <si>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</si>
  <si>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</si>
  <si>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</si>
  <si>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</si>
  <si>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</si>
  <si>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</si>
  <si>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</si>
  <si>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</si>
  <si>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</si>
  <si>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</si>
  <si>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</si>
  <si>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</si>
  <si>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</si>
  <si>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</si>
  <si>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</si>
  <si>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</si>
  <si>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</si>
  <si>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</si>
  <si>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</si>
  <si>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</si>
  <si>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</si>
  <si>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</si>
  <si>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</si>
  <si>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</si>
  <si>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</si>
  <si>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</si>
  <si>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</si>
  <si>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</si>
  <si>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</si>
  <si>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</si>
  <si>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</si>
  <si>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</si>
  <si>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</si>
  <si>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</si>
  <si>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</si>
  <si>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</si>
  <si>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</si>
  <si>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</si>
  <si>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</si>
  <si>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</si>
  <si>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</si>
  <si>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</si>
  <si>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</si>
  <si>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</si>
  <si>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</si>
  <si>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</si>
  <si>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</si>
  <si>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</si>
  <si>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</si>
  <si>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</si>
  <si>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</si>
  <si>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</si>
  <si>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</si>
  <si>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</si>
  <si>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</si>
  <si>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</si>
  <si>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</si>
  <si>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</si>
  <si>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</si>
  <si>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</si>
  <si>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</si>
  <si>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</si>
  <si>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</si>
  <si>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</si>
  <si>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</si>
  <si>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</si>
  <si>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</si>
  <si>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</si>
  <si>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</si>
  <si>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</si>
  <si>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</si>
  <si>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</si>
  <si>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</si>
  <si>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</si>
  <si>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</si>
  <si>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</si>
  <si>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</si>
  <si>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</si>
  <si>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</si>
  <si>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</si>
  <si>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</si>
  <si>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</si>
  <si>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</si>
  <si>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</si>
  <si>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</si>
  <si>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</si>
  <si>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</si>
  <si>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</si>
  <si>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</si>
  <si>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</si>
  <si>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</si>
  <si>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</si>
  <si>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</si>
  <si>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</si>
  <si>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</si>
  <si>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</si>
  <si>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</si>
  <si>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</si>
  <si>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</si>
  <si>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</si>
  <si>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</si>
  <si>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</si>
  <si>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</si>
  <si>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</si>
  <si>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</si>
  <si>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</si>
  <si>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</si>
  <si>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</si>
  <si>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</si>
  <si>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</si>
  <si>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</si>
  <si>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</si>
  <si>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</si>
  <si>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</si>
  <si>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</si>
  <si>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</si>
  <si>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</si>
  <si>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</si>
  <si>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</si>
  <si>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</si>
  <si>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</si>
  <si>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</si>
  <si>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</si>
  <si>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</si>
  <si>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</si>
  <si>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</si>
  <si>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</si>
  <si>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</si>
  <si>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</si>
  <si>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</si>
  <si>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</si>
  <si>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</si>
  <si>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</si>
  <si>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</si>
  <si>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</si>
  <si>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</si>
  <si>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</si>
  <si>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</si>
  <si>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</si>
  <si>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</si>
  <si>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</si>
  <si>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</si>
  <si>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</si>
  <si>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</si>
  <si>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</si>
  <si>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</si>
  <si>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</si>
  <si>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</si>
  <si>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</si>
  <si>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</si>
  <si>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</si>
  <si>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</si>
  <si>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</si>
  <si>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</si>
  <si>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</si>
  <si>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</si>
  <si>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</si>
  <si>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</si>
  <si>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</si>
  <si>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</si>
  <si>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</si>
  <si>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</si>
  <si>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</si>
  <si>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</si>
  <si>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</si>
  <si>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</si>
  <si>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</si>
  <si>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</si>
  <si>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</si>
  <si>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</si>
  <si>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</si>
  <si>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</si>
  <si>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</si>
  <si>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</si>
  <si>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</si>
  <si>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</si>
  <si>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</si>
  <si>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</si>
  <si>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</si>
  <si>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</si>
  <si>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</si>
  <si>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</si>
  <si>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</si>
  <si>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</si>
  <si>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</si>
  <si>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</si>
  <si>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</si>
  <si>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</si>
  <si>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</si>
  <si>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</si>
  <si>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</si>
  <si>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</si>
  <si>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</si>
  <si>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</si>
  <si>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</si>
  <si>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</si>
  <si>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</si>
  <si>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</si>
  <si>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</si>
  <si>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</si>
  <si>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</si>
  <si>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</si>
  <si>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</si>
  <si>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</si>
  <si>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</si>
  <si>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</si>
  <si>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</si>
  <si>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</si>
  <si>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</si>
  <si>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</si>
  <si>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</si>
  <si>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</si>
  <si>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</si>
  <si>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</si>
  <si>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</si>
  <si>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</si>
  <si>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</si>
  <si>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</si>
  <si>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</si>
  <si>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</si>
  <si>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</si>
  <si>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</si>
  <si>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</si>
  <si>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</si>
  <si>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</si>
  <si>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</si>
  <si>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</si>
  <si>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</si>
  <si>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</si>
  <si>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</si>
  <si>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</si>
  <si>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</si>
  <si>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</si>
  <si>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</si>
  <si>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</si>
  <si>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</si>
  <si>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</si>
  <si>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</si>
  <si>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</si>
  <si>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</si>
  <si>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</si>
  <si>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</si>
  <si>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</si>
  <si>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</si>
  <si>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</si>
  <si>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</si>
  <si>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</si>
  <si>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</si>
  <si>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</si>
  <si>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</si>
  <si>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</si>
  <si>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</si>
  <si>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</si>
  <si>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</si>
  <si>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</si>
  <si>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</si>
  <si>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</si>
  <si>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</si>
  <si>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</si>
  <si>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</si>
  <si>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</si>
  <si>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</si>
  <si>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</si>
  <si>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</si>
  <si>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</si>
  <si>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</si>
  <si>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</si>
  <si>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</si>
  <si>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</si>
  <si>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</si>
  <si>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</si>
  <si>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</si>
  <si>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</si>
  <si>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</si>
  <si>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</si>
  <si>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</si>
  <si>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</si>
  <si>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</si>
  <si>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</si>
  <si>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</si>
  <si>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</si>
  <si>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</si>
  <si>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</si>
  <si>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</si>
  <si>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</si>
  <si>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</si>
  <si>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</si>
  <si>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</si>
  <si>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</si>
  <si>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</si>
  <si>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</si>
  <si>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</si>
  <si>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</si>
  <si>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</si>
  <si>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</si>
  <si>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</si>
  <si>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</si>
  <si>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</si>
  <si>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</si>
  <si>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</si>
  <si>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</si>
  <si>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</si>
  <si>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</si>
  <si>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</si>
  <si>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</si>
  <si>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</si>
  <si>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</si>
  <si>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</si>
  <si>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</si>
  <si>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</si>
  <si>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</si>
  <si>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</si>
  <si>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</si>
  <si>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</si>
  <si>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</si>
  <si>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</si>
  <si>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</si>
  <si>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</si>
  <si>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</si>
  <si>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</si>
  <si>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</si>
  <si>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</si>
  <si>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</si>
  <si>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</si>
  <si>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</si>
  <si>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</si>
  <si>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</si>
  <si>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</si>
  <si>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</si>
  <si>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</si>
  <si>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</si>
  <si>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</si>
  <si>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</si>
  <si>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</si>
  <si>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</si>
  <si>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</si>
  <si>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</si>
  <si>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</si>
  <si>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</si>
  <si>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</si>
  <si>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</si>
  <si>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</si>
  <si>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</si>
  <si>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</si>
  <si>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</si>
  <si>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</si>
  <si>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</si>
  <si>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</si>
  <si>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</si>
  <si>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</si>
  <si>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</si>
  <si>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</si>
  <si>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</si>
  <si>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</si>
  <si>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</si>
  <si>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</si>
  <si>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</si>
  <si>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</si>
  <si>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</si>
  <si>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</si>
  <si>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</si>
  <si>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</si>
  <si>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</si>
  <si>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</si>
  <si>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</si>
  <si>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</si>
  <si>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</si>
  <si>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</si>
  <si>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</si>
  <si>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</si>
  <si>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</si>
  <si>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</si>
  <si>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</si>
  <si>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</si>
  <si>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</si>
  <si>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</si>
  <si>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</si>
  <si>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</si>
  <si>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</si>
  <si>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</si>
  <si>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</si>
  <si>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</si>
  <si>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</si>
  <si>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</si>
  <si>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</si>
  <si>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</si>
  <si>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</si>
  <si>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</si>
  <si>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</si>
  <si>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</si>
  <si>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</si>
  <si>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</si>
  <si>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</si>
  <si>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</si>
  <si>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</si>
  <si>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</si>
  <si>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</si>
  <si>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</si>
  <si>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</si>
  <si>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</si>
  <si>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</si>
  <si>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</si>
  <si>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</si>
  <si>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</si>
  <si>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</si>
  <si>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</si>
  <si>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</si>
  <si>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</si>
  <si>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</si>
  <si>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</si>
  <si>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</si>
  <si>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</si>
  <si>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</si>
  <si>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</si>
  <si>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</si>
  <si>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</si>
  <si>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</si>
  <si>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</si>
  <si>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</si>
  <si>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</si>
  <si>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</si>
  <si>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</si>
  <si>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</si>
  <si>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</si>
  <si>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</si>
  <si>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</si>
  <si>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</si>
  <si>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</si>
  <si>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</si>
  <si>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</si>
  <si>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</si>
  <si>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</si>
  <si>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</si>
  <si>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</si>
  <si>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</si>
  <si>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</si>
  <si>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</si>
  <si>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</si>
  <si>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</si>
  <si>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</si>
  <si>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</si>
  <si>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</si>
  <si>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</si>
  <si>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</si>
  <si>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</si>
  <si>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</si>
  <si>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</si>
  <si>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</si>
  <si>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</si>
  <si>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</si>
  <si>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</si>
  <si>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</si>
  <si>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</si>
  <si>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</si>
  <si>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</si>
  <si>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</si>
  <si>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</si>
  <si>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</si>
  <si>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</si>
  <si>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</si>
  <si>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</si>
  <si>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</si>
  <si>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</si>
  <si>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</si>
  <si>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</si>
  <si>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</si>
  <si>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</si>
  <si>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</si>
  <si>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</si>
  <si>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</si>
  <si>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</si>
  <si>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</si>
  <si>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</si>
  <si>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</si>
  <si>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</si>
  <si>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</si>
  <si>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</si>
  <si>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</si>
  <si>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</si>
  <si>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</si>
  <si>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</si>
  <si>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</si>
  <si>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</si>
  <si>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</si>
  <si>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</si>
  <si>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</si>
  <si>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</si>
  <si>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</si>
  <si>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</si>
  <si>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</si>
  <si>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</si>
  <si>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</si>
  <si>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</si>
  <si>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</si>
  <si>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</si>
  <si>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</si>
  <si>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</si>
  <si>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</si>
  <si>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</si>
  <si>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</si>
  <si>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</si>
  <si>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</si>
  <si>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</si>
  <si>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</si>
  <si>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</si>
  <si>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</si>
  <si>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</si>
  <si>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</si>
  <si>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</si>
  <si>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</si>
  <si>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</si>
  <si>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</si>
  <si>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</si>
  <si>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</si>
  <si>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</si>
  <si>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</si>
  <si>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</si>
  <si>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</si>
  <si>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</si>
  <si>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</si>
  <si>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</si>
  <si>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</si>
  <si>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</si>
  <si>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</si>
  <si>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</si>
  <si>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</si>
  <si>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</si>
  <si>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</si>
  <si>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</si>
  <si>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</si>
  <si>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</si>
  <si>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</si>
  <si>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</si>
  <si>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</si>
  <si>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</si>
  <si>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</si>
  <si>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</si>
  <si>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</si>
  <si>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</si>
  <si>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</si>
  <si>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</si>
  <si>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</si>
  <si>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</si>
  <si>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</si>
  <si>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</si>
  <si>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</si>
  <si>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</si>
  <si>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</si>
  <si>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</si>
  <si>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</si>
  <si>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</si>
  <si>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</si>
  <si>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</si>
  <si>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</si>
  <si>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</si>
  <si>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</si>
  <si>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</si>
  <si>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</si>
  <si>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</si>
  <si>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</si>
  <si>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</si>
  <si>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</si>
  <si>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</si>
  <si>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</si>
  <si>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</si>
  <si>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</si>
  <si>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</si>
  <si>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</si>
  <si>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</si>
  <si>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</si>
  <si>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</si>
  <si>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</si>
  <si>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</si>
  <si>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</si>
  <si>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</si>
  <si>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</si>
  <si>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</si>
  <si>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</si>
  <si>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</si>
  <si>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</si>
  <si>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</si>
  <si>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</si>
  <si>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</si>
  <si>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</si>
  <si>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</si>
  <si>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</si>
  <si>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</si>
  <si>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</si>
  <si>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</si>
  <si>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</si>
  <si>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</si>
  <si>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</si>
  <si>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</si>
  <si>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</si>
  <si>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</si>
  <si>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</si>
  <si>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</si>
  <si>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</si>
  <si>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</si>
  <si>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</si>
  <si>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</si>
  <si>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</si>
  <si>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</si>
  <si>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</si>
  <si>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</si>
  <si>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</si>
  <si>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</si>
  <si>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</si>
  <si>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</si>
  <si>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</si>
  <si>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</si>
  <si>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</si>
  <si>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</si>
  <si>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</si>
  <si>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</si>
  <si>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</si>
  <si>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</si>
  <si>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</si>
  <si>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</si>
  <si>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</si>
  <si>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</si>
  <si>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</si>
  <si>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</si>
  <si>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</si>
  <si>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</si>
  <si>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</si>
  <si>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</si>
  <si>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</si>
  <si>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</si>
  <si>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</si>
  <si>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</si>
  <si>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</si>
  <si>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</si>
  <si>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</si>
  <si>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</si>
  <si>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</si>
  <si>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</si>
  <si>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</si>
  <si>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</si>
  <si>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</si>
  <si>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</si>
  <si>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</si>
  <si>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</si>
  <si>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</si>
  <si>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</si>
  <si>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</si>
  <si>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</si>
  <si>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</si>
  <si>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</si>
  <si>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</si>
  <si>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</si>
  <si>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</si>
  <si>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</si>
  <si>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</si>
  <si>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</si>
  <si>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</si>
  <si>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</si>
  <si>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</si>
  <si>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</si>
  <si>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</si>
  <si>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</si>
  <si>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</si>
  <si>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</si>
  <si>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</si>
  <si>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</si>
  <si>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</si>
  <si>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</si>
  <si>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</si>
  <si>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</si>
  <si>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</si>
  <si>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</si>
  <si>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</si>
  <si>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</si>
  <si>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</si>
  <si>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</si>
  <si>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</si>
  <si>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</si>
  <si>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</si>
  <si>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</si>
  <si>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</si>
  <si>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</si>
  <si>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</si>
  <si>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</si>
  <si>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</si>
  <si>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</si>
  <si>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</si>
  <si>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</si>
  <si>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</si>
  <si>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</si>
  <si>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</si>
  <si>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</si>
  <si>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</si>
  <si>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</si>
  <si>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</si>
  <si>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</si>
  <si>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</si>
  <si>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</si>
  <si>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</si>
  <si>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</si>
  <si>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</si>
  <si>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</si>
  <si>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</si>
  <si>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</si>
  <si>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</si>
  <si>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</si>
  <si>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</si>
  <si>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</si>
  <si>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</si>
  <si>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</si>
  <si>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</si>
  <si>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</si>
  <si>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</si>
  <si>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</si>
  <si>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</si>
  <si>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</si>
  <si>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</si>
  <si>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</si>
  <si>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</si>
  <si>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</si>
  <si>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</si>
  <si>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</si>
  <si>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</si>
  <si>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</si>
  <si>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</si>
  <si>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</si>
  <si>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</si>
  <si>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</si>
  <si>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</si>
  <si>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</si>
  <si>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</si>
  <si>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</si>
  <si>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</si>
  <si>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</si>
  <si>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</si>
  <si>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</si>
  <si>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</si>
  <si>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</si>
  <si>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</si>
  <si>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</si>
  <si>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</si>
  <si>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</si>
  <si>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</si>
  <si>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</si>
  <si>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</si>
  <si>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</si>
  <si>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</si>
  <si>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</si>
  <si>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</si>
  <si>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</si>
  <si>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</si>
  <si>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</si>
  <si>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</si>
  <si>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</si>
  <si>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</si>
  <si>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</si>
  <si>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</si>
  <si>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</si>
  <si>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</si>
  <si>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</si>
  <si>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</si>
  <si>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</si>
  <si>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</si>
  <si>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</si>
  <si>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</si>
  <si>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</si>
  <si>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</si>
  <si>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</si>
  <si>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</si>
  <si>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</si>
  <si>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</si>
  <si>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</si>
  <si>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</si>
  <si>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</si>
  <si>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</si>
  <si>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</si>
  <si>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</si>
  <si>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</si>
  <si>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</si>
  <si>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</si>
  <si>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</si>
  <si>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</si>
  <si>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</si>
  <si>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</si>
  <si>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</si>
  <si>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</si>
  <si>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</si>
  <si>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</si>
  <si>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</si>
  <si>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</si>
  <si>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</si>
  <si>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</si>
  <si>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</si>
  <si>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</si>
  <si>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</si>
  <si>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</si>
  <si>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</si>
  <si>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</si>
  <si>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</si>
  <si>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</si>
  <si>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</si>
  <si>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</si>
  <si>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</si>
  <si>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</si>
  <si>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</si>
  <si>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</si>
  <si>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</si>
  <si>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</si>
  <si>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</si>
  <si>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</si>
  <si>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</si>
  <si>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</si>
  <si>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</si>
  <si>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</si>
  <si>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</si>
  <si>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</si>
  <si>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</si>
  <si>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</si>
  <si>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</si>
  <si>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</si>
  <si>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</si>
  <si>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</si>
  <si>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</si>
  <si>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</si>
  <si>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</si>
  <si>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</si>
  <si>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</si>
  <si>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</si>
  <si>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</si>
  <si>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</si>
  <si>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</si>
  <si>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</si>
  <si>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</si>
  <si>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</si>
  <si>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</si>
  <si>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</si>
  <si>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</si>
  <si>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</si>
  <si>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</si>
  <si>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</si>
  <si>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</si>
  <si>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</si>
  <si>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</si>
  <si>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</si>
  <si>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</si>
  <si>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</si>
  <si>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</si>
  <si>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</si>
  <si>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</si>
  <si>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</si>
  <si>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</si>
  <si>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</si>
  <si>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</si>
  <si>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</si>
  <si>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</si>
  <si>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</si>
  <si>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</si>
  <si>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</si>
  <si>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</si>
  <si>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</si>
  <si>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</si>
  <si>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</si>
  <si>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</si>
  <si>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</si>
  <si>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</si>
  <si>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</si>
  <si>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</si>
  <si>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</si>
  <si>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</si>
  <si>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</si>
  <si>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</si>
  <si>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</si>
  <si>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</si>
  <si>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</si>
  <si>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</si>
  <si>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</si>
  <si>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</si>
  <si>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</si>
  <si>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</si>
  <si>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</si>
  <si>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</si>
  <si>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</si>
  <si>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</si>
  <si>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</si>
  <si>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</si>
  <si>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</si>
  <si>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</si>
  <si>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</si>
  <si>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</si>
  <si>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</si>
  <si>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</si>
  <si>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</si>
  <si>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</si>
  <si>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</si>
  <si>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</si>
  <si>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</si>
  <si>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</si>
  <si>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</si>
  <si>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</si>
  <si>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</si>
  <si>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</si>
  <si>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</si>
  <si>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</si>
  <si>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</si>
  <si>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</si>
  <si>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</si>
  <si>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</si>
  <si>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</si>
  <si>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</si>
  <si>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</si>
  <si>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</si>
  <si>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</si>
  <si>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</si>
  <si>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</si>
  <si>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</si>
  <si>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</si>
  <si>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</si>
  <si>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</si>
  <si>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</si>
  <si>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</si>
  <si>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</si>
  <si>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</si>
  <si>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</si>
  <si>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</si>
  <si>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</si>
  <si>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</si>
  <si>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</si>
  <si>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</si>
  <si>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</si>
  <si>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</si>
  <si>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</si>
  <si>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</si>
  <si>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</si>
  <si>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</si>
  <si>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</si>
  <si>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</si>
  <si>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</si>
  <si>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</si>
  <si>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</si>
  <si>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</si>
  <si>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</si>
  <si>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</si>
  <si>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</si>
  <si>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</si>
  <si>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</si>
  <si>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</si>
  <si>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</si>
  <si>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</si>
  <si>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</si>
  <si>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</si>
  <si>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</si>
  <si>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</si>
  <si>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</si>
  <si>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</si>
  <si>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</si>
  <si>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</si>
  <si>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</si>
  <si>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</si>
  <si>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</si>
  <si>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</si>
  <si>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</si>
  <si>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</si>
  <si>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</si>
  <si>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</si>
  <si>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</si>
  <si>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</si>
  <si>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</si>
  <si>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</si>
  <si>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</si>
  <si>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</si>
  <si>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</si>
  <si>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</si>
  <si>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</si>
  <si>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</si>
  <si>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</si>
  <si>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</si>
  <si>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</si>
  <si>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</si>
  <si>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</si>
  <si>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</si>
  <si>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</si>
  <si>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</si>
  <si>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</si>
  <si>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</si>
  <si>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</si>
  <si>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</si>
  <si>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</si>
  <si>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</si>
  <si>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</si>
  <si>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</si>
  <si>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</si>
  <si>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</si>
  <si>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</si>
  <si>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</si>
  <si>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</si>
  <si>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</si>
  <si>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</si>
  <si>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</si>
  <si>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</si>
  <si>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</si>
  <si>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</si>
  <si>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</si>
  <si>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</si>
  <si>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</si>
  <si>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</si>
  <si>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</si>
  <si>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</si>
  <si>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</si>
  <si>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</si>
  <si>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</si>
  <si>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</si>
  <si>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</si>
  <si>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</si>
  <si>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</si>
  <si>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</si>
  <si>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</si>
  <si>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</si>
  <si>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</si>
  <si>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</si>
  <si>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</si>
  <si>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</si>
  <si>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</si>
  <si>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</si>
  <si>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</si>
  <si>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</si>
  <si>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</si>
  <si>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</si>
  <si>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</si>
  <si>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</si>
  <si>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</si>
  <si>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</si>
  <si>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</si>
  <si>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</si>
  <si>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</si>
  <si>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</si>
  <si>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</si>
  <si>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</si>
  <si>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</si>
  <si>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</si>
  <si>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</si>
  <si>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</si>
  <si>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</si>
  <si>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</si>
  <si>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</si>
  <si>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</si>
  <si>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</si>
  <si>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</si>
  <si>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</si>
  <si>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</si>
  <si>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</si>
  <si>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</si>
  <si>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</si>
  <si>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</si>
  <si>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</si>
  <si>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</si>
  <si>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</si>
  <si>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</si>
  <si>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</si>
  <si>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</si>
  <si>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</si>
  <si>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</si>
  <si>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</si>
  <si>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</si>
  <si>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</si>
  <si>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</si>
  <si>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</si>
  <si>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</si>
  <si>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</si>
  <si>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</si>
  <si>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</si>
  <si>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</si>
  <si>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</si>
  <si>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</si>
  <si>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</si>
  <si>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</si>
  <si>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</si>
  <si>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</si>
  <si>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</si>
  <si>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</si>
  <si>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</si>
  <si>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</si>
  <si>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</si>
  <si>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</si>
  <si>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</si>
  <si>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</si>
  <si>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</si>
  <si>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</si>
  <si>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</si>
  <si>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</si>
  <si>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</si>
  <si>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</si>
  <si>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</si>
  <si>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</si>
  <si>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</si>
  <si>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</si>
  <si>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</si>
  <si>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</si>
  <si>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</si>
  <si>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</si>
  <si>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</si>
  <si>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</si>
  <si>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</si>
  <si>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</si>
  <si>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</si>
  <si>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</si>
  <si>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</si>
  <si>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</si>
  <si>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</si>
  <si>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</si>
  <si>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</si>
  <si>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</si>
  <si>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</si>
  <si>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</si>
  <si>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</si>
  <si>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</si>
  <si>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</si>
  <si>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</si>
  <si>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</si>
  <si>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</si>
  <si>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</si>
  <si>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</si>
  <si>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</si>
  <si>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</si>
  <si>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</si>
  <si>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</si>
  <si>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</si>
  <si>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</si>
  <si>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</si>
  <si>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</si>
  <si>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</si>
  <si>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</si>
  <si>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</si>
  <si>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</si>
  <si>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</si>
  <si>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</si>
  <si>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</si>
  <si>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</si>
  <si>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</si>
  <si>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</si>
  <si>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</si>
  <si>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</si>
  <si>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</si>
  <si>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</si>
  <si>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</si>
  <si>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</si>
  <si>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</si>
  <si>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</si>
  <si>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</si>
  <si>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</si>
  <si>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</si>
  <si>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</si>
  <si>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</si>
  <si>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</si>
  <si>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</si>
  <si>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</si>
  <si>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</si>
  <si>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</si>
  <si>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</si>
  <si>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</si>
  <si>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</si>
  <si>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</si>
  <si>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</si>
  <si>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</si>
  <si>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</si>
  <si>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</si>
  <si>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</si>
  <si>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</si>
  <si>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</si>
  <si>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</si>
  <si>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</si>
  <si>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</si>
  <si>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</si>
  <si>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</si>
  <si>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</si>
  <si>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</si>
  <si>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</si>
  <si>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</si>
  <si>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</si>
  <si>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</si>
  <si>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</si>
  <si>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</si>
  <si>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</si>
  <si>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</si>
  <si>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</si>
  <si>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</si>
  <si>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</si>
  <si>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</si>
  <si>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</si>
  <si>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</si>
  <si>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</si>
  <si>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</si>
  <si>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</si>
  <si>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</si>
  <si>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</si>
  <si>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</si>
  <si>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</si>
  <si>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</si>
  <si>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</si>
  <si>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</si>
  <si>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</si>
  <si>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</si>
  <si>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</si>
  <si>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</si>
  <si>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</si>
  <si>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</si>
  <si>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</si>
  <si>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</si>
  <si>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</si>
  <si>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</si>
  <si>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</si>
  <si>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</si>
  <si>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</si>
  <si>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</si>
  <si>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</si>
  <si>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</si>
  <si>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</si>
  <si>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</si>
  <si>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</si>
  <si>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</si>
  <si>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</si>
  <si>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</si>
  <si>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</si>
  <si>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</si>
  <si>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</si>
  <si>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</si>
  <si>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</si>
  <si>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</si>
  <si>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</si>
  <si>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</si>
  <si>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</si>
  <si>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</si>
  <si>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</si>
  <si>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</si>
  <si>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</si>
  <si>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</si>
  <si>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</si>
  <si>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</si>
  <si>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</si>
  <si>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</si>
  <si>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</si>
  <si>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</si>
  <si>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</si>
  <si>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</si>
  <si>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</si>
  <si>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</si>
  <si>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</si>
  <si>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</si>
  <si>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</si>
  <si>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</si>
  <si>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</si>
  <si>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</si>
  <si>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</si>
  <si>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</si>
  <si>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</si>
  <si>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</si>
  <si>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</si>
  <si>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</si>
  <si>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</si>
  <si>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</si>
  <si>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</si>
  <si>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</si>
  <si>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</si>
  <si>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</si>
  <si>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</si>
  <si>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</si>
  <si>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</si>
  <si>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</si>
  <si>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</si>
  <si>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</si>
  <si>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</si>
  <si>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</si>
  <si>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</si>
  <si>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</si>
  <si>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</si>
  <si>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</si>
  <si>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</si>
  <si>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</si>
  <si>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</si>
  <si>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</si>
  <si>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</si>
  <si>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</si>
  <si>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</si>
  <si>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</si>
  <si>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</si>
  <si>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</si>
  <si>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</si>
  <si>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</si>
  <si>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</si>
  <si>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</si>
  <si>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</si>
  <si>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</si>
  <si>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</si>
  <si>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</si>
  <si>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</si>
  <si>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</si>
  <si>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</si>
  <si>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</si>
  <si>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</si>
  <si>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</si>
  <si>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</si>
  <si>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</si>
  <si>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</si>
  <si>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</si>
  <si>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</si>
  <si>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</si>
  <si>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</si>
  <si>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</si>
  <si>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</si>
  <si>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</si>
  <si>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</si>
  <si>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</si>
  <si>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</si>
  <si>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</si>
  <si>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</si>
  <si>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</si>
  <si>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</si>
  <si>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</si>
  <si>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</si>
  <si>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</si>
  <si>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</si>
  <si>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</si>
  <si>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</si>
  <si>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</si>
  <si>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</si>
  <si>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</si>
  <si>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</si>
  <si>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</si>
  <si>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</si>
  <si>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</si>
  <si>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</si>
  <si>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</si>
  <si>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</si>
  <si>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</si>
  <si>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</si>
  <si>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</si>
  <si>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</si>
  <si>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</si>
  <si>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</si>
  <si>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</si>
  <si>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</si>
  <si>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</si>
  <si>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</si>
  <si>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</si>
  <si>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</si>
  <si>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</si>
  <si>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</si>
  <si>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</si>
  <si>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</si>
  <si>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</si>
  <si>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</si>
  <si>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</si>
  <si>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</si>
  <si>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</si>
  <si>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</si>
  <si>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</si>
  <si>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</si>
  <si>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</si>
  <si>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</si>
  <si>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</si>
  <si>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</si>
  <si>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</si>
  <si>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</si>
  <si>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</si>
  <si>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</si>
  <si>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</si>
  <si>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</si>
  <si>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</si>
  <si>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</si>
  <si>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</si>
  <si>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</si>
  <si>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</si>
  <si>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</si>
  <si>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</si>
  <si>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</si>
  <si>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</si>
  <si>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</si>
  <si>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</si>
  <si>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</si>
  <si>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</si>
  <si>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</si>
  <si>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</si>
  <si>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</si>
  <si>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</si>
  <si>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</si>
  <si>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</si>
  <si>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</si>
  <si>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</si>
  <si>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</si>
  <si>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</si>
  <si>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</si>
  <si>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</si>
  <si>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</si>
  <si>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</si>
  <si>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</si>
  <si>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</si>
  <si>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</si>
  <si>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</si>
  <si>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</si>
  <si>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</si>
  <si>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</si>
  <si>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</si>
  <si>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</si>
  <si>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</si>
  <si>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</si>
  <si>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</si>
  <si>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</si>
  <si>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</si>
  <si>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</si>
  <si>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</si>
  <si>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</si>
  <si>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</si>
  <si>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</si>
  <si>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</si>
  <si>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</si>
  <si>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</si>
  <si>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</si>
  <si>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</si>
  <si>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</si>
  <si>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</si>
  <si>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</si>
  <si>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</si>
  <si>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</si>
  <si>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</si>
  <si>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</si>
  <si>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</si>
  <si>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</si>
  <si>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</si>
  <si>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</si>
  <si>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</si>
  <si>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</si>
  <si>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</si>
  <si>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</si>
  <si>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</si>
  <si>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</si>
  <si>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</si>
  <si>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</si>
  <si>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</si>
  <si>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</si>
  <si>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</si>
  <si>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</si>
  <si>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</si>
  <si>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</si>
  <si>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</si>
  <si>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</si>
  <si>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</si>
  <si>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</si>
  <si>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</si>
  <si>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</si>
  <si>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</si>
  <si>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</si>
  <si>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</si>
  <si>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</si>
  <si>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</si>
  <si>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</si>
  <si>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</si>
  <si>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</si>
  <si>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</si>
  <si>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</si>
  <si>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</si>
  <si>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</si>
  <si>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</si>
  <si>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</si>
  <si>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</si>
  <si>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</si>
  <si>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</si>
  <si>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</si>
  <si>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</si>
  <si>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</si>
  <si>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</si>
  <si>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</si>
  <si>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</si>
  <si>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</si>
  <si>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</si>
  <si>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</si>
  <si>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</si>
  <si>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</si>
  <si>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</si>
  <si>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</si>
  <si>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</si>
  <si>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</si>
  <si>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</si>
  <si>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</si>
  <si>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</si>
  <si>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</si>
  <si>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</si>
  <si>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</si>
  <si>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</si>
  <si>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</si>
  <si>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</si>
  <si>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</si>
  <si>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</si>
  <si>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</si>
  <si>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</si>
  <si>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</si>
  <si>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</si>
  <si>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</si>
  <si>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</si>
  <si>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</si>
  <si>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</si>
  <si>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</si>
  <si>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</si>
  <si>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</si>
  <si>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</si>
  <si>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</si>
  <si>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</si>
  <si>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</si>
  <si>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</si>
  <si>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</si>
  <si>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</si>
  <si>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</si>
  <si>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</si>
  <si>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</si>
  <si>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</si>
  <si>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</si>
  <si>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</si>
  <si>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</si>
  <si>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</si>
  <si>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</si>
  <si>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</si>
  <si>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</si>
  <si>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</si>
  <si>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</si>
  <si>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</si>
  <si>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</si>
  <si>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</si>
  <si>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</si>
  <si>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</si>
  <si>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</si>
  <si>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</si>
  <si>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</si>
  <si>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</si>
  <si>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</si>
  <si>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</si>
  <si>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</si>
  <si>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</si>
  <si>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</si>
  <si>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</si>
  <si>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</si>
  <si>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</si>
  <si>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</si>
  <si>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</si>
  <si>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</si>
  <si>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</si>
  <si>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</si>
  <si>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</si>
  <si>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</si>
  <si>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</si>
  <si>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</si>
  <si>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</si>
  <si>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</si>
  <si>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</si>
  <si>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</si>
  <si>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</si>
  <si>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</si>
  <si>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</si>
  <si>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</si>
  <si>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</si>
  <si>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</si>
  <si>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</si>
  <si>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</si>
  <si>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</si>
  <si>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</si>
  <si>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</si>
  <si>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</si>
  <si>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</si>
  <si>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</si>
  <si>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</si>
  <si>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</si>
  <si>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</si>
  <si>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</si>
  <si>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</si>
  <si>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</si>
  <si>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</si>
  <si>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</si>
  <si>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</si>
  <si>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</si>
  <si>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</si>
  <si>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</si>
  <si>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</si>
  <si>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</si>
  <si>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</si>
  <si>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</si>
  <si>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</si>
  <si>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</si>
  <si>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</si>
  <si>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</si>
  <si>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</si>
  <si>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</si>
  <si>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</si>
  <si>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</si>
  <si>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</si>
  <si>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</si>
  <si>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</si>
  <si>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</si>
  <si>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</si>
  <si>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</si>
  <si>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</si>
  <si>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</si>
  <si>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</si>
  <si>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</si>
  <si>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</si>
  <si>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</si>
  <si>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</si>
  <si>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</si>
  <si>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</si>
  <si>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</si>
  <si>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</si>
  <si>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</si>
  <si>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</si>
  <si>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</si>
  <si>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</si>
  <si>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</si>
  <si>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</si>
  <si>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</si>
  <si>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</si>
  <si>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</si>
  <si>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</si>
  <si>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</si>
  <si>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</si>
  <si>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</si>
  <si>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</si>
  <si>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</si>
  <si>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</si>
  <si>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</si>
  <si>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</si>
  <si>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</si>
  <si>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</si>
  <si>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</si>
  <si>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</si>
  <si>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</si>
  <si>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</si>
  <si>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</si>
  <si>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</si>
  <si>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</si>
  <si>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</si>
  <si>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</si>
  <si>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</si>
  <si>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</si>
  <si>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</si>
  <si>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</si>
  <si>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</si>
  <si>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</si>
  <si>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</si>
  <si>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</si>
  <si>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</si>
  <si>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</si>
  <si>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</si>
  <si>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</si>
  <si>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</si>
  <si>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</si>
  <si>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</si>
  <si>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</si>
  <si>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</si>
  <si>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</si>
  <si>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</si>
  <si>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</si>
  <si>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</si>
  <si>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</si>
  <si>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</si>
  <si>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</si>
  <si>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</si>
  <si>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</si>
  <si>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</si>
  <si>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</si>
  <si>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</si>
  <si>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</si>
  <si>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</si>
  <si>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</si>
  <si>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</si>
  <si>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</si>
  <si>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</si>
  <si>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</si>
  <si>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</si>
  <si>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</si>
  <si>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</si>
  <si>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</si>
  <si>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</si>
  <si>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</si>
  <si>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</si>
  <si>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</si>
  <si>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</si>
  <si>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</si>
  <si>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</si>
  <si>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</si>
  <si>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</si>
  <si>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</si>
  <si>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</si>
  <si>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</si>
  <si>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</si>
  <si>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</si>
  <si>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</si>
  <si>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</si>
  <si>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</si>
  <si>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</si>
  <si>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</si>
  <si>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</si>
  <si>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</si>
  <si>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</si>
  <si>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</si>
  <si>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</si>
  <si>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</si>
  <si>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</si>
  <si>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</si>
  <si>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</si>
  <si>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</si>
  <si>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</si>
  <si>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</si>
  <si>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</si>
  <si>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</si>
  <si>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</si>
  <si>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</si>
  <si>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</si>
  <si>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</si>
  <si>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</si>
  <si>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</si>
  <si>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</si>
  <si>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</si>
  <si>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</si>
  <si>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</si>
  <si>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</si>
  <si>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</si>
  <si>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</si>
  <si>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</si>
  <si>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</si>
  <si>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</si>
  <si>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</si>
  <si>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</si>
  <si>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</si>
  <si>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</si>
  <si>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</si>
  <si>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</si>
  <si>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</si>
  <si>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</si>
  <si>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</si>
  <si>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</si>
  <si>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</si>
  <si>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</si>
  <si>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</si>
  <si>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</si>
  <si>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</si>
  <si>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</si>
  <si>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</si>
  <si>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</si>
  <si>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</si>
  <si>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</si>
  <si>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</si>
  <si>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</si>
  <si>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</si>
  <si>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</si>
  <si>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</si>
  <si>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</si>
  <si>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</si>
  <si>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</si>
  <si>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</si>
  <si>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</si>
  <si>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</si>
  <si>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</si>
  <si>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</si>
  <si>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</si>
  <si>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</si>
  <si>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</si>
  <si>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</si>
  <si>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</si>
  <si>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</si>
  <si>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</si>
  <si>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</si>
  <si>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</si>
  <si>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</si>
  <si>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</si>
  <si>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</si>
  <si>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</si>
  <si>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</si>
  <si>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</si>
  <si>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</si>
  <si>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</si>
  <si>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</si>
  <si>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</si>
  <si>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</si>
  <si>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</si>
  <si>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</si>
  <si>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</si>
  <si>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</si>
  <si>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</si>
  <si>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</si>
  <si>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</si>
  <si>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</si>
  <si>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</si>
  <si>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</si>
  <si>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</si>
  <si>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</si>
  <si>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</si>
  <si>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</si>
  <si>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</si>
  <si>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</si>
  <si>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</si>
  <si>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</si>
  <si>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</si>
  <si>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</si>
  <si>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</si>
  <si>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</si>
  <si>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</si>
  <si>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</si>
  <si>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</si>
  <si>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</si>
  <si>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</si>
  <si>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</si>
  <si>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</si>
  <si>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</si>
  <si>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</si>
  <si>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</si>
  <si>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</si>
  <si>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</si>
  <si>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</si>
  <si>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</si>
  <si>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</si>
  <si>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</si>
  <si>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</si>
  <si>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</si>
  <si>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</si>
  <si>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</si>
  <si>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</si>
  <si>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</si>
  <si>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</si>
  <si>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</si>
  <si>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</si>
  <si>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</si>
  <si>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</si>
  <si>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</si>
  <si>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</si>
  <si>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</si>
  <si>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</si>
  <si>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</si>
  <si>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</si>
  <si>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</si>
  <si>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</si>
  <si>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</si>
  <si>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</si>
  <si>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</si>
  <si>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</si>
  <si>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</si>
  <si>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</si>
  <si>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</si>
  <si>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</si>
  <si>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</si>
  <si>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</si>
  <si>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</si>
  <si>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</si>
  <si>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</si>
  <si>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</si>
  <si>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</si>
  <si>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</si>
  <si>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</si>
  <si>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</si>
  <si>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</si>
  <si>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</si>
  <si>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</si>
  <si>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</si>
  <si>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</si>
  <si>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</si>
  <si>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</si>
  <si>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</si>
  <si>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</si>
  <si>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</si>
  <si>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</si>
  <si>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</si>
  <si>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</si>
  <si>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</si>
  <si>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</si>
  <si>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</si>
  <si>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</si>
  <si>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</si>
  <si>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</si>
  <si>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</si>
  <si>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</si>
  <si>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</si>
  <si>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</si>
  <si>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</si>
  <si>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</si>
  <si>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</si>
  <si>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</si>
  <si>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</si>
  <si>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</si>
  <si>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</si>
  <si>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</si>
  <si>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</si>
  <si>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</si>
  <si>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</si>
  <si>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</si>
  <si>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</si>
  <si>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</si>
  <si>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</si>
  <si>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</si>
  <si>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</si>
  <si>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</si>
  <si>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</si>
  <si>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</si>
  <si>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</si>
  <si>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</si>
  <si>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</si>
  <si>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</si>
  <si>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</si>
  <si>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</si>
  <si>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</si>
  <si>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</si>
  <si>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</si>
  <si>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</si>
  <si>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</si>
  <si>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</si>
  <si>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</si>
  <si>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</si>
  <si>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</si>
  <si>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</si>
  <si>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</si>
  <si>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</si>
  <si>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</si>
  <si>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</si>
  <si>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</si>
  <si>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</si>
  <si>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</si>
  <si>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</si>
  <si>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</si>
  <si>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</si>
  <si>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</si>
  <si>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</si>
  <si>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</si>
  <si>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</si>
  <si>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</si>
  <si>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</si>
  <si>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</si>
  <si>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</si>
  <si>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</si>
  <si>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</si>
  <si>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</si>
  <si>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</si>
  <si>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</si>
  <si>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</si>
  <si>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</si>
  <si>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</si>
  <si>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</si>
  <si>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</si>
  <si>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</si>
  <si>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</si>
  <si>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</si>
  <si>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</si>
  <si>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</si>
  <si>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</si>
  <si>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</si>
  <si>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</si>
  <si>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</si>
  <si>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</si>
  <si>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</si>
  <si>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</si>
  <si>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</si>
  <si>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</si>
  <si>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</si>
  <si>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</si>
  <si>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</si>
  <si>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</si>
  <si>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</si>
  <si>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</si>
  <si>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</si>
  <si>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</si>
  <si>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</si>
  <si>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</si>
  <si>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</si>
  <si>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</si>
  <si>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</si>
  <si>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</si>
  <si>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</si>
  <si>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</si>
  <si>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</si>
  <si>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</si>
  <si>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</si>
  <si>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</si>
  <si>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</si>
  <si>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</si>
  <si>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</si>
  <si>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</si>
  <si>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</si>
  <si>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</si>
  <si>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</si>
  <si>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</si>
  <si>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</si>
  <si>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</si>
  <si>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</si>
  <si>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</si>
  <si>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</si>
  <si>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</si>
  <si>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</si>
  <si>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</si>
  <si>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</si>
  <si>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</si>
  <si>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</si>
  <si>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</si>
  <si>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</si>
  <si>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</si>
  <si>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</si>
  <si>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</si>
  <si>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</si>
  <si>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</si>
  <si>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</si>
  <si>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</si>
  <si>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</si>
  <si>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</si>
  <si>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</si>
  <si>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</si>
  <si>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</si>
  <si>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</si>
  <si>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</si>
  <si>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</si>
  <si>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</si>
  <si>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</si>
  <si>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</si>
  <si>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</si>
  <si>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</si>
  <si>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</si>
  <si>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</si>
  <si>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</si>
  <si>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</si>
  <si>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</si>
  <si>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</si>
  <si>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</si>
  <si>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</si>
  <si>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</si>
  <si>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</si>
  <si>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</si>
  <si>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</si>
  <si>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</si>
  <si>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</si>
  <si>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</si>
  <si>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</si>
  <si>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</si>
  <si>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</si>
  <si>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</si>
  <si>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</si>
  <si>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</si>
  <si>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</si>
  <si>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</si>
  <si>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</si>
  <si>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</si>
  <si>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</si>
  <si>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</si>
  <si>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</si>
  <si>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</si>
  <si>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</si>
  <si>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</si>
  <si>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</si>
  <si>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</si>
  <si>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</si>
  <si>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</si>
  <si>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</si>
  <si>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</si>
  <si>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</si>
  <si>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</si>
  <si>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</si>
  <si>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</si>
  <si>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</si>
  <si>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</si>
  <si>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</si>
  <si>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</si>
  <si>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</si>
  <si>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</si>
  <si>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</si>
  <si>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</si>
  <si>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</si>
  <si>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</si>
  <si>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</si>
  <si>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</si>
  <si>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</si>
  <si>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</si>
  <si>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</si>
  <si>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</si>
  <si>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</si>
  <si>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</si>
  <si>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</si>
  <si>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</si>
  <si>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</si>
  <si>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</si>
  <si>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</si>
  <si>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</si>
  <si>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</si>
  <si>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</si>
  <si>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</si>
  <si>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</si>
  <si>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</si>
  <si>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</si>
  <si>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</si>
  <si>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</si>
  <si>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</si>
  <si>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</si>
  <si>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</si>
  <si>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</si>
  <si>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</si>
  <si>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</si>
  <si>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</si>
  <si>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</si>
  <si>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</si>
  <si>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</si>
  <si>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</si>
  <si>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</si>
  <si>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</si>
  <si>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</si>
  <si>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</si>
  <si>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</si>
  <si>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</si>
  <si>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</si>
  <si>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</si>
  <si>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</si>
  <si>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</si>
  <si>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</si>
  <si>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</si>
  <si>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</si>
  <si>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</si>
  <si>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</si>
  <si>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</si>
  <si>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</si>
  <si>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</si>
  <si>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</si>
  <si>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</si>
  <si>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</si>
  <si>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</si>
  <si>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</si>
  <si>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</si>
  <si>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</si>
  <si>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</si>
  <si>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</si>
  <si>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</si>
  <si>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</si>
  <si>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</si>
  <si>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</si>
  <si>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</si>
  <si>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</si>
  <si>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</si>
  <si>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</si>
  <si>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</si>
  <si>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</si>
  <si>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</si>
  <si>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</si>
  <si>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</si>
  <si>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</si>
  <si>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</si>
  <si>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</si>
  <si>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</si>
  <si>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</si>
  <si>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</si>
  <si>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</si>
  <si>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</si>
  <si>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</si>
  <si>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</si>
  <si>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</si>
  <si>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</si>
  <si>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</si>
  <si>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</si>
  <si>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</si>
  <si>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</si>
  <si>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</si>
  <si>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</si>
  <si>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</si>
  <si>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</si>
  <si>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</si>
  <si>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</si>
  <si>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</si>
  <si>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</si>
  <si>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</si>
  <si>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</si>
  <si>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</si>
  <si>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</si>
  <si>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</si>
  <si>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</si>
  <si>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</si>
  <si>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</si>
  <si>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</si>
  <si>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</si>
  <si>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</si>
  <si>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</si>
  <si>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</si>
  <si>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</si>
  <si>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</si>
  <si>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</si>
  <si>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</si>
  <si>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</si>
  <si>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</si>
  <si>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</si>
  <si>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</si>
  <si>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</si>
  <si>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</si>
  <si>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</si>
  <si>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</si>
  <si>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</si>
  <si>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</si>
  <si>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</si>
  <si>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</si>
  <si>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</si>
  <si>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</si>
  <si>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</si>
  <si>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</si>
  <si>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</si>
  <si>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</si>
  <si>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</si>
  <si>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</si>
  <si>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</si>
  <si>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</si>
  <si>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</si>
  <si>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</si>
  <si>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</si>
  <si>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</si>
  <si>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</si>
  <si>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</si>
  <si>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</si>
  <si>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</si>
  <si>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</si>
  <si>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</si>
  <si>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</si>
  <si>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</si>
  <si>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</si>
  <si>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</si>
  <si>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</si>
  <si>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</si>
  <si>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</si>
  <si>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</si>
  <si>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</si>
  <si>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</si>
  <si>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</si>
  <si>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</si>
  <si>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</si>
  <si>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</si>
  <si>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</si>
  <si>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</si>
  <si>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</si>
  <si>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</si>
  <si>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</si>
  <si>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</si>
  <si>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</si>
  <si>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</si>
  <si>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</si>
  <si>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</si>
  <si>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</si>
  <si>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</si>
  <si>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</si>
  <si>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</si>
  <si>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</si>
  <si>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</si>
  <si>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</si>
  <si>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</si>
  <si>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</si>
  <si>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</si>
  <si>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</si>
  <si>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</si>
  <si>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</si>
  <si>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</si>
  <si>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</si>
  <si>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</si>
  <si>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</si>
  <si>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</si>
  <si>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</si>
  <si>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</si>
  <si>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</si>
  <si>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</si>
  <si>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</si>
  <si>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</si>
  <si>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</si>
  <si>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</si>
  <si>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</si>
  <si>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</si>
  <si>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</si>
  <si>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</si>
  <si>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</si>
  <si>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</si>
  <si>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</si>
  <si>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</si>
  <si>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</si>
  <si>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</si>
  <si>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</si>
  <si>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</si>
  <si>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</si>
  <si>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</si>
  <si>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</si>
  <si>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</si>
  <si>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</si>
  <si>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</si>
  <si>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</si>
  <si>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</si>
  <si>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</si>
  <si>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</si>
  <si>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</si>
  <si>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</si>
  <si>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</si>
  <si>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</si>
  <si>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</si>
  <si>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</si>
  <si>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</si>
  <si>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</si>
  <si>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</si>
  <si>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</si>
  <si>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</si>
  <si>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</si>
  <si>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</si>
  <si>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</si>
  <si>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</si>
  <si>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</si>
  <si>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</si>
  <si>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</si>
  <si>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</si>
  <si>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</si>
  <si>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</si>
  <si>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</si>
  <si>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</si>
  <si>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</si>
  <si>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</si>
  <si>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</si>
  <si>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</si>
  <si>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</si>
  <si>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</si>
  <si>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</si>
  <si>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</si>
  <si>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</si>
  <si>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</si>
  <si>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</si>
  <si>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</si>
  <si>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</si>
  <si>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</si>
  <si>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</si>
  <si>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</si>
  <si>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</si>
  <si>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</si>
  <si>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</si>
  <si>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</si>
  <si>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</si>
  <si>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</si>
  <si>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</si>
  <si>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</si>
  <si>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</si>
  <si>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</si>
  <si>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</si>
  <si>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</si>
  <si>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</si>
  <si>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</si>
  <si>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</si>
  <si>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</si>
  <si>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</si>
  <si>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</si>
  <si>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</si>
  <si>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</si>
  <si>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</si>
  <si>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</si>
  <si>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</si>
  <si>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</si>
  <si>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</si>
  <si>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</si>
  <si>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</si>
  <si>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</si>
  <si>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</si>
  <si>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</si>
  <si>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</si>
  <si>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</si>
  <si>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</si>
  <si>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</si>
  <si>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</si>
  <si>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</si>
  <si>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</si>
  <si>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</si>
  <si>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</si>
  <si>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</si>
  <si>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</si>
  <si>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</si>
  <si>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</si>
  <si>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</si>
  <si>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</si>
  <si>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</si>
  <si>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</si>
  <si>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</si>
  <si>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</si>
  <si>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</si>
  <si>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</si>
  <si>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</si>
  <si>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</si>
  <si>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</si>
  <si>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</si>
  <si>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</si>
  <si>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</si>
  <si>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</si>
  <si>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</si>
  <si>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</si>
  <si>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</si>
  <si>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</si>
  <si>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</si>
  <si>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</si>
  <si>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</si>
  <si>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</si>
  <si>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</si>
  <si>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</si>
  <si>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</si>
  <si>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</si>
  <si>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</si>
  <si>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</si>
  <si>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</si>
  <si>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</si>
  <si>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</si>
  <si>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</si>
  <si>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</si>
  <si>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</si>
  <si>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</si>
  <si>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</si>
  <si>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</si>
  <si>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</si>
  <si>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</si>
  <si>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</si>
  <si>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</si>
  <si>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</si>
  <si>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</si>
  <si>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</si>
  <si>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</si>
  <si>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</si>
  <si>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</si>
  <si>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</si>
  <si>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</si>
  <si>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</si>
  <si>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</si>
  <si>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</si>
  <si>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</si>
  <si>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</si>
  <si>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</si>
  <si>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</si>
  <si>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</si>
  <si>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</si>
  <si>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</si>
  <si>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</si>
  <si>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</si>
  <si>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</si>
  <si>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</si>
  <si>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</si>
  <si>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</si>
  <si>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</si>
  <si>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</si>
  <si>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</si>
  <si>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</si>
  <si>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</si>
  <si>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</si>
  <si>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</si>
  <si>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</si>
  <si>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</si>
  <si>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</si>
  <si>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</si>
  <si>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</si>
  <si>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</si>
  <si>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</si>
  <si>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</si>
  <si>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</si>
  <si>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</si>
  <si>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</si>
  <si>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</si>
  <si>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</si>
  <si>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</si>
  <si>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</si>
  <si>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</si>
  <si>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</si>
  <si>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</si>
  <si>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</si>
  <si>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</si>
  <si>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</si>
  <si>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</si>
  <si>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</si>
  <si>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</si>
  <si>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</si>
  <si>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</si>
  <si>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</si>
  <si>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</si>
  <si>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</si>
  <si>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</si>
  <si>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</si>
  <si>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</si>
  <si>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</si>
  <si>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</si>
  <si>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</si>
  <si>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</si>
  <si>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</si>
  <si>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</si>
  <si>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</si>
  <si>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</si>
  <si>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</si>
  <si>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</si>
  <si>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</si>
  <si>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</si>
  <si>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</si>
  <si>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</si>
  <si>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</si>
  <si>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</si>
  <si>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</si>
  <si>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</si>
  <si>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</si>
  <si>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</si>
  <si>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</si>
  <si>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</si>
  <si>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</si>
  <si>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</si>
  <si>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</si>
  <si>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</si>
  <si>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</si>
  <si>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</si>
  <si>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</si>
  <si>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</si>
  <si>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</si>
  <si>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</si>
  <si>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</si>
  <si>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</si>
  <si>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</si>
  <si>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</si>
  <si>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</si>
  <si>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</si>
  <si>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</si>
  <si>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</si>
  <si>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</si>
  <si>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</si>
  <si>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</si>
  <si>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</si>
  <si>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</si>
  <si>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</si>
  <si>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</si>
  <si>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</si>
  <si>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</si>
  <si>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</si>
  <si>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</si>
  <si>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</si>
  <si>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</si>
  <si>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</si>
  <si>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</si>
  <si>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</si>
  <si>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</si>
  <si>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</si>
  <si>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</si>
  <si>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</si>
  <si>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</si>
  <si>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</si>
  <si>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</si>
  <si>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</si>
  <si>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</si>
  <si>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</si>
  <si>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</si>
  <si>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</si>
  <si>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</si>
  <si>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</si>
  <si>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</si>
  <si>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</si>
  <si>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</si>
  <si>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</si>
  <si>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</si>
  <si>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</si>
  <si>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</si>
  <si>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</si>
  <si>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</si>
  <si>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</si>
  <si>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</si>
  <si>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</si>
  <si>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</si>
  <si>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</si>
  <si>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</si>
  <si>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</si>
  <si>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</si>
  <si>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</si>
  <si>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</si>
  <si>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</si>
  <si>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</si>
  <si>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</si>
  <si>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</si>
  <si>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</si>
  <si>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</si>
  <si>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</si>
  <si>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</si>
  <si>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</si>
  <si>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</si>
  <si>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</si>
  <si>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</si>
  <si>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</si>
  <si>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</si>
  <si>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</si>
  <si>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</si>
  <si>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</si>
  <si>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</si>
  <si>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</si>
  <si>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</si>
  <si>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</si>
  <si>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</si>
  <si>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</si>
  <si>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</si>
  <si>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</si>
  <si>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</si>
  <si>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</si>
  <si>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</si>
  <si>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</si>
  <si>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</si>
  <si>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</si>
  <si>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</si>
  <si>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</si>
  <si>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</si>
  <si>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</si>
  <si>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</si>
  <si>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</si>
  <si>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</si>
  <si>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</si>
  <si>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</si>
  <si>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</si>
  <si>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</si>
  <si>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</si>
  <si>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</si>
  <si>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</si>
  <si>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</si>
  <si>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</si>
  <si>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</si>
  <si>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</si>
  <si>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</si>
  <si>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</si>
  <si>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</si>
  <si>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</si>
  <si>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</si>
  <si>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</si>
  <si>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</si>
  <si>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</si>
  <si>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</si>
  <si>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</si>
  <si>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</si>
  <si>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</si>
  <si>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</si>
  <si>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</si>
  <si>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</si>
  <si>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</si>
  <si>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</si>
  <si>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</si>
  <si>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</si>
  <si>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</si>
  <si>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</si>
  <si>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</si>
  <si>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</si>
  <si>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</si>
  <si>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</si>
  <si>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</si>
  <si>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</si>
  <si>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</si>
  <si>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</si>
  <si>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</si>
  <si>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</si>
  <si>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</si>
  <si>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</si>
  <si>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</si>
  <si>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</si>
  <si>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</si>
  <si>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</si>
  <si>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</si>
  <si>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</si>
  <si>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</si>
  <si>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</si>
  <si>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</si>
  <si>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</si>
  <si>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</si>
  <si>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</si>
  <si>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</si>
  <si>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</si>
  <si>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</si>
  <si>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</si>
  <si>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</si>
  <si>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</si>
  <si>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</si>
  <si>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</si>
  <si>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</si>
  <si>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</si>
  <si>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</si>
  <si>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</si>
  <si>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</si>
  <si>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</si>
  <si>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</si>
  <si>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</si>
  <si>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</si>
  <si>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</si>
  <si>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</si>
  <si>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</si>
  <si>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</si>
  <si>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</si>
  <si>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</si>
  <si>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</si>
  <si>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</si>
  <si>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</si>
  <si>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</si>
  <si>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</si>
  <si>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</si>
  <si>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</si>
  <si>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</si>
  <si>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</si>
  <si>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</si>
  <si>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</si>
  <si>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</si>
  <si>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</si>
  <si>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</si>
  <si>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</si>
  <si>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</si>
  <si>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</si>
  <si>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</si>
  <si>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</si>
  <si>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</si>
  <si>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</si>
  <si>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</si>
  <si>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</si>
  <si>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</si>
  <si>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</si>
  <si>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</si>
  <si>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</si>
  <si>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</si>
  <si>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</si>
  <si>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</si>
  <si>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</si>
  <si>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</si>
  <si>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</si>
  <si>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</si>
  <si>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</si>
  <si>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</si>
  <si>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</si>
  <si>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</si>
  <si>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</si>
  <si>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</si>
  <si>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</si>
  <si>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</si>
  <si>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</si>
  <si>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</si>
  <si>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</si>
  <si>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</si>
  <si>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</si>
  <si>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</si>
  <si>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</si>
  <si>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</si>
  <si>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</si>
  <si>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</si>
  <si>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</si>
  <si>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</si>
  <si>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</si>
  <si>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</si>
  <si>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</si>
  <si>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</si>
  <si>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</si>
  <si>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</si>
  <si>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</si>
  <si>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</si>
  <si>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</si>
  <si>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</si>
  <si>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</si>
  <si>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</si>
  <si>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</si>
  <si>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</si>
  <si>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</si>
  <si>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</si>
  <si>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</si>
  <si>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</si>
  <si>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</si>
  <si>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</si>
  <si>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</si>
  <si>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</si>
  <si>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</si>
  <si>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</si>
  <si>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</si>
  <si>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</si>
  <si>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</si>
  <si>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</si>
  <si>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</si>
  <si>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</si>
  <si>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</si>
  <si>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</si>
  <si>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</si>
  <si>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</si>
  <si>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</si>
  <si>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</si>
  <si>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</si>
  <si>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</si>
  <si>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</si>
  <si>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</si>
  <si>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</si>
  <si>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</si>
  <si>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</si>
  <si>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</si>
  <si>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</si>
  <si>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</si>
  <si>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</si>
  <si>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</si>
  <si>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</si>
  <si>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</si>
  <si>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</si>
  <si>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</si>
  <si>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</si>
  <si>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</si>
  <si>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</si>
  <si>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</si>
  <si>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</si>
  <si>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</si>
  <si>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</si>
  <si>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</si>
  <si>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</si>
  <si>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</si>
  <si>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</si>
  <si>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</si>
  <si>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</si>
  <si>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</si>
  <si>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</si>
  <si>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</si>
  <si>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</si>
  <si>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</si>
  <si>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</si>
  <si>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</si>
  <si>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</si>
  <si>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</si>
  <si>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</si>
  <si>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</si>
  <si>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</si>
  <si>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</si>
  <si>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</si>
  <si>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</si>
  <si>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</si>
  <si>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</si>
  <si>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</si>
  <si>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</si>
  <si>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</si>
  <si>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</si>
  <si>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</si>
  <si>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</si>
  <si>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</si>
  <si>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</si>
  <si>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</si>
  <si>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</si>
  <si>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</si>
  <si>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</si>
  <si>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</si>
  <si>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</si>
  <si>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</si>
  <si>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</si>
  <si>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</si>
  <si>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</si>
  <si>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</si>
  <si>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</si>
  <si>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</si>
  <si>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</si>
  <si>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</si>
  <si>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</si>
  <si>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</si>
  <si>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</si>
  <si>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</si>
  <si>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</si>
  <si>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</si>
  <si>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</si>
  <si>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</si>
  <si>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</si>
  <si>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</si>
  <si>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</si>
  <si>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</si>
  <si>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</si>
  <si>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</si>
  <si>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</si>
  <si>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</si>
  <si>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</si>
  <si>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</si>
  <si>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</si>
  <si>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</si>
  <si>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</si>
  <si>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</si>
  <si>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</si>
  <si>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</si>
  <si>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</si>
  <si>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</si>
  <si>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</si>
  <si>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</si>
  <si>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</si>
  <si>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</si>
  <si>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</si>
  <si>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</si>
  <si>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</si>
  <si>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</si>
  <si>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</si>
  <si>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</si>
  <si>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</si>
  <si>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</si>
  <si>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</si>
  <si>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</si>
  <si>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</si>
  <si>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</si>
  <si>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</si>
  <si>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</si>
  <si>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</si>
  <si>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</si>
  <si>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</si>
  <si>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</si>
  <si>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</si>
  <si>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</si>
  <si>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</si>
  <si>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</si>
  <si>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</si>
  <si>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</si>
  <si>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</si>
  <si>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</si>
  <si>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</si>
  <si>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</si>
  <si>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</si>
  <si>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</si>
  <si>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</si>
  <si>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</si>
  <si>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</si>
  <si>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</si>
  <si>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</si>
  <si>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</si>
  <si>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</si>
  <si>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</si>
  <si>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</si>
  <si>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</si>
  <si>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</si>
  <si>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</si>
  <si>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</si>
  <si>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</si>
  <si>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</si>
  <si>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</si>
  <si>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</si>
  <si>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</si>
  <si>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</si>
  <si>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</si>
  <si>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</si>
  <si>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</si>
  <si>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</si>
  <si>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</si>
  <si>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</si>
  <si>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</si>
  <si>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</si>
  <si>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</si>
  <si>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</si>
  <si>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</si>
  <si>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</si>
  <si>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</si>
  <si>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</si>
  <si>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</si>
  <si>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</si>
  <si>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</si>
  <si>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</si>
  <si>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</si>
  <si>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</si>
  <si>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</si>
  <si>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</si>
  <si>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</si>
  <si>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</si>
  <si>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</si>
  <si>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</si>
  <si>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</si>
  <si>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</si>
  <si>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</si>
  <si>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</si>
  <si>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</si>
  <si>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</si>
  <si>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</si>
  <si>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</si>
  <si>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</si>
  <si>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</si>
  <si>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</si>
  <si>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</si>
  <si>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</si>
  <si>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</si>
  <si>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</si>
  <si>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</si>
  <si>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</si>
  <si>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</si>
  <si>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</si>
  <si>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</si>
  <si>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</si>
  <si>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</si>
  <si>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</si>
  <si>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</si>
  <si>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</si>
  <si>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</si>
  <si>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</si>
  <si>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</si>
  <si>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</si>
  <si>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</si>
  <si>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</si>
  <si>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</si>
  <si>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</si>
  <si>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</si>
  <si>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</si>
  <si>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</si>
  <si>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</si>
  <si>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</si>
  <si>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</si>
  <si>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</si>
  <si>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</si>
  <si>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</si>
  <si>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</si>
  <si>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</si>
  <si>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</si>
  <si>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</si>
  <si>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</si>
  <si>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</si>
  <si>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</si>
  <si>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</si>
  <si>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</si>
  <si>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</si>
  <si>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</si>
  <si>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</si>
  <si>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</si>
  <si>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</si>
  <si>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</si>
  <si>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</si>
  <si>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</si>
  <si>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</si>
  <si>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</si>
  <si>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</si>
  <si>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</si>
  <si>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</si>
  <si>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</si>
  <si>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</si>
  <si>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</si>
  <si>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</si>
  <si>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</si>
  <si>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</si>
  <si>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</si>
  <si>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</si>
  <si>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</si>
  <si>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</si>
  <si>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</si>
  <si>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</si>
  <si>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</si>
  <si>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</si>
  <si>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</si>
  <si>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</si>
  <si>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</si>
  <si>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</si>
  <si>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</si>
  <si>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</si>
  <si>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</si>
  <si>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</si>
  <si>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</si>
  <si>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</si>
  <si>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</si>
  <si>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</si>
  <si>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</si>
  <si>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</si>
  <si>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</si>
  <si>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</si>
  <si>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</si>
  <si>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</si>
  <si>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</si>
  <si>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</si>
  <si>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</si>
  <si>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</si>
  <si>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</si>
  <si>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</si>
  <si>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</si>
  <si>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</si>
  <si>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</si>
  <si>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</si>
  <si>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</si>
  <si>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</si>
  <si>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</si>
  <si>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</si>
  <si>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</si>
  <si>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</si>
  <si>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</si>
  <si>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</si>
  <si>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</si>
  <si>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</si>
  <si>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</si>
  <si>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</si>
  <si>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</si>
  <si>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</si>
  <si>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</si>
  <si>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</si>
  <si>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</si>
  <si>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</si>
  <si>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</si>
  <si>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</si>
  <si>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</si>
  <si>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</si>
  <si>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</si>
  <si>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</si>
  <si>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</si>
  <si>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</si>
  <si>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</si>
  <si>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</si>
  <si>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</si>
  <si>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</si>
  <si>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</si>
  <si>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</si>
  <si>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</si>
  <si>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</si>
  <si>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</si>
  <si>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</si>
  <si>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</si>
  <si>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</si>
  <si>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</si>
  <si>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</si>
  <si>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</si>
  <si>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</si>
  <si>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</si>
  <si>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</si>
  <si>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</si>
  <si>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</si>
  <si>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</si>
  <si>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</si>
  <si>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</si>
  <si>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</si>
  <si>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</si>
  <si>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</si>
  <si>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</si>
  <si>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</si>
  <si>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</si>
  <si>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</si>
  <si>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</si>
  <si>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</si>
  <si>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</si>
  <si>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</si>
  <si>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</si>
  <si>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</si>
  <si>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</si>
  <si>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</si>
  <si>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</si>
  <si>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</si>
  <si>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</si>
  <si>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</si>
  <si>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</si>
  <si>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</si>
  <si>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</si>
  <si>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</si>
  <si>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</si>
  <si>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</si>
  <si>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</si>
  <si>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</si>
  <si>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</si>
  <si>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</si>
  <si>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</si>
  <si>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</si>
  <si>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</si>
  <si>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</si>
  <si>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</si>
  <si>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</si>
  <si>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</si>
  <si>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</si>
  <si>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</si>
  <si>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</si>
  <si>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</si>
  <si>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</si>
  <si>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</si>
  <si>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</si>
  <si>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</si>
  <si>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</si>
  <si>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</si>
  <si>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</si>
  <si>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</si>
  <si>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</si>
  <si>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</si>
  <si>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</si>
  <si>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</si>
  <si>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</si>
  <si>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</si>
  <si>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</si>
  <si>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</si>
  <si>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</si>
  <si>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</si>
  <si>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</si>
  <si>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</si>
  <si>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</si>
  <si>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</si>
  <si>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</si>
  <si>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</si>
  <si>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</si>
  <si>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</si>
  <si>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</si>
  <si>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</si>
  <si>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</si>
  <si>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</si>
  <si>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</si>
  <si>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</si>
  <si>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</si>
  <si>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</si>
  <si>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</si>
  <si>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</si>
  <si>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</si>
  <si>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</si>
  <si>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</si>
  <si>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</si>
  <si>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</si>
  <si>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</si>
  <si>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</si>
  <si>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</si>
  <si>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</si>
  <si>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</si>
  <si>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</si>
  <si>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</si>
  <si>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</si>
  <si>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</si>
  <si>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</si>
  <si>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</si>
  <si>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</si>
  <si>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</si>
  <si>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</si>
  <si>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</si>
  <si>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</si>
  <si>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</si>
  <si>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</si>
  <si>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</si>
  <si>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</si>
  <si>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</si>
  <si>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</si>
  <si>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</si>
  <si>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</si>
  <si>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</si>
  <si>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</si>
  <si>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</si>
  <si>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</si>
  <si>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</si>
  <si>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</si>
  <si>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</si>
  <si>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</si>
  <si>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</si>
  <si>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</si>
  <si>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</si>
  <si>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</si>
  <si>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</si>
  <si>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</si>
  <si>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</si>
  <si>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</si>
  <si>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</si>
  <si>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</si>
  <si>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</si>
  <si>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</si>
  <si>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</si>
  <si>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</si>
  <si>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</si>
  <si>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</si>
  <si>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</si>
  <si>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</si>
  <si>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</si>
  <si>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</si>
  <si>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</si>
  <si>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</si>
  <si>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</si>
  <si>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</si>
  <si>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</si>
  <si>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</si>
  <si>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</si>
  <si>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</si>
  <si>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</si>
  <si>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</si>
  <si>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</si>
  <si>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</si>
  <si>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</si>
  <si>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</si>
  <si>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</si>
  <si>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</si>
  <si>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</si>
  <si>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</si>
  <si>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</si>
  <si>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</si>
  <si>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</si>
  <si>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</si>
  <si>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</si>
  <si>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</si>
  <si>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</si>
  <si>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</si>
  <si>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</si>
  <si>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</si>
  <si>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</si>
  <si>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</si>
  <si>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</si>
  <si>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</si>
  <si>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</si>
  <si>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</si>
  <si>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</si>
  <si>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</si>
  <si>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</si>
  <si>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</si>
  <si>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</si>
  <si>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</si>
  <si>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</si>
  <si>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</si>
  <si>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</si>
  <si>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</si>
  <si>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</si>
  <si>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</si>
  <si>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</si>
  <si>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</si>
  <si>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</si>
  <si>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</si>
  <si>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</si>
  <si>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</si>
  <si>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</si>
  <si>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</si>
  <si>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</si>
  <si>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</si>
  <si>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</si>
  <si>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</si>
  <si>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</si>
  <si>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</si>
  <si>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</si>
  <si>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</si>
  <si>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</si>
  <si>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</si>
  <si>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</si>
  <si>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</si>
  <si>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</si>
  <si>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</si>
  <si>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</si>
  <si>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</si>
  <si>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</si>
  <si>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</si>
  <si>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</si>
  <si>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</si>
  <si>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</si>
  <si>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</si>
  <si>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</si>
  <si>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</si>
  <si>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</si>
  <si>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</si>
  <si>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</si>
  <si>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</si>
  <si>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</si>
  <si>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</si>
  <si>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</si>
  <si>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</si>
  <si>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</si>
  <si>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</si>
  <si>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</si>
  <si>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</si>
  <si>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</si>
  <si>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</si>
  <si>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</si>
  <si>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</si>
  <si>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</si>
  <si>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</si>
  <si>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</si>
  <si>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</si>
  <si>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</si>
  <si>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</si>
  <si>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</si>
  <si>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</si>
  <si>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</si>
  <si>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</si>
  <si>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</si>
  <si>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</si>
  <si>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</si>
  <si>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</si>
  <si>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</si>
  <si>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</si>
  <si>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</si>
  <si>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</si>
  <si>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</si>
  <si>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</si>
  <si>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</si>
  <si>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</si>
  <si>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</si>
  <si>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</si>
  <si>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</si>
  <si>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</si>
  <si>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</si>
  <si>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</si>
  <si>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</si>
  <si>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</si>
  <si>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</si>
  <si>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</si>
  <si>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</si>
  <si>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</si>
  <si>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</si>
  <si>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</si>
  <si>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</si>
  <si>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</si>
  <si>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</si>
  <si>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</si>
  <si>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</si>
  <si>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</si>
  <si>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</si>
  <si>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</si>
  <si>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</si>
  <si>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</si>
  <si>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</si>
  <si>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</si>
  <si>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</si>
  <si>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</si>
  <si>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</si>
  <si>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</si>
  <si>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</si>
  <si>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</si>
  <si>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</si>
  <si>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</si>
  <si>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</si>
  <si>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</si>
  <si>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</si>
  <si>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</si>
  <si>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</si>
  <si>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</si>
  <si>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</si>
  <si>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</si>
  <si>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</si>
  <si>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</si>
  <si>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</si>
  <si>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</si>
  <si>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</si>
  <si>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</si>
  <si>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</si>
  <si>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</si>
  <si>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</si>
  <si>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</si>
  <si>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</si>
  <si>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</si>
  <si>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</si>
  <si>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</si>
  <si>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</si>
  <si>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</si>
  <si>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</si>
  <si>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</si>
  <si>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</si>
  <si>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</si>
  <si>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</si>
  <si>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</si>
  <si>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</si>
  <si>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</si>
  <si>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</si>
  <si>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</si>
  <si>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</si>
  <si>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</si>
  <si>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</si>
  <si>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</si>
  <si>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</si>
  <si>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</si>
  <si>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</si>
  <si>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</si>
  <si>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</si>
  <si>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</si>
  <si>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</si>
  <si>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</si>
  <si>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</si>
  <si>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</si>
  <si>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</si>
  <si>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</si>
  <si>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</si>
  <si>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</si>
  <si>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</si>
  <si>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</si>
  <si>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</si>
  <si>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</si>
  <si>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</si>
  <si>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</si>
  <si>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</si>
  <si>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</si>
  <si>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</si>
  <si>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</si>
  <si>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</si>
  <si>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</si>
  <si>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</si>
  <si>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</si>
  <si>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</si>
  <si>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</si>
  <si>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</si>
  <si>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</si>
  <si>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</si>
  <si>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</si>
  <si>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</si>
  <si>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</si>
  <si>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</si>
  <si>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</si>
  <si>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</si>
  <si>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</si>
  <si>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</si>
  <si>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</si>
  <si>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</si>
  <si>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</si>
  <si>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</si>
  <si>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</si>
  <si>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</si>
  <si>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</si>
  <si>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</si>
  <si>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</si>
  <si>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</si>
  <si>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</si>
  <si>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</si>
  <si>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</si>
  <si>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</si>
  <si>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</si>
  <si>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</si>
  <si>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</si>
  <si>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</si>
  <si>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</si>
  <si>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</si>
  <si>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</si>
  <si>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</si>
  <si>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</si>
  <si>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</si>
  <si>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</si>
  <si>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</si>
  <si>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</si>
  <si>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</si>
  <si>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</si>
  <si>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</si>
  <si>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</si>
  <si>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</si>
  <si>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</si>
  <si>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</si>
  <si>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</si>
  <si>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</si>
  <si>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</si>
  <si>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</si>
  <si>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</si>
  <si>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</si>
  <si>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</si>
  <si>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</si>
  <si>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</si>
  <si>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</si>
  <si>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</si>
  <si>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</si>
  <si>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</si>
  <si>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</si>
  <si>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</si>
  <si>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</si>
  <si>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</si>
  <si>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</si>
  <si>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</si>
  <si>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</si>
  <si>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</si>
  <si>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</si>
  <si>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</si>
  <si>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</si>
  <si>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</si>
  <si>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</si>
  <si>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</si>
  <si>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</si>
  <si>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</si>
  <si>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</si>
  <si>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</si>
  <si>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</si>
  <si>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</si>
  <si>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</si>
  <si>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</si>
  <si>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</si>
  <si>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</si>
  <si>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</si>
  <si>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</si>
  <si>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</si>
  <si>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</si>
  <si>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</si>
  <si>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</si>
  <si>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</si>
  <si>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</si>
  <si>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</si>
  <si>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</si>
  <si>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</si>
  <si>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</si>
  <si>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</si>
  <si>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</si>
  <si>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</si>
  <si>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</si>
  <si>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</si>
  <si>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</si>
  <si>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</si>
  <si>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</si>
  <si>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</si>
  <si>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</si>
  <si>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</si>
  <si>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</si>
  <si>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</si>
  <si>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</si>
  <si>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</si>
  <si>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</si>
  <si>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</si>
  <si>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</si>
  <si>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</si>
  <si>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</si>
  <si>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</si>
  <si>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</si>
  <si>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</si>
  <si>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</si>
  <si>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</si>
  <si>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</si>
  <si>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</si>
  <si>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</si>
  <si>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</si>
  <si>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</si>
  <si>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</si>
  <si>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</si>
  <si>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</si>
  <si>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</si>
  <si>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</si>
  <si>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</si>
  <si>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</si>
  <si>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</si>
  <si>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</si>
  <si>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</si>
  <si>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</si>
  <si>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</si>
  <si>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</si>
  <si>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</si>
  <si>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</si>
  <si>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</si>
  <si>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</si>
  <si>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</si>
  <si>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</si>
  <si>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</si>
  <si>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</si>
  <si>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</si>
  <si>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</si>
  <si>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</si>
  <si>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</si>
  <si>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</si>
  <si>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</si>
  <si>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</si>
  <si>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</si>
  <si>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</si>
  <si>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</si>
  <si>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</si>
  <si>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</si>
  <si>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</si>
  <si>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</si>
  <si>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</si>
  <si>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</si>
  <si>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</si>
  <si>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</si>
  <si>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</si>
  <si>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</si>
  <si>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</si>
  <si>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</si>
  <si>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</si>
  <si>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</si>
  <si>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</si>
  <si>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</si>
  <si>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</si>
  <si>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</si>
  <si>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</si>
  <si>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</si>
  <si>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</si>
  <si>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</si>
  <si>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</si>
  <si>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</si>
  <si>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</si>
  <si>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</si>
  <si>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</si>
  <si>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</si>
  <si>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</si>
  <si>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</si>
  <si>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</si>
  <si>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</si>
  <si>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</si>
  <si>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</si>
  <si>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</si>
  <si>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</si>
  <si>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</si>
  <si>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</si>
  <si>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</si>
  <si>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</si>
  <si>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</si>
  <si>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</si>
  <si>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</si>
  <si>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</si>
  <si>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</si>
  <si>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</si>
  <si>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</si>
  <si>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</si>
  <si>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</si>
  <si>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</si>
  <si>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</si>
  <si>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</si>
  <si>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</si>
  <si>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</si>
  <si>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</si>
  <si>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</si>
  <si>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</si>
  <si>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</si>
  <si>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</si>
  <si>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</si>
  <si>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</si>
  <si>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</si>
  <si>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</si>
  <si>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</si>
  <si>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</si>
  <si>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</si>
  <si>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</si>
  <si>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</si>
  <si>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</si>
  <si>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</si>
  <si>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</si>
  <si>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</si>
  <si>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</si>
  <si>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</si>
  <si>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</si>
  <si>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</si>
  <si>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</si>
  <si>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</si>
  <si>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</si>
  <si>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</si>
  <si>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</si>
  <si>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</si>
  <si>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</si>
  <si>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</si>
  <si>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</si>
  <si>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</si>
  <si>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</si>
  <si>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</si>
  <si>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</si>
  <si>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</si>
  <si>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</si>
  <si>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</si>
  <si>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</si>
  <si>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</si>
  <si>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</si>
  <si>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</si>
  <si>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</si>
  <si>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</si>
  <si>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</si>
  <si>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</si>
  <si>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</si>
  <si>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</si>
  <si>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</si>
  <si>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</si>
  <si>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</si>
  <si>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</si>
  <si>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</si>
  <si>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</si>
  <si>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</si>
  <si>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</si>
  <si>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</si>
  <si>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</si>
  <si>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</si>
  <si>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</si>
  <si>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</si>
  <si>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</si>
  <si>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</si>
  <si>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</si>
  <si>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</si>
  <si>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</si>
  <si>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</si>
  <si>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</si>
  <si>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</si>
  <si>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</si>
  <si>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</si>
  <si>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</si>
  <si>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</si>
  <si>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</si>
  <si>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</si>
  <si>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</si>
  <si>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</si>
  <si>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</si>
  <si>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</si>
  <si>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</si>
  <si>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</si>
  <si>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</si>
  <si>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</si>
  <si>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</si>
  <si>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</si>
  <si>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</si>
  <si>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</si>
  <si>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</si>
  <si>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</si>
  <si>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</si>
  <si>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</si>
  <si>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</si>
  <si>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</si>
  <si>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</si>
  <si>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</si>
  <si>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</si>
  <si>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</si>
  <si>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</si>
  <si>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</si>
  <si>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</si>
  <si>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</si>
  <si>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</si>
  <si>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</si>
  <si>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</si>
  <si>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</si>
  <si>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</si>
  <si>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</si>
  <si>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</si>
  <si>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</si>
  <si>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</si>
  <si>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</si>
  <si>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</si>
  <si>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</si>
  <si>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</si>
  <si>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</si>
  <si>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</si>
  <si>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</si>
  <si>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</si>
  <si>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</si>
  <si>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</si>
  <si>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</si>
  <si>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</si>
  <si>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</si>
  <si>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</si>
  <si>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</si>
  <si>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</si>
  <si>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</si>
  <si>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</si>
  <si>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</si>
  <si>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</si>
  <si>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</si>
  <si>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</si>
  <si>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</si>
  <si>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</si>
  <si>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</si>
  <si>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</si>
  <si>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</si>
  <si>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</si>
  <si>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</si>
  <si>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</si>
  <si>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</si>
  <si>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</si>
  <si>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</si>
  <si>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</si>
  <si>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</si>
  <si>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</si>
  <si>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</si>
  <si>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</si>
  <si>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</si>
  <si>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</si>
  <si>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</si>
  <si>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</si>
  <si>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</si>
  <si>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</si>
  <si>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</si>
  <si>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</si>
  <si>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</si>
  <si>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</si>
  <si>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</si>
  <si>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</si>
  <si>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</si>
  <si>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</si>
  <si>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</si>
  <si>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</si>
  <si>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</si>
  <si>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</si>
  <si>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</si>
  <si>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</si>
  <si>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</si>
  <si>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</si>
  <si>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</si>
  <si>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</si>
  <si>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</si>
  <si>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</si>
  <si>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</si>
  <si>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</si>
  <si>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</si>
  <si>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</si>
  <si>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</si>
  <si>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</si>
  <si>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</si>
  <si>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</si>
  <si>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</si>
  <si>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</si>
  <si>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</si>
  <si>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</si>
  <si>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</si>
  <si>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</si>
  <si>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</si>
  <si>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</si>
  <si>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</si>
  <si>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</si>
  <si>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</si>
  <si>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</si>
  <si>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</si>
  <si>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</si>
  <si>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</si>
  <si>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</si>
  <si>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</si>
  <si>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</si>
  <si>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</si>
  <si>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</si>
  <si>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</si>
  <si>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</si>
  <si>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</si>
  <si>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</si>
  <si>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</si>
  <si>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</si>
  <si>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</si>
  <si>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</si>
  <si>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</si>
  <si>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</si>
  <si>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</si>
  <si>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</si>
  <si>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</si>
  <si>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</si>
  <si>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</si>
  <si>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</si>
  <si>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</si>
  <si>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</si>
  <si>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</si>
  <si>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</si>
  <si>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</si>
  <si>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</si>
  <si>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</si>
  <si>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</si>
  <si>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</si>
  <si>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</si>
  <si>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</si>
  <si>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</si>
  <si>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</si>
  <si>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</si>
  <si>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</si>
  <si>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</si>
  <si>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</si>
  <si>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</si>
  <si>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</si>
  <si>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</si>
  <si>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</si>
  <si>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</si>
  <si>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</si>
  <si>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</si>
  <si>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</si>
  <si>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</si>
  <si>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</si>
  <si>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</si>
  <si>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</si>
  <si>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</si>
  <si>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</si>
  <si>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</si>
  <si>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</si>
  <si>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</si>
  <si>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</si>
  <si>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</si>
  <si>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</si>
  <si>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</si>
  <si>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</si>
  <si>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</si>
  <si>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</si>
  <si>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</si>
  <si>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</si>
  <si>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</si>
  <si>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</si>
  <si>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</si>
  <si>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</si>
  <si>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</si>
  <si>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</si>
  <si>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</si>
  <si>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</si>
  <si>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</si>
  <si>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</si>
  <si>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</si>
  <si>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</si>
  <si>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</si>
  <si>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</si>
  <si>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</si>
  <si>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</si>
  <si>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</si>
  <si>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</si>
  <si>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</si>
  <si>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</si>
  <si>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</si>
  <si>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</si>
  <si>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</si>
  <si>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</si>
  <si>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</si>
  <si>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</si>
  <si>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</si>
  <si>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</si>
  <si>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</si>
  <si>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</si>
  <si>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</si>
  <si>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</si>
  <si>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</si>
  <si>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</si>
  <si>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</si>
  <si>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</si>
  <si>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</si>
  <si>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</si>
  <si>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</si>
  <si>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</si>
  <si>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</si>
  <si>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</si>
  <si>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</si>
  <si>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</si>
  <si>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</si>
  <si>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</si>
  <si>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</si>
  <si>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</si>
  <si>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</si>
  <si>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</si>
  <si>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</si>
  <si>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</si>
  <si>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</si>
  <si>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</si>
  <si>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</si>
  <si>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</si>
  <si>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</si>
  <si>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</si>
  <si>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</si>
  <si>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</si>
  <si>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</si>
  <si>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</si>
  <si>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</si>
  <si>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</si>
  <si>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</si>
  <si>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</si>
  <si>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</si>
  <si>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</si>
  <si>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</si>
  <si>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</si>
  <si>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</si>
  <si>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</si>
  <si>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</si>
  <si>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</si>
  <si>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</si>
  <si>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</si>
  <si>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</si>
  <si>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</si>
  <si>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</si>
  <si>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</si>
  <si>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</si>
  <si>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</si>
  <si>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</si>
  <si>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</si>
  <si>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</si>
  <si>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</si>
  <si>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</si>
  <si>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</si>
  <si>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</si>
  <si>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</si>
  <si>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</si>
  <si>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</si>
  <si>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</si>
  <si>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</si>
  <si>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</si>
  <si>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</si>
  <si>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</si>
  <si>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</si>
  <si>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</si>
  <si>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</si>
  <si>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</si>
  <si>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</si>
  <si>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</si>
  <si>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</si>
  <si>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</si>
  <si>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</si>
  <si>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</si>
  <si>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</si>
  <si>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</si>
  <si>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</si>
  <si>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</si>
  <si>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</si>
  <si>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</si>
  <si>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</si>
  <si>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</si>
  <si>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</si>
  <si>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</si>
  <si>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</si>
  <si>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</si>
  <si>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</si>
  <si>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</si>
  <si>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</si>
  <si>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</si>
  <si>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</si>
  <si>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</si>
  <si>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</si>
  <si>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</si>
  <si>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</si>
  <si>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</si>
  <si>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</si>
  <si>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</si>
  <si>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</si>
  <si>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</si>
  <si>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</si>
  <si>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</si>
  <si>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</si>
  <si>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</si>
  <si>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</si>
  <si>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</si>
  <si>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</si>
  <si>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</si>
  <si>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</si>
  <si>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</si>
  <si>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</si>
  <si>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</si>
  <si>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</si>
  <si>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</si>
  <si>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</si>
  <si>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</si>
  <si>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</si>
  <si>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</si>
  <si>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</si>
  <si>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</si>
  <si>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</si>
  <si>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</si>
  <si>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</si>
  <si>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</si>
  <si>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</si>
  <si>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</si>
  <si>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</si>
  <si>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</si>
  <si>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</si>
  <si>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</si>
  <si>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</si>
  <si>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</si>
  <si>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</si>
  <si>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</si>
  <si>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</si>
  <si>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</si>
  <si>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</si>
  <si>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</si>
  <si>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</si>
  <si>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</si>
  <si>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</si>
  <si>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</si>
  <si>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</si>
  <si>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</si>
  <si>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</si>
  <si>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</si>
  <si>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</si>
  <si>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</si>
  <si>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</si>
  <si>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</si>
  <si>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</si>
  <si>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</si>
  <si>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</si>
  <si>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</si>
  <si>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</si>
  <si>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</si>
  <si>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</si>
  <si>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</si>
  <si>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</si>
  <si>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</si>
  <si>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</si>
  <si>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</si>
  <si>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</si>
  <si>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</si>
  <si>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</si>
  <si>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</si>
  <si>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</si>
  <si>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</si>
  <si>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</si>
  <si>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</si>
  <si>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</si>
  <si>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</si>
  <si>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</si>
  <si>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</si>
  <si>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</si>
  <si>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</si>
  <si>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</si>
  <si>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</si>
  <si>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</si>
  <si>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</si>
  <si>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</si>
  <si>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</si>
  <si>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</si>
  <si>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</si>
  <si>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</si>
  <si>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</si>
  <si>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</si>
  <si>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</si>
  <si>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</si>
  <si>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</si>
  <si>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</si>
  <si>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</si>
  <si>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</si>
  <si>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</si>
  <si>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</si>
  <si>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</si>
  <si>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</si>
  <si>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</si>
  <si>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</si>
  <si>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</si>
  <si>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</si>
  <si>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</si>
  <si>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</si>
  <si>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</si>
  <si>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</si>
  <si>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</si>
  <si>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</si>
  <si>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</si>
  <si>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</si>
  <si>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</si>
  <si>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</si>
  <si>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</si>
  <si>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</si>
  <si>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</si>
  <si>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</si>
  <si>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</si>
  <si>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</si>
  <si>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</si>
  <si>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</si>
  <si>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</si>
  <si>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</si>
  <si>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</si>
  <si>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</si>
  <si>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</si>
  <si>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</si>
  <si>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</si>
  <si>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</si>
  <si>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</si>
  <si>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</si>
  <si>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</si>
  <si>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</si>
  <si>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</si>
  <si>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</si>
  <si>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</si>
  <si>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</si>
  <si>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</si>
  <si>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</si>
  <si>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</si>
  <si>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</si>
  <si>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</si>
  <si>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</si>
  <si>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</si>
  <si>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</si>
  <si>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</si>
  <si>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</si>
  <si>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</si>
  <si>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</si>
  <si>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</si>
  <si>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</si>
  <si>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</si>
  <si>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</si>
  <si>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</si>
  <si>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</si>
  <si>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</si>
  <si>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</si>
  <si>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</si>
  <si>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</si>
  <si>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</si>
  <si>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</si>
  <si>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</si>
  <si>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</si>
  <si>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</si>
  <si>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</si>
  <si>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</si>
  <si>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</si>
  <si>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</si>
  <si>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</si>
  <si>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</si>
  <si>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</si>
  <si>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</si>
  <si>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</si>
  <si>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</si>
  <si>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</si>
  <si>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</si>
  <si>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</si>
  <si>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</si>
  <si>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</si>
  <si>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</si>
  <si>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</si>
  <si>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</si>
  <si>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</si>
  <si>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</si>
  <si>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</si>
  <si>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</si>
  <si>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</si>
  <si>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</si>
  <si>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</si>
  <si>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</si>
  <si>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</si>
  <si>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</si>
  <si>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</si>
  <si>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</si>
  <si>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</si>
  <si>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</si>
  <si>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</si>
  <si>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</si>
  <si>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</si>
  <si>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</si>
  <si>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</si>
  <si>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</si>
  <si>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</si>
  <si>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</si>
  <si>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</si>
  <si>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</si>
  <si>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</si>
  <si>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</si>
  <si>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</si>
  <si>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</si>
  <si>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</si>
  <si>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</si>
  <si>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</si>
  <si>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</si>
  <si>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</si>
  <si>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</si>
  <si>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</si>
  <si>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</si>
  <si>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</si>
  <si>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</si>
  <si>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</si>
  <si>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</si>
  <si>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</si>
  <si>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</si>
  <si>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</si>
  <si>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</si>
  <si>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</si>
  <si>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</si>
  <si>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</si>
  <si>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</si>
  <si>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</si>
  <si>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</si>
  <si>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</si>
  <si>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</si>
  <si>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</si>
  <si>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</si>
  <si>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</si>
  <si>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</si>
  <si>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</si>
  <si>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</si>
  <si>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</si>
  <si>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</si>
  <si>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</si>
  <si>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</si>
  <si>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</si>
  <si>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</si>
  <si>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</si>
  <si>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</si>
  <si>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</si>
  <si>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</si>
  <si>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</si>
  <si>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</si>
  <si>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</si>
  <si>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</si>
  <si>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</si>
  <si>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</si>
  <si>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</si>
  <si>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</si>
  <si>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</si>
  <si>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</si>
  <si>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</si>
  <si>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</si>
  <si>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</si>
  <si>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</si>
  <si>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</si>
  <si>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</si>
  <si>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</si>
  <si>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</si>
  <si>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</si>
  <si>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</si>
  <si>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</si>
  <si>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</si>
  <si>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</si>
  <si>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</si>
  <si>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</si>
  <si>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</si>
  <si>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</si>
  <si>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</si>
  <si>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</si>
  <si>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</si>
  <si>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</si>
  <si>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</si>
  <si>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</si>
  <si>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</si>
  <si>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</si>
  <si>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</si>
  <si>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</si>
  <si>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</si>
  <si>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</si>
  <si>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</si>
  <si>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</si>
  <si>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</si>
  <si>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</si>
  <si>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</si>
  <si>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</si>
  <si>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</si>
  <si>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</si>
  <si>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</si>
  <si>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</si>
  <si>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</si>
  <si>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</si>
  <si>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</si>
  <si>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</si>
  <si>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</si>
  <si>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</si>
  <si>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</si>
  <si>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</si>
  <si>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</si>
  <si>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</si>
  <si>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</si>
  <si>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</si>
  <si>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</si>
  <si>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</si>
  <si>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</si>
  <si>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</si>
  <si>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</si>
  <si>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</si>
  <si>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</si>
  <si>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</si>
  <si>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</si>
  <si>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</si>
  <si>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</si>
  <si>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</si>
  <si>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</si>
  <si>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</si>
  <si>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</si>
  <si>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</si>
  <si>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</si>
  <si>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</si>
  <si>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</si>
  <si>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</si>
  <si>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</si>
  <si>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</si>
  <si>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</si>
  <si>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</si>
  <si>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</si>
  <si>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</si>
  <si>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</si>
  <si>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</si>
  <si>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</si>
  <si>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</si>
  <si>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</si>
  <si>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</si>
  <si>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</si>
  <si>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</si>
  <si>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</si>
  <si>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</si>
  <si>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</si>
  <si>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</si>
  <si>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</si>
  <si>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</si>
  <si>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</si>
  <si>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</si>
  <si>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</si>
  <si>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</si>
  <si>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</si>
  <si>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</si>
  <si>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</si>
  <si>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</si>
  <si>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</si>
  <si>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</si>
  <si>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</si>
  <si>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</si>
  <si>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</si>
  <si>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</si>
  <si>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</si>
  <si>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</si>
  <si>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</si>
  <si>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</si>
  <si>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</si>
  <si>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</si>
  <si>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</si>
  <si>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</si>
  <si>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</si>
  <si>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</si>
  <si>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</si>
  <si>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</si>
  <si>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</si>
  <si>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</si>
  <si>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</si>
  <si>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</si>
  <si>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</si>
  <si>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</si>
  <si>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</si>
  <si>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</si>
  <si>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</si>
  <si>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</si>
  <si>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</si>
  <si>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</si>
  <si>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</si>
  <si>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</si>
  <si>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</si>
  <si>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</si>
  <si>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</si>
  <si>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</si>
  <si>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</si>
  <si>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</si>
  <si>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</si>
  <si>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</si>
  <si>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</si>
  <si>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</si>
  <si>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</si>
  <si>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</si>
  <si>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</si>
  <si>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</si>
  <si>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</si>
  <si>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</si>
  <si>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</si>
  <si>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</si>
  <si>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</si>
  <si>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</si>
  <si>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</si>
  <si>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</si>
  <si>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</si>
  <si>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</si>
  <si>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</si>
  <si>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</si>
  <si>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</si>
  <si>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</si>
  <si>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</si>
  <si>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</si>
  <si>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</si>
  <si>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</si>
  <si>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</si>
  <si>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</si>
  <si>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</si>
  <si>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</si>
  <si>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</si>
  <si>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</si>
  <si>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</si>
  <si>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</si>
  <si>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</si>
  <si>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</si>
  <si>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</si>
  <si>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</si>
  <si>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</si>
  <si>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</si>
  <si>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</si>
  <si>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</si>
  <si>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</si>
  <si>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</si>
  <si>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</si>
  <si>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</si>
  <si>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</si>
  <si>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</si>
  <si>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</si>
  <si>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</si>
  <si>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CL/DB1/1/GOK4 Dragon Ball Goku</t>
  </si>
  <si>
    <t>CL/DB2/1/BUL1 Dragon Ball Bulma</t>
  </si>
  <si>
    <t>CL/DB2/1/BUL2 Dragon Ball Bulma</t>
  </si>
  <si>
    <t>CL/DB2/1/GOK Dragon Ball Goku</t>
  </si>
  <si>
    <t>CL/DB2/1/GOK2 Dragon Ball Goku</t>
  </si>
  <si>
    <t>CL/DB2/1/KAM1 Dragon Ball Kame</t>
  </si>
  <si>
    <t>CL/DB2/1/KRI Dragon Ball Krillin</t>
  </si>
  <si>
    <t>CL/DBZ/1/KAMC Junior Dragon Ball Kame</t>
  </si>
  <si>
    <t>CL/DBZ2/1/KAM4 Dragon Ball Kame</t>
  </si>
  <si>
    <t>CL/DBZ3/1/VEG3 Dragon Ball Vegeta</t>
  </si>
  <si>
    <t>CL/DBZ5/1/GOK2C Dragon Ball Goku</t>
  </si>
  <si>
    <t>CL/DBZ5/1/GOK3C Dragon Ball Goku</t>
  </si>
  <si>
    <t>CL/DBZ5/1/GOKC Dragon Ball Goku</t>
  </si>
  <si>
    <t>CL/DC/TAG/1/BAT DC Comics Batman</t>
  </si>
  <si>
    <t>CL/DC/TAG/1/HAR DC Comics Harley Queen</t>
  </si>
  <si>
    <t>CL/DC/TAG/1/JOK DC Comics Joker</t>
  </si>
  <si>
    <t>CL/DC2/1/MEM2 DC Comics Batman and Robin</t>
  </si>
  <si>
    <t>CL/DC2/1/VIN1 Disney Mickey Mouse</t>
  </si>
  <si>
    <t>CL/DC3/1/CAS/JKR2 DC Comics Joker</t>
  </si>
  <si>
    <t>CL/DIS/1/DON2 Disney Donald Duck</t>
  </si>
  <si>
    <t>CL/DIS/1/DUC2 Disney Donald Duck</t>
  </si>
  <si>
    <t>CL/DIS/1/DUC3 Disney Donald Duck</t>
  </si>
  <si>
    <t>CL/DIS/TAG/1/MIC3 Disney Mickey Mouse</t>
  </si>
  <si>
    <t>CL/DIS/TAG/1/MIC4 Disney Mickey Mouse</t>
  </si>
  <si>
    <t>CL/DIS/TAG/1/SCR1 Disney Scrooge McDuck</t>
  </si>
  <si>
    <t>CL/DIS/TAG/1/SCR2 Disney Scrooge McDuck</t>
  </si>
  <si>
    <t>CL/DIS/TAG/1/SCR3 Disney Scrooge McDuck</t>
  </si>
  <si>
    <t>CL/DIS/TAG/1/WHI Disney Snow White</t>
  </si>
  <si>
    <t>CL/LOO/1/SAM1 Looney Tunes Yosemite Sam</t>
  </si>
  <si>
    <t>CL/LOO2/1/TVG1 Looney Tunes Tweety Pie</t>
  </si>
  <si>
    <t>CL/LOO3/1/DAF1 Looney Tunes Daffy Duck</t>
  </si>
  <si>
    <t>CL/LOO5/1/BUN1 Looney Tunes Bugs Bunny</t>
  </si>
  <si>
    <t>CL/LOO5/1/BUN2 Looney Tunes Bugs Bunny</t>
  </si>
  <si>
    <t>CL/LOO5/1/COY1 Looney Tunes Wile E. Coyote</t>
  </si>
  <si>
    <t>CL/LOO5/1/COY2 Looney Tunes Wile E. Coyote</t>
  </si>
  <si>
    <t>CL/LOO5/1/DAF1 Looney Tunes Daffy Duck</t>
  </si>
  <si>
    <t>CL/LOO5/1/DAF2 Looney Tunes Daffy Duck</t>
  </si>
  <si>
    <t>CL/LOO5/1/TAZ1 Looney Tunes Taz</t>
  </si>
  <si>
    <t>CL/MAR/TAG/1/DEA Marvel Deadpool</t>
  </si>
  <si>
    <t>CL/MAR3/1/HUL1 Marvel Hulk</t>
  </si>
  <si>
    <t>CL/MAR3/1/HUL2 Marvel Hulk</t>
  </si>
  <si>
    <t>CL/MAR3/1/PAN1 Marvel Black Panther</t>
  </si>
  <si>
    <t>CL/MAR3/1/VEN1 Marvel Venom</t>
  </si>
  <si>
    <t>CL/MAR3/1/VEN2 Marvel Venom</t>
  </si>
  <si>
    <t>CL/MAR4/1/DEA1 Marvel Deadpool</t>
  </si>
  <si>
    <t>CL/MAR4/1/DEA2 Marvel Deadpool</t>
  </si>
  <si>
    <t>CL/MAR4/1/DEA3 Marvel Deadpool</t>
  </si>
  <si>
    <t>CL/MAR4/1/WOL1 Marvel Wolverine</t>
  </si>
  <si>
    <t>CL/MAR4/1/WOL2 Marvel Wolverine</t>
  </si>
  <si>
    <t>CL/NS/1/BAN Naruto Symbol Ninja Village</t>
  </si>
  <si>
    <t>CL/NS/1/KAK2 Naruto Kakashi</t>
  </si>
  <si>
    <t>CL/NS/1/NAR2 Naruto Naruto</t>
  </si>
  <si>
    <t>CL/OP/TAG/1/LOG1 One Piece Skull</t>
  </si>
  <si>
    <t>CL/OP/TAG/1/LOG2 One Piece Skull</t>
  </si>
  <si>
    <t>CL/OP1/1/LUF1 One Piece Luffy</t>
  </si>
  <si>
    <t>CL/OP1/1/LUF2 One Piece Luffy</t>
  </si>
  <si>
    <t>CL/OP1/1/SKU1 One Piece Skull</t>
  </si>
  <si>
    <t>CL/OP1/1/SKU2 One Piece Skull</t>
  </si>
  <si>
    <t>CL/OP1/1/ZOR1 One Piece Roronoa Zoro</t>
  </si>
  <si>
    <t>CL/OP1/1/ZOR2 One Piece Roronoa Zoro</t>
  </si>
  <si>
    <t>CL/PEA/1/SAM Looney Tunes Yosemite Sam</t>
  </si>
  <si>
    <t>CL/PEA2/1/PEA1 Peanuts Snoopy</t>
  </si>
  <si>
    <t>CL/PKM/TAG/1/ELE1 Pokemon Pikachu</t>
  </si>
  <si>
    <t>CL/PKM3/1/ELE1 Pokemon Pikachu</t>
  </si>
  <si>
    <t>CL/PKM3/1/ELE2 Pokemon Pikachu</t>
  </si>
  <si>
    <t>CL/REM/TAG/1/RIC Rick and Morty Street</t>
  </si>
  <si>
    <t>CL/TAJ1/1/JER1 Tom and Jerry Jerry</t>
  </si>
  <si>
    <t>CL/TAJ1/1/JER2 Tom and Jerry Jerry</t>
  </si>
  <si>
    <t>CL/TAJ1/1/TAJ1 Tom and Jerry Tom and Jerry</t>
  </si>
  <si>
    <t>CL/TAJ1/1/TOM1 Tom and Jerry Tom</t>
  </si>
  <si>
    <t>CL/TAJ1/1/TOM2 Tom and Jerry Tom</t>
  </si>
  <si>
    <t>CL/DB1/1/HOU2 Dragon Ball Kame House</t>
  </si>
  <si>
    <t>CL/DB1/1/HOU3 Dragon Ball Kame House</t>
  </si>
  <si>
    <t>CL/DBZ/3/KAMC Junior Dragon Ball Kame</t>
  </si>
  <si>
    <t>CL/DBZ/TAG/1/GOK Dragon Ball Goku</t>
  </si>
  <si>
    <t>CL/DBZ/TAG/1/KAM Dragon Ball Kame</t>
  </si>
  <si>
    <t>CL/DBZ2/1/KAM7 Dragon Ball Kame</t>
  </si>
  <si>
    <t>CL/DBZ2/1/TRK1 Dragon Ball Trunks</t>
  </si>
  <si>
    <t>CL/DBZ3/1/RON1 Dragon Ball Shenron</t>
  </si>
  <si>
    <t>CL/DBZ5/1/GOK/F Dragon Ball Goku</t>
  </si>
  <si>
    <t>CL/DC2/1/BAT4 DC Comics Batman</t>
  </si>
  <si>
    <t>CL/DC2/1/BATP1 DC Comics Gotham</t>
  </si>
  <si>
    <t>CL/DC3/1/CAS/JOK2 DC Comics Joker</t>
  </si>
  <si>
    <t>CL/DC4/1/BAT1 DC Comics Batman</t>
  </si>
  <si>
    <t>CL/DIS/1/FLO Disney Mickey Mouse</t>
  </si>
  <si>
    <t>CL/DIS/1/GOO2 Disney Goofy</t>
  </si>
  <si>
    <t>CL/DIS/1/MIC1 Disney Mickey Mouse</t>
  </si>
  <si>
    <t>CL/DIS/1/MIC2 Disney Mickey Mouse</t>
  </si>
  <si>
    <t>CL/DIS/1/MIC3 Disney Mickey Mouse</t>
  </si>
  <si>
    <t>CL/DIS/1/MIC4 Disney Mickey Mouse</t>
  </si>
  <si>
    <t>CL/DIS/1/MIC5 Disney Mickey Mouse</t>
  </si>
  <si>
    <t>CL/DIS/1/SCR1 Disney Scrooge McDuck</t>
  </si>
  <si>
    <t>CL/DIS/1/VIN2 Disney Mickey Mouse</t>
  </si>
  <si>
    <t>CL/DIS/3/MIC4 Junior Disney Mickey Mouse</t>
  </si>
  <si>
    <t>CL/DIS/TAG/1/MIC Disney Mickey Mouse</t>
  </si>
  <si>
    <t>CL/LOO/1/BUN5 Looney Tunes Bugs Bunny</t>
  </si>
  <si>
    <t>CL/LOO/1/COY2 Looney Tunes Wile E. Coyote</t>
  </si>
  <si>
    <t>CL/LOO/1/DAF4 Looney Tunes Daffy Duck</t>
  </si>
  <si>
    <t>CL/LOO/1/TAZ2  Looney Tunes Taz</t>
  </si>
  <si>
    <t>CL/LOO/1/TAZ3 Looney Tunes Taz</t>
  </si>
  <si>
    <t>CL/LOO/TAG/1/BUG Looney Tunes Bugs Bunny</t>
  </si>
  <si>
    <t>CL/LOO/TAG/1/DAF Looney Tunes Daffy Duck</t>
  </si>
  <si>
    <t>CL/LOO3/1/BUG1 Looney Tunes Bugs Bunny</t>
  </si>
  <si>
    <t>CL/LOO3/1/CHA Looney Tunes Foghorn Leghorn</t>
  </si>
  <si>
    <t>CL/LOO3/1/DUC1 Looney Tunes Daffy Duck</t>
  </si>
  <si>
    <t>CL/LOO3/1/RIN1 Looney Tunes Bugs Bunny</t>
  </si>
  <si>
    <t>CL/LOO4/1/BON/COY2 Looney Tunes Wile E. Coyote</t>
  </si>
  <si>
    <t>CL/PKM2/3/PIK6 Junior Pokemon Pikachu</t>
  </si>
  <si>
    <t>CL/REM/1/CKL2 Rick and Morty Pickle Rick</t>
  </si>
  <si>
    <t>CL/REM/1/LOO1 Rick and Morty Together</t>
  </si>
  <si>
    <t>CL/REM/1/MOR1 Rick and Morty Run Morty</t>
  </si>
  <si>
    <t>CL/REM/1/PSY1 Rick and Morty Portal</t>
  </si>
  <si>
    <t>CL/REM/1/SAN2 Rick and Morty Rick</t>
  </si>
  <si>
    <t>CL/DB2/1/KAM2 Dragon Ball Kame</t>
  </si>
  <si>
    <t>CL/DB2/1/KRI2 Dragon Ball Krillin</t>
  </si>
  <si>
    <t>CL/DBS/TAG/1/GOK2 Dragon Ball Goku</t>
  </si>
  <si>
    <t>CL/LOO4/1/BUG1 Looney Tunes Bugs Bunny</t>
  </si>
  <si>
    <t>CL/LOO5/1/TAZ2 Looney Tunes Taz</t>
  </si>
  <si>
    <t>88-274-80</t>
  </si>
  <si>
    <t>88-275-12</t>
  </si>
  <si>
    <t>88-276-12</t>
  </si>
  <si>
    <t>88-277-16</t>
  </si>
  <si>
    <t>88-278-19</t>
  </si>
  <si>
    <t>88-279-14</t>
  </si>
  <si>
    <t>88-280-59</t>
  </si>
  <si>
    <t>88-281-09</t>
  </si>
  <si>
    <t>88-282-48</t>
  </si>
  <si>
    <t>88-283-80</t>
  </si>
  <si>
    <t>88-284-09</t>
  </si>
  <si>
    <t>88-285-00</t>
  </si>
  <si>
    <t>88-286-00</t>
  </si>
  <si>
    <t>88-287-09</t>
  </si>
  <si>
    <t>88-288-09</t>
  </si>
  <si>
    <t>88-289-09</t>
  </si>
  <si>
    <t>88-290-09</t>
  </si>
  <si>
    <t>88-291-78</t>
  </si>
  <si>
    <t>88-292-09</t>
  </si>
  <si>
    <t>88-293-09</t>
  </si>
  <si>
    <t>88-294-38</t>
  </si>
  <si>
    <t>88-295-09</t>
  </si>
  <si>
    <t>88-296-09</t>
  </si>
  <si>
    <t>88-297-09</t>
  </si>
  <si>
    <t>88-298-09</t>
  </si>
  <si>
    <t>88-299-09</t>
  </si>
  <si>
    <t>88-300-09</t>
  </si>
  <si>
    <t>88-301-09</t>
  </si>
  <si>
    <t>88-302-09</t>
  </si>
  <si>
    <t>88-303-66</t>
  </si>
  <si>
    <t>88-304-72</t>
  </si>
  <si>
    <t>88-305-09</t>
  </si>
  <si>
    <t>88-306-09</t>
  </si>
  <si>
    <t>88-307-12</t>
  </si>
  <si>
    <t>88-308-09</t>
  </si>
  <si>
    <t>88-309-45</t>
  </si>
  <si>
    <t>88-310-16</t>
  </si>
  <si>
    <t>88-311-80</t>
  </si>
  <si>
    <t>88-312-09</t>
  </si>
  <si>
    <t>88-313-48</t>
  </si>
  <si>
    <t>88-314-80</t>
  </si>
  <si>
    <t>88-315-09</t>
  </si>
  <si>
    <t>88-316-72</t>
  </si>
  <si>
    <t>88-317-72</t>
  </si>
  <si>
    <t>88-318-72</t>
  </si>
  <si>
    <t>88-319-47</t>
  </si>
  <si>
    <t>88-320-72</t>
  </si>
  <si>
    <t>88-321-78</t>
  </si>
  <si>
    <t>88-322-00</t>
  </si>
  <si>
    <t>88-323-09</t>
  </si>
  <si>
    <t>88-324-09</t>
  </si>
  <si>
    <t>88-325-09</t>
  </si>
  <si>
    <t>88-326-09</t>
  </si>
  <si>
    <t>88-327-09</t>
  </si>
  <si>
    <t>88-328-08</t>
  </si>
  <si>
    <t>88-329-09</t>
  </si>
  <si>
    <t>88-330-80</t>
  </si>
  <si>
    <t>88-331-09</t>
  </si>
  <si>
    <t>88-332-47</t>
  </si>
  <si>
    <t>88-333-09</t>
  </si>
  <si>
    <t>88-334-16</t>
  </si>
  <si>
    <t>88-335-80</t>
  </si>
  <si>
    <t>88-336-09</t>
  </si>
  <si>
    <t>88-337-09</t>
  </si>
  <si>
    <t>88-338-48</t>
  </si>
  <si>
    <t>88-339-09</t>
  </si>
  <si>
    <t>88-340-01</t>
  </si>
  <si>
    <t>88-341-80</t>
  </si>
  <si>
    <t>88-342-16</t>
  </si>
  <si>
    <t>88-343-00</t>
  </si>
  <si>
    <t>88-344-72</t>
  </si>
  <si>
    <t>88-345-08</t>
  </si>
  <si>
    <t>88-346-80</t>
  </si>
  <si>
    <t>88-347-09</t>
  </si>
  <si>
    <t>88-348-18</t>
  </si>
  <si>
    <t>CAPSLAB-Junior Dragon Ball</t>
  </si>
  <si>
    <t>CAPSLAB-Naruto</t>
  </si>
  <si>
    <t>CAPSLAB-One Piece</t>
  </si>
  <si>
    <t>CAPSLAB-Peanuts</t>
  </si>
  <si>
    <t>CAPSLAB-Tom and Jerry</t>
  </si>
  <si>
    <t>Capslab</t>
  </si>
  <si>
    <t>grey</t>
  </si>
  <si>
    <t>red</t>
  </si>
  <si>
    <t>navy</t>
  </si>
  <si>
    <t>blue</t>
  </si>
  <si>
    <t>brown</t>
  </si>
  <si>
    <t>white</t>
  </si>
  <si>
    <t>black</t>
  </si>
  <si>
    <t>camo</t>
  </si>
  <si>
    <t>khaki</t>
  </si>
  <si>
    <t>orange</t>
  </si>
  <si>
    <t>camou</t>
  </si>
  <si>
    <t>grey / red</t>
  </si>
  <si>
    <t>blue / red</t>
  </si>
  <si>
    <t>COMICS</t>
  </si>
  <si>
    <t>Junior Dragon Ball</t>
  </si>
  <si>
    <t>Naruto</t>
  </si>
  <si>
    <t>One Piece</t>
  </si>
  <si>
    <t>Peanuts</t>
  </si>
  <si>
    <t>Tom and Jerry</t>
  </si>
  <si>
    <t>50% хлопок -  50% полиэстер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</si>
  <si>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</si>
  <si>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</si>
  <si>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</si>
  <si>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</si>
  <si>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</si>
  <si>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</si>
  <si>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</si>
  <si>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</si>
  <si>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</si>
  <si>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</si>
  <si>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</si>
  <si>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</si>
  <si>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</si>
  <si>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</si>
  <si>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</si>
  <si>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</si>
  <si>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</si>
  <si>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</si>
  <si>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</si>
  <si>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</si>
  <si>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</si>
  <si>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</si>
  <si>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</si>
  <si>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</si>
  <si>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</si>
  <si>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</si>
  <si>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</si>
  <si>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</si>
  <si>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</si>
  <si>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</si>
  <si>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</si>
  <si>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</si>
  <si>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</si>
  <si>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</si>
  <si>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</si>
  <si>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</si>
  <si>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</si>
  <si>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</si>
  <si>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</si>
  <si>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</si>
  <si>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</si>
  <si>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</si>
  <si>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</si>
  <si>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</si>
  <si>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</si>
  <si>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</si>
  <si>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</si>
  <si>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</si>
  <si>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</si>
  <si>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</si>
  <si>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</si>
  <si>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</si>
  <si>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</si>
  <si>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</si>
  <si>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</si>
  <si>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</si>
  <si>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</si>
  <si>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</si>
  <si>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</si>
  <si>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</si>
  <si>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</si>
  <si>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</si>
  <si>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</si>
  <si>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</si>
  <si>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</si>
  <si>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</si>
  <si>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</si>
  <si>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</si>
  <si>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</si>
  <si>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</si>
  <si>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</si>
  <si>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</si>
  <si>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</si>
  <si>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</si>
  <si>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</si>
  <si>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</si>
  <si>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</si>
  <si>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</si>
  <si>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</si>
  <si>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</si>
  <si>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</si>
  <si>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</si>
  <si>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</si>
  <si>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</si>
  <si>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</si>
  <si>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</si>
  <si>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</si>
  <si>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</si>
  <si>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</si>
  <si>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</si>
  <si>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</si>
  <si>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</si>
  <si>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</si>
  <si>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</si>
  <si>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</si>
  <si>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</si>
  <si>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</si>
  <si>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</si>
  <si>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</si>
  <si>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</si>
  <si>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</si>
  <si>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</si>
  <si>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</si>
  <si>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</si>
  <si>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</si>
  <si>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</si>
  <si>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</si>
  <si>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</si>
  <si>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</si>
  <si>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</si>
  <si>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</si>
  <si>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</si>
  <si>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</si>
  <si>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</si>
  <si>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</si>
  <si>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</si>
  <si>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</si>
  <si>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</si>
  <si>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</si>
  <si>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</si>
  <si>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</si>
  <si>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</si>
  <si>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</si>
  <si>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</si>
  <si>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</si>
  <si>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</si>
  <si>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</si>
  <si>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</si>
  <si>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</si>
  <si>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</si>
  <si>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</si>
  <si>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</si>
  <si>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</si>
  <si>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</si>
  <si>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</si>
  <si>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</si>
  <si>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</si>
  <si>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</si>
  <si>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</si>
  <si>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</si>
  <si>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</si>
  <si>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</si>
  <si>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</si>
  <si>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</si>
  <si>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</si>
  <si>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</si>
  <si>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</si>
  <si>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</si>
  <si>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</si>
  <si>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</si>
  <si>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</si>
  <si>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</si>
  <si>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</si>
  <si>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</si>
  <si>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</si>
  <si>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</si>
  <si>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</si>
  <si>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</si>
  <si>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</si>
  <si>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</si>
  <si>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</si>
  <si>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</si>
  <si>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</si>
  <si>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</si>
  <si>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</si>
  <si>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</si>
  <si>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</si>
  <si>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</si>
  <si>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</si>
  <si>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</si>
  <si>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</si>
  <si>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</si>
  <si>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</si>
  <si>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</si>
  <si>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</si>
  <si>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</si>
  <si>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</si>
  <si>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</si>
  <si>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</si>
  <si>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</si>
  <si>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</si>
  <si>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</si>
  <si>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</si>
  <si>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</si>
  <si>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</si>
  <si>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</si>
  <si>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</si>
  <si>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</si>
  <si>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</si>
  <si>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</si>
  <si>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</si>
  <si>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</si>
  <si>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</si>
  <si>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</si>
  <si>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</si>
  <si>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</si>
  <si>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</si>
  <si>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</si>
  <si>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</si>
  <si>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</si>
  <si>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</si>
  <si>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</si>
  <si>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</si>
  <si>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</si>
  <si>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</si>
  <si>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</si>
  <si>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</si>
  <si>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</si>
  <si>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</si>
  <si>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</si>
  <si>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</si>
  <si>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</si>
  <si>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</si>
  <si>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</si>
  <si>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</si>
  <si>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</si>
  <si>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</si>
  <si>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</si>
  <si>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</si>
  <si>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</si>
  <si>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</si>
  <si>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</si>
  <si>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</si>
  <si>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</si>
  <si>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</si>
  <si>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</si>
  <si>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</si>
  <si>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</si>
  <si>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</si>
  <si>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</si>
  <si>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</si>
  <si>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</si>
  <si>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</si>
  <si>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</si>
  <si>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</si>
  <si>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</si>
  <si>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</si>
  <si>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</si>
  <si>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</si>
  <si>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</si>
  <si>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</si>
  <si>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</si>
  <si>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</si>
  <si>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</si>
  <si>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</si>
  <si>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</si>
  <si>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</si>
  <si>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</si>
  <si>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</si>
  <si>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</si>
  <si>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</si>
  <si>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</si>
  <si>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</si>
  <si>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</si>
  <si>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</si>
  <si>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</si>
  <si>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</si>
  <si>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</si>
  <si>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</si>
  <si>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</si>
  <si>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</si>
  <si>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</si>
  <si>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</si>
  <si>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</si>
  <si>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</si>
  <si>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</si>
  <si>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</si>
  <si>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</si>
  <si>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</si>
  <si>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</si>
  <si>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</si>
  <si>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</si>
  <si>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</si>
  <si>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</si>
  <si>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</si>
  <si>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</si>
  <si>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</si>
  <si>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</si>
  <si>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</si>
  <si>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</si>
  <si>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</si>
  <si>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</si>
  <si>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</si>
  <si>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</si>
  <si>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</si>
  <si>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</si>
  <si>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</si>
  <si>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</si>
  <si>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</si>
  <si>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</si>
  <si>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</si>
  <si>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</si>
  <si>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</si>
  <si>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</si>
  <si>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</si>
  <si>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</si>
  <si>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</si>
  <si>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</si>
  <si>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</si>
  <si>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</si>
  <si>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</si>
  <si>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</si>
  <si>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</si>
  <si>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</si>
  <si>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</si>
  <si>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</si>
  <si>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</si>
  <si>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</si>
  <si>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</si>
  <si>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</si>
  <si>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</si>
  <si>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</si>
  <si>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</si>
  <si>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</si>
  <si>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</si>
  <si>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</si>
  <si>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</si>
  <si>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</si>
  <si>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</si>
  <si>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</si>
  <si>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</si>
  <si>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</si>
  <si>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</si>
  <si>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</si>
  <si>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</si>
  <si>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</si>
  <si>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</si>
  <si>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</si>
  <si>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</si>
  <si>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</si>
  <si>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</si>
  <si>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</si>
  <si>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</si>
  <si>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</si>
  <si>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</si>
  <si>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</si>
  <si>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</si>
  <si>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</si>
  <si>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</si>
  <si>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</si>
  <si>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</si>
  <si>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</si>
  <si>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</si>
  <si>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</si>
  <si>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</si>
  <si>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</si>
  <si>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</si>
  <si>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</si>
  <si>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</si>
  <si>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</si>
  <si>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</si>
  <si>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</si>
  <si>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</si>
  <si>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</si>
  <si>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</si>
  <si>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</si>
  <si>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</si>
  <si>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</si>
  <si>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</si>
  <si>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</si>
  <si>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</si>
  <si>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</si>
  <si>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</si>
  <si>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</si>
  <si>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</si>
  <si>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</si>
  <si>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</si>
  <si>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</si>
  <si>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</si>
  <si>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</si>
  <si>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</si>
  <si>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</si>
  <si>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</si>
  <si>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</si>
  <si>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</si>
  <si>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</si>
  <si>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</si>
  <si>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</si>
  <si>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</si>
  <si>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</si>
  <si>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</si>
  <si>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</si>
  <si>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</si>
  <si>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</si>
  <si>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</si>
  <si>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</si>
  <si>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</si>
  <si>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</si>
  <si>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</si>
  <si>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</si>
  <si>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</si>
  <si>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</si>
  <si>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</si>
  <si>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</si>
  <si>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</si>
  <si>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</si>
  <si>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</si>
  <si>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</si>
  <si>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</si>
  <si>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</si>
  <si>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</si>
  <si>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</si>
  <si>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</si>
  <si>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Бейсболка CAPSLAB арт. CL/LOO/1/TAZ2 Looney Tunes Taz (коричневый) {brown}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</si>
</sst>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29799</v>
      </c>
      <c r="B219" s="28" t="s">
        <v>29800</v>
      </c>
    </row>
    <row r="220" spans="1:2" x14ac:dyDescent="0.25">
      <c r="A220" s="28" t="s">
        <v>29801</v>
      </c>
      <c r="B220" s="28" t="s">
        <v>29802</v>
      </c>
    </row>
    <row r="221" spans="1:2" x14ac:dyDescent="0.25">
      <c r="A221" s="28" t="s">
        <v>29803</v>
      </c>
      <c r="B221" s="28" t="s">
        <v>29804</v>
      </c>
    </row>
    <row r="222" spans="1:2" x14ac:dyDescent="0.25">
      <c r="A222" s="28" t="s">
        <v>29805</v>
      </c>
      <c r="B222" s="28" t="s">
        <v>29806</v>
      </c>
    </row>
    <row r="223" spans="1:2" x14ac:dyDescent="0.25">
      <c r="A223" s="28" t="s">
        <v>29807</v>
      </c>
      <c r="B223" s="28" t="s">
        <v>29808</v>
      </c>
    </row>
    <row r="224" spans="1:2" x14ac:dyDescent="0.25">
      <c r="A224" s="28" t="s">
        <v>29809</v>
      </c>
      <c r="B224" s="28" t="s">
        <v>29810</v>
      </c>
    </row>
    <row r="225" spans="1:2" x14ac:dyDescent="0.25">
      <c r="A225" s="28" t="s">
        <v>29811</v>
      </c>
      <c r="B225" s="28" t="s">
        <v>29812</v>
      </c>
    </row>
    <row r="226" spans="1:2" x14ac:dyDescent="0.25">
      <c r="A226" s="28" t="s">
        <v>29813</v>
      </c>
      <c r="B226" s="28" t="s">
        <v>29814</v>
      </c>
    </row>
    <row r="227" spans="1:2" x14ac:dyDescent="0.25">
      <c r="A227" s="28" t="s">
        <v>29815</v>
      </c>
      <c r="B227" s="28" t="s">
        <v>29816</v>
      </c>
    </row>
    <row r="228" spans="1:2" x14ac:dyDescent="0.25">
      <c r="A228" s="28" t="s">
        <v>29817</v>
      </c>
      <c r="B228" s="28" t="s">
        <v>29818</v>
      </c>
    </row>
    <row r="229" spans="1:2" x14ac:dyDescent="0.25">
      <c r="A229" s="28" t="s">
        <v>29819</v>
      </c>
      <c r="B229" s="28" t="s">
        <v>29820</v>
      </c>
    </row>
    <row r="230" spans="1:2" x14ac:dyDescent="0.25">
      <c r="A230" s="28" t="s">
        <v>29821</v>
      </c>
      <c r="B230" s="28" t="s">
        <v>29822</v>
      </c>
    </row>
    <row r="231" spans="1:2" x14ac:dyDescent="0.25">
      <c r="A231" s="28" t="s">
        <v>29823</v>
      </c>
      <c r="B231" s="28" t="s">
        <v>29824</v>
      </c>
    </row>
    <row r="232" spans="1:2" x14ac:dyDescent="0.25">
      <c r="A232" s="28" t="s">
        <v>29825</v>
      </c>
      <c r="B232" s="28" t="s">
        <v>29826</v>
      </c>
    </row>
    <row r="233" spans="1:2" x14ac:dyDescent="0.25">
      <c r="A233" s="28" t="s">
        <v>29827</v>
      </c>
      <c r="B233" s="28" t="s">
        <v>29828</v>
      </c>
    </row>
    <row r="234" spans="1:2" x14ac:dyDescent="0.25">
      <c r="A234" s="28" t="s">
        <v>29829</v>
      </c>
      <c r="B234" s="28" t="s">
        <v>29830</v>
      </c>
    </row>
    <row r="235" spans="1:2" x14ac:dyDescent="0.25">
      <c r="A235" s="28" t="s">
        <v>29831</v>
      </c>
      <c r="B235" s="28" t="s">
        <v>29832</v>
      </c>
    </row>
    <row r="236" spans="1:2" x14ac:dyDescent="0.25">
      <c r="A236" s="28" t="s">
        <v>29833</v>
      </c>
      <c r="B236" s="28" t="s">
        <v>29834</v>
      </c>
    </row>
    <row r="237" spans="1:2" x14ac:dyDescent="0.25">
      <c r="A237" s="28" t="s">
        <v>29835</v>
      </c>
      <c r="B237" s="28" t="s">
        <v>29836</v>
      </c>
    </row>
    <row r="238" spans="1:2" x14ac:dyDescent="0.25">
      <c r="A238" s="28" t="s">
        <v>29837</v>
      </c>
      <c r="B238" s="28" t="s">
        <v>29838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29839</v>
      </c>
      <c r="B331" s="28" t="s">
        <v>29840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29841</v>
      </c>
      <c r="B333" s="28" t="s">
        <v>29842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30202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29843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29844</v>
      </c>
      <c r="B1175" s="28" t="s">
        <v>29845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29846</v>
      </c>
      <c r="B1198" s="28" t="s">
        <v>29847</v>
      </c>
    </row>
    <row r="1199" spans="1:2" x14ac:dyDescent="0.25">
      <c r="A1199" s="28" t="s">
        <v>29848</v>
      </c>
      <c r="B1199" s="28" t="s">
        <v>29849</v>
      </c>
    </row>
    <row r="1200" spans="1:2" x14ac:dyDescent="0.25">
      <c r="A1200" s="28" t="s">
        <v>29850</v>
      </c>
      <c r="B1200" s="28" t="s">
        <v>29851</v>
      </c>
    </row>
    <row r="1201" spans="1:2" x14ac:dyDescent="0.25">
      <c r="A1201" s="28" t="s">
        <v>29852</v>
      </c>
      <c r="B1201" s="28" t="s">
        <v>29853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29854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29855</v>
      </c>
      <c r="B1210" s="28" t="s">
        <v>29856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29857</v>
      </c>
      <c r="B1219" s="28" t="s">
        <v>29858</v>
      </c>
    </row>
    <row r="1220" spans="1:2" x14ac:dyDescent="0.25">
      <c r="A1220" s="28" t="s">
        <v>29859</v>
      </c>
      <c r="B1220" s="28" t="s">
        <v>29860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29861</v>
      </c>
      <c r="B1223" s="28" t="s">
        <v>29862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29863</v>
      </c>
      <c r="B1228" s="28" t="s">
        <v>29864</v>
      </c>
    </row>
    <row r="1229" spans="1:2" x14ac:dyDescent="0.25">
      <c r="A1229" s="28" t="s">
        <v>29865</v>
      </c>
      <c r="B1229" s="28" t="s">
        <v>29866</v>
      </c>
    </row>
    <row r="1230" spans="1:2" x14ac:dyDescent="0.25">
      <c r="A1230" s="28" t="s">
        <v>29867</v>
      </c>
      <c r="B1230" s="28" t="s">
        <v>29868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29869</v>
      </c>
      <c r="B1232" s="28" t="s">
        <v>29870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29871</v>
      </c>
      <c r="B1234" s="28" t="s">
        <v>29872</v>
      </c>
    </row>
    <row r="1235" spans="1:2" x14ac:dyDescent="0.25">
      <c r="A1235" s="28" t="s">
        <v>29873</v>
      </c>
      <c r="B1235" s="28" t="s">
        <v>29874</v>
      </c>
    </row>
    <row r="1236" spans="1:2" x14ac:dyDescent="0.25">
      <c r="A1236" s="28" t="s">
        <v>29875</v>
      </c>
      <c r="B1236" s="28" t="s">
        <v>29876</v>
      </c>
    </row>
    <row r="1237" spans="1:2" x14ac:dyDescent="0.25">
      <c r="A1237" s="28" t="s">
        <v>29877</v>
      </c>
      <c r="B1237" s="28" t="s">
        <v>29878</v>
      </c>
    </row>
    <row r="1238" spans="1:2" x14ac:dyDescent="0.25">
      <c r="A1238" s="28" t="s">
        <v>29879</v>
      </c>
      <c r="B1238" s="28" t="s">
        <v>29880</v>
      </c>
    </row>
    <row r="1239" spans="1:2" x14ac:dyDescent="0.25">
      <c r="A1239" s="28" t="s">
        <v>29881</v>
      </c>
      <c r="B1239" s="28" t="s">
        <v>29882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29883</v>
      </c>
      <c r="B1247" s="28" t="s">
        <v>29884</v>
      </c>
    </row>
    <row r="1248" spans="1:2" x14ac:dyDescent="0.25">
      <c r="A1248" s="28" t="s">
        <v>29885</v>
      </c>
      <c r="B1248" s="28" t="s">
        <v>29886</v>
      </c>
    </row>
    <row r="1249" spans="1:2" x14ac:dyDescent="0.25">
      <c r="A1249" s="28" t="s">
        <v>29887</v>
      </c>
      <c r="B1249" s="28" t="s">
        <v>29888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29889</v>
      </c>
      <c r="B1251" s="28" t="s">
        <v>29890</v>
      </c>
    </row>
    <row r="1252" spans="1:2" x14ac:dyDescent="0.25">
      <c r="A1252" s="28" t="s">
        <v>29891</v>
      </c>
      <c r="B1252" s="28" t="s">
        <v>29892</v>
      </c>
    </row>
    <row r="1253" spans="1:2" x14ac:dyDescent="0.25">
      <c r="A1253" s="28" t="s">
        <v>29893</v>
      </c>
      <c r="B1253" s="28" t="s">
        <v>29894</v>
      </c>
    </row>
    <row r="1254" spans="1:2" x14ac:dyDescent="0.25">
      <c r="A1254" s="28" t="s">
        <v>29895</v>
      </c>
      <c r="B1254" s="28" t="s">
        <v>29896</v>
      </c>
    </row>
    <row r="1255" spans="1:2" x14ac:dyDescent="0.25">
      <c r="A1255" s="28" t="s">
        <v>29897</v>
      </c>
      <c r="B1255" s="28" t="s">
        <v>29898</v>
      </c>
    </row>
    <row r="1256" spans="1:2" x14ac:dyDescent="0.25">
      <c r="A1256" s="28" t="s">
        <v>29899</v>
      </c>
      <c r="B1256" s="28" t="s">
        <v>29900</v>
      </c>
    </row>
    <row r="1257" spans="1:2" x14ac:dyDescent="0.25">
      <c r="A1257" s="28" t="s">
        <v>29901</v>
      </c>
      <c r="B1257" s="28" t="s">
        <v>29902</v>
      </c>
    </row>
    <row r="1258" spans="1:2" x14ac:dyDescent="0.25">
      <c r="A1258" s="28" t="s">
        <v>29903</v>
      </c>
      <c r="B1258" s="28" t="s">
        <v>29904</v>
      </c>
    </row>
    <row r="1259" spans="1:2" x14ac:dyDescent="0.25">
      <c r="A1259" s="28" t="s">
        <v>29905</v>
      </c>
      <c r="B1259" s="28" t="s">
        <v>29906</v>
      </c>
    </row>
    <row r="1260" spans="1:2" x14ac:dyDescent="0.25">
      <c r="A1260" s="28" t="s">
        <v>29907</v>
      </c>
      <c r="B1260" s="28" t="s">
        <v>29908</v>
      </c>
    </row>
    <row r="1261" spans="1:2" x14ac:dyDescent="0.25">
      <c r="A1261" s="28" t="s">
        <v>29909</v>
      </c>
      <c r="B1261" s="28" t="s">
        <v>29910</v>
      </c>
    </row>
    <row r="1262" spans="1:2" x14ac:dyDescent="0.25">
      <c r="A1262" s="28" t="s">
        <v>29911</v>
      </c>
      <c r="B1262" s="28" t="s">
        <v>29912</v>
      </c>
    </row>
    <row r="1263" spans="1:2" x14ac:dyDescent="0.25">
      <c r="A1263" s="28" t="s">
        <v>29913</v>
      </c>
      <c r="B1263" s="28" t="s">
        <v>29914</v>
      </c>
    </row>
    <row r="1264" spans="1:2" x14ac:dyDescent="0.25">
      <c r="A1264" s="28" t="s">
        <v>29915</v>
      </c>
      <c r="B1264" s="28" t="s">
        <v>29916</v>
      </c>
    </row>
    <row r="1265" spans="1:2" x14ac:dyDescent="0.25">
      <c r="A1265" s="28" t="s">
        <v>29917</v>
      </c>
      <c r="B1265" s="28" t="s">
        <v>29918</v>
      </c>
    </row>
    <row r="1266" spans="1:2" x14ac:dyDescent="0.25">
      <c r="A1266" s="28" t="s">
        <v>29919</v>
      </c>
      <c r="B1266" s="28" t="s">
        <v>29920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29921</v>
      </c>
      <c r="B2557" s="28" t="s">
        <v>29922</v>
      </c>
    </row>
    <row r="2558" spans="1:2" x14ac:dyDescent="0.25">
      <c r="A2558" s="28" t="s">
        <v>29923</v>
      </c>
      <c r="B2558" s="28" t="s">
        <v>29924</v>
      </c>
    </row>
    <row r="2559" spans="1:2" x14ac:dyDescent="0.25">
      <c r="A2559" s="28" t="s">
        <v>29925</v>
      </c>
      <c r="B2559" s="28" t="s">
        <v>29926</v>
      </c>
    </row>
    <row r="2560" spans="1:2" x14ac:dyDescent="0.25">
      <c r="A2560" s="28" t="s">
        <v>29927</v>
      </c>
      <c r="B2560" s="28" t="s">
        <v>29928</v>
      </c>
    </row>
    <row r="2561" spans="1:2" x14ac:dyDescent="0.25">
      <c r="A2561" s="28" t="s">
        <v>29929</v>
      </c>
      <c r="B2561" s="28" t="s">
        <v>29930</v>
      </c>
    </row>
    <row r="2562" spans="1:2" x14ac:dyDescent="0.25">
      <c r="A2562" s="28" t="s">
        <v>29931</v>
      </c>
      <c r="B2562" s="28" t="s">
        <v>29932</v>
      </c>
    </row>
    <row r="2563" spans="1:2" x14ac:dyDescent="0.25">
      <c r="A2563" s="28" t="s">
        <v>29933</v>
      </c>
      <c r="B2563" s="28" t="s">
        <v>29934</v>
      </c>
    </row>
    <row r="2564" spans="1:2" x14ac:dyDescent="0.25">
      <c r="A2564" s="28" t="s">
        <v>29935</v>
      </c>
      <c r="B2564" s="28" t="s">
        <v>29936</v>
      </c>
    </row>
    <row r="2565" spans="1:2" x14ac:dyDescent="0.25">
      <c r="A2565" s="28" t="s">
        <v>29937</v>
      </c>
      <c r="B2565" s="28" t="s">
        <v>29938</v>
      </c>
    </row>
    <row r="2566" spans="1:2" x14ac:dyDescent="0.25">
      <c r="A2566" s="28" t="s">
        <v>29939</v>
      </c>
      <c r="B2566" s="28" t="s">
        <v>29940</v>
      </c>
    </row>
    <row r="2567" spans="1:2" x14ac:dyDescent="0.25">
      <c r="A2567" s="28" t="s">
        <v>29941</v>
      </c>
      <c r="B2567" s="28" t="s">
        <v>29942</v>
      </c>
    </row>
    <row r="2568" spans="1:2" x14ac:dyDescent="0.25">
      <c r="A2568" s="28" t="s">
        <v>29943</v>
      </c>
      <c r="B2568" s="28" t="s">
        <v>29944</v>
      </c>
    </row>
    <row r="2569" spans="1:2" x14ac:dyDescent="0.25">
      <c r="A2569" s="28" t="s">
        <v>29945</v>
      </c>
      <c r="B2569" s="28" t="s">
        <v>29946</v>
      </c>
    </row>
    <row r="2570" spans="1:2" x14ac:dyDescent="0.25">
      <c r="A2570" s="28" t="s">
        <v>29947</v>
      </c>
      <c r="B2570" s="28" t="s">
        <v>29948</v>
      </c>
    </row>
    <row r="2571" spans="1:2" x14ac:dyDescent="0.25">
      <c r="A2571" s="28" t="s">
        <v>29949</v>
      </c>
      <c r="B2571" s="28" t="s">
        <v>29950</v>
      </c>
    </row>
    <row r="2572" spans="1:2" x14ac:dyDescent="0.25">
      <c r="A2572" s="28" t="s">
        <v>29951</v>
      </c>
      <c r="B2572" s="28" t="s">
        <v>29952</v>
      </c>
    </row>
    <row r="2573" spans="1:2" x14ac:dyDescent="0.25">
      <c r="A2573" s="28" t="s">
        <v>29953</v>
      </c>
      <c r="B2573" s="28" t="s">
        <v>29954</v>
      </c>
    </row>
    <row r="2574" spans="1:2" x14ac:dyDescent="0.25">
      <c r="A2574" s="28" t="s">
        <v>29955</v>
      </c>
      <c r="B2574" s="28" t="s">
        <v>29956</v>
      </c>
    </row>
    <row r="2575" spans="1:2" x14ac:dyDescent="0.25">
      <c r="A2575" s="28" t="s">
        <v>29957</v>
      </c>
      <c r="B2575" s="28" t="s">
        <v>29958</v>
      </c>
    </row>
    <row r="2576" spans="1:2" x14ac:dyDescent="0.25">
      <c r="A2576" s="28" t="s">
        <v>29959</v>
      </c>
      <c r="B2576" s="28" t="s">
        <v>29960</v>
      </c>
    </row>
    <row r="2577" spans="1:2" x14ac:dyDescent="0.25">
      <c r="A2577" s="28" t="s">
        <v>29961</v>
      </c>
      <c r="B2577" s="28" t="s">
        <v>29962</v>
      </c>
    </row>
    <row r="2578" spans="1:2" x14ac:dyDescent="0.25">
      <c r="A2578" s="28" t="s">
        <v>29963</v>
      </c>
      <c r="B2578" s="28" t="s">
        <v>29964</v>
      </c>
    </row>
    <row r="2579" spans="1:2" x14ac:dyDescent="0.25">
      <c r="A2579" s="28" t="s">
        <v>29965</v>
      </c>
      <c r="B2579" s="28" t="s">
        <v>29966</v>
      </c>
    </row>
    <row r="2580" spans="1:2" x14ac:dyDescent="0.25">
      <c r="A2580" s="28" t="s">
        <v>29967</v>
      </c>
      <c r="B2580" s="28" t="s">
        <v>29968</v>
      </c>
    </row>
    <row r="2581" spans="1:2" x14ac:dyDescent="0.25">
      <c r="A2581" s="28" t="s">
        <v>29969</v>
      </c>
      <c r="B2581" s="28" t="s">
        <v>29970</v>
      </c>
    </row>
    <row r="2582" spans="1:2" x14ac:dyDescent="0.25">
      <c r="A2582" s="28" t="s">
        <v>29971</v>
      </c>
      <c r="B2582" s="28" t="s">
        <v>29972</v>
      </c>
    </row>
    <row r="2583" spans="1:2" x14ac:dyDescent="0.25">
      <c r="A2583" s="28" t="s">
        <v>29973</v>
      </c>
      <c r="B2583" s="28" t="s">
        <v>29974</v>
      </c>
    </row>
    <row r="2584" spans="1:2" x14ac:dyDescent="0.25">
      <c r="A2584" s="28" t="s">
        <v>29975</v>
      </c>
      <c r="B2584" s="28" t="s">
        <v>29976</v>
      </c>
    </row>
    <row r="2585" spans="1:2" x14ac:dyDescent="0.25">
      <c r="A2585" s="28" t="s">
        <v>29977</v>
      </c>
      <c r="B2585" s="28" t="s">
        <v>29978</v>
      </c>
    </row>
    <row r="2586" spans="1:2" x14ac:dyDescent="0.25">
      <c r="A2586" s="28" t="s">
        <v>29979</v>
      </c>
      <c r="B2586" s="28" t="s">
        <v>29980</v>
      </c>
    </row>
    <row r="2587" spans="1:2" x14ac:dyDescent="0.25">
      <c r="A2587" s="28" t="s">
        <v>29981</v>
      </c>
      <c r="B2587" s="28" t="s">
        <v>29982</v>
      </c>
    </row>
    <row r="2588" spans="1:2" x14ac:dyDescent="0.25">
      <c r="A2588" s="28" t="s">
        <v>29983</v>
      </c>
      <c r="B2588" s="28" t="s">
        <v>29984</v>
      </c>
    </row>
    <row r="2589" spans="1:2" x14ac:dyDescent="0.25">
      <c r="A2589" s="28" t="s">
        <v>29985</v>
      </c>
      <c r="B2589" s="28" t="s">
        <v>29986</v>
      </c>
    </row>
    <row r="2590" spans="1:2" x14ac:dyDescent="0.25">
      <c r="A2590" s="28" t="s">
        <v>29987</v>
      </c>
      <c r="B2590" s="28" t="s">
        <v>29988</v>
      </c>
    </row>
    <row r="2591" spans="1:2" x14ac:dyDescent="0.25">
      <c r="A2591" s="28" t="s">
        <v>29989</v>
      </c>
      <c r="B2591" s="28" t="s">
        <v>29990</v>
      </c>
    </row>
    <row r="2592" spans="1:2" x14ac:dyDescent="0.25">
      <c r="A2592" s="28" t="s">
        <v>29991</v>
      </c>
      <c r="B2592" s="28" t="s">
        <v>29992</v>
      </c>
    </row>
    <row r="2593" spans="1:2" x14ac:dyDescent="0.25">
      <c r="A2593" s="28" t="s">
        <v>29993</v>
      </c>
      <c r="B2593" s="28" t="s">
        <v>29994</v>
      </c>
    </row>
    <row r="2594" spans="1:2" x14ac:dyDescent="0.25">
      <c r="A2594" s="28" t="s">
        <v>29995</v>
      </c>
      <c r="B2594" s="28" t="s">
        <v>29996</v>
      </c>
    </row>
    <row r="2595" spans="1:2" x14ac:dyDescent="0.25">
      <c r="A2595" s="28" t="s">
        <v>29997</v>
      </c>
      <c r="B2595" s="28" t="s">
        <v>29998</v>
      </c>
    </row>
    <row r="2596" spans="1:2" x14ac:dyDescent="0.25">
      <c r="A2596" s="28" t="s">
        <v>29999</v>
      </c>
      <c r="B2596" s="28" t="s">
        <v>30000</v>
      </c>
    </row>
    <row r="2597" spans="1:2" x14ac:dyDescent="0.25">
      <c r="A2597" s="28" t="s">
        <v>30001</v>
      </c>
      <c r="B2597" s="28" t="s">
        <v>30002</v>
      </c>
    </row>
    <row r="2598" spans="1:2" x14ac:dyDescent="0.25">
      <c r="A2598" s="28" t="s">
        <v>30003</v>
      </c>
      <c r="B2598" s="28" t="s">
        <v>30004</v>
      </c>
    </row>
    <row r="2599" spans="1:2" x14ac:dyDescent="0.25">
      <c r="A2599" s="28" t="s">
        <v>30005</v>
      </c>
      <c r="B2599" s="28" t="s">
        <v>30006</v>
      </c>
    </row>
    <row r="2600" spans="1:2" x14ac:dyDescent="0.25">
      <c r="A2600" s="28" t="s">
        <v>30007</v>
      </c>
      <c r="B2600" s="28" t="s">
        <v>30008</v>
      </c>
    </row>
    <row r="2601" spans="1:2" x14ac:dyDescent="0.25">
      <c r="A2601" s="28" t="s">
        <v>30009</v>
      </c>
      <c r="B2601" s="28" t="s">
        <v>30010</v>
      </c>
    </row>
    <row r="2602" spans="1:2" x14ac:dyDescent="0.25">
      <c r="A2602" s="28" t="s">
        <v>30011</v>
      </c>
      <c r="B2602" s="28" t="s">
        <v>30012</v>
      </c>
    </row>
    <row r="2603" spans="1:2" x14ac:dyDescent="0.25">
      <c r="A2603" s="28" t="s">
        <v>30013</v>
      </c>
      <c r="B2603" s="28" t="s">
        <v>30014</v>
      </c>
    </row>
    <row r="2604" spans="1:2" x14ac:dyDescent="0.25">
      <c r="A2604" s="28" t="s">
        <v>30015</v>
      </c>
      <c r="B2604" s="28" t="s">
        <v>30016</v>
      </c>
    </row>
    <row r="2605" spans="1:2" x14ac:dyDescent="0.25">
      <c r="A2605" s="28" t="s">
        <v>30017</v>
      </c>
      <c r="B2605" s="28" t="s">
        <v>30018</v>
      </c>
    </row>
    <row r="2606" spans="1:2" x14ac:dyDescent="0.25">
      <c r="A2606" s="28" t="s">
        <v>30019</v>
      </c>
      <c r="B2606" s="28" t="s">
        <v>30020</v>
      </c>
    </row>
    <row r="2607" spans="1:2" x14ac:dyDescent="0.25">
      <c r="A2607" s="28" t="s">
        <v>30021</v>
      </c>
      <c r="B2607" s="28" t="s">
        <v>30022</v>
      </c>
    </row>
    <row r="2608" spans="1:2" x14ac:dyDescent="0.25">
      <c r="A2608" s="28" t="s">
        <v>30023</v>
      </c>
      <c r="B2608" s="28" t="s">
        <v>30024</v>
      </c>
    </row>
    <row r="2609" spans="1:2" x14ac:dyDescent="0.25">
      <c r="A2609" s="28" t="s">
        <v>30025</v>
      </c>
      <c r="B2609" s="28" t="s">
        <v>30026</v>
      </c>
    </row>
    <row r="2610" spans="1:2" x14ac:dyDescent="0.25">
      <c r="A2610" s="28" t="s">
        <v>30027</v>
      </c>
      <c r="B2610" s="28" t="s">
        <v>30028</v>
      </c>
    </row>
    <row r="2611" spans="1:2" x14ac:dyDescent="0.25">
      <c r="A2611" s="28" t="s">
        <v>30029</v>
      </c>
      <c r="B2611" s="28" t="s">
        <v>30030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30031</v>
      </c>
      <c r="B2674" s="28" t="s">
        <v>30032</v>
      </c>
    </row>
    <row r="2675" spans="1:2" x14ac:dyDescent="0.25">
      <c r="A2675" s="28" t="s">
        <v>30033</v>
      </c>
      <c r="B2675" s="28" t="s">
        <v>30034</v>
      </c>
    </row>
    <row r="2676" spans="1:2" x14ac:dyDescent="0.25">
      <c r="A2676" s="28" t="s">
        <v>30035</v>
      </c>
      <c r="B2676" s="28" t="s">
        <v>30036</v>
      </c>
    </row>
    <row r="2677" spans="1:2" x14ac:dyDescent="0.25">
      <c r="A2677" s="28" t="s">
        <v>30037</v>
      </c>
      <c r="B2677" s="28" t="s">
        <v>30038</v>
      </c>
    </row>
    <row r="2678" spans="1:2" x14ac:dyDescent="0.25">
      <c r="A2678" s="28" t="s">
        <v>30039</v>
      </c>
      <c r="B2678" s="28" t="s">
        <v>30040</v>
      </c>
    </row>
    <row r="2679" spans="1:2" x14ac:dyDescent="0.25">
      <c r="A2679" s="28" t="s">
        <v>30041</v>
      </c>
      <c r="B2679" s="28" t="s">
        <v>30042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30043</v>
      </c>
      <c r="B2805" s="28" t="s">
        <v>30044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30045</v>
      </c>
      <c r="B2810" s="28" t="s">
        <v>30046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30047</v>
      </c>
      <c r="B2851" s="28" t="s">
        <v>30048</v>
      </c>
    </row>
    <row r="2852" spans="1:2" x14ac:dyDescent="0.25">
      <c r="A2852" s="28" t="s">
        <v>30049</v>
      </c>
      <c r="B2852" s="28" t="s">
        <v>30050</v>
      </c>
    </row>
    <row r="2853" spans="1:2" x14ac:dyDescent="0.25">
      <c r="A2853" s="28" t="s">
        <v>30051</v>
      </c>
      <c r="B2853" s="28" t="s">
        <v>30052</v>
      </c>
    </row>
    <row r="2854" spans="1:2" x14ac:dyDescent="0.25">
      <c r="A2854" s="28" t="s">
        <v>30053</v>
      </c>
      <c r="B2854" s="28" t="s">
        <v>30054</v>
      </c>
    </row>
    <row r="2855" spans="1:2" x14ac:dyDescent="0.25">
      <c r="A2855" s="28" t="s">
        <v>30055</v>
      </c>
      <c r="B2855" s="28" t="s">
        <v>30056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30057</v>
      </c>
      <c r="B4074" s="28" t="s">
        <v>30058</v>
      </c>
    </row>
    <row r="4075" spans="1:2" x14ac:dyDescent="0.25">
      <c r="A4075" s="28" t="s">
        <v>30059</v>
      </c>
      <c r="B4075" s="28" t="s">
        <v>30060</v>
      </c>
    </row>
    <row r="4076" spans="1:2" x14ac:dyDescent="0.25">
      <c r="A4076" s="28" t="s">
        <v>30061</v>
      </c>
      <c r="B4076" s="28" t="s">
        <v>30062</v>
      </c>
    </row>
    <row r="4077" spans="1:2" x14ac:dyDescent="0.25">
      <c r="A4077" s="28" t="s">
        <v>30063</v>
      </c>
      <c r="B4077" s="28" t="s">
        <v>30064</v>
      </c>
    </row>
    <row r="4078" spans="1:2" x14ac:dyDescent="0.25">
      <c r="A4078" s="28" t="s">
        <v>30065</v>
      </c>
      <c r="B4078" s="28" t="s">
        <v>30066</v>
      </c>
    </row>
    <row r="4079" spans="1:2" x14ac:dyDescent="0.25">
      <c r="A4079" s="28" t="s">
        <v>30067</v>
      </c>
      <c r="B4079" s="28" t="s">
        <v>30068</v>
      </c>
    </row>
    <row r="4080" spans="1:2" x14ac:dyDescent="0.25">
      <c r="A4080" s="28" t="s">
        <v>30069</v>
      </c>
      <c r="B4080" s="28" t="s">
        <v>30070</v>
      </c>
    </row>
    <row r="4081" spans="1:2" x14ac:dyDescent="0.25">
      <c r="A4081" s="28" t="s">
        <v>30071</v>
      </c>
      <c r="B4081" s="28" t="s">
        <v>30072</v>
      </c>
    </row>
    <row r="4082" spans="1:2" x14ac:dyDescent="0.25">
      <c r="A4082" s="28" t="s">
        <v>30073</v>
      </c>
      <c r="B4082" s="28" t="s">
        <v>30074</v>
      </c>
    </row>
    <row r="4083" spans="1:2" x14ac:dyDescent="0.25">
      <c r="A4083" s="28" t="s">
        <v>30075</v>
      </c>
      <c r="B4083" s="28" t="s">
        <v>30076</v>
      </c>
    </row>
    <row r="4084" spans="1:2" x14ac:dyDescent="0.25">
      <c r="A4084" s="28" t="s">
        <v>30077</v>
      </c>
      <c r="B4084" s="28" t="s">
        <v>30078</v>
      </c>
    </row>
    <row r="4085" spans="1:2" x14ac:dyDescent="0.25">
      <c r="A4085" s="28" t="s">
        <v>30079</v>
      </c>
      <c r="B4085" s="28" t="s">
        <v>30080</v>
      </c>
    </row>
    <row r="4086" spans="1:2" x14ac:dyDescent="0.25">
      <c r="A4086" s="28" t="s">
        <v>30081</v>
      </c>
      <c r="B4086" s="28" t="s">
        <v>30082</v>
      </c>
    </row>
    <row r="4087" spans="1:2" x14ac:dyDescent="0.25">
      <c r="A4087" s="28" t="s">
        <v>30083</v>
      </c>
      <c r="B4087" s="28" t="s">
        <v>30084</v>
      </c>
    </row>
    <row r="4088" spans="1:2" x14ac:dyDescent="0.25">
      <c r="A4088" s="28" t="s">
        <v>30085</v>
      </c>
      <c r="B4088" s="28" t="s">
        <v>30086</v>
      </c>
    </row>
    <row r="4089" spans="1:2" x14ac:dyDescent="0.25">
      <c r="A4089" s="28" t="s">
        <v>30087</v>
      </c>
      <c r="B4089" s="28" t="s">
        <v>30088</v>
      </c>
    </row>
    <row r="4090" spans="1:2" x14ac:dyDescent="0.25">
      <c r="A4090" s="28" t="s">
        <v>30089</v>
      </c>
      <c r="B4090" s="28" t="s">
        <v>30090</v>
      </c>
    </row>
    <row r="4091" spans="1:2" x14ac:dyDescent="0.25">
      <c r="A4091" s="28" t="s">
        <v>30091</v>
      </c>
      <c r="B4091" s="28" t="s">
        <v>30092</v>
      </c>
    </row>
    <row r="4092" spans="1:2" x14ac:dyDescent="0.25">
      <c r="A4092" s="28" t="s">
        <v>30093</v>
      </c>
      <c r="B4092" s="28" t="s">
        <v>30094</v>
      </c>
    </row>
    <row r="4093" spans="1:2" x14ac:dyDescent="0.25">
      <c r="A4093" s="28" t="s">
        <v>30095</v>
      </c>
      <c r="B4093" s="28" t="s">
        <v>30096</v>
      </c>
    </row>
    <row r="4094" spans="1:2" x14ac:dyDescent="0.25">
      <c r="A4094" s="28" t="s">
        <v>30097</v>
      </c>
      <c r="B4094" s="28" t="s">
        <v>30098</v>
      </c>
    </row>
    <row r="4095" spans="1:2" x14ac:dyDescent="0.25">
      <c r="A4095" s="28" t="s">
        <v>30099</v>
      </c>
      <c r="B4095" s="28" t="s">
        <v>30100</v>
      </c>
    </row>
    <row r="4096" spans="1:2" x14ac:dyDescent="0.25">
      <c r="A4096" s="28" t="s">
        <v>30101</v>
      </c>
      <c r="B4096" s="28" t="s">
        <v>30102</v>
      </c>
    </row>
    <row r="4097" spans="1:2" x14ac:dyDescent="0.25">
      <c r="A4097" s="28" t="s">
        <v>30103</v>
      </c>
      <c r="B4097" s="28" t="s">
        <v>30104</v>
      </c>
    </row>
    <row r="4098" spans="1:2" x14ac:dyDescent="0.25">
      <c r="A4098" s="28" t="s">
        <v>30105</v>
      </c>
      <c r="B4098" s="28" t="s">
        <v>30106</v>
      </c>
    </row>
    <row r="4099" spans="1:2" x14ac:dyDescent="0.25">
      <c r="A4099" s="28" t="s">
        <v>30107</v>
      </c>
      <c r="B4099" s="28" t="s">
        <v>30108</v>
      </c>
    </row>
    <row r="4100" spans="1:2" x14ac:dyDescent="0.25">
      <c r="A4100" s="28" t="s">
        <v>30109</v>
      </c>
      <c r="B4100" s="28" t="s">
        <v>30110</v>
      </c>
    </row>
    <row r="4101" spans="1:2" x14ac:dyDescent="0.25">
      <c r="A4101" s="28" t="s">
        <v>30111</v>
      </c>
      <c r="B4101" s="28" t="s">
        <v>30112</v>
      </c>
    </row>
    <row r="4102" spans="1:2" x14ac:dyDescent="0.25">
      <c r="A4102" s="28" t="s">
        <v>30113</v>
      </c>
      <c r="B4102" s="28" t="s">
        <v>30114</v>
      </c>
    </row>
    <row r="4103" spans="1:2" x14ac:dyDescent="0.25">
      <c r="A4103" s="28" t="s">
        <v>30115</v>
      </c>
      <c r="B4103" s="28" t="s">
        <v>30116</v>
      </c>
    </row>
    <row r="4104" spans="1:2" x14ac:dyDescent="0.25">
      <c r="A4104" s="28" t="s">
        <v>30117</v>
      </c>
      <c r="B4104" s="28" t="s">
        <v>30118</v>
      </c>
    </row>
    <row r="4105" spans="1:2" x14ac:dyDescent="0.25">
      <c r="A4105" s="28" t="s">
        <v>30119</v>
      </c>
      <c r="B4105" s="28" t="s">
        <v>30120</v>
      </c>
    </row>
    <row r="4106" spans="1:2" x14ac:dyDescent="0.25">
      <c r="A4106" s="28" t="s">
        <v>30121</v>
      </c>
      <c r="B4106" s="28" t="s">
        <v>30122</v>
      </c>
    </row>
    <row r="4107" spans="1:2" x14ac:dyDescent="0.25">
      <c r="A4107" s="28" t="s">
        <v>30123</v>
      </c>
      <c r="B4107" s="28" t="s">
        <v>30124</v>
      </c>
    </row>
    <row r="4108" spans="1:2" x14ac:dyDescent="0.25">
      <c r="A4108" s="28" t="s">
        <v>30125</v>
      </c>
      <c r="B4108" s="28" t="s">
        <v>30126</v>
      </c>
    </row>
    <row r="4109" spans="1:2" x14ac:dyDescent="0.25">
      <c r="A4109" s="28" t="s">
        <v>30127</v>
      </c>
      <c r="B4109" s="28" t="s">
        <v>30128</v>
      </c>
    </row>
    <row r="4110" spans="1:2" x14ac:dyDescent="0.25">
      <c r="A4110" s="28" t="s">
        <v>30129</v>
      </c>
      <c r="B4110" s="28" t="s">
        <v>30130</v>
      </c>
    </row>
    <row r="4111" spans="1:2" x14ac:dyDescent="0.25">
      <c r="A4111" s="28" t="s">
        <v>30131</v>
      </c>
      <c r="B4111" s="28" t="s">
        <v>30132</v>
      </c>
    </row>
    <row r="4112" spans="1:2" x14ac:dyDescent="0.25">
      <c r="A4112" s="28" t="s">
        <v>30133</v>
      </c>
      <c r="B4112" s="28" t="s">
        <v>30134</v>
      </c>
    </row>
    <row r="4113" spans="1:2" x14ac:dyDescent="0.25">
      <c r="A4113" s="28" t="s">
        <v>30135</v>
      </c>
      <c r="B4113" s="28" t="s">
        <v>30136</v>
      </c>
    </row>
    <row r="4114" spans="1:2" x14ac:dyDescent="0.25">
      <c r="A4114" s="28" t="s">
        <v>30137</v>
      </c>
      <c r="B4114" s="28" t="s">
        <v>30138</v>
      </c>
    </row>
    <row r="4115" spans="1:2" x14ac:dyDescent="0.25">
      <c r="A4115" s="28" t="s">
        <v>30139</v>
      </c>
      <c r="B4115" s="28" t="s">
        <v>30140</v>
      </c>
    </row>
    <row r="4116" spans="1:2" x14ac:dyDescent="0.25">
      <c r="A4116" s="28" t="s">
        <v>30141</v>
      </c>
      <c r="B4116" s="28" t="s">
        <v>30142</v>
      </c>
    </row>
    <row r="4117" spans="1:2" x14ac:dyDescent="0.25">
      <c r="A4117" s="28" t="s">
        <v>30143</v>
      </c>
      <c r="B4117" s="28" t="s">
        <v>30144</v>
      </c>
    </row>
    <row r="4118" spans="1:2" x14ac:dyDescent="0.25">
      <c r="A4118" s="28" t="s">
        <v>30145</v>
      </c>
      <c r="B4118" s="28" t="s">
        <v>30146</v>
      </c>
    </row>
    <row r="4119" spans="1:2" x14ac:dyDescent="0.25">
      <c r="A4119" s="28" t="s">
        <v>30147</v>
      </c>
      <c r="B4119" s="28" t="s">
        <v>30148</v>
      </c>
    </row>
    <row r="4120" spans="1:2" x14ac:dyDescent="0.25">
      <c r="A4120" s="28" t="s">
        <v>30149</v>
      </c>
      <c r="B4120" s="28" t="s">
        <v>30150</v>
      </c>
    </row>
    <row r="4121" spans="1:2" x14ac:dyDescent="0.25">
      <c r="A4121" s="28" t="s">
        <v>30151</v>
      </c>
      <c r="B4121" s="28" t="s">
        <v>30152</v>
      </c>
    </row>
    <row r="4122" spans="1:2" x14ac:dyDescent="0.25">
      <c r="A4122" s="28" t="s">
        <v>30153</v>
      </c>
      <c r="B4122" s="28" t="s">
        <v>30154</v>
      </c>
    </row>
    <row r="4123" spans="1:2" x14ac:dyDescent="0.25">
      <c r="A4123" s="28" t="s">
        <v>30155</v>
      </c>
      <c r="B4123" s="28" t="s">
        <v>30156</v>
      </c>
    </row>
    <row r="4124" spans="1:2" x14ac:dyDescent="0.25">
      <c r="A4124" s="28" t="s">
        <v>30157</v>
      </c>
      <c r="B4124" s="28" t="s">
        <v>30158</v>
      </c>
    </row>
    <row r="4125" spans="1:2" x14ac:dyDescent="0.25">
      <c r="A4125" s="28" t="s">
        <v>30159</v>
      </c>
      <c r="B4125" s="28" t="s">
        <v>30160</v>
      </c>
    </row>
    <row r="4126" spans="1:2" x14ac:dyDescent="0.25">
      <c r="A4126" s="28" t="s">
        <v>30161</v>
      </c>
      <c r="B4126" s="28" t="s">
        <v>30162</v>
      </c>
    </row>
    <row r="4127" spans="1:2" x14ac:dyDescent="0.25">
      <c r="A4127" s="28" t="s">
        <v>30163</v>
      </c>
      <c r="B4127" s="28" t="s">
        <v>30164</v>
      </c>
    </row>
    <row r="4128" spans="1:2" x14ac:dyDescent="0.25">
      <c r="A4128" s="28" t="s">
        <v>30165</v>
      </c>
      <c r="B4128" s="28" t="s">
        <v>30166</v>
      </c>
    </row>
    <row r="4129" spans="1:2" x14ac:dyDescent="0.25">
      <c r="A4129" s="28" t="s">
        <v>30167</v>
      </c>
      <c r="B4129" s="28" t="s">
        <v>30168</v>
      </c>
    </row>
    <row r="4130" spans="1:2" x14ac:dyDescent="0.25">
      <c r="A4130" s="28" t="s">
        <v>30169</v>
      </c>
      <c r="B4130" s="28" t="s">
        <v>30170</v>
      </c>
    </row>
    <row r="4131" spans="1:2" x14ac:dyDescent="0.25">
      <c r="A4131" s="28" t="s">
        <v>30171</v>
      </c>
      <c r="B4131" s="28" t="s">
        <v>30172</v>
      </c>
    </row>
    <row r="4132" spans="1:2" x14ac:dyDescent="0.25">
      <c r="A4132" s="28" t="s">
        <v>30173</v>
      </c>
      <c r="B4132" s="28" t="s">
        <v>30174</v>
      </c>
    </row>
    <row r="4133" spans="1:2" x14ac:dyDescent="0.25">
      <c r="A4133" s="28" t="s">
        <v>30175</v>
      </c>
      <c r="B4133" s="28" t="s">
        <v>30176</v>
      </c>
    </row>
    <row r="4134" spans="1:2" x14ac:dyDescent="0.25">
      <c r="A4134" s="28" t="s">
        <v>30177</v>
      </c>
      <c r="B4134" s="28" t="s">
        <v>30178</v>
      </c>
    </row>
    <row r="4135" spans="1:2" x14ac:dyDescent="0.25">
      <c r="A4135" s="28" t="s">
        <v>30179</v>
      </c>
      <c r="B4135" s="28" t="s">
        <v>30180</v>
      </c>
    </row>
    <row r="4136" spans="1:2" x14ac:dyDescent="0.25">
      <c r="A4136" s="28" t="s">
        <v>30181</v>
      </c>
      <c r="B4136" s="28" t="s">
        <v>30182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30183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30184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30185</v>
      </c>
      <c r="B5770" s="28" t="s">
        <v>21774</v>
      </c>
    </row>
    <row r="5771" spans="1:2" x14ac:dyDescent="0.25">
      <c r="A5771" s="28" t="s">
        <v>30186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30187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30188</v>
      </c>
      <c r="B6787" s="28" t="s">
        <v>30189</v>
      </c>
    </row>
    <row r="6788" spans="1:2" x14ac:dyDescent="0.25">
      <c r="A6788" s="28" t="s">
        <v>30190</v>
      </c>
      <c r="B6788" s="28" t="s">
        <v>30191</v>
      </c>
    </row>
    <row r="6789" spans="1:2" x14ac:dyDescent="0.25">
      <c r="A6789" s="28" t="s">
        <v>30192</v>
      </c>
      <c r="B6789" s="28" t="s">
        <v>30193</v>
      </c>
    </row>
    <row r="6790" spans="1:2" x14ac:dyDescent="0.25">
      <c r="A6790" s="28" t="s">
        <v>30194</v>
      </c>
      <c r="B6790" s="28" t="s">
        <v>30195</v>
      </c>
    </row>
    <row r="6791" spans="1:2" x14ac:dyDescent="0.25">
      <c r="A6791" s="28" t="s">
        <v>30196</v>
      </c>
      <c r="B6791" s="28" t="s">
        <v>30197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30198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30199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30200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30201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19"/>
  <sheetViews>
    <sheetView tabSelected="1" topLeftCell="AN1" zoomScaleNormal="100" workbookViewId="0">
      <pane ySplit="1" topLeftCell="A95" activePane="bottomLeft" state="frozen"/>
      <selection pane="bottomLeft" activeCell="AV107" sqref="AV107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119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88-348-18</v>
      </c>
      <c r="B2" s="107" t="str">
        <f ca="1">_xlfn.LET(_xlpm.CAPS,0,_xlpm.Style,TRIM(_xlfn.XLOOKUP($A2,Строчный!$A:$A,Строчный!B:B,"ERR",0)),IF(_xlpm.CAPS=0,_xlpm.Style,UPPER(_xlpm.Style)))</f>
        <v>CL/LOO5/1/TAZ2 Looney Tunes Taz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Capslab-Looney Tunes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CAPSLAB</v>
      </c>
      <c r="H2" s="81" t="str">
        <f ca="1">LOWER(TRIM(_xlfn.XLOOKUP($A2,Строчный!$A:$A,Строчный!H:H,"ERR",0)))</f>
        <v>blue / red</v>
      </c>
      <c r="I2" s="81" t="str">
        <f ca="1">LOWER(TRIM(_xlfn.XLOOKUP($A2,Строчный!$A:$A,Строчный!I:I,"ERR",0)))</f>
        <v>красный / синий</v>
      </c>
      <c r="J2" s="81" t="str">
        <f ca="1">SUBSTITUTE(LOWER(TRIM(_xlfn.XLOOKUP($A2,Строчный!$A:$A,Строчный!J:J,"ERR",0))),"подклад","Подклад")</f>
        <v>80% полиэстер - 20% хлопок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>COMICS</v>
      </c>
      <c r="O2" s="102" t="str">
        <f ca="1">PROPER(TRIM(_xlfn.XLOOKUP($A2,Строчный!$A:$A,Строчный!P:P,"ERR",0)))</f>
        <v>Looney Tunes</v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1352</v>
      </c>
      <c r="R2" s="89" t="str">
        <f ca="1">_xlfn.XLOOKUP($G2,Фабрика!A:A,Фабрика!B:B,"ERR",0)</f>
        <v>TEXTISS S.A.S; Zone d' Activité de l'Etang, 26780 Chåteauneuf Du Rhöne, France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150</v>
      </c>
      <c r="U2" s="14" t="s">
        <v>265</v>
      </c>
      <c r="V2" s="101" t="str">
        <f ca="1">TRIM(CONCATENATE(AB2," ",G2," арт. ",B2," (",I2,")"))</f>
        <v>Бейсболка CAPSLAB арт. CL/LOO5/1/TAZ2 Looney Tunes Taz (красный / синий)</v>
      </c>
      <c r="W2" s="100" t="str">
        <f ca="1">TRIM(CONCATENATE(AB2," ",G2," арт. ",B2," (",I2,") {",H2,"}"))</f>
        <v>Бейсболка CAPSLAB арт. CL/LOO5/1/TAZ2 Looney Tunes Taz (красный / синий) {blue / red}</v>
      </c>
      <c r="X2" s="18" t="str">
        <f t="shared" ref="X2" ca="1" si="0">IFERROR(MID(I2,FIND("-",I2)+1,LEN(I2)),IFERROR(MID(I2,1,FIND("/",I2)-2),I2))</f>
        <v>красный</v>
      </c>
      <c r="Y2" s="18" t="str">
        <f t="shared" ref="Y2" ca="1" si="1">IFERROR(MID(I2,FIND("-",I2)+1,LEN(I2)),IFERROR(MID(I2,FIND("/",I2)+2,LEN(I2)),I2))</f>
        <v>синий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красный</v>
      </c>
      <c r="AA2" s="73" t="str">
        <f ca="1"/>
        <v>88-348-18-00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18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88-347-09</v>
      </c>
      <c r="B3" s="107" t="str">
        <f ca="1">_xlfn.LET(_xlpm.CAPS,0,_xlpm.Style,TRIM(_xlfn.XLOOKUP($A3,Строчный!$A:$A,Строчный!B:B,"ERR",0)),IF(_xlpm.CAPS=0,_xlpm.Style,UPPER(_xlpm.Style)))</f>
        <v>CL/DBS/TAG/1/GOK2 Dragon Ball Goku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Capslab-Dragon Ball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CAPSLAB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полиэстер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>COMICS</v>
      </c>
      <c r="O3" s="102" t="str">
        <f ca="1">PROPER(TRIM(_xlfn.XLOOKUP($A3,Строчный!$A:$A,Строчный!P:P,"ERR",0)))</f>
        <v>Dragon Ball</v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1808.3</v>
      </c>
      <c r="R3" s="89" t="str">
        <f ca="1">_xlfn.XLOOKUP($G3,Фабрика!A:A,Фабрика!B:B,"ERR",0)</f>
        <v>TEXTISS S.A.S; Zone d' Activité de l'Etang, 26780 Chåteauneuf Du Rhöne, France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12</v>
      </c>
      <c r="U3" s="14" t="s">
        <v>265</v>
      </c>
      <c r="V3" s="101" t="str">
        <f t="shared" ref="V3:V66" ca="1" si="3">TRIM(CONCATENATE(AB3," ",G3," арт. ",B3," (",I3,")"))</f>
        <v>Бейсболка CAPSLAB арт. CL/DBS/TAG/1/GOK2 Dragon Ball Goku (черный)</v>
      </c>
      <c r="W3" s="100" t="str">
        <f t="shared" ref="W3:W66" ca="1" si="4">TRIM(CONCATENATE(AB3," ",G3," арт. ",B3," (",I3,") {",H3,"}"))</f>
        <v>Бейсболка CAPSLAB арт. CL/DBS/TAG/1/GOK2 Dragon Ball Goku (черный) {black}</v>
      </c>
      <c r="X3" s="18" t="str">
        <f t="shared" ref="X3:X66" ca="1" si="5">IFERROR(MID(I3,FIND("-",I3)+1,LEN(I3)),IFERROR(MID(I3,1,FIND("/",I3)-2),I3))</f>
        <v>черный</v>
      </c>
      <c r="Y3" s="18" t="str">
        <f t="shared" ref="Y3:Y66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88-347-09-00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88-346-80</v>
      </c>
      <c r="B4" s="107" t="str">
        <f ca="1">_xlfn.LET(_xlpm.CAPS,0,_xlpm.Style,TRIM(_xlfn.XLOOKUP($A4,Строчный!$A:$A,Строчный!B:B,"ERR",0)),IF(_xlpm.CAPS=0,_xlpm.Style,UPPER(_xlpm.Style)))</f>
        <v>CL/DB2/1/KRI2 Dragon Ball Krillin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Capslab-Dragon Ball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CAPSLAB</v>
      </c>
      <c r="H4" s="81" t="str">
        <f ca="1">LOWER(TRIM(_xlfn.XLOOKUP($A4,Строчный!$A:$A,Строчный!H:H,"ERR",0)))</f>
        <v>grey</v>
      </c>
      <c r="I4" s="81" t="str">
        <f ca="1">LOWER(TRIM(_xlfn.XLOOKUP($A4,Строчный!$A:$A,Строчный!I:I,"ERR",0)))</f>
        <v>серый</v>
      </c>
      <c r="J4" s="81" t="str">
        <f ca="1">SUBSTITUTE(LOWER(TRIM(_xlfn.XLOOKUP($A4,Строчный!$A:$A,Строчный!J:J,"ERR",0))),"подклад","Подклад")</f>
        <v>80% полиэстер - 20% хлопок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>COMICS</v>
      </c>
      <c r="O4" s="102" t="str">
        <f ca="1">PROPER(TRIM(_xlfn.XLOOKUP($A4,Строчный!$A:$A,Строчный!P:P,"ERR",0)))</f>
        <v>Dragon Ball</v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1352</v>
      </c>
      <c r="R4" s="89" t="str">
        <f ca="1">_xlfn.XLOOKUP($G4,Фабрика!A:A,Фабрика!B:B,"ERR",0)</f>
        <v>TEXTISS S.A.S; Zone d' Activité de l'Etang, 26780 Chåteauneuf Du Rhöne, France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12</v>
      </c>
      <c r="U4" s="14" t="s">
        <v>265</v>
      </c>
      <c r="V4" s="101" t="str">
        <f t="shared" ca="1" si="3"/>
        <v>Бейсболка CAPSLAB арт. CL/DB2/1/KRI2 Dragon Ball Krillin (серый)</v>
      </c>
      <c r="W4" s="100" t="str">
        <f t="shared" ca="1" si="4"/>
        <v>Бейсболка CAPSLAB арт. CL/DB2/1/KRI2 Dragon Ball Krillin (серый) {grey}</v>
      </c>
      <c r="X4" s="18" t="str">
        <f t="shared" ca="1" si="5"/>
        <v>серый</v>
      </c>
      <c r="Y4" s="18" t="str">
        <f t="shared" ca="1" si="6"/>
        <v>серый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серый</v>
      </c>
      <c r="AA4" s="73" t="str">
        <f ca="1"/>
        <v>88-346-80-00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80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88-345-08</v>
      </c>
      <c r="B5" s="107" t="str">
        <f ca="1">_xlfn.LET(_xlpm.CAPS,0,_xlpm.Style,TRIM(_xlfn.XLOOKUP($A5,Строчный!$A:$A,Строчный!B:B,"ERR",0)),IF(_xlpm.CAPS=0,_xlpm.Style,UPPER(_xlpm.Style)))</f>
        <v>CL/DB2/1/KAM2 Dragon Ball Kame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81" t="str">
        <f ca="1">PROPER(TRIM(_xlfn.XLOOKUP($A5,Строчный!$A:$A,Строчный!E:E,"ERR",0)))</f>
        <v>Capslab-Dragon Ball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CAPSLAB</v>
      </c>
      <c r="H5" s="81" t="str">
        <f ca="1">LOWER(TRIM(_xlfn.XLOOKUP($A5,Строчный!$A:$A,Строчный!H:H,"ERR",0)))</f>
        <v>grey / red</v>
      </c>
      <c r="I5" s="81" t="str">
        <f ca="1">LOWER(TRIM(_xlfn.XLOOKUP($A5,Строчный!$A:$A,Строчный!I:I,"ERR",0)))</f>
        <v>серый / красный</v>
      </c>
      <c r="J5" s="81" t="str">
        <f ca="1">SUBSTITUTE(LOWER(TRIM(_xlfn.XLOOKUP($A5,Строчный!$A:$A,Строчный!J:J,"ERR",0))),"подклад","Подклад")</f>
        <v>80% полиэстер - 20% хлопок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>COMICS</v>
      </c>
      <c r="O5" s="102" t="str">
        <f ca="1">PROPER(TRIM(_xlfn.XLOOKUP($A5,Строчный!$A:$A,Строчный!P:P,"ERR",0)))</f>
        <v>Dragon Ball</v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1352</v>
      </c>
      <c r="R5" s="89" t="str">
        <f ca="1">_xlfn.XLOOKUP($G5,Фабрика!A:A,Фабрика!B:B,"ERR",0)</f>
        <v>TEXTISS S.A.S; Zone d' Activité de l'Etang, 26780 Chåteauneuf Du Rhöne, France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48</v>
      </c>
      <c r="U5" s="14" t="s">
        <v>265</v>
      </c>
      <c r="V5" s="101" t="str">
        <f t="shared" ca="1" si="3"/>
        <v>Бейсболка CAPSLAB арт. CL/DB2/1/KAM2 Dragon Ball Kame (серый / красный)</v>
      </c>
      <c r="W5" s="100" t="str">
        <f t="shared" ca="1" si="4"/>
        <v>Бейсболка CAPSLAB арт. CL/DB2/1/KAM2 Dragon Ball Kame (серый / красный) {grey / red}</v>
      </c>
      <c r="X5" s="18" t="str">
        <f t="shared" ca="1" si="5"/>
        <v>серый</v>
      </c>
      <c r="Y5" s="18" t="str">
        <f t="shared" ca="1" si="6"/>
        <v>красный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серый</v>
      </c>
      <c r="AA5" s="73" t="str">
        <f ca="1"/>
        <v>88-345-08-00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08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88-344-72</v>
      </c>
      <c r="B6" s="107" t="str">
        <f ca="1">_xlfn.LET(_xlpm.CAPS,0,_xlpm.Style,TRIM(_xlfn.XLOOKUP($A6,Строчный!$A:$A,Строчный!B:B,"ERR",0)),IF(_xlpm.CAPS=0,_xlpm.Style,UPPER(_xlpm.Style)))</f>
        <v>CL/TAJ1/1/TOM2 Tom and Jerry Tom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81" t="str">
        <f ca="1">PROPER(TRIM(_xlfn.XLOOKUP($A6,Строчный!$A:$A,Строчный!E:E,"ERR",0)))</f>
        <v>Capslab-Tom And Jerry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CAPSLAB</v>
      </c>
      <c r="H6" s="81" t="str">
        <f ca="1">LOWER(TRIM(_xlfn.XLOOKUP($A6,Строчный!$A:$A,Строчный!H:H,"ERR",0)))</f>
        <v>black</v>
      </c>
      <c r="I6" s="81" t="str">
        <f ca="1">LOWER(TRIM(_xlfn.XLOOKUP($A6,Строчный!$A:$A,Строчный!I:I,"ERR",0)))</f>
        <v>черный / красный</v>
      </c>
      <c r="J6" s="81" t="str">
        <f ca="1">SUBSTITUTE(LOWER(TRIM(_xlfn.XLOOKUP($A6,Строчный!$A:$A,Строчный!J:J,"ERR",0))),"подклад","Подклад")</f>
        <v>80% полиэстер - 20% хлопок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COMICS</v>
      </c>
      <c r="O6" s="102" t="str">
        <f ca="1">PROPER(TRIM(_xlfn.XLOOKUP($A6,Строчный!$A:$A,Строчный!P:P,"ERR",0)))</f>
        <v>Tom And Jerry</v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1352</v>
      </c>
      <c r="R6" s="89" t="str">
        <f ca="1">_xlfn.XLOOKUP($G6,Фабрика!A:A,Фабрика!B:B,"ERR",0)</f>
        <v>TEXTISS S.A.S; Zone d' Activité de l'Etang, 26780 Chåteauneuf Du Rhöne, France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96</v>
      </c>
      <c r="U6" s="14" t="s">
        <v>265</v>
      </c>
      <c r="V6" s="101" t="str">
        <f t="shared" ca="1" si="3"/>
        <v>Бейсболка CAPSLAB арт. CL/TAJ1/1/TOM2 Tom and Jerry Tom (черный / красный)</v>
      </c>
      <c r="W6" s="100" t="str">
        <f t="shared" ca="1" si="4"/>
        <v>Бейсболка CAPSLAB арт. CL/TAJ1/1/TOM2 Tom and Jerry Tom (черный / красный) {black}</v>
      </c>
      <c r="X6" s="18" t="str">
        <f t="shared" ca="1" si="5"/>
        <v>черный</v>
      </c>
      <c r="Y6" s="18" t="str">
        <f t="shared" ca="1" si="6"/>
        <v>красный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88-344-72-00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72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88-343-00</v>
      </c>
      <c r="B7" s="107" t="str">
        <f ca="1">_xlfn.LET(_xlpm.CAPS,0,_xlpm.Style,TRIM(_xlfn.XLOOKUP($A7,Строчный!$A:$A,Строчный!B:B,"ERR",0)),IF(_xlpm.CAPS=0,_xlpm.Style,UPPER(_xlpm.Style)))</f>
        <v>CL/TAJ1/1/TOM1 Tom and Jerry Tom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Capslab-Tom And Jerry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CAPSLAB</v>
      </c>
      <c r="H7" s="81" t="str">
        <f ca="1">LOWER(TRIM(_xlfn.XLOOKUP($A7,Строчный!$A:$A,Строчный!H:H,"ERR",0)))</f>
        <v>black</v>
      </c>
      <c r="I7" s="81" t="str">
        <f ca="1">LOWER(TRIM(_xlfn.XLOOKUP($A7,Строчный!$A:$A,Строчный!I:I,"ERR",0)))</f>
        <v>черный / бежевый</v>
      </c>
      <c r="J7" s="81" t="str">
        <f ca="1">SUBSTITUTE(LOWER(TRIM(_xlfn.XLOOKUP($A7,Строчный!$A:$A,Строчный!J:J,"ERR",0))),"подклад","Подклад")</f>
        <v>50% хлопок - 50% полиэстер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COMICS</v>
      </c>
      <c r="O7" s="102" t="str">
        <f ca="1">PROPER(TRIM(_xlfn.XLOOKUP($A7,Строчный!$A:$A,Строчный!P:P,"ERR",0)))</f>
        <v>Tom And Jerry</v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1352</v>
      </c>
      <c r="R7" s="89" t="str">
        <f ca="1">_xlfn.XLOOKUP($G7,Фабрика!A:A,Фабрика!B:B,"ERR",0)</f>
        <v>TEXTISS S.A.S; Zone d' Activité de l'Etang, 26780 Chåteauneuf Du Rhöne, France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12</v>
      </c>
      <c r="U7" s="14" t="s">
        <v>265</v>
      </c>
      <c r="V7" s="101" t="str">
        <f t="shared" ca="1" si="3"/>
        <v>Бейсболка CAPSLAB арт. CL/TAJ1/1/TOM1 Tom and Jerry Tom (черный / бежевый)</v>
      </c>
      <c r="W7" s="100" t="str">
        <f t="shared" ca="1" si="4"/>
        <v>Бейсболка CAPSLAB арт. CL/TAJ1/1/TOM1 Tom and Jerry Tom (черный / бежевый) {black}</v>
      </c>
      <c r="X7" s="18" t="str">
        <f t="shared" ca="1" si="5"/>
        <v>черный</v>
      </c>
      <c r="Y7" s="18" t="str">
        <f t="shared" ca="1" si="6"/>
        <v>бежевый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3" t="str">
        <f ca="1"/>
        <v>88-343-00-00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00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88-342-16</v>
      </c>
      <c r="B8" s="107" t="str">
        <f ca="1">_xlfn.LET(_xlpm.CAPS,0,_xlpm.Style,TRIM(_xlfn.XLOOKUP($A8,Строчный!$A:$A,Строчный!B:B,"ERR",0)),IF(_xlpm.CAPS=0,_xlpm.Style,UPPER(_xlpm.Style)))</f>
        <v>CL/TAJ1/1/TAJ1 Tom and Jerry Tom and Jerry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81" t="str">
        <f ca="1">PROPER(TRIM(_xlfn.XLOOKUP($A8,Строчный!$A:$A,Строчный!E:E,"ERR",0)))</f>
        <v>Capslab-Tom And Jerry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CAPSLAB</v>
      </c>
      <c r="H8" s="81" t="str">
        <f ca="1">LOWER(TRIM(_xlfn.XLOOKUP($A8,Строчный!$A:$A,Строчный!H:H,"ERR",0)))</f>
        <v>navy</v>
      </c>
      <c r="I8" s="81" t="str">
        <f ca="1">LOWER(TRIM(_xlfn.XLOOKUP($A8,Строчный!$A:$A,Строчный!I:I,"ERR",0)))</f>
        <v>темно-синий</v>
      </c>
      <c r="J8" s="81" t="str">
        <f ca="1">SUBSTITUTE(LOWER(TRIM(_xlfn.XLOOKUP($A8,Строчный!$A:$A,Строчный!J:J,"ERR",0))),"подклад","Подклад")</f>
        <v>50% хлопок - 50% полиэстер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>COMICS</v>
      </c>
      <c r="O8" s="102" t="str">
        <f ca="1">PROPER(TRIM(_xlfn.XLOOKUP($A8,Строчный!$A:$A,Строчный!P:P,"ERR",0)))</f>
        <v>Tom And Jerry</v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1352</v>
      </c>
      <c r="R8" s="89" t="str">
        <f ca="1">_xlfn.XLOOKUP($G8,Фабрика!A:A,Фабрика!B:B,"ERR",0)</f>
        <v>TEXTISS S.A.S; Zone d' Activité de l'Etang, 26780 Chåteauneuf Du Rhöne, France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12</v>
      </c>
      <c r="U8" s="14" t="s">
        <v>265</v>
      </c>
      <c r="V8" s="101" t="str">
        <f t="shared" ca="1" si="3"/>
        <v>Бейсболка CAPSLAB арт. CL/TAJ1/1/TAJ1 Tom and Jerry Tom and Jerry (темно-синий)</v>
      </c>
      <c r="W8" s="100" t="str">
        <f t="shared" ca="1" si="4"/>
        <v>Бейсболка CAPSLAB арт. CL/TAJ1/1/TAJ1 Tom and Jerry Tom and Jerry (темно-синий) {navy}</v>
      </c>
      <c r="X8" s="18" t="str">
        <f t="shared" ca="1" si="5"/>
        <v>синий</v>
      </c>
      <c r="Y8" s="18" t="str">
        <f t="shared" ca="1" si="6"/>
        <v>синий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3" t="str">
        <f ca="1"/>
        <v>88-342-16-00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16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88-341-80</v>
      </c>
      <c r="B9" s="107" t="str">
        <f ca="1">_xlfn.LET(_xlpm.CAPS,0,_xlpm.Style,TRIM(_xlfn.XLOOKUP($A9,Строчный!$A:$A,Строчный!B:B,"ERR",0)),IF(_xlpm.CAPS=0,_xlpm.Style,UPPER(_xlpm.Style)))</f>
        <v>CL/TAJ1/1/JER2 Tom and Jerry Jerry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81" t="str">
        <f ca="1">PROPER(TRIM(_xlfn.XLOOKUP($A9,Строчный!$A:$A,Строчный!E:E,"ERR",0)))</f>
        <v>Capslab-Tom And Jerry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CAPSLAB</v>
      </c>
      <c r="H9" s="81" t="str">
        <f ca="1">LOWER(TRIM(_xlfn.XLOOKUP($A9,Строчный!$A:$A,Строчный!H:H,"ERR",0)))</f>
        <v>grey</v>
      </c>
      <c r="I9" s="81" t="str">
        <f ca="1">LOWER(TRIM(_xlfn.XLOOKUP($A9,Строчный!$A:$A,Строчный!I:I,"ERR",0)))</f>
        <v>серый</v>
      </c>
      <c r="J9" s="81" t="str">
        <f ca="1">SUBSTITUTE(LOWER(TRIM(_xlfn.XLOOKUP($A9,Строчный!$A:$A,Строчный!J:J,"ERR",0))),"подклад","Подклад")</f>
        <v>50% хлопок - 50% полиэстер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>COMICS</v>
      </c>
      <c r="O9" s="102" t="str">
        <f ca="1">PROPER(TRIM(_xlfn.XLOOKUP($A9,Строчный!$A:$A,Строчный!P:P,"ERR",0)))</f>
        <v>Tom And Jerry</v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1352</v>
      </c>
      <c r="R9" s="89" t="str">
        <f ca="1">_xlfn.XLOOKUP($G9,Фабрика!A:A,Фабрика!B:B,"ERR",0)</f>
        <v>TEXTISS S.A.S; Zone d' Activité de l'Etang, 26780 Chåteauneuf Du Rhöne, France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168</v>
      </c>
      <c r="U9" s="14" t="s">
        <v>265</v>
      </c>
      <c r="V9" s="101" t="str">
        <f t="shared" ca="1" si="3"/>
        <v>Бейсболка CAPSLAB арт. CL/TAJ1/1/JER2 Tom and Jerry Jerry (серый)</v>
      </c>
      <c r="W9" s="100" t="str">
        <f t="shared" ca="1" si="4"/>
        <v>Бейсболка CAPSLAB арт. CL/TAJ1/1/JER2 Tom and Jerry Jerry (серый) {grey}</v>
      </c>
      <c r="X9" s="18" t="str">
        <f t="shared" ca="1" si="5"/>
        <v>серый</v>
      </c>
      <c r="Y9" s="18" t="str">
        <f t="shared" ca="1" si="6"/>
        <v>серый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серый</v>
      </c>
      <c r="AA9" s="73" t="str">
        <f ca="1"/>
        <v>88-341-80-00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80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88-340-01</v>
      </c>
      <c r="B10" s="107" t="str">
        <f ca="1">_xlfn.LET(_xlpm.CAPS,0,_xlpm.Style,TRIM(_xlfn.XLOOKUP($A10,Строчный!$A:$A,Строчный!B:B,"ERR",0)),IF(_xlpm.CAPS=0,_xlpm.Style,UPPER(_xlpm.Style)))</f>
        <v>CL/TAJ1/1/JER1 Tom and Jerry Jerry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81" t="str">
        <f ca="1">PROPER(TRIM(_xlfn.XLOOKUP($A10,Строчный!$A:$A,Строчный!E:E,"ERR",0)))</f>
        <v>Capslab-Tom And Jerry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CAPSLAB</v>
      </c>
      <c r="H10" s="81" t="str">
        <f ca="1">LOWER(TRIM(_xlfn.XLOOKUP($A10,Строчный!$A:$A,Строчный!H:H,"ERR",0)))</f>
        <v>blue</v>
      </c>
      <c r="I10" s="81" t="str">
        <f ca="1">LOWER(TRIM(_xlfn.XLOOKUP($A10,Строчный!$A:$A,Строчный!I:I,"ERR",0)))</f>
        <v>бирюзовый</v>
      </c>
      <c r="J10" s="81" t="str">
        <f ca="1">SUBSTITUTE(LOWER(TRIM(_xlfn.XLOOKUP($A10,Строчный!$A:$A,Строчный!J:J,"ERR",0))),"подклад","Подклад")</f>
        <v>50% хлопок - 50% полиэстер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>COMICS</v>
      </c>
      <c r="O10" s="102" t="str">
        <f ca="1">PROPER(TRIM(_xlfn.XLOOKUP($A10,Строчный!$A:$A,Строчный!P:P,"ERR",0)))</f>
        <v>Tom And Jerry</v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1352</v>
      </c>
      <c r="R10" s="89" t="str">
        <f ca="1">_xlfn.XLOOKUP($G10,Фабрика!A:A,Фабрика!B:B,"ERR",0)</f>
        <v>TEXTISS S.A.S; Zone d' Activité de l'Etang, 26780 Chåteauneuf Du Rhöne, France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144</v>
      </c>
      <c r="U10" s="14" t="s">
        <v>265</v>
      </c>
      <c r="V10" s="101" t="str">
        <f t="shared" ca="1" si="3"/>
        <v>Бейсболка CAPSLAB арт. CL/TAJ1/1/JER1 Tom and Jerry Jerry (бирюзовый)</v>
      </c>
      <c r="W10" s="100" t="str">
        <f t="shared" ca="1" si="4"/>
        <v>Бейсболка CAPSLAB арт. CL/TAJ1/1/JER1 Tom and Jerry Jerry (бирюзовый) {blue}</v>
      </c>
      <c r="X10" s="18" t="str">
        <f t="shared" ca="1" si="5"/>
        <v>бирюзовый</v>
      </c>
      <c r="Y10" s="18" t="str">
        <f t="shared" ca="1" si="6"/>
        <v>бирюзовый</v>
      </c>
      <c r="Z10" s="117" t="s">
        <v>147</v>
      </c>
      <c r="AA10" s="73" t="str">
        <f ca="1"/>
        <v>88-340-01-00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01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88-339-09</v>
      </c>
      <c r="B11" s="107" t="str">
        <f ca="1">_xlfn.LET(_xlpm.CAPS,0,_xlpm.Style,TRIM(_xlfn.XLOOKUP($A11,Строчный!$A:$A,Строчный!B:B,"ERR",0)),IF(_xlpm.CAPS=0,_xlpm.Style,UPPER(_xlpm.Style)))</f>
        <v>CL/REM/TAG/1/RIC Rick and Morty Street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Capslab-Rick And Morty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CAPSLAB</v>
      </c>
      <c r="H11" s="81" t="str">
        <f ca="1">LOWER(TRIM(_xlfn.XLOOKUP($A11,Строчный!$A:$A,Строчный!H:H,"ERR",0)))</f>
        <v>black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100% полиэстер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>COMICS</v>
      </c>
      <c r="O11" s="102" t="str">
        <f ca="1">PROPER(TRIM(_xlfn.XLOOKUP($A11,Строчный!$A:$A,Строчный!P:P,"ERR",0)))</f>
        <v>Rick And Morty</v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1352</v>
      </c>
      <c r="R11" s="89" t="str">
        <f ca="1">_xlfn.XLOOKUP($G11,Фабрика!A:A,Фабрика!B:B,"ERR",0)</f>
        <v>TEXTISS S.A.S; Zone d' Activité de l'Etang, 26780 Chåteauneuf Du Rhöne, France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12</v>
      </c>
      <c r="U11" s="14" t="s">
        <v>265</v>
      </c>
      <c r="V11" s="101" t="str">
        <f t="shared" ca="1" si="3"/>
        <v>Бейсболка CAPSLAB арт. CL/REM/TAG/1/RIC Rick and Morty Street (черный)</v>
      </c>
      <c r="W11" s="100" t="str">
        <f t="shared" ca="1" si="4"/>
        <v>Бейсболка CAPSLAB арт. CL/REM/TAG/1/RIC Rick and Morty Street (черный) {black}</v>
      </c>
      <c r="X11" s="18" t="str">
        <f t="shared" ca="1" si="5"/>
        <v>черный</v>
      </c>
      <c r="Y11" s="18" t="str">
        <f t="shared" ca="1" si="6"/>
        <v>черный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3" t="str">
        <f ca="1"/>
        <v>88-339-09-00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88-338-48</v>
      </c>
      <c r="B12" s="107" t="str">
        <f ca="1">_xlfn.LET(_xlpm.CAPS,0,_xlpm.Style,TRIM(_xlfn.XLOOKUP($A12,Строчный!$A:$A,Строчный!B:B,"ERR",0)),IF(_xlpm.CAPS=0,_xlpm.Style,UPPER(_xlpm.Style)))</f>
        <v>CL/PKM3/1/ELE2 Pokemon Pikachu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Capslab-Pokemon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CAPSLAB</v>
      </c>
      <c r="H12" s="81" t="str">
        <f ca="1">LOWER(TRIM(_xlfn.XLOOKUP($A12,Строчный!$A:$A,Строчный!H:H,"ERR",0)))</f>
        <v>white</v>
      </c>
      <c r="I12" s="81" t="str">
        <f ca="1">LOWER(TRIM(_xlfn.XLOOKUP($A12,Строчный!$A:$A,Строчный!I:I,"ERR",0)))</f>
        <v>белый / черный</v>
      </c>
      <c r="J12" s="81" t="str">
        <f ca="1">SUBSTITUTE(LOWER(TRIM(_xlfn.XLOOKUP($A12,Строчный!$A:$A,Строчный!J:J,"ERR",0))),"подклад","Подклад")</f>
        <v>50% хлопок - 50% полиэстер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>COMICS</v>
      </c>
      <c r="O12" s="102" t="str">
        <f ca="1">PROPER(TRIM(_xlfn.XLOOKUP($A12,Строчный!$A:$A,Строчный!P:P,"ERR",0)))</f>
        <v>Pokemon</v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1352</v>
      </c>
      <c r="R12" s="89" t="str">
        <f ca="1">_xlfn.XLOOKUP($G12,Фабрика!A:A,Фабрика!B:B,"ERR",0)</f>
        <v>TEXTISS S.A.S; Zone d' Activité de l'Etang, 26780 Chåteauneuf Du Rhöne, France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24</v>
      </c>
      <c r="U12" s="14" t="s">
        <v>265</v>
      </c>
      <c r="V12" s="101" t="str">
        <f t="shared" ca="1" si="3"/>
        <v>Бейсболка CAPSLAB арт. CL/PKM3/1/ELE2 Pokemon Pikachu (белый / черный)</v>
      </c>
      <c r="W12" s="100" t="str">
        <f t="shared" ca="1" si="4"/>
        <v>Бейсболка CAPSLAB арт. CL/PKM3/1/ELE2 Pokemon Pikachu (белый / черный) {white}</v>
      </c>
      <c r="X12" s="18" t="str">
        <f t="shared" ca="1" si="5"/>
        <v>белый</v>
      </c>
      <c r="Y12" s="18" t="str">
        <f t="shared" ca="1" si="6"/>
        <v>черный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белый</v>
      </c>
      <c r="AA12" s="73" t="str">
        <f ca="1"/>
        <v>88-338-48-00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48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88-337-09</v>
      </c>
      <c r="B13" s="107" t="str">
        <f ca="1">_xlfn.LET(_xlpm.CAPS,0,_xlpm.Style,TRIM(_xlfn.XLOOKUP($A13,Строчный!$A:$A,Строчный!B:B,"ERR",0)),IF(_xlpm.CAPS=0,_xlpm.Style,UPPER(_xlpm.Style)))</f>
        <v>CL/PKM3/1/ELE1 Pokemon Pikachu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Capslab-Pokemon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CAPSLAB</v>
      </c>
      <c r="H13" s="81" t="str">
        <f ca="1">LOWER(TRIM(_xlfn.XLOOKUP($A13,Строчный!$A:$A,Строчный!H:H,"ERR",0)))</f>
        <v>black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50% хлопок - 50% полиэстер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>COMICS</v>
      </c>
      <c r="O13" s="102" t="str">
        <f ca="1">PROPER(TRIM(_xlfn.XLOOKUP($A13,Строчный!$A:$A,Строчный!P:P,"ERR",0)))</f>
        <v>Pokemon</v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1352</v>
      </c>
      <c r="R13" s="89" t="str">
        <f ca="1">_xlfn.XLOOKUP($G13,Фабрика!A:A,Фабрика!B:B,"ERR",0)</f>
        <v>TEXTISS S.A.S; Zone d' Activité de l'Etang, 26780 Chåteauneuf Du Rhöne, France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24</v>
      </c>
      <c r="U13" s="14" t="s">
        <v>265</v>
      </c>
      <c r="V13" s="101" t="str">
        <f t="shared" ca="1" si="3"/>
        <v>Бейсболка CAPSLAB арт. CL/PKM3/1/ELE1 Pokemon Pikachu (черный)</v>
      </c>
      <c r="W13" s="100" t="str">
        <f t="shared" ca="1" si="4"/>
        <v>Бейсболка CAPSLAB арт. CL/PKM3/1/ELE1 Pokemon Pikachu (черный) {black}</v>
      </c>
      <c r="X13" s="18" t="str">
        <f t="shared" ca="1" si="5"/>
        <v>черный</v>
      </c>
      <c r="Y13" s="18" t="str">
        <f t="shared" ca="1" si="6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88-337-09-00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88-336-09</v>
      </c>
      <c r="B14" s="107" t="str">
        <f ca="1">_xlfn.LET(_xlpm.CAPS,0,_xlpm.Style,TRIM(_xlfn.XLOOKUP($A14,Строчный!$A:$A,Строчный!B:B,"ERR",0)),IF(_xlpm.CAPS=0,_xlpm.Style,UPPER(_xlpm.Style)))</f>
        <v>CL/PKM/TAG/1/ELE1 Pokemon Pikachu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Capslab-Pokemon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CAPSLAB</v>
      </c>
      <c r="H14" s="81" t="str">
        <f ca="1">LOWER(TRIM(_xlfn.XLOOKUP($A14,Строчный!$A:$A,Строчный!H:H,"ERR",0)))</f>
        <v>black</v>
      </c>
      <c r="I14" s="81" t="str">
        <f ca="1">LOWER(TRIM(_xlfn.XLOOKUP($A14,Строчный!$A:$A,Строчный!I:I,"ERR",0)))</f>
        <v>черный</v>
      </c>
      <c r="J14" s="81" t="str">
        <f ca="1">SUBSTITUTE(LOWER(TRIM(_xlfn.XLOOKUP($A14,Строчный!$A:$A,Строчный!J:J,"ERR",0))),"подклад","Подклад")</f>
        <v>100% полиэстер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>COMICS</v>
      </c>
      <c r="O14" s="102" t="str">
        <f ca="1">PROPER(TRIM(_xlfn.XLOOKUP($A14,Строчный!$A:$A,Строчный!P:P,"ERR",0)))</f>
        <v>Pokemon</v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1352</v>
      </c>
      <c r="R14" s="89" t="str">
        <f ca="1">_xlfn.XLOOKUP($G14,Фабрика!A:A,Фабрика!B:B,"ERR",0)</f>
        <v>TEXTISS S.A.S; Zone d' Activité de l'Etang, 26780 Chåteauneuf Du Rhöne, France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12</v>
      </c>
      <c r="U14" s="14" t="s">
        <v>265</v>
      </c>
      <c r="V14" s="101" t="str">
        <f t="shared" ca="1" si="3"/>
        <v>Бейсболка CAPSLAB арт. CL/PKM/TAG/1/ELE1 Pokemon Pikachu (черный)</v>
      </c>
      <c r="W14" s="100" t="str">
        <f t="shared" ca="1" si="4"/>
        <v>Бейсболка CAPSLAB арт. CL/PKM/TAG/1/ELE1 Pokemon Pikachu (черный) {black}</v>
      </c>
      <c r="X14" s="18" t="str">
        <f t="shared" ca="1" si="5"/>
        <v>черный</v>
      </c>
      <c r="Y14" s="18" t="str">
        <f t="shared" ca="1" si="6"/>
        <v>черный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черный</v>
      </c>
      <c r="AA14" s="73" t="str">
        <f ca="1"/>
        <v>88-336-09-00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09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88-335-80</v>
      </c>
      <c r="B15" s="107" t="str">
        <f ca="1">_xlfn.LET(_xlpm.CAPS,0,_xlpm.Style,TRIM(_xlfn.XLOOKUP($A15,Строчный!$A:$A,Строчный!B:B,"ERR",0)),IF(_xlpm.CAPS=0,_xlpm.Style,UPPER(_xlpm.Style)))</f>
        <v>CL/PEA2/1/PEA1 Peanuts Snoopy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81" t="str">
        <f ca="1">PROPER(TRIM(_xlfn.XLOOKUP($A15,Строчный!$A:$A,Строчный!E:E,"ERR",0)))</f>
        <v>Capslab-Peanuts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CAPSLAB</v>
      </c>
      <c r="H15" s="81" t="str">
        <f ca="1">LOWER(TRIM(_xlfn.XLOOKUP($A15,Строчный!$A:$A,Строчный!H:H,"ERR",0)))</f>
        <v>grey</v>
      </c>
      <c r="I15" s="81" t="str">
        <f ca="1">LOWER(TRIM(_xlfn.XLOOKUP($A15,Строчный!$A:$A,Строчный!I:I,"ERR",0)))</f>
        <v>серый</v>
      </c>
      <c r="J15" s="81" t="str">
        <f ca="1">SUBSTITUTE(LOWER(TRIM(_xlfn.XLOOKUP($A15,Строчный!$A:$A,Строчный!J:J,"ERR",0))),"подклад","Подклад")</f>
        <v>50% хлопок - 50% полиэстер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>COMICS</v>
      </c>
      <c r="O15" s="102" t="str">
        <f ca="1">PROPER(TRIM(_xlfn.XLOOKUP($A15,Строчный!$A:$A,Строчный!P:P,"ERR",0)))</f>
        <v>Peanuts</v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1352</v>
      </c>
      <c r="R15" s="89" t="str">
        <f ca="1">_xlfn.XLOOKUP($G15,Фабрика!A:A,Фабрика!B:B,"ERR",0)</f>
        <v>TEXTISS S.A.S; Zone d' Activité de l'Etang, 26780 Chåteauneuf Du Rhöne, France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60</v>
      </c>
      <c r="U15" s="14" t="s">
        <v>265</v>
      </c>
      <c r="V15" s="101" t="str">
        <f t="shared" ca="1" si="3"/>
        <v>Бейсболка CAPSLAB арт. CL/PEA2/1/PEA1 Peanuts Snoopy (серый)</v>
      </c>
      <c r="W15" s="100" t="str">
        <f t="shared" ca="1" si="4"/>
        <v>Бейсболка CAPSLAB арт. CL/PEA2/1/PEA1 Peanuts Snoopy (серый) {grey}</v>
      </c>
      <c r="X15" s="18" t="str">
        <f t="shared" ca="1" si="5"/>
        <v>серый</v>
      </c>
      <c r="Y15" s="18" t="str">
        <f t="shared" ca="1" si="6"/>
        <v>серый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серый</v>
      </c>
      <c r="AA15" s="73" t="str">
        <f ca="1"/>
        <v>88-335-80-00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80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88-334-16</v>
      </c>
      <c r="B16" s="107" t="str">
        <f ca="1">_xlfn.LET(_xlpm.CAPS,0,_xlpm.Style,TRIM(_xlfn.XLOOKUP($A16,Строчный!$A:$A,Строчный!B:B,"ERR",0)),IF(_xlpm.CAPS=0,_xlpm.Style,UPPER(_xlpm.Style)))</f>
        <v>CL/PEA/1/SAM Looney Tunes Yosemite Sam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81" t="str">
        <f ca="1">PROPER(TRIM(_xlfn.XLOOKUP($A16,Строчный!$A:$A,Строчный!E:E,"ERR",0)))</f>
        <v>Capslab-Looney Tunes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CAPSLAB</v>
      </c>
      <c r="H16" s="81" t="str">
        <f ca="1">LOWER(TRIM(_xlfn.XLOOKUP($A16,Строчный!$A:$A,Строчный!H:H,"ERR",0)))</f>
        <v>navy</v>
      </c>
      <c r="I16" s="81" t="str">
        <f ca="1">LOWER(TRIM(_xlfn.XLOOKUP($A16,Строчный!$A:$A,Строчный!I:I,"ERR",0)))</f>
        <v>темно-синий</v>
      </c>
      <c r="J16" s="81" t="str">
        <f ca="1">SUBSTITUTE(LOWER(TRIM(_xlfn.XLOOKUP($A16,Строчный!$A:$A,Строчный!J:J,"ERR",0))),"подклад","Подклад")</f>
        <v>50% хлопок - 50% полиэстер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>COMICS</v>
      </c>
      <c r="O16" s="102" t="str">
        <f ca="1">PROPER(TRIM(_xlfn.XLOOKUP($A16,Строчный!$A:$A,Строчный!P:P,"ERR",0)))</f>
        <v>Looney Tunes</v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1352</v>
      </c>
      <c r="R16" s="89" t="str">
        <f ca="1">_xlfn.XLOOKUP($G16,Фабрика!A:A,Фабрика!B:B,"ERR",0)</f>
        <v>TEXTISS S.A.S; Zone d' Activité de l'Etang, 26780 Chåteauneuf Du Rhöne, France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48</v>
      </c>
      <c r="U16" s="14" t="s">
        <v>265</v>
      </c>
      <c r="V16" s="101" t="str">
        <f t="shared" ca="1" si="3"/>
        <v>Бейсболка CAPSLAB арт. CL/PEA/1/SAM Looney Tunes Yosemite Sam (темно-синий)</v>
      </c>
      <c r="W16" s="100" t="str">
        <f t="shared" ca="1" si="4"/>
        <v>Бейсболка CAPSLAB арт. CL/PEA/1/SAM Looney Tunes Yosemite Sam (темно-синий) {navy}</v>
      </c>
      <c r="X16" s="18" t="str">
        <f t="shared" ca="1" si="5"/>
        <v>синий</v>
      </c>
      <c r="Y16" s="18" t="str">
        <f t="shared" ca="1" si="6"/>
        <v>синий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синий</v>
      </c>
      <c r="AA16" s="73" t="str">
        <f ca="1"/>
        <v>88-334-16-00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16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88-333-09</v>
      </c>
      <c r="B17" s="107" t="str">
        <f ca="1">_xlfn.LET(_xlpm.CAPS,0,_xlpm.Style,TRIM(_xlfn.XLOOKUP($A17,Строчный!$A:$A,Строчный!B:B,"ERR",0)),IF(_xlpm.CAPS=0,_xlpm.Style,UPPER(_xlpm.Style)))</f>
        <v>CL/OP1/1/ZOR2 One Piece Roronoa Zoro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 с сеточкой</v>
      </c>
      <c r="E17" s="81" t="str">
        <f ca="1">PROPER(TRIM(_xlfn.XLOOKUP($A17,Строчный!$A:$A,Строчный!E:E,"ERR",0)))</f>
        <v>Capslab-One Piece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CAPSLAB</v>
      </c>
      <c r="H17" s="81" t="str">
        <f ca="1">LOWER(TRIM(_xlfn.XLOOKUP($A17,Строчный!$A:$A,Строчный!H:H,"ERR",0)))</f>
        <v>black</v>
      </c>
      <c r="I17" s="81" t="str">
        <f ca="1">LOWER(TRIM(_xlfn.XLOOKUP($A17,Строчный!$A:$A,Строчный!I:I,"ERR",0)))</f>
        <v>черный</v>
      </c>
      <c r="J17" s="81" t="str">
        <f ca="1">SUBSTITUTE(LOWER(TRIM(_xlfn.XLOOKUP($A17,Строчный!$A:$A,Строчный!J:J,"ERR",0))),"подклад","Подклад")</f>
        <v>50% хлопок - 50% полиэстер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>COMICS</v>
      </c>
      <c r="O17" s="102" t="str">
        <f ca="1">PROPER(TRIM(_xlfn.XLOOKUP($A17,Строчный!$A:$A,Строчный!P:P,"ERR",0)))</f>
        <v>One Piece</v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1352</v>
      </c>
      <c r="R17" s="89" t="str">
        <f ca="1">_xlfn.XLOOKUP($G17,Фабрика!A:A,Фабрика!B:B,"ERR",0)</f>
        <v>TEXTISS S.A.S; Zone d' Activité de l'Etang, 26780 Chåteauneuf Du Rhöne, France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12</v>
      </c>
      <c r="U17" s="14" t="s">
        <v>265</v>
      </c>
      <c r="V17" s="101" t="str">
        <f t="shared" ca="1" si="3"/>
        <v>Бейсболка CAPSLAB арт. CL/OP1/1/ZOR2 One Piece Roronoa Zoro (черный)</v>
      </c>
      <c r="W17" s="100" t="str">
        <f t="shared" ca="1" si="4"/>
        <v>Бейсболка CAPSLAB арт. CL/OP1/1/ZOR2 One Piece Roronoa Zoro (черный) {black}</v>
      </c>
      <c r="X17" s="18" t="str">
        <f t="shared" ca="1" si="5"/>
        <v>черный</v>
      </c>
      <c r="Y17" s="18" t="str">
        <f t="shared" ca="1" si="6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черный</v>
      </c>
      <c r="AA17" s="73" t="str">
        <f ca="1"/>
        <v>88-333-09-00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09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88-332-47</v>
      </c>
      <c r="B18" s="107" t="str">
        <f ca="1">_xlfn.LET(_xlpm.CAPS,0,_xlpm.Style,TRIM(_xlfn.XLOOKUP($A18,Строчный!$A:$A,Строчный!B:B,"ERR",0)),IF(_xlpm.CAPS=0,_xlpm.Style,UPPER(_xlpm.Style)))</f>
        <v>CL/OP1/1/ZOR1 One Piece Roronoa Zoro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 с сеточкой</v>
      </c>
      <c r="E18" s="81" t="str">
        <f ca="1">PROPER(TRIM(_xlfn.XLOOKUP($A18,Строчный!$A:$A,Строчный!E:E,"ERR",0)))</f>
        <v>Capslab-One Piece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CAPSLAB</v>
      </c>
      <c r="H18" s="81" t="str">
        <f ca="1">LOWER(TRIM(_xlfn.XLOOKUP($A18,Строчный!$A:$A,Строчный!H:H,"ERR",0)))</f>
        <v>grey</v>
      </c>
      <c r="I18" s="81" t="str">
        <f ca="1">LOWER(TRIM(_xlfn.XLOOKUP($A18,Строчный!$A:$A,Строчный!I:I,"ERR",0)))</f>
        <v>серый / черный</v>
      </c>
      <c r="J18" s="81" t="str">
        <f ca="1">SUBSTITUTE(LOWER(TRIM(_xlfn.XLOOKUP($A18,Строчный!$A:$A,Строчный!J:J,"ERR",0))),"подклад","Подклад")</f>
        <v>50% хлопок - 50% полиэстер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>COMICS</v>
      </c>
      <c r="O18" s="102" t="str">
        <f ca="1">PROPER(TRIM(_xlfn.XLOOKUP($A18,Строчный!$A:$A,Строчный!P:P,"ERR",0)))</f>
        <v>One Piece</v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1352</v>
      </c>
      <c r="R18" s="89" t="str">
        <f ca="1">_xlfn.XLOOKUP($G18,Фабрика!A:A,Фабрика!B:B,"ERR",0)</f>
        <v>TEXTISS S.A.S; Zone d' Activité de l'Etang, 26780 Chåteauneuf Du Rhöne, France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12</v>
      </c>
      <c r="U18" s="14" t="s">
        <v>265</v>
      </c>
      <c r="V18" s="101" t="str">
        <f t="shared" ca="1" si="3"/>
        <v>Бейсболка CAPSLAB арт. CL/OP1/1/ZOR1 One Piece Roronoa Zoro (серый / черный)</v>
      </c>
      <c r="W18" s="100" t="str">
        <f t="shared" ca="1" si="4"/>
        <v>Бейсболка CAPSLAB арт. CL/OP1/1/ZOR1 One Piece Roronoa Zoro (серый / черный) {grey}</v>
      </c>
      <c r="X18" s="18" t="str">
        <f t="shared" ca="1" si="5"/>
        <v>серый</v>
      </c>
      <c r="Y18" s="18" t="str">
        <f t="shared" ca="1" si="6"/>
        <v>черный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серый</v>
      </c>
      <c r="AA18" s="73" t="str">
        <f ca="1"/>
        <v>88-332-47-00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47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88-331-09</v>
      </c>
      <c r="B19" s="107" t="str">
        <f ca="1">_xlfn.LET(_xlpm.CAPS,0,_xlpm.Style,TRIM(_xlfn.XLOOKUP($A19,Строчный!$A:$A,Строчный!B:B,"ERR",0)),IF(_xlpm.CAPS=0,_xlpm.Style,UPPER(_xlpm.Style)))</f>
        <v>CL/OP1/1/SKU2 One Piece Skull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Capslab-One Piece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CAPSLAB</v>
      </c>
      <c r="H19" s="81" t="str">
        <f ca="1">LOWER(TRIM(_xlfn.XLOOKUP($A19,Строчный!$A:$A,Строчный!H:H,"ERR",0)))</f>
        <v>black</v>
      </c>
      <c r="I19" s="81" t="str">
        <f ca="1">LOWER(TRIM(_xlfn.XLOOKUP($A19,Строчный!$A:$A,Строчный!I:I,"ERR",0)))</f>
        <v>черный</v>
      </c>
      <c r="J19" s="81" t="str">
        <f ca="1">SUBSTITUTE(LOWER(TRIM(_xlfn.XLOOKUP($A19,Строчный!$A:$A,Строчный!J:J,"ERR",0))),"подклад","Подклад")</f>
        <v>50% хлопок - 50% полиэстер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>COMICS</v>
      </c>
      <c r="O19" s="102" t="str">
        <f ca="1">PROPER(TRIM(_xlfn.XLOOKUP($A19,Строчный!$A:$A,Строчный!P:P,"ERR",0)))</f>
        <v>One Piece</v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1352</v>
      </c>
      <c r="R19" s="89" t="str">
        <f ca="1">_xlfn.XLOOKUP($G19,Фабрика!A:A,Фабрика!B:B,"ERR",0)</f>
        <v>TEXTISS S.A.S; Zone d' Activité de l'Etang, 26780 Chåteauneuf Du Rhöne, France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60</v>
      </c>
      <c r="U19" s="14" t="s">
        <v>265</v>
      </c>
      <c r="V19" s="101" t="str">
        <f t="shared" ca="1" si="3"/>
        <v>Бейсболка CAPSLAB арт. CL/OP1/1/SKU2 One Piece Skull (черный)</v>
      </c>
      <c r="W19" s="100" t="str">
        <f t="shared" ca="1" si="4"/>
        <v>Бейсболка CAPSLAB арт. CL/OP1/1/SKU2 One Piece Skull (черный) {black}</v>
      </c>
      <c r="X19" s="18" t="str">
        <f t="shared" ca="1" si="5"/>
        <v>черный</v>
      </c>
      <c r="Y19" s="18" t="str">
        <f t="shared" ca="1" si="6"/>
        <v>черный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3" t="str">
        <f ca="1"/>
        <v>88-331-09-00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09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88-330-80</v>
      </c>
      <c r="B20" s="107" t="str">
        <f ca="1">_xlfn.LET(_xlpm.CAPS,0,_xlpm.Style,TRIM(_xlfn.XLOOKUP($A20,Строчный!$A:$A,Строчный!B:B,"ERR",0)),IF(_xlpm.CAPS=0,_xlpm.Style,UPPER(_xlpm.Style)))</f>
        <v>CL/OP1/1/SKU1 One Piece Skull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81" t="str">
        <f ca="1">PROPER(TRIM(_xlfn.XLOOKUP($A20,Строчный!$A:$A,Строчный!E:E,"ERR",0)))</f>
        <v>Capslab-One Piece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CAPSLAB</v>
      </c>
      <c r="H20" s="81" t="str">
        <f ca="1">LOWER(TRIM(_xlfn.XLOOKUP($A20,Строчный!$A:$A,Строчный!H:H,"ERR",0)))</f>
        <v>grey</v>
      </c>
      <c r="I20" s="81" t="str">
        <f ca="1">LOWER(TRIM(_xlfn.XLOOKUP($A20,Строчный!$A:$A,Строчный!I:I,"ERR",0)))</f>
        <v>серый</v>
      </c>
      <c r="J20" s="81" t="str">
        <f ca="1">SUBSTITUTE(LOWER(TRIM(_xlfn.XLOOKUP($A20,Строчный!$A:$A,Строчный!J:J,"ERR",0))),"подклад","Подклад")</f>
        <v>50% хлопок - 50% полиэстер</v>
      </c>
      <c r="K20" s="81" t="str">
        <f ca="1">LOWER(TRIM(_xlfn.XLOOKUP($A20,Строчный!$A:$A,Строчный!K:K,"ERR",0)))</f>
        <v>хлопковые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>COMICS</v>
      </c>
      <c r="O20" s="102" t="str">
        <f ca="1">PROPER(TRIM(_xlfn.XLOOKUP($A20,Строчный!$A:$A,Строчный!P:P,"ERR",0)))</f>
        <v>One Piece</v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1352</v>
      </c>
      <c r="R20" s="89" t="str">
        <f ca="1">_xlfn.XLOOKUP($G20,Фабрика!A:A,Фабрика!B:B,"ERR",0)</f>
        <v>TEXTISS S.A.S; Zone d' Activité de l'Etang, 26780 Chåteauneuf Du Rhöne, France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48</v>
      </c>
      <c r="U20" s="14" t="s">
        <v>265</v>
      </c>
      <c r="V20" s="101" t="str">
        <f t="shared" ca="1" si="3"/>
        <v>Бейсболка CAPSLAB арт. CL/OP1/1/SKU1 One Piece Skull (серый)</v>
      </c>
      <c r="W20" s="100" t="str">
        <f t="shared" ca="1" si="4"/>
        <v>Бейсболка CAPSLAB арт. CL/OP1/1/SKU1 One Piece Skull (серый) {grey}</v>
      </c>
      <c r="X20" s="18" t="str">
        <f t="shared" ca="1" si="5"/>
        <v>серый</v>
      </c>
      <c r="Y20" s="18" t="str">
        <f t="shared" ca="1" si="6"/>
        <v>серый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серый</v>
      </c>
      <c r="AA20" s="73" t="str">
        <f ca="1"/>
        <v>88-330-80-00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80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88-329-09</v>
      </c>
      <c r="B21" s="107" t="str">
        <f ca="1">_xlfn.LET(_xlpm.CAPS,0,_xlpm.Style,TRIM(_xlfn.XLOOKUP($A21,Строчный!$A:$A,Строчный!B:B,"ERR",0)),IF(_xlpm.CAPS=0,_xlpm.Style,UPPER(_xlpm.Style)))</f>
        <v>CL/OP1/1/LUF2 One Piece Luffy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81" t="str">
        <f ca="1">PROPER(TRIM(_xlfn.XLOOKUP($A21,Строчный!$A:$A,Строчный!E:E,"ERR",0)))</f>
        <v>Capslab-One Piece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CAPSLAB</v>
      </c>
      <c r="H21" s="81" t="str">
        <f ca="1">LOWER(TRIM(_xlfn.XLOOKUP($A21,Строчный!$A:$A,Строчный!H:H,"ERR",0)))</f>
        <v>black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50% хлопок - 50% полиэстер</v>
      </c>
      <c r="K21" s="81" t="str">
        <f ca="1">LOWER(TRIM(_xlfn.XLOOKUP($A21,Строчный!$A:$A,Строчный!K:K,"ERR",0)))</f>
        <v>хлопковые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>COMICS</v>
      </c>
      <c r="O21" s="102" t="str">
        <f ca="1">PROPER(TRIM(_xlfn.XLOOKUP($A21,Строчный!$A:$A,Строчный!P:P,"ERR",0)))</f>
        <v>One Piece</v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1352</v>
      </c>
      <c r="R21" s="89" t="str">
        <f ca="1">_xlfn.XLOOKUP($G21,Фабрика!A:A,Фабрика!B:B,"ERR",0)</f>
        <v>TEXTISS S.A.S; Zone d' Activité de l'Etang, 26780 Chåteauneuf Du Rhöne, France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18</v>
      </c>
      <c r="U21" s="14" t="s">
        <v>265</v>
      </c>
      <c r="V21" s="101" t="str">
        <f t="shared" ca="1" si="3"/>
        <v>Бейсболка CAPSLAB арт. CL/OP1/1/LUF2 One Piece Luffy (черный)</v>
      </c>
      <c r="W21" s="100" t="str">
        <f t="shared" ca="1" si="4"/>
        <v>Бейсболка CAPSLAB арт. CL/OP1/1/LUF2 One Piece Luffy (черный) {black}</v>
      </c>
      <c r="X21" s="18" t="str">
        <f t="shared" ca="1" si="5"/>
        <v>черный</v>
      </c>
      <c r="Y21" s="18" t="str">
        <f t="shared" ca="1" si="6"/>
        <v>черный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88-329-09-00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09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88-328-08</v>
      </c>
      <c r="B22" s="107" t="str">
        <f ca="1">_xlfn.LET(_xlpm.CAPS,0,_xlpm.Style,TRIM(_xlfn.XLOOKUP($A22,Строчный!$A:$A,Строчный!B:B,"ERR",0)),IF(_xlpm.CAPS=0,_xlpm.Style,UPPER(_xlpm.Style)))</f>
        <v>CL/OP1/1/LUF1 One Piece Luffy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81" t="str">
        <f ca="1">PROPER(TRIM(_xlfn.XLOOKUP($A22,Строчный!$A:$A,Строчный!E:E,"ERR",0)))</f>
        <v>Capslab-One Piece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CAPSLAB</v>
      </c>
      <c r="H22" s="81" t="str">
        <f ca="1">LOWER(TRIM(_xlfn.XLOOKUP($A22,Строчный!$A:$A,Строчный!H:H,"ERR",0)))</f>
        <v>grey</v>
      </c>
      <c r="I22" s="81" t="str">
        <f ca="1">LOWER(TRIM(_xlfn.XLOOKUP($A22,Строчный!$A:$A,Строчный!I:I,"ERR",0)))</f>
        <v>серый / красный</v>
      </c>
      <c r="J22" s="81" t="str">
        <f ca="1">SUBSTITUTE(LOWER(TRIM(_xlfn.XLOOKUP($A22,Строчный!$A:$A,Строчный!J:J,"ERR",0))),"подклад","Подклад")</f>
        <v>80% полиэстер - 20% хлопок</v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>COMICS</v>
      </c>
      <c r="O22" s="102" t="str">
        <f ca="1">PROPER(TRIM(_xlfn.XLOOKUP($A22,Строчный!$A:$A,Строчный!P:P,"ERR",0)))</f>
        <v>One Piece</v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1352</v>
      </c>
      <c r="R22" s="89" t="str">
        <f ca="1">_xlfn.XLOOKUP($G22,Фабрика!A:A,Фабрика!B:B,"ERR",0)</f>
        <v>TEXTISS S.A.S; Zone d' Activité de l'Etang, 26780 Chåteauneuf Du Rhöne, France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12</v>
      </c>
      <c r="U22" s="14" t="s">
        <v>265</v>
      </c>
      <c r="V22" s="101" t="str">
        <f t="shared" ca="1" si="3"/>
        <v>Бейсболка CAPSLAB арт. CL/OP1/1/LUF1 One Piece Luffy (серый / красный)</v>
      </c>
      <c r="W22" s="100" t="str">
        <f t="shared" ca="1" si="4"/>
        <v>Бейсболка CAPSLAB арт. CL/OP1/1/LUF1 One Piece Luffy (серый / красный) {grey}</v>
      </c>
      <c r="X22" s="18" t="str">
        <f t="shared" ca="1" si="5"/>
        <v>серый</v>
      </c>
      <c r="Y22" s="18" t="str">
        <f t="shared" ca="1" si="6"/>
        <v>красный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серый</v>
      </c>
      <c r="AA22" s="73" t="str">
        <f ca="1"/>
        <v>88-328-08-00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08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88-327-09</v>
      </c>
      <c r="B23" s="107" t="str">
        <f ca="1">_xlfn.LET(_xlpm.CAPS,0,_xlpm.Style,TRIM(_xlfn.XLOOKUP($A23,Строчный!$A:$A,Строчный!B:B,"ERR",0)),IF(_xlpm.CAPS=0,_xlpm.Style,UPPER(_xlpm.Style)))</f>
        <v>CL/OP/TAG/1/LOG2 One Piece Skull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Capslab-One Piece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CAPSLAB</v>
      </c>
      <c r="H23" s="81" t="str">
        <f ca="1">LOWER(TRIM(_xlfn.XLOOKUP($A23,Строчный!$A:$A,Строчный!H:H,"ERR",0)))</f>
        <v>black</v>
      </c>
      <c r="I23" s="81" t="str">
        <f ca="1">LOWER(TRIM(_xlfn.XLOOKUP($A23,Строчный!$A:$A,Строчный!I:I,"ERR",0)))</f>
        <v>черный</v>
      </c>
      <c r="J23" s="81" t="str">
        <f ca="1">SUBSTITUTE(LOWER(TRIM(_xlfn.XLOOKUP($A23,Строчный!$A:$A,Строчный!J:J,"ERR",0))),"подклад","Подклад")</f>
        <v>100% полиэстер</v>
      </c>
      <c r="K23" s="81" t="str">
        <f ca="1">LOWER(TRIM(_xlfn.XLOOKUP($A23,Строчный!$A:$A,Строчный!K:K,"ERR",0)))</f>
        <v/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>COMICS</v>
      </c>
      <c r="O23" s="102" t="str">
        <f ca="1">PROPER(TRIM(_xlfn.XLOOKUP($A23,Строчный!$A:$A,Строчный!P:P,"ERR",0)))</f>
        <v>One Piece</v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1352</v>
      </c>
      <c r="R23" s="89" t="str">
        <f ca="1">_xlfn.XLOOKUP($G23,Фабрика!A:A,Фабрика!B:B,"ERR",0)</f>
        <v>TEXTISS S.A.S; Zone d' Activité de l'Etang, 26780 Chåteauneuf Du Rhöne, France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24</v>
      </c>
      <c r="U23" s="14" t="s">
        <v>265</v>
      </c>
      <c r="V23" s="101" t="str">
        <f t="shared" ca="1" si="3"/>
        <v>Бейсболка CAPSLAB арт. CL/OP/TAG/1/LOG2 One Piece Skull (черный)</v>
      </c>
      <c r="W23" s="100" t="str">
        <f t="shared" ca="1" si="4"/>
        <v>Бейсболка CAPSLAB арт. CL/OP/TAG/1/LOG2 One Piece Skull (черный) {black}</v>
      </c>
      <c r="X23" s="18" t="str">
        <f t="shared" ca="1" si="5"/>
        <v>черный</v>
      </c>
      <c r="Y23" s="18" t="str">
        <f t="shared" ca="1" si="6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73" t="str">
        <f ca="1"/>
        <v>88-327-09-00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09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0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88-326-09</v>
      </c>
      <c r="B24" s="107" t="str">
        <f ca="1">_xlfn.LET(_xlpm.CAPS,0,_xlpm.Style,TRIM(_xlfn.XLOOKUP($A24,Строчный!$A:$A,Строчный!B:B,"ERR",0)),IF(_xlpm.CAPS=0,_xlpm.Style,UPPER(_xlpm.Style)))</f>
        <v>CL/OP/TAG/1/LOG1 One Piece Skull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</v>
      </c>
      <c r="E24" s="81" t="str">
        <f ca="1">PROPER(TRIM(_xlfn.XLOOKUP($A24,Строчный!$A:$A,Строчный!E:E,"ERR",0)))</f>
        <v>Capslab-One Piece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CAPSLAB</v>
      </c>
      <c r="H24" s="81" t="str">
        <f ca="1">LOWER(TRIM(_xlfn.XLOOKUP($A24,Строчный!$A:$A,Строчный!H:H,"ERR",0)))</f>
        <v>black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100% полиэстер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>COMICS</v>
      </c>
      <c r="O24" s="102" t="str">
        <f ca="1">PROPER(TRIM(_xlfn.XLOOKUP($A24,Строчный!$A:$A,Строчный!P:P,"ERR",0)))</f>
        <v>One Piece</v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1352</v>
      </c>
      <c r="R24" s="89" t="str">
        <f ca="1">_xlfn.XLOOKUP($G24,Фабрика!A:A,Фабрика!B:B,"ERR",0)</f>
        <v>TEXTISS S.A.S; Zone d' Activité de l'Etang, 26780 Chåteauneuf Du Rhöne, France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48</v>
      </c>
      <c r="U24" s="14" t="s">
        <v>265</v>
      </c>
      <c r="V24" s="101" t="str">
        <f t="shared" ca="1" si="3"/>
        <v>Бейсболка CAPSLAB арт. CL/OP/TAG/1/LOG1 One Piece Skull (черный)</v>
      </c>
      <c r="W24" s="100" t="str">
        <f t="shared" ca="1" si="4"/>
        <v>Бейсболка CAPSLAB арт. CL/OP/TAG/1/LOG1 One Piece Skull (черный) {black}</v>
      </c>
      <c r="X24" s="18" t="str">
        <f t="shared" ca="1" si="5"/>
        <v>черный</v>
      </c>
      <c r="Y24" s="18" t="str">
        <f t="shared" ca="1" si="6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88-326-09-00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88-325-09</v>
      </c>
      <c r="B25" s="107" t="str">
        <f ca="1">_xlfn.LET(_xlpm.CAPS,0,_xlpm.Style,TRIM(_xlfn.XLOOKUP($A25,Строчный!$A:$A,Строчный!B:B,"ERR",0)),IF(_xlpm.CAPS=0,_xlpm.Style,UPPER(_xlpm.Style)))</f>
        <v>CL/NS/1/NAR2 Naruto Naruto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сеточкой</v>
      </c>
      <c r="E25" s="81" t="str">
        <f ca="1">PROPER(TRIM(_xlfn.XLOOKUP($A25,Строчный!$A:$A,Строчный!E:E,"ERR",0)))</f>
        <v>Capslab-Naruto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CAPSLAB</v>
      </c>
      <c r="H25" s="81" t="str">
        <f ca="1">LOWER(TRIM(_xlfn.XLOOKUP($A25,Строчный!$A:$A,Строчный!H:H,"ERR",0)))</f>
        <v>black</v>
      </c>
      <c r="I25" s="81" t="str">
        <f ca="1">LOWER(TRIM(_xlfn.XLOOKUP($A25,Строчный!$A:$A,Строчный!I:I,"ERR",0)))</f>
        <v>черный</v>
      </c>
      <c r="J25" s="81" t="str">
        <f ca="1">SUBSTITUTE(LOWER(TRIM(_xlfn.XLOOKUP($A25,Строчный!$A:$A,Строчный!J:J,"ERR",0))),"подклад","Подклад")</f>
        <v>50% хлопок - 50% полиэстер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>COMICS</v>
      </c>
      <c r="O25" s="102" t="str">
        <f ca="1">PROPER(TRIM(_xlfn.XLOOKUP($A25,Строчный!$A:$A,Строчный!P:P,"ERR",0)))</f>
        <v>Naruto</v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1352</v>
      </c>
      <c r="R25" s="89" t="str">
        <f ca="1">_xlfn.XLOOKUP($G25,Фабрика!A:A,Фабрика!B:B,"ERR",0)</f>
        <v>TEXTISS S.A.S; Zone d' Activité de l'Etang, 26780 Chåteauneuf Du Rhöne, France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24</v>
      </c>
      <c r="U25" s="14" t="s">
        <v>265</v>
      </c>
      <c r="V25" s="101" t="str">
        <f t="shared" ca="1" si="3"/>
        <v>Бейсболка CAPSLAB арт. CL/NS/1/NAR2 Naruto Naruto (черный)</v>
      </c>
      <c r="W25" s="100" t="str">
        <f t="shared" ca="1" si="4"/>
        <v>Бейсболка CAPSLAB арт. CL/NS/1/NAR2 Naruto Naruto (черный) {black}</v>
      </c>
      <c r="X25" s="18" t="str">
        <f t="shared" ca="1" si="5"/>
        <v>черный</v>
      </c>
      <c r="Y25" s="18" t="str">
        <f t="shared" ca="1" si="6"/>
        <v>черный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черный</v>
      </c>
      <c r="AA25" s="73" t="str">
        <f ca="1"/>
        <v>88-325-09-00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09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88-324-09</v>
      </c>
      <c r="B26" s="107" t="str">
        <f ca="1">_xlfn.LET(_xlpm.CAPS,0,_xlpm.Style,TRIM(_xlfn.XLOOKUP($A26,Строчный!$A:$A,Строчный!B:B,"ERR",0)),IF(_xlpm.CAPS=0,_xlpm.Style,UPPER(_xlpm.Style)))</f>
        <v>CL/NS/1/KAK2 Naruto Kakashi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сеточкой</v>
      </c>
      <c r="E26" s="81" t="str">
        <f ca="1">PROPER(TRIM(_xlfn.XLOOKUP($A26,Строчный!$A:$A,Строчный!E:E,"ERR",0)))</f>
        <v>Capslab-Naruto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CAPSLAB</v>
      </c>
      <c r="H26" s="81" t="str">
        <f ca="1">LOWER(TRIM(_xlfn.XLOOKUP($A26,Строчный!$A:$A,Строчный!H:H,"ERR",0)))</f>
        <v>black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50% хлопок - 50% полиэстер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>COMICS</v>
      </c>
      <c r="O26" s="102" t="str">
        <f ca="1">PROPER(TRIM(_xlfn.XLOOKUP($A26,Строчный!$A:$A,Строчный!P:P,"ERR",0)))</f>
        <v>Naruto</v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1352</v>
      </c>
      <c r="R26" s="89" t="str">
        <f ca="1">_xlfn.XLOOKUP($G26,Фабрика!A:A,Фабрика!B:B,"ERR",0)</f>
        <v>TEXTISS S.A.S; Zone d' Activité de l'Etang, 26780 Chåteauneuf Du Rhöne, France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18</v>
      </c>
      <c r="U26" s="14" t="s">
        <v>265</v>
      </c>
      <c r="V26" s="101" t="str">
        <f t="shared" ca="1" si="3"/>
        <v>Бейсболка CAPSLAB арт. CL/NS/1/KAK2 Naruto Kakashi (черный)</v>
      </c>
      <c r="W26" s="100" t="str">
        <f t="shared" ca="1" si="4"/>
        <v>Бейсболка CAPSLAB арт. CL/NS/1/KAK2 Naruto Kakashi (черный) {black}</v>
      </c>
      <c r="X26" s="18" t="str">
        <f t="shared" ca="1" si="5"/>
        <v>черный</v>
      </c>
      <c r="Y26" s="18" t="str">
        <f t="shared" ca="1" si="6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88-324-09-00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88-323-09</v>
      </c>
      <c r="B27" s="107" t="str">
        <f ca="1">_xlfn.LET(_xlpm.CAPS,0,_xlpm.Style,TRIM(_xlfn.XLOOKUP($A27,Строчный!$A:$A,Строчный!B:B,"ERR",0)),IF(_xlpm.CAPS=0,_xlpm.Style,UPPER(_xlpm.Style)))</f>
        <v>CL/NS/1/BAN Naruto Symbol Ninja Village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сеточкой</v>
      </c>
      <c r="E27" s="81" t="str">
        <f ca="1">PROPER(TRIM(_xlfn.XLOOKUP($A27,Строчный!$A:$A,Строчный!E:E,"ERR",0)))</f>
        <v>Capslab-Naruto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CAPSLAB</v>
      </c>
      <c r="H27" s="81" t="str">
        <f ca="1">LOWER(TRIM(_xlfn.XLOOKUP($A27,Строчный!$A:$A,Строчный!H:H,"ERR",0)))</f>
        <v>black</v>
      </c>
      <c r="I27" s="81" t="str">
        <f ca="1">LOWER(TRIM(_xlfn.XLOOKUP($A27,Строчный!$A:$A,Строчный!I:I,"ERR",0)))</f>
        <v>черный</v>
      </c>
      <c r="J27" s="81" t="str">
        <f ca="1">SUBSTITUTE(LOWER(TRIM(_xlfn.XLOOKUP($A27,Строчный!$A:$A,Строчный!J:J,"ERR",0))),"подклад","Подклад")</f>
        <v>50% хлопок - 50% полиэстер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>COMICS</v>
      </c>
      <c r="O27" s="102" t="str">
        <f ca="1">PROPER(TRIM(_xlfn.XLOOKUP($A27,Строчный!$A:$A,Строчный!P:P,"ERR",0)))</f>
        <v>Naruto</v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1352</v>
      </c>
      <c r="R27" s="89" t="str">
        <f ca="1">_xlfn.XLOOKUP($G27,Фабрика!A:A,Фабрика!B:B,"ERR",0)</f>
        <v>TEXTISS S.A.S; Zone d' Activité de l'Etang, 26780 Chåteauneuf Du Rhöne, France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30</v>
      </c>
      <c r="U27" s="14" t="s">
        <v>265</v>
      </c>
      <c r="V27" s="101" t="str">
        <f t="shared" ca="1" si="3"/>
        <v>Бейсболка CAPSLAB арт. CL/NS/1/BAN Naruto Symbol Ninja Village (черный)</v>
      </c>
      <c r="W27" s="100" t="str">
        <f t="shared" ca="1" si="4"/>
        <v>Бейсболка CAPSLAB арт. CL/NS/1/BAN Naruto Symbol Ninja Village (черный) {black}</v>
      </c>
      <c r="X27" s="18" t="str">
        <f t="shared" ca="1" si="5"/>
        <v>черный</v>
      </c>
      <c r="Y27" s="18" t="str">
        <f t="shared" ca="1" si="6"/>
        <v>черный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черный</v>
      </c>
      <c r="AA27" s="73" t="str">
        <f ca="1"/>
        <v>88-323-09-00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09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88-322-00</v>
      </c>
      <c r="B28" s="107" t="str">
        <f ca="1">_xlfn.LET(_xlpm.CAPS,0,_xlpm.Style,TRIM(_xlfn.XLOOKUP($A28,Строчный!$A:$A,Строчный!B:B,"ERR",0)),IF(_xlpm.CAPS=0,_xlpm.Style,UPPER(_xlpm.Style)))</f>
        <v>CL/MAR4/1/WOL2 Marvel Wolverine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сеточкой</v>
      </c>
      <c r="E28" s="81" t="str">
        <f ca="1">PROPER(TRIM(_xlfn.XLOOKUP($A28,Строчный!$A:$A,Строчный!E:E,"ERR",0)))</f>
        <v>Capslab-Marvel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CAPSLAB</v>
      </c>
      <c r="H28" s="81" t="str">
        <f ca="1">LOWER(TRIM(_xlfn.XLOOKUP($A28,Строчный!$A:$A,Строчный!H:H,"ERR",0)))</f>
        <v>white</v>
      </c>
      <c r="I28" s="81" t="str">
        <f ca="1">LOWER(TRIM(_xlfn.XLOOKUP($A28,Строчный!$A:$A,Строчный!I:I,"ERR",0)))</f>
        <v>белый / желтый</v>
      </c>
      <c r="J28" s="81" t="str">
        <f ca="1">SUBSTITUTE(LOWER(TRIM(_xlfn.XLOOKUP($A28,Строчный!$A:$A,Строчный!J:J,"ERR",0))),"подклад","Подклад")</f>
        <v>50% хлопок - 50% полиэстер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>COMICS</v>
      </c>
      <c r="O28" s="102" t="str">
        <f ca="1">PROPER(TRIM(_xlfn.XLOOKUP($A28,Строчный!$A:$A,Строчный!P:P,"ERR",0)))</f>
        <v>Marvel</v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1352</v>
      </c>
      <c r="R28" s="89" t="str">
        <f ca="1">_xlfn.XLOOKUP($G28,Фабрика!A:A,Фабрика!B:B,"ERR",0)</f>
        <v>TEXTISS S.A.S; Zone d' Activité de l'Etang, 26780 Chåteauneuf Du Rhöne, France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72</v>
      </c>
      <c r="U28" s="14" t="s">
        <v>265</v>
      </c>
      <c r="V28" s="101" t="str">
        <f t="shared" ca="1" si="3"/>
        <v>Бейсболка CAPSLAB арт. CL/MAR4/1/WOL2 Marvel Wolverine (белый / желтый)</v>
      </c>
      <c r="W28" s="100" t="str">
        <f t="shared" ca="1" si="4"/>
        <v>Бейсболка CAPSLAB арт. CL/MAR4/1/WOL2 Marvel Wolverine (белый / желтый) {white}</v>
      </c>
      <c r="X28" s="18" t="str">
        <f t="shared" ca="1" si="5"/>
        <v>белый</v>
      </c>
      <c r="Y28" s="18" t="str">
        <f t="shared" ca="1" si="6"/>
        <v>желтый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белый</v>
      </c>
      <c r="AA28" s="73" t="str">
        <f ca="1"/>
        <v>88-322-00-00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00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88-321-78</v>
      </c>
      <c r="B29" s="107" t="str">
        <f ca="1">_xlfn.LET(_xlpm.CAPS,0,_xlpm.Style,TRIM(_xlfn.XLOOKUP($A29,Строчный!$A:$A,Строчный!B:B,"ERR",0)),IF(_xlpm.CAPS=0,_xlpm.Style,UPPER(_xlpm.Style)))</f>
        <v>CL/MAR4/1/WOL1 Marvel Wolverine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сеточкой</v>
      </c>
      <c r="E29" s="81" t="str">
        <f ca="1">PROPER(TRIM(_xlfn.XLOOKUP($A29,Строчный!$A:$A,Строчный!E:E,"ERR",0)))</f>
        <v>Capslab-Marvel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CAPSLAB</v>
      </c>
      <c r="H29" s="81" t="str">
        <f ca="1">LOWER(TRIM(_xlfn.XLOOKUP($A29,Строчный!$A:$A,Строчный!H:H,"ERR",0)))</f>
        <v>black</v>
      </c>
      <c r="I29" s="81" t="str">
        <f ca="1">LOWER(TRIM(_xlfn.XLOOKUP($A29,Строчный!$A:$A,Строчный!I:I,"ERR",0)))</f>
        <v>черный / синий</v>
      </c>
      <c r="J29" s="81" t="str">
        <f ca="1">SUBSTITUTE(LOWER(TRIM(_xlfn.XLOOKUP($A29,Строчный!$A:$A,Строчный!J:J,"ERR",0))),"подклад","Подклад")</f>
        <v>50% хлопок - 50% полиэстер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>COMICS</v>
      </c>
      <c r="O29" s="102" t="str">
        <f ca="1">PROPER(TRIM(_xlfn.XLOOKUP($A29,Строчный!$A:$A,Строчный!P:P,"ERR",0)))</f>
        <v>Marvel</v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1352</v>
      </c>
      <c r="R29" s="89" t="str">
        <f ca="1">_xlfn.XLOOKUP($G29,Фабрика!A:A,Фабрика!B:B,"ERR",0)</f>
        <v>TEXTISS S.A.S; Zone d' Activité de l'Etang, 26780 Chåteauneuf Du Rhöne, France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96</v>
      </c>
      <c r="U29" s="14" t="s">
        <v>265</v>
      </c>
      <c r="V29" s="101" t="str">
        <f t="shared" ca="1" si="3"/>
        <v>Бейсболка CAPSLAB арт. CL/MAR4/1/WOL1 Marvel Wolverine (черный / синий)</v>
      </c>
      <c r="W29" s="100" t="str">
        <f t="shared" ca="1" si="4"/>
        <v>Бейсболка CAPSLAB арт. CL/MAR4/1/WOL1 Marvel Wolverine (черный / синий) {black}</v>
      </c>
      <c r="X29" s="18" t="str">
        <f t="shared" ca="1" si="5"/>
        <v>черный</v>
      </c>
      <c r="Y29" s="18" t="str">
        <f t="shared" ca="1" si="6"/>
        <v>синий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88-321-78-00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78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88-320-72</v>
      </c>
      <c r="B30" s="107" t="str">
        <f ca="1">_xlfn.LET(_xlpm.CAPS,0,_xlpm.Style,TRIM(_xlfn.XLOOKUP($A30,Строчный!$A:$A,Строчный!B:B,"ERR",0)),IF(_xlpm.CAPS=0,_xlpm.Style,UPPER(_xlpm.Style)))</f>
        <v>CL/MAR4/1/DEA3 Marvel Deadpool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 с сеточкой</v>
      </c>
      <c r="E30" s="81" t="str">
        <f ca="1">PROPER(TRIM(_xlfn.XLOOKUP($A30,Строчный!$A:$A,Строчный!E:E,"ERR",0)))</f>
        <v>Capslab-Marvel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CAPSLAB</v>
      </c>
      <c r="H30" s="81" t="str">
        <f ca="1">LOWER(TRIM(_xlfn.XLOOKUP($A30,Строчный!$A:$A,Строчный!H:H,"ERR",0)))</f>
        <v>black</v>
      </c>
      <c r="I30" s="81" t="str">
        <f ca="1">LOWER(TRIM(_xlfn.XLOOKUP($A30,Строчный!$A:$A,Строчный!I:I,"ERR",0)))</f>
        <v>черный / красный</v>
      </c>
      <c r="J30" s="81" t="str">
        <f ca="1">SUBSTITUTE(LOWER(TRIM(_xlfn.XLOOKUP($A30,Строчный!$A:$A,Строчный!J:J,"ERR",0))),"подклад","Подклад")</f>
        <v>50% хлопок - 50% полиэстер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>COMICS</v>
      </c>
      <c r="O30" s="102" t="str">
        <f ca="1">PROPER(TRIM(_xlfn.XLOOKUP($A30,Строчный!$A:$A,Строчный!P:P,"ERR",0)))</f>
        <v>Marvel</v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1352</v>
      </c>
      <c r="R30" s="89" t="str">
        <f ca="1">_xlfn.XLOOKUP($G30,Фабрика!A:A,Фабрика!B:B,"ERR",0)</f>
        <v>TEXTISS S.A.S; Zone d' Activité de l'Etang, 26780 Chåteauneuf Du Rhöne, France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144</v>
      </c>
      <c r="U30" s="14" t="s">
        <v>265</v>
      </c>
      <c r="V30" s="101" t="str">
        <f t="shared" ca="1" si="3"/>
        <v>Бейсболка CAPSLAB арт. CL/MAR4/1/DEA3 Marvel Deadpool (черный / красный)</v>
      </c>
      <c r="W30" s="100" t="str">
        <f t="shared" ca="1" si="4"/>
        <v>Бейсболка CAPSLAB арт. CL/MAR4/1/DEA3 Marvel Deadpool (черный / красный) {black}</v>
      </c>
      <c r="X30" s="18" t="str">
        <f t="shared" ca="1" si="5"/>
        <v>черный</v>
      </c>
      <c r="Y30" s="18" t="str">
        <f t="shared" ca="1" si="6"/>
        <v>красный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88-320-72-00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72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88-319-47</v>
      </c>
      <c r="B31" s="107" t="str">
        <f ca="1">_xlfn.LET(_xlpm.CAPS,0,_xlpm.Style,TRIM(_xlfn.XLOOKUP($A31,Строчный!$A:$A,Строчный!B:B,"ERR",0)),IF(_xlpm.CAPS=0,_xlpm.Style,UPPER(_xlpm.Style)))</f>
        <v>CL/MAR4/1/DEA2 Marvel Deadpool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сеточкой</v>
      </c>
      <c r="E31" s="81" t="str">
        <f ca="1">PROPER(TRIM(_xlfn.XLOOKUP($A31,Строчный!$A:$A,Строчный!E:E,"ERR",0)))</f>
        <v>Capslab-Marvel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CAPSLAB</v>
      </c>
      <c r="H31" s="81" t="str">
        <f ca="1">LOWER(TRIM(_xlfn.XLOOKUP($A31,Строчный!$A:$A,Строчный!H:H,"ERR",0)))</f>
        <v>black</v>
      </c>
      <c r="I31" s="81" t="str">
        <f ca="1">LOWER(TRIM(_xlfn.XLOOKUP($A31,Строчный!$A:$A,Строчный!I:I,"ERR",0)))</f>
        <v>серый / черный</v>
      </c>
      <c r="J31" s="81" t="str">
        <f ca="1">SUBSTITUTE(LOWER(TRIM(_xlfn.XLOOKUP($A31,Строчный!$A:$A,Строчный!J:J,"ERR",0))),"подклад","Подклад")</f>
        <v>60% полиэстер - 40% хлопок</v>
      </c>
      <c r="K31" s="81" t="str">
        <f ca="1">LOWER(TRIM(_xlfn.XLOOKUP($A31,Строчный!$A:$A,Строчный!K:K,"ERR",0)))</f>
        <v/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>COMICS</v>
      </c>
      <c r="O31" s="102" t="str">
        <f ca="1">PROPER(TRIM(_xlfn.XLOOKUP($A31,Строчный!$A:$A,Строчный!P:P,"ERR",0)))</f>
        <v>Marvel</v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1352</v>
      </c>
      <c r="R31" s="89" t="str">
        <f ca="1">_xlfn.XLOOKUP($G31,Фабрика!A:A,Фабрика!B:B,"ERR",0)</f>
        <v>TEXTISS S.A.S; Zone d' Activité de l'Etang, 26780 Chåteauneuf Du Rhöne, France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144</v>
      </c>
      <c r="U31" s="14" t="s">
        <v>265</v>
      </c>
      <c r="V31" s="101" t="str">
        <f t="shared" ca="1" si="3"/>
        <v>Бейсболка CAPSLAB арт. CL/MAR4/1/DEA2 Marvel Deadpool (серый / черный)</v>
      </c>
      <c r="W31" s="100" t="str">
        <f t="shared" ca="1" si="4"/>
        <v>Бейсболка CAPSLAB арт. CL/MAR4/1/DEA2 Marvel Deadpool (серый / черный) {black}</v>
      </c>
      <c r="X31" s="18" t="str">
        <f t="shared" ca="1" si="5"/>
        <v>серый</v>
      </c>
      <c r="Y31" s="18" t="str">
        <f t="shared" ca="1" si="6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серый</v>
      </c>
      <c r="AA31" s="73" t="str">
        <f ca="1"/>
        <v>88-319-47-00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47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0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88-318-72</v>
      </c>
      <c r="B32" s="107" t="str">
        <f ca="1">_xlfn.LET(_xlpm.CAPS,0,_xlpm.Style,TRIM(_xlfn.XLOOKUP($A32,Строчный!$A:$A,Строчный!B:B,"ERR",0)),IF(_xlpm.CAPS=0,_xlpm.Style,UPPER(_xlpm.Style)))</f>
        <v>CL/MAR4/1/DEA1 Marvel Deadpool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сеточкой</v>
      </c>
      <c r="E32" s="81" t="str">
        <f ca="1">PROPER(TRIM(_xlfn.XLOOKUP($A32,Строчный!$A:$A,Строчный!E:E,"ERR",0)))</f>
        <v>Capslab-Marvel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CAPSLAB</v>
      </c>
      <c r="H32" s="81" t="str">
        <f ca="1">LOWER(TRIM(_xlfn.XLOOKUP($A32,Строчный!$A:$A,Строчный!H:H,"ERR",0)))</f>
        <v>black</v>
      </c>
      <c r="I32" s="81" t="str">
        <f ca="1">LOWER(TRIM(_xlfn.XLOOKUP($A32,Строчный!$A:$A,Строчный!I:I,"ERR",0)))</f>
        <v>черный / красный</v>
      </c>
      <c r="J32" s="81" t="str">
        <f ca="1">SUBSTITUTE(LOWER(TRIM(_xlfn.XLOOKUP($A32,Строчный!$A:$A,Строчный!J:J,"ERR",0))),"подклад","Подклад")</f>
        <v>50% хлопок - 50% полиэстер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>COMICS</v>
      </c>
      <c r="O32" s="102" t="str">
        <f ca="1">PROPER(TRIM(_xlfn.XLOOKUP($A32,Строчный!$A:$A,Строчный!P:P,"ERR",0)))</f>
        <v>Marvel</v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1352</v>
      </c>
      <c r="R32" s="89" t="str">
        <f ca="1">_xlfn.XLOOKUP($G32,Фабрика!A:A,Фабрика!B:B,"ERR",0)</f>
        <v>TEXTISS S.A.S; Zone d' Activité de l'Etang, 26780 Chåteauneuf Du Rhöne, France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240</v>
      </c>
      <c r="U32" s="14" t="s">
        <v>265</v>
      </c>
      <c r="V32" s="101" t="str">
        <f t="shared" ca="1" si="3"/>
        <v>Бейсболка CAPSLAB арт. CL/MAR4/1/DEA1 Marvel Deadpool (черный / красный)</v>
      </c>
      <c r="W32" s="100" t="str">
        <f t="shared" ca="1" si="4"/>
        <v>Бейсболка CAPSLAB арт. CL/MAR4/1/DEA1 Marvel Deadpool (черный / красный) {black}</v>
      </c>
      <c r="X32" s="18" t="str">
        <f t="shared" ca="1" si="5"/>
        <v>черный</v>
      </c>
      <c r="Y32" s="18" t="str">
        <f t="shared" ca="1" si="6"/>
        <v>красный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3" t="str">
        <f ca="1"/>
        <v>88-318-72-00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72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88-317-72</v>
      </c>
      <c r="B33" s="107" t="str">
        <f ca="1">_xlfn.LET(_xlpm.CAPS,0,_xlpm.Style,TRIM(_xlfn.XLOOKUP($A33,Строчный!$A:$A,Строчный!B:B,"ERR",0)),IF(_xlpm.CAPS=0,_xlpm.Style,UPPER(_xlpm.Style)))</f>
        <v>CL/MAR3/1/VEN2 Marvel Venom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 с сеточкой</v>
      </c>
      <c r="E33" s="81" t="str">
        <f ca="1">PROPER(TRIM(_xlfn.XLOOKUP($A33,Строчный!$A:$A,Строчный!E:E,"ERR",0)))</f>
        <v>Capslab-Marvel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CAPSLAB</v>
      </c>
      <c r="H33" s="81" t="str">
        <f ca="1">LOWER(TRIM(_xlfn.XLOOKUP($A33,Строчный!$A:$A,Строчный!H:H,"ERR",0)))</f>
        <v>black</v>
      </c>
      <c r="I33" s="81" t="str">
        <f ca="1">LOWER(TRIM(_xlfn.XLOOKUP($A33,Строчный!$A:$A,Строчный!I:I,"ERR",0)))</f>
        <v>черный / белый</v>
      </c>
      <c r="J33" s="81" t="str">
        <f ca="1">SUBSTITUTE(LOWER(TRIM(_xlfn.XLOOKUP($A33,Строчный!$A:$A,Строчный!J:J,"ERR",0))),"подклад","Подклад")</f>
        <v>50% хлопок - 50% полиэстер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>COMICS</v>
      </c>
      <c r="O33" s="102" t="str">
        <f ca="1">PROPER(TRIM(_xlfn.XLOOKUP($A33,Строчный!$A:$A,Строчный!P:P,"ERR",0)))</f>
        <v>Marvel</v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1352</v>
      </c>
      <c r="R33" s="89" t="str">
        <f ca="1">_xlfn.XLOOKUP($G33,Фабрика!A:A,Фабрика!B:B,"ERR",0)</f>
        <v>TEXTISS S.A.S; Zone d' Activité de l'Etang, 26780 Chåteauneuf Du Rhöne, France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120</v>
      </c>
      <c r="U33" s="14" t="s">
        <v>265</v>
      </c>
      <c r="V33" s="101" t="str">
        <f t="shared" ca="1" si="3"/>
        <v>Бейсболка CAPSLAB арт. CL/MAR3/1/VEN2 Marvel Venom (черный / белый)</v>
      </c>
      <c r="W33" s="100" t="str">
        <f t="shared" ca="1" si="4"/>
        <v>Бейсболка CAPSLAB арт. CL/MAR3/1/VEN2 Marvel Venom (черный / белый) {black}</v>
      </c>
      <c r="X33" s="18" t="str">
        <f t="shared" ca="1" si="5"/>
        <v>черный</v>
      </c>
      <c r="Y33" s="18" t="str">
        <f t="shared" ca="1" si="6"/>
        <v>белый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черный</v>
      </c>
      <c r="AA33" s="73" t="str">
        <f ca="1"/>
        <v>88-317-72-00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72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88-316-72</v>
      </c>
      <c r="B34" s="107" t="str">
        <f ca="1">_xlfn.LET(_xlpm.CAPS,0,_xlpm.Style,TRIM(_xlfn.XLOOKUP($A34,Строчный!$A:$A,Строчный!B:B,"ERR",0)),IF(_xlpm.CAPS=0,_xlpm.Style,UPPER(_xlpm.Style)))</f>
        <v>CL/MAR3/1/VEN1 Marvel Venom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сеточкой</v>
      </c>
      <c r="E34" s="81" t="str">
        <f ca="1">PROPER(TRIM(_xlfn.XLOOKUP($A34,Строчный!$A:$A,Строчный!E:E,"ERR",0)))</f>
        <v>Capslab-Marvel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CAPSLAB</v>
      </c>
      <c r="H34" s="81" t="str">
        <f ca="1">LOWER(TRIM(_xlfn.XLOOKUP($A34,Строчный!$A:$A,Строчный!H:H,"ERR",0)))</f>
        <v>black</v>
      </c>
      <c r="I34" s="81" t="str">
        <f ca="1">LOWER(TRIM(_xlfn.XLOOKUP($A34,Строчный!$A:$A,Строчный!I:I,"ERR",0)))</f>
        <v>черный / белый</v>
      </c>
      <c r="J34" s="81" t="str">
        <f ca="1">SUBSTITUTE(LOWER(TRIM(_xlfn.XLOOKUP($A34,Строчный!$A:$A,Строчный!J:J,"ERR",0))),"подклад","Подклад")</f>
        <v>50% хлопок - 50% полиэстер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>COMICS</v>
      </c>
      <c r="O34" s="102" t="str">
        <f ca="1">PROPER(TRIM(_xlfn.XLOOKUP($A34,Строчный!$A:$A,Строчный!P:P,"ERR",0)))</f>
        <v>Marvel</v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1352</v>
      </c>
      <c r="R34" s="89" t="str">
        <f ca="1">_xlfn.XLOOKUP($G34,Фабрика!A:A,Фабрика!B:B,"ERR",0)</f>
        <v>TEXTISS S.A.S; Zone d' Activité de l'Etang, 26780 Chåteauneuf Du Rhöne, France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120</v>
      </c>
      <c r="U34" s="14" t="s">
        <v>265</v>
      </c>
      <c r="V34" s="101" t="str">
        <f t="shared" ca="1" si="3"/>
        <v>Бейсболка CAPSLAB арт. CL/MAR3/1/VEN1 Marvel Venom (черный / белый)</v>
      </c>
      <c r="W34" s="100" t="str">
        <f t="shared" ca="1" si="4"/>
        <v>Бейсболка CAPSLAB арт. CL/MAR3/1/VEN1 Marvel Venom (черный / белый) {black}</v>
      </c>
      <c r="X34" s="18" t="str">
        <f t="shared" ca="1" si="5"/>
        <v>черный</v>
      </c>
      <c r="Y34" s="18" t="str">
        <f t="shared" ca="1" si="6"/>
        <v>белый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73" t="str">
        <f ca="1"/>
        <v>88-316-72-00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72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88-315-09</v>
      </c>
      <c r="B35" s="107" t="str">
        <f ca="1">_xlfn.LET(_xlpm.CAPS,0,_xlpm.Style,TRIM(_xlfn.XLOOKUP($A35,Строчный!$A:$A,Строчный!B:B,"ERR",0)),IF(_xlpm.CAPS=0,_xlpm.Style,UPPER(_xlpm.Style)))</f>
        <v>CL/MAR3/1/PAN1 Marvel Black Panther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сеточкой</v>
      </c>
      <c r="E35" s="81" t="str">
        <f ca="1">PROPER(TRIM(_xlfn.XLOOKUP($A35,Строчный!$A:$A,Строчный!E:E,"ERR",0)))</f>
        <v>Capslab-Marvel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CAPSLAB</v>
      </c>
      <c r="H35" s="81" t="str">
        <f ca="1">LOWER(TRIM(_xlfn.XLOOKUP($A35,Строчный!$A:$A,Строчный!H:H,"ERR",0)))</f>
        <v>black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50% хлопок - 50% полиэстер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>COMICS</v>
      </c>
      <c r="O35" s="102" t="str">
        <f ca="1">PROPER(TRIM(_xlfn.XLOOKUP($A35,Строчный!$A:$A,Строчный!P:P,"ERR",0)))</f>
        <v>Marvel</v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1352</v>
      </c>
      <c r="R35" s="89" t="str">
        <f ca="1">_xlfn.XLOOKUP($G35,Фабрика!A:A,Фабрика!B:B,"ERR",0)</f>
        <v>TEXTISS S.A.S; Zone d' Activité de l'Etang, 26780 Chåteauneuf Du Rhöne, France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72</v>
      </c>
      <c r="U35" s="14" t="s">
        <v>265</v>
      </c>
      <c r="V35" s="101" t="str">
        <f t="shared" ca="1" si="3"/>
        <v>Бейсболка CAPSLAB арт. CL/MAR3/1/PAN1 Marvel Black Panther (черный)</v>
      </c>
      <c r="W35" s="100" t="str">
        <f t="shared" ca="1" si="4"/>
        <v>Бейсболка CAPSLAB арт. CL/MAR3/1/PAN1 Marvel Black Panther (черный) {black}</v>
      </c>
      <c r="X35" s="18" t="str">
        <f t="shared" ca="1" si="5"/>
        <v>черный</v>
      </c>
      <c r="Y35" s="18" t="str">
        <f t="shared" ca="1" si="6"/>
        <v>черный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3" t="str">
        <f ca="1"/>
        <v>88-315-09-00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09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88-314-80</v>
      </c>
      <c r="B36" s="107" t="str">
        <f ca="1">_xlfn.LET(_xlpm.CAPS,0,_xlpm.Style,TRIM(_xlfn.XLOOKUP($A36,Строчный!$A:$A,Строчный!B:B,"ERR",0)),IF(_xlpm.CAPS=0,_xlpm.Style,UPPER(_xlpm.Style)))</f>
        <v>CL/MAR3/1/HUL2 Marvel Hulk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 с сеточкой</v>
      </c>
      <c r="E36" s="81" t="str">
        <f ca="1">PROPER(TRIM(_xlfn.XLOOKUP($A36,Строчный!$A:$A,Строчный!E:E,"ERR",0)))</f>
        <v>Capslab-Marvel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CAPSLAB</v>
      </c>
      <c r="H36" s="81" t="str">
        <f ca="1">LOWER(TRIM(_xlfn.XLOOKUP($A36,Строчный!$A:$A,Строчный!H:H,"ERR",0)))</f>
        <v>grey</v>
      </c>
      <c r="I36" s="81" t="str">
        <f ca="1">LOWER(TRIM(_xlfn.XLOOKUP($A36,Строчный!$A:$A,Строчный!I:I,"ERR",0)))</f>
        <v>серый</v>
      </c>
      <c r="J36" s="81" t="str">
        <f ca="1">SUBSTITUTE(LOWER(TRIM(_xlfn.XLOOKUP($A36,Строчный!$A:$A,Строчный!J:J,"ERR",0))),"подклад","Подклад")</f>
        <v>50% хлопок - 50% полиэстер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>COMICS</v>
      </c>
      <c r="O36" s="102" t="str">
        <f ca="1">PROPER(TRIM(_xlfn.XLOOKUP($A36,Строчный!$A:$A,Строчный!P:P,"ERR",0)))</f>
        <v>Marvel</v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1352</v>
      </c>
      <c r="R36" s="89" t="str">
        <f ca="1">_xlfn.XLOOKUP($G36,Фабрика!A:A,Фабрика!B:B,"ERR",0)</f>
        <v>TEXTISS S.A.S; Zone d' Activité de l'Etang, 26780 Chåteauneuf Du Rhöne, France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144</v>
      </c>
      <c r="U36" s="14" t="s">
        <v>265</v>
      </c>
      <c r="V36" s="101" t="str">
        <f t="shared" ca="1" si="3"/>
        <v>Бейсболка CAPSLAB арт. CL/MAR3/1/HUL2 Marvel Hulk (серый)</v>
      </c>
      <c r="W36" s="100" t="str">
        <f t="shared" ca="1" si="4"/>
        <v>Бейсболка CAPSLAB арт. CL/MAR3/1/HUL2 Marvel Hulk (серый) {grey}</v>
      </c>
      <c r="X36" s="18" t="str">
        <f t="shared" ca="1" si="5"/>
        <v>серый</v>
      </c>
      <c r="Y36" s="18" t="str">
        <f t="shared" ca="1" si="6"/>
        <v>серый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серый</v>
      </c>
      <c r="AA36" s="73" t="str">
        <f ca="1"/>
        <v>88-314-80-00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80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88-313-48</v>
      </c>
      <c r="B37" s="107" t="str">
        <f ca="1">_xlfn.LET(_xlpm.CAPS,0,_xlpm.Style,TRIM(_xlfn.XLOOKUP($A37,Строчный!$A:$A,Строчный!B:B,"ERR",0)),IF(_xlpm.CAPS=0,_xlpm.Style,UPPER(_xlpm.Style)))</f>
        <v>CL/MAR3/1/HUL1 Marvel Hulk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 с сеточкой</v>
      </c>
      <c r="E37" s="81" t="str">
        <f ca="1">PROPER(TRIM(_xlfn.XLOOKUP($A37,Строчный!$A:$A,Строчный!E:E,"ERR",0)))</f>
        <v>Capslab-Marvel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CAPSLAB</v>
      </c>
      <c r="H37" s="81" t="str">
        <f ca="1">LOWER(TRIM(_xlfn.XLOOKUP($A37,Строчный!$A:$A,Строчный!H:H,"ERR",0)))</f>
        <v>white</v>
      </c>
      <c r="I37" s="81" t="str">
        <f ca="1">LOWER(TRIM(_xlfn.XLOOKUP($A37,Строчный!$A:$A,Строчный!I:I,"ERR",0)))</f>
        <v>белый / черный</v>
      </c>
      <c r="J37" s="81" t="str">
        <f ca="1">SUBSTITUTE(LOWER(TRIM(_xlfn.XLOOKUP($A37,Строчный!$A:$A,Строчный!J:J,"ERR",0))),"подклад","Подклад")</f>
        <v>80% полиэстер - 20% хлопок</v>
      </c>
      <c r="K37" s="81" t="str">
        <f ca="1">LOWER(TRIM(_xlfn.XLOOKUP($A37,Строчный!$A:$A,Строчный!K:K,"ERR",0)))</f>
        <v/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>COMICS</v>
      </c>
      <c r="O37" s="102" t="str">
        <f ca="1">PROPER(TRIM(_xlfn.XLOOKUP($A37,Строчный!$A:$A,Строчный!P:P,"ERR",0)))</f>
        <v>Marvel</v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1352</v>
      </c>
      <c r="R37" s="89" t="str">
        <f ca="1">_xlfn.XLOOKUP($G37,Фабрика!A:A,Фабрика!B:B,"ERR",0)</f>
        <v>TEXTISS S.A.S; Zone d' Activité de l'Etang, 26780 Chåteauneuf Du Rhöne, France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144</v>
      </c>
      <c r="U37" s="14" t="s">
        <v>265</v>
      </c>
      <c r="V37" s="101" t="str">
        <f t="shared" ca="1" si="3"/>
        <v>Бейсболка CAPSLAB арт. CL/MAR3/1/HUL1 Marvel Hulk (белый / черный)</v>
      </c>
      <c r="W37" s="100" t="str">
        <f t="shared" ca="1" si="4"/>
        <v>Бейсболка CAPSLAB арт. CL/MAR3/1/HUL1 Marvel Hulk (белый / черный) {white}</v>
      </c>
      <c r="X37" s="18" t="str">
        <f t="shared" ca="1" si="5"/>
        <v>белый</v>
      </c>
      <c r="Y37" s="18" t="str">
        <f t="shared" ca="1" si="6"/>
        <v>черный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белый</v>
      </c>
      <c r="AA37" s="73" t="str">
        <f ca="1"/>
        <v>88-313-48-00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48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0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88-312-09</v>
      </c>
      <c r="B38" s="107" t="str">
        <f ca="1">_xlfn.LET(_xlpm.CAPS,0,_xlpm.Style,TRIM(_xlfn.XLOOKUP($A38,Строчный!$A:$A,Строчный!B:B,"ERR",0)),IF(_xlpm.CAPS=0,_xlpm.Style,UPPER(_xlpm.Style)))</f>
        <v>CL/MAR/TAG/1/DEA Marvel Deadpool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</v>
      </c>
      <c r="E38" s="81" t="str">
        <f ca="1">PROPER(TRIM(_xlfn.XLOOKUP($A38,Строчный!$A:$A,Строчный!E:E,"ERR",0)))</f>
        <v>Capslab-Marvel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CAPSLAB</v>
      </c>
      <c r="H38" s="81" t="str">
        <f ca="1">LOWER(TRIM(_xlfn.XLOOKUP($A38,Строчный!$A:$A,Строчный!H:H,"ERR",0)))</f>
        <v>black</v>
      </c>
      <c r="I38" s="81" t="str">
        <f ca="1">LOWER(TRIM(_xlfn.XLOOKUP($A38,Строчный!$A:$A,Строчный!I:I,"ERR",0)))</f>
        <v>черный</v>
      </c>
      <c r="J38" s="81" t="str">
        <f ca="1">SUBSTITUTE(LOWER(TRIM(_xlfn.XLOOKUP($A38,Строчный!$A:$A,Строчный!J:J,"ERR",0))),"подклад","Подклад")</f>
        <v>100% полиэстер</v>
      </c>
      <c r="K38" s="81" t="str">
        <f ca="1">LOWER(TRIM(_xlfn.XLOOKUP($A38,Строчный!$A:$A,Строчный!K:K,"ERR",0)))</f>
        <v/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>COMICS</v>
      </c>
      <c r="O38" s="102" t="str">
        <f ca="1">PROPER(TRIM(_xlfn.XLOOKUP($A38,Строчный!$A:$A,Строчный!P:P,"ERR",0)))</f>
        <v>Marvel</v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1352</v>
      </c>
      <c r="R38" s="89" t="str">
        <f ca="1">_xlfn.XLOOKUP($G38,Фабрика!A:A,Фабрика!B:B,"ERR",0)</f>
        <v>TEXTISS S.A.S; Zone d' Activité de l'Etang, 26780 Chåteauneuf Du Rhöne, France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156</v>
      </c>
      <c r="U38" s="14" t="s">
        <v>265</v>
      </c>
      <c r="V38" s="101" t="str">
        <f t="shared" ca="1" si="3"/>
        <v>Бейсболка CAPSLAB арт. CL/MAR/TAG/1/DEA Marvel Deadpool (черный)</v>
      </c>
      <c r="W38" s="100" t="str">
        <f t="shared" ca="1" si="4"/>
        <v>Бейсболка CAPSLAB арт. CL/MAR/TAG/1/DEA Marvel Deadpool (черный) {black}</v>
      </c>
      <c r="X38" s="18" t="str">
        <f t="shared" ca="1" si="5"/>
        <v>черный</v>
      </c>
      <c r="Y38" s="18" t="str">
        <f t="shared" ca="1" si="6"/>
        <v>черный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AA38" s="73" t="str">
        <f ca="1"/>
        <v>88-312-09-00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09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0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88-311-80</v>
      </c>
      <c r="B39" s="107" t="str">
        <f ca="1">_xlfn.LET(_xlpm.CAPS,0,_xlpm.Style,TRIM(_xlfn.XLOOKUP($A39,Строчный!$A:$A,Строчный!B:B,"ERR",0)),IF(_xlpm.CAPS=0,_xlpm.Style,UPPER(_xlpm.Style)))</f>
        <v>CL/LOO5/1/TAZ1 Looney Tunes Taz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Capslab-Looney Tunes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CAPSLAB</v>
      </c>
      <c r="H39" s="81" t="str">
        <f ca="1">LOWER(TRIM(_xlfn.XLOOKUP($A39,Строчный!$A:$A,Строчный!H:H,"ERR",0)))</f>
        <v>grey</v>
      </c>
      <c r="I39" s="81" t="str">
        <f ca="1">LOWER(TRIM(_xlfn.XLOOKUP($A39,Строчный!$A:$A,Строчный!I:I,"ERR",0)))</f>
        <v>серый</v>
      </c>
      <c r="J39" s="81" t="str">
        <f ca="1">SUBSTITUTE(LOWER(TRIM(_xlfn.XLOOKUP($A39,Строчный!$A:$A,Строчный!J:J,"ERR",0))),"подклад","Подклад")</f>
        <v>50% хлопок - 50% полиэстер</v>
      </c>
      <c r="K39" s="81" t="str">
        <f ca="1">LOWER(TRIM(_xlfn.XLOOKUP($A39,Строчный!$A:$A,Строчный!K:K,"ERR",0)))</f>
        <v>хлопковые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>COMICS</v>
      </c>
      <c r="O39" s="102" t="str">
        <f ca="1">PROPER(TRIM(_xlfn.XLOOKUP($A39,Строчный!$A:$A,Строчный!P:P,"ERR",0)))</f>
        <v>Looney Tunes</v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1352</v>
      </c>
      <c r="R39" s="89" t="str">
        <f ca="1">_xlfn.XLOOKUP($G39,Фабрика!A:A,Фабрика!B:B,"ERR",0)</f>
        <v>TEXTISS S.A.S; Zone d' Activité de l'Etang, 26780 Chåteauneuf Du Rhöne, France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84</v>
      </c>
      <c r="U39" s="14" t="s">
        <v>265</v>
      </c>
      <c r="V39" s="101" t="str">
        <f t="shared" ca="1" si="3"/>
        <v>Бейсболка CAPSLAB арт. CL/LOO5/1/TAZ1 Looney Tunes Taz (серый)</v>
      </c>
      <c r="W39" s="100" t="str">
        <f t="shared" ca="1" si="4"/>
        <v>Бейсболка CAPSLAB арт. CL/LOO5/1/TAZ1 Looney Tunes Taz (серый) {grey}</v>
      </c>
      <c r="X39" s="18" t="str">
        <f t="shared" ca="1" si="5"/>
        <v>серый</v>
      </c>
      <c r="Y39" s="18" t="str">
        <f t="shared" ca="1" si="6"/>
        <v>серый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серый</v>
      </c>
      <c r="AA39" s="73" t="str">
        <f ca="1"/>
        <v>88-311-80-00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80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88-310-16</v>
      </c>
      <c r="B40" s="107" t="str">
        <f ca="1">_xlfn.LET(_xlpm.CAPS,0,_xlpm.Style,TRIM(_xlfn.XLOOKUP($A40,Строчный!$A:$A,Строчный!B:B,"ERR",0)),IF(_xlpm.CAPS=0,_xlpm.Style,UPPER(_xlpm.Style)))</f>
        <v>CL/LOO5/1/DAF2 Looney Tunes Daffy Duck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Capslab-Looney Tunes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CAPSLAB</v>
      </c>
      <c r="H40" s="81" t="str">
        <f ca="1">LOWER(TRIM(_xlfn.XLOOKUP($A40,Строчный!$A:$A,Строчный!H:H,"ERR",0)))</f>
        <v>navy</v>
      </c>
      <c r="I40" s="81" t="str">
        <f ca="1">LOWER(TRIM(_xlfn.XLOOKUP($A40,Строчный!$A:$A,Строчный!I:I,"ERR",0)))</f>
        <v>темно-синий</v>
      </c>
      <c r="J40" s="81" t="str">
        <f ca="1">SUBSTITUTE(LOWER(TRIM(_xlfn.XLOOKUP($A40,Строчный!$A:$A,Строчный!J:J,"ERR",0))),"подклад","Подклад")</f>
        <v>60% полиэстер - 40% хлопок</v>
      </c>
      <c r="K40" s="81" t="str">
        <f ca="1">LOWER(TRIM(_xlfn.XLOOKUP($A40,Строчный!$A:$A,Строчный!K:K,"ERR",0)))</f>
        <v/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>COMICS</v>
      </c>
      <c r="O40" s="102" t="str">
        <f ca="1">PROPER(TRIM(_xlfn.XLOOKUP($A40,Строчный!$A:$A,Строчный!P:P,"ERR",0)))</f>
        <v>Looney Tunes</v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1352</v>
      </c>
      <c r="R40" s="89" t="str">
        <f ca="1">_xlfn.XLOOKUP($G40,Фабрика!A:A,Фабрика!B:B,"ERR",0)</f>
        <v>TEXTISS S.A.S; Zone d' Activité de l'Etang, 26780 Chåteauneuf Du Rhöne, France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84</v>
      </c>
      <c r="U40" s="14" t="s">
        <v>265</v>
      </c>
      <c r="V40" s="101" t="str">
        <f t="shared" ca="1" si="3"/>
        <v>Бейсболка CAPSLAB арт. CL/LOO5/1/DAF2 Looney Tunes Daffy Duck (темно-синий)</v>
      </c>
      <c r="W40" s="100" t="str">
        <f t="shared" ca="1" si="4"/>
        <v>Бейсболка CAPSLAB арт. CL/LOO5/1/DAF2 Looney Tunes Daffy Duck (темно-синий) {navy}</v>
      </c>
      <c r="X40" s="18" t="str">
        <f t="shared" ca="1" si="5"/>
        <v>синий</v>
      </c>
      <c r="Y40" s="18" t="str">
        <f t="shared" ca="1" si="6"/>
        <v>синий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синий</v>
      </c>
      <c r="AA40" s="73" t="str">
        <f ca="1"/>
        <v>88-310-16-00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16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0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88-309-45</v>
      </c>
      <c r="B41" s="107" t="str">
        <f ca="1">_xlfn.LET(_xlpm.CAPS,0,_xlpm.Style,TRIM(_xlfn.XLOOKUP($A41,Строчный!$A:$A,Строчный!B:B,"ERR",0)),IF(_xlpm.CAPS=0,_xlpm.Style,UPPER(_xlpm.Style)))</f>
        <v>CL/LOO5/1/DAF1 Looney Tunes Daffy Duck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 с сеточкой</v>
      </c>
      <c r="E41" s="81" t="str">
        <f ca="1">PROPER(TRIM(_xlfn.XLOOKUP($A41,Строчный!$A:$A,Строчный!E:E,"ERR",0)))</f>
        <v>Capslab-Looney Tunes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CAPSLAB</v>
      </c>
      <c r="H41" s="81" t="str">
        <f ca="1">LOWER(TRIM(_xlfn.XLOOKUP($A41,Строчный!$A:$A,Строчный!H:H,"ERR",0)))</f>
        <v>white</v>
      </c>
      <c r="I41" s="81" t="str">
        <f ca="1">LOWER(TRIM(_xlfn.XLOOKUP($A41,Строчный!$A:$A,Строчный!I:I,"ERR",0)))</f>
        <v>белый / красный</v>
      </c>
      <c r="J41" s="81" t="str">
        <f ca="1">SUBSTITUTE(LOWER(TRIM(_xlfn.XLOOKUP($A41,Строчный!$A:$A,Строчный!J:J,"ERR",0))),"подклад","Подклад")</f>
        <v>50% хлопок - 50% полиэстер</v>
      </c>
      <c r="K41" s="81" t="str">
        <f ca="1">LOWER(TRIM(_xlfn.XLOOKUP($A41,Строчный!$A:$A,Строчный!K:K,"ERR",0)))</f>
        <v>хлопковые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>COMICS</v>
      </c>
      <c r="O41" s="102" t="str">
        <f ca="1">PROPER(TRIM(_xlfn.XLOOKUP($A41,Строчный!$A:$A,Строчный!P:P,"ERR",0)))</f>
        <v>Looney Tunes</v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1352</v>
      </c>
      <c r="R41" s="89" t="str">
        <f ca="1">_xlfn.XLOOKUP($G41,Фабрика!A:A,Фабрика!B:B,"ERR",0)</f>
        <v>TEXTISS S.A.S; Zone d' Activité de l'Etang, 26780 Chåteauneuf Du Rhöne, France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48</v>
      </c>
      <c r="U41" s="14" t="s">
        <v>265</v>
      </c>
      <c r="V41" s="101" t="str">
        <f t="shared" ca="1" si="3"/>
        <v>Бейсболка CAPSLAB арт. CL/LOO5/1/DAF1 Looney Tunes Daffy Duck (белый / красный)</v>
      </c>
      <c r="W41" s="100" t="str">
        <f t="shared" ca="1" si="4"/>
        <v>Бейсболка CAPSLAB арт. CL/LOO5/1/DAF1 Looney Tunes Daffy Duck (белый / красный) {white}</v>
      </c>
      <c r="X41" s="18" t="str">
        <f t="shared" ca="1" si="5"/>
        <v>белый</v>
      </c>
      <c r="Y41" s="18" t="str">
        <f t="shared" ca="1" si="6"/>
        <v>красный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белый</v>
      </c>
      <c r="AA41" s="73" t="str">
        <f ca="1"/>
        <v>88-309-45-00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45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88-308-09</v>
      </c>
      <c r="B42" s="107" t="str">
        <f ca="1">_xlfn.LET(_xlpm.CAPS,0,_xlpm.Style,TRIM(_xlfn.XLOOKUP($A42,Строчный!$A:$A,Строчный!B:B,"ERR",0)),IF(_xlpm.CAPS=0,_xlpm.Style,UPPER(_xlpm.Style)))</f>
        <v>CL/LOO5/1/COY2 Looney Tunes Wile E. Coyote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 с сеточкой</v>
      </c>
      <c r="E42" s="81" t="str">
        <f ca="1">PROPER(TRIM(_xlfn.XLOOKUP($A42,Строчный!$A:$A,Строчный!E:E,"ERR",0)))</f>
        <v>Capslab-Looney Tunes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CAPSLAB</v>
      </c>
      <c r="H42" s="81" t="str">
        <f ca="1">LOWER(TRIM(_xlfn.XLOOKUP($A42,Строчный!$A:$A,Строчный!H:H,"ERR",0)))</f>
        <v>black</v>
      </c>
      <c r="I42" s="81" t="str">
        <f ca="1">LOWER(TRIM(_xlfn.XLOOKUP($A42,Строчный!$A:$A,Строчный!I:I,"ERR",0)))</f>
        <v>черный</v>
      </c>
      <c r="J42" s="81" t="str">
        <f ca="1">SUBSTITUTE(LOWER(TRIM(_xlfn.XLOOKUP($A42,Строчный!$A:$A,Строчный!J:J,"ERR",0))),"подклад","Подклад")</f>
        <v>80% полиэстер - 20% хлопок</v>
      </c>
      <c r="K42" s="81" t="str">
        <f ca="1">LOWER(TRIM(_xlfn.XLOOKUP($A42,Строчный!$A:$A,Строчный!K:K,"ERR",0)))</f>
        <v/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>COMICS</v>
      </c>
      <c r="O42" s="102" t="str">
        <f ca="1">PROPER(TRIM(_xlfn.XLOOKUP($A42,Строчный!$A:$A,Строчный!P:P,"ERR",0)))</f>
        <v>Looney Tunes</v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1352</v>
      </c>
      <c r="R42" s="89" t="str">
        <f ca="1">_xlfn.XLOOKUP($G42,Фабрика!A:A,Фабрика!B:B,"ERR",0)</f>
        <v>TEXTISS S.A.S; Zone d' Activité de l'Etang, 26780 Chåteauneuf Du Rhöne, France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96</v>
      </c>
      <c r="U42" s="14" t="s">
        <v>265</v>
      </c>
      <c r="V42" s="101" t="str">
        <f t="shared" ca="1" si="3"/>
        <v>Бейсболка CAPSLAB арт. CL/LOO5/1/COY2 Looney Tunes Wile E. Coyote (черный)</v>
      </c>
      <c r="W42" s="100" t="str">
        <f t="shared" ca="1" si="4"/>
        <v>Бейсболка CAPSLAB арт. CL/LOO5/1/COY2 Looney Tunes Wile E. Coyote (черный) {black}</v>
      </c>
      <c r="X42" s="18" t="str">
        <f t="shared" ca="1" si="5"/>
        <v>черный</v>
      </c>
      <c r="Y42" s="18" t="str">
        <f t="shared" ca="1" si="6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73" t="str">
        <f ca="1"/>
        <v>88-308-09-00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09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0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88-307-12</v>
      </c>
      <c r="B43" s="107" t="str">
        <f ca="1">_xlfn.LET(_xlpm.CAPS,0,_xlpm.Style,TRIM(_xlfn.XLOOKUP($A43,Строчный!$A:$A,Строчный!B:B,"ERR",0)),IF(_xlpm.CAPS=0,_xlpm.Style,UPPER(_xlpm.Style)))</f>
        <v>CL/LOO5/1/COY1 Looney Tunes Wile E. Coyote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 с сеточкой</v>
      </c>
      <c r="E43" s="81" t="str">
        <f ca="1">PROPER(TRIM(_xlfn.XLOOKUP($A43,Строчный!$A:$A,Строчный!E:E,"ERR",0)))</f>
        <v>Capslab-Looney Tunes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CAPSLAB</v>
      </c>
      <c r="H43" s="81" t="str">
        <f ca="1">LOWER(TRIM(_xlfn.XLOOKUP($A43,Строчный!$A:$A,Строчный!H:H,"ERR",0)))</f>
        <v>red</v>
      </c>
      <c r="I43" s="81" t="str">
        <f ca="1">LOWER(TRIM(_xlfn.XLOOKUP($A43,Строчный!$A:$A,Строчный!I:I,"ERR",0)))</f>
        <v>бордовый</v>
      </c>
      <c r="J43" s="81" t="str">
        <f ca="1">SUBSTITUTE(LOWER(TRIM(_xlfn.XLOOKUP($A43,Строчный!$A:$A,Строчный!J:J,"ERR",0))),"подклад","Подклад")</f>
        <v>50% хлопок - 50% полиэстер</v>
      </c>
      <c r="K43" s="81" t="str">
        <f ca="1">LOWER(TRIM(_xlfn.XLOOKUP($A43,Строчный!$A:$A,Строчный!K:K,"ERR",0)))</f>
        <v>хлопковые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>COMICS</v>
      </c>
      <c r="O43" s="102" t="str">
        <f ca="1">PROPER(TRIM(_xlfn.XLOOKUP($A43,Строчный!$A:$A,Строчный!P:P,"ERR",0)))</f>
        <v>Looney Tunes</v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1352</v>
      </c>
      <c r="R43" s="89" t="str">
        <f ca="1">_xlfn.XLOOKUP($G43,Фабрика!A:A,Фабрика!B:B,"ERR",0)</f>
        <v>TEXTISS S.A.S; Zone d' Activité de l'Etang, 26780 Chåteauneuf Du Rhöne, France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108</v>
      </c>
      <c r="U43" s="14" t="s">
        <v>265</v>
      </c>
      <c r="V43" s="101" t="str">
        <f t="shared" ca="1" si="3"/>
        <v>Бейсболка CAPSLAB арт. CL/LOO5/1/COY1 Looney Tunes Wile E. Coyote (бордовый)</v>
      </c>
      <c r="W43" s="100" t="str">
        <f t="shared" ca="1" si="4"/>
        <v>Бейсболка CAPSLAB арт. CL/LOO5/1/COY1 Looney Tunes Wile E. Coyote (бордовый) {red}</v>
      </c>
      <c r="X43" s="18" t="str">
        <f t="shared" ca="1" si="5"/>
        <v>бордовый</v>
      </c>
      <c r="Y43" s="18" t="str">
        <f t="shared" ca="1" si="6"/>
        <v>бордовый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бордовый</v>
      </c>
      <c r="AA43" s="73" t="str">
        <f ca="1"/>
        <v>88-307-12-00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12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1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88-306-09</v>
      </c>
      <c r="B44" s="107" t="str">
        <f ca="1">_xlfn.LET(_xlpm.CAPS,0,_xlpm.Style,TRIM(_xlfn.XLOOKUP($A44,Строчный!$A:$A,Строчный!B:B,"ERR",0)),IF(_xlpm.CAPS=0,_xlpm.Style,UPPER(_xlpm.Style)))</f>
        <v>CL/LOO5/1/BUN2 Looney Tunes Bugs Bunny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 с сеточкой</v>
      </c>
      <c r="E44" s="81" t="str">
        <f ca="1">PROPER(TRIM(_xlfn.XLOOKUP($A44,Строчный!$A:$A,Строчный!E:E,"ERR",0)))</f>
        <v>Capslab-Looney Tunes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CAPSLAB</v>
      </c>
      <c r="H44" s="81" t="str">
        <f ca="1">LOWER(TRIM(_xlfn.XLOOKUP($A44,Строчный!$A:$A,Строчный!H:H,"ERR",0)))</f>
        <v>black</v>
      </c>
      <c r="I44" s="81" t="str">
        <f ca="1">LOWER(TRIM(_xlfn.XLOOKUP($A44,Строчный!$A:$A,Строчный!I:I,"ERR",0)))</f>
        <v>черный</v>
      </c>
      <c r="J44" s="81" t="str">
        <f ca="1">SUBSTITUTE(LOWER(TRIM(_xlfn.XLOOKUP($A44,Строчный!$A:$A,Строчный!J:J,"ERR",0))),"подклад","Подклад")</f>
        <v>50% хлопок - 50% полиэстер</v>
      </c>
      <c r="K44" s="81" t="str">
        <f ca="1">LOWER(TRIM(_xlfn.XLOOKUP($A44,Строчный!$A:$A,Строчный!K:K,"ERR",0)))</f>
        <v>хлопковые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>COMICS</v>
      </c>
      <c r="O44" s="102" t="str">
        <f ca="1">PROPER(TRIM(_xlfn.XLOOKUP($A44,Строчный!$A:$A,Строчный!P:P,"ERR",0)))</f>
        <v>Looney Tunes</v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1352</v>
      </c>
      <c r="R44" s="89" t="str">
        <f ca="1">_xlfn.XLOOKUP($G44,Фабрика!A:A,Фабрика!B:B,"ERR",0)</f>
        <v>TEXTISS S.A.S; Zone d' Activité de l'Etang, 26780 Chåteauneuf Du Rhöne, France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96</v>
      </c>
      <c r="U44" s="14" t="s">
        <v>265</v>
      </c>
      <c r="V44" s="101" t="str">
        <f t="shared" ca="1" si="3"/>
        <v>Бейсболка CAPSLAB арт. CL/LOO5/1/BUN2 Looney Tunes Bugs Bunny (черный)</v>
      </c>
      <c r="W44" s="100" t="str">
        <f t="shared" ca="1" si="4"/>
        <v>Бейсболка CAPSLAB арт. CL/LOO5/1/BUN2 Looney Tunes Bugs Bunny (черный) {black}</v>
      </c>
      <c r="X44" s="18" t="str">
        <f t="shared" ca="1" si="5"/>
        <v>черный</v>
      </c>
      <c r="Y44" s="18" t="str">
        <f t="shared" ca="1" si="6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73" t="str">
        <f ca="1"/>
        <v>88-306-09-00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09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88-305-09</v>
      </c>
      <c r="B45" s="107" t="str">
        <f ca="1">_xlfn.LET(_xlpm.CAPS,0,_xlpm.Style,TRIM(_xlfn.XLOOKUP($A45,Строчный!$A:$A,Строчный!B:B,"ERR",0)),IF(_xlpm.CAPS=0,_xlpm.Style,UPPER(_xlpm.Style)))</f>
        <v>CL/LOO5/1/BUN1 Looney Tunes Bugs Bunny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 с сеточкой</v>
      </c>
      <c r="E45" s="81" t="str">
        <f ca="1">PROPER(TRIM(_xlfn.XLOOKUP($A45,Строчный!$A:$A,Строчный!E:E,"ERR",0)))</f>
        <v>Capslab-Looney Tunes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CAPSLAB</v>
      </c>
      <c r="H45" s="81" t="str">
        <f ca="1">LOWER(TRIM(_xlfn.XLOOKUP($A45,Строчный!$A:$A,Строчный!H:H,"ERR",0)))</f>
        <v>black</v>
      </c>
      <c r="I45" s="81" t="str">
        <f ca="1">LOWER(TRIM(_xlfn.XLOOKUP($A45,Строчный!$A:$A,Строчный!I:I,"ERR",0)))</f>
        <v>черный</v>
      </c>
      <c r="J45" s="81" t="str">
        <f ca="1">SUBSTITUTE(LOWER(TRIM(_xlfn.XLOOKUP($A45,Строчный!$A:$A,Строчный!J:J,"ERR",0))),"подклад","Подклад")</f>
        <v>60% полиэстер - 40% хлопок</v>
      </c>
      <c r="K45" s="81" t="str">
        <f ca="1">LOWER(TRIM(_xlfn.XLOOKUP($A45,Строчный!$A:$A,Строчный!K:K,"ERR",0)))</f>
        <v>хлопковые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>COMICS</v>
      </c>
      <c r="O45" s="102" t="str">
        <f ca="1">PROPER(TRIM(_xlfn.XLOOKUP($A45,Строчный!$A:$A,Строчный!P:P,"ERR",0)))</f>
        <v>Looney Tunes</v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1352</v>
      </c>
      <c r="R45" s="89" t="str">
        <f ca="1">_xlfn.XLOOKUP($G45,Фабрика!A:A,Фабрика!B:B,"ERR",0)</f>
        <v>TEXTISS S.A.S; Zone d' Activité de l'Etang, 26780 Chåteauneuf Du Rhöne, France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144</v>
      </c>
      <c r="U45" s="14" t="s">
        <v>265</v>
      </c>
      <c r="V45" s="101" t="str">
        <f t="shared" ca="1" si="3"/>
        <v>Бейсболка CAPSLAB арт. CL/LOO5/1/BUN1 Looney Tunes Bugs Bunny (черный)</v>
      </c>
      <c r="W45" s="100" t="str">
        <f t="shared" ca="1" si="4"/>
        <v>Бейсболка CAPSLAB арт. CL/LOO5/1/BUN1 Looney Tunes Bugs Bunny (черный) {black}</v>
      </c>
      <c r="X45" s="18" t="str">
        <f t="shared" ca="1" si="5"/>
        <v>черный</v>
      </c>
      <c r="Y45" s="18" t="str">
        <f t="shared" ca="1" si="6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88-305-09-00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88-304-72</v>
      </c>
      <c r="B46" s="107" t="str">
        <f ca="1">_xlfn.LET(_xlpm.CAPS,0,_xlpm.Style,TRIM(_xlfn.XLOOKUP($A46,Строчный!$A:$A,Строчный!B:B,"ERR",0)),IF(_xlpm.CAPS=0,_xlpm.Style,UPPER(_xlpm.Style)))</f>
        <v>CL/LOO3/1/DAF1 Looney Tunes Daffy Duck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 с сеточкой</v>
      </c>
      <c r="E46" s="81" t="str">
        <f ca="1">PROPER(TRIM(_xlfn.XLOOKUP($A46,Строчный!$A:$A,Строчный!E:E,"ERR",0)))</f>
        <v>Capslab-Looney Tunes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CAPSLAB</v>
      </c>
      <c r="H46" s="81" t="str">
        <f ca="1">LOWER(TRIM(_xlfn.XLOOKUP($A46,Строчный!$A:$A,Строчный!H:H,"ERR",0)))</f>
        <v>red</v>
      </c>
      <c r="I46" s="81" t="str">
        <f ca="1">LOWER(TRIM(_xlfn.XLOOKUP($A46,Строчный!$A:$A,Строчный!I:I,"ERR",0)))</f>
        <v>красный / черный</v>
      </c>
      <c r="J46" s="81" t="str">
        <f ca="1">SUBSTITUTE(LOWER(TRIM(_xlfn.XLOOKUP($A46,Строчный!$A:$A,Строчный!J:J,"ERR",0))),"подклад","Подклад")</f>
        <v>60% полиэстер - 40% хлопок</v>
      </c>
      <c r="K46" s="81" t="str">
        <f ca="1">LOWER(TRIM(_xlfn.XLOOKUP($A46,Строчный!$A:$A,Строчный!K:K,"ERR",0)))</f>
        <v/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>COMICS</v>
      </c>
      <c r="O46" s="102" t="str">
        <f ca="1">PROPER(TRIM(_xlfn.XLOOKUP($A46,Строчный!$A:$A,Строчный!P:P,"ERR",0)))</f>
        <v>Looney Tunes</v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1352</v>
      </c>
      <c r="R46" s="89" t="str">
        <f ca="1">_xlfn.XLOOKUP($G46,Фабрика!A:A,Фабрика!B:B,"ERR",0)</f>
        <v>TEXTISS S.A.S; Zone d' Activité de l'Etang, 26780 Chåteauneuf Du Rhöne, France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48</v>
      </c>
      <c r="U46" s="14" t="s">
        <v>265</v>
      </c>
      <c r="V46" s="101" t="str">
        <f t="shared" ca="1" si="3"/>
        <v>Бейсболка CAPSLAB арт. CL/LOO3/1/DAF1 Looney Tunes Daffy Duck (красный / черный)</v>
      </c>
      <c r="W46" s="100" t="str">
        <f t="shared" ca="1" si="4"/>
        <v>Бейсболка CAPSLAB арт. CL/LOO3/1/DAF1 Looney Tunes Daffy Duck (красный / черный) {red}</v>
      </c>
      <c r="X46" s="18" t="str">
        <f t="shared" ca="1" si="5"/>
        <v>красный</v>
      </c>
      <c r="Y46" s="18" t="str">
        <f t="shared" ca="1" si="6"/>
        <v>черный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красный</v>
      </c>
      <c r="AA46" s="73" t="str">
        <f ca="1"/>
        <v>88-304-72-00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72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0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88-303-66</v>
      </c>
      <c r="B47" s="107" t="str">
        <f ca="1">_xlfn.LET(_xlpm.CAPS,0,_xlpm.Style,TRIM(_xlfn.XLOOKUP($A47,Строчный!$A:$A,Строчный!B:B,"ERR",0)),IF(_xlpm.CAPS=0,_xlpm.Style,UPPER(_xlpm.Style)))</f>
        <v>CL/LOO2/1/TVG1 Looney Tunes Tweety Pie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 с сеточкой</v>
      </c>
      <c r="E47" s="81" t="str">
        <f ca="1">PROPER(TRIM(_xlfn.XLOOKUP($A47,Строчный!$A:$A,Строчный!E:E,"ERR",0)))</f>
        <v>Capslab-Looney Tunes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CAPSLAB</v>
      </c>
      <c r="H47" s="81" t="str">
        <f ca="1">LOWER(TRIM(_xlfn.XLOOKUP($A47,Строчный!$A:$A,Строчный!H:H,"ERR",0)))</f>
        <v>brown</v>
      </c>
      <c r="I47" s="81" t="str">
        <f ca="1">LOWER(TRIM(_xlfn.XLOOKUP($A47,Строчный!$A:$A,Строчный!I:I,"ERR",0)))</f>
        <v>коричневый / голубой</v>
      </c>
      <c r="J47" s="81" t="str">
        <f ca="1">SUBSTITUTE(LOWER(TRIM(_xlfn.XLOOKUP($A47,Строчный!$A:$A,Строчный!J:J,"ERR",0))),"подклад","Подклад")</f>
        <v>50% хлопок - 50% полиэстер</v>
      </c>
      <c r="K47" s="81" t="str">
        <f ca="1">LOWER(TRIM(_xlfn.XLOOKUP($A47,Строчный!$A:$A,Строчный!K:K,"ERR",0)))</f>
        <v>хлопковые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>COMICS</v>
      </c>
      <c r="O47" s="102" t="str">
        <f ca="1">PROPER(TRIM(_xlfn.XLOOKUP($A47,Строчный!$A:$A,Строчный!P:P,"ERR",0)))</f>
        <v>Looney Tunes</v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1352</v>
      </c>
      <c r="R47" s="89" t="str">
        <f ca="1">_xlfn.XLOOKUP($G47,Фабрика!A:A,Фабрика!B:B,"ERR",0)</f>
        <v>TEXTISS S.A.S; Zone d' Activité de l'Etang, 26780 Chåteauneuf Du Rhöne, France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30</v>
      </c>
      <c r="U47" s="14" t="s">
        <v>265</v>
      </c>
      <c r="V47" s="101" t="str">
        <f t="shared" ca="1" si="3"/>
        <v>Бейсболка CAPSLAB арт. CL/LOO2/1/TVG1 Looney Tunes Tweety Pie (коричневый / голубой)</v>
      </c>
      <c r="W47" s="100" t="str">
        <f t="shared" ca="1" si="4"/>
        <v>Бейсболка CAPSLAB арт. CL/LOO2/1/TVG1 Looney Tunes Tweety Pie (коричневый / голубой) {brown}</v>
      </c>
      <c r="X47" s="18" t="str">
        <f t="shared" ca="1" si="5"/>
        <v>коричневый</v>
      </c>
      <c r="Y47" s="18" t="str">
        <f t="shared" ca="1" si="6"/>
        <v>голубой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коричневый</v>
      </c>
      <c r="AA47" s="73" t="str">
        <f ca="1"/>
        <v>88-303-66-00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66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1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88-302-09</v>
      </c>
      <c r="B48" s="107" t="str">
        <f ca="1">_xlfn.LET(_xlpm.CAPS,0,_xlpm.Style,TRIM(_xlfn.XLOOKUP($A48,Строчный!$A:$A,Строчный!B:B,"ERR",0)),IF(_xlpm.CAPS=0,_xlpm.Style,UPPER(_xlpm.Style)))</f>
        <v>CL/LOO/1/SAM1 Looney Tunes Yosemite Sam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 с сеточкой</v>
      </c>
      <c r="E48" s="81" t="str">
        <f ca="1">PROPER(TRIM(_xlfn.XLOOKUP($A48,Строчный!$A:$A,Строчный!E:E,"ERR",0)))</f>
        <v>Capslab-Looney Tunes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CAPSLAB</v>
      </c>
      <c r="H48" s="81" t="str">
        <f ca="1">LOWER(TRIM(_xlfn.XLOOKUP($A48,Строчный!$A:$A,Строчный!H:H,"ERR",0)))</f>
        <v>black</v>
      </c>
      <c r="I48" s="81" t="str">
        <f ca="1">LOWER(TRIM(_xlfn.XLOOKUP($A48,Строчный!$A:$A,Строчный!I:I,"ERR",0)))</f>
        <v>черный</v>
      </c>
      <c r="J48" s="81" t="str">
        <f ca="1">SUBSTITUTE(LOWER(TRIM(_xlfn.XLOOKUP($A48,Строчный!$A:$A,Строчный!J:J,"ERR",0))),"подклад","Подклад")</f>
        <v>50% хлопок - 50% полиэстер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>COMICS</v>
      </c>
      <c r="O48" s="102" t="str">
        <f ca="1">PROPER(TRIM(_xlfn.XLOOKUP($A48,Строчный!$A:$A,Строчный!P:P,"ERR",0)))</f>
        <v>Looney Tunes</v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1352</v>
      </c>
      <c r="R48" s="89" t="str">
        <f ca="1">_xlfn.XLOOKUP($G48,Фабрика!A:A,Фабрика!B:B,"ERR",0)</f>
        <v>TEXTISS S.A.S; Zone d' Activité de l'Etang, 26780 Chåteauneuf Du Rhöne, France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84</v>
      </c>
      <c r="U48" s="14" t="s">
        <v>265</v>
      </c>
      <c r="V48" s="101" t="str">
        <f t="shared" ca="1" si="3"/>
        <v>Бейсболка CAPSLAB арт. CL/LOO/1/SAM1 Looney Tunes Yosemite Sam (черный)</v>
      </c>
      <c r="W48" s="100" t="str">
        <f t="shared" ca="1" si="4"/>
        <v>Бейсболка CAPSLAB арт. CL/LOO/1/SAM1 Looney Tunes Yosemite Sam (черный) {black}</v>
      </c>
      <c r="X48" s="18" t="str">
        <f t="shared" ca="1" si="5"/>
        <v>черный</v>
      </c>
      <c r="Y48" s="18" t="str">
        <f t="shared" ca="1" si="6"/>
        <v>черный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73" t="str">
        <f ca="1"/>
        <v>88-302-09-00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09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88-301-09</v>
      </c>
      <c r="B49" s="107" t="str">
        <f ca="1">_xlfn.LET(_xlpm.CAPS,0,_xlpm.Style,TRIM(_xlfn.XLOOKUP($A49,Строчный!$A:$A,Строчный!B:B,"ERR",0)),IF(_xlpm.CAPS=0,_xlpm.Style,UPPER(_xlpm.Style)))</f>
        <v>CL/DIS/TAG/1/WHI Disney Snow White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</v>
      </c>
      <c r="E49" s="81" t="str">
        <f ca="1">PROPER(TRIM(_xlfn.XLOOKUP($A49,Строчный!$A:$A,Строчный!E:E,"ERR",0)))</f>
        <v>Capslab-Disney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CAPSLAB</v>
      </c>
      <c r="H49" s="81" t="str">
        <f ca="1">LOWER(TRIM(_xlfn.XLOOKUP($A49,Строчный!$A:$A,Строчный!H:H,"ERR",0)))</f>
        <v>black</v>
      </c>
      <c r="I49" s="81" t="str">
        <f ca="1">LOWER(TRIM(_xlfn.XLOOKUP($A49,Строчный!$A:$A,Строчный!I:I,"ERR",0)))</f>
        <v>черный</v>
      </c>
      <c r="J49" s="81" t="str">
        <f ca="1">SUBSTITUTE(LOWER(TRIM(_xlfn.XLOOKUP($A49,Строчный!$A:$A,Строчный!J:J,"ERR",0))),"подклад","Подклад")</f>
        <v>100% полиэстер</v>
      </c>
      <c r="K49" s="81" t="str">
        <f ca="1">LOWER(TRIM(_xlfn.XLOOKUP($A49,Строчный!$A:$A,Строчный!K:K,"ERR",0)))</f>
        <v/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>COMICS</v>
      </c>
      <c r="O49" s="102" t="str">
        <f ca="1">PROPER(TRIM(_xlfn.XLOOKUP($A49,Строчный!$A:$A,Строчный!P:P,"ERR",0)))</f>
        <v>Disney</v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1352</v>
      </c>
      <c r="R49" s="89" t="str">
        <f ca="1">_xlfn.XLOOKUP($G49,Фабрика!A:A,Фабрика!B:B,"ERR",0)</f>
        <v>TEXTISS S.A.S; Zone d' Activité de l'Etang, 26780 Chåteauneuf Du Rhöne, France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60</v>
      </c>
      <c r="U49" s="14" t="s">
        <v>265</v>
      </c>
      <c r="V49" s="101" t="str">
        <f t="shared" ca="1" si="3"/>
        <v>Бейсболка CAPSLAB арт. CL/DIS/TAG/1/WHI Disney Snow White (черный)</v>
      </c>
      <c r="W49" s="100" t="str">
        <f t="shared" ca="1" si="4"/>
        <v>Бейсболка CAPSLAB арт. CL/DIS/TAG/1/WHI Disney Snow White (черный) {black}</v>
      </c>
      <c r="X49" s="18" t="str">
        <f t="shared" ca="1" si="5"/>
        <v>черный</v>
      </c>
      <c r="Y49" s="18" t="str">
        <f t="shared" ca="1" si="6"/>
        <v>черный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AA49" s="73" t="str">
        <f ca="1"/>
        <v>88-301-09-00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09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0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88-300-09</v>
      </c>
      <c r="B50" s="107" t="str">
        <f ca="1">_xlfn.LET(_xlpm.CAPS,0,_xlpm.Style,TRIM(_xlfn.XLOOKUP($A50,Строчный!$A:$A,Строчный!B:B,"ERR",0)),IF(_xlpm.CAPS=0,_xlpm.Style,UPPER(_xlpm.Style)))</f>
        <v>CL/DIS/TAG/1/SCR3 Disney Scrooge McDuck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 с сеточкой</v>
      </c>
      <c r="E50" s="81" t="str">
        <f ca="1">PROPER(TRIM(_xlfn.XLOOKUP($A50,Строчный!$A:$A,Строчный!E:E,"ERR",0)))</f>
        <v>Capslab-Disney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CAPSLAB</v>
      </c>
      <c r="H50" s="81" t="str">
        <f ca="1">LOWER(TRIM(_xlfn.XLOOKUP($A50,Строчный!$A:$A,Строчный!H:H,"ERR",0)))</f>
        <v>black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60% полиэстер - 40% хлопок</v>
      </c>
      <c r="K50" s="81" t="str">
        <f ca="1">LOWER(TRIM(_xlfn.XLOOKUP($A50,Строчный!$A:$A,Строчный!K:K,"ERR",0)))</f>
        <v/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>COMICS</v>
      </c>
      <c r="O50" s="102" t="str">
        <f ca="1">PROPER(TRIM(_xlfn.XLOOKUP($A50,Строчный!$A:$A,Строчный!P:P,"ERR",0)))</f>
        <v>Disney</v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1352</v>
      </c>
      <c r="R50" s="89" t="str">
        <f ca="1">_xlfn.XLOOKUP($G50,Фабрика!A:A,Фабрика!B:B,"ERR",0)</f>
        <v>TEXTISS S.A.S; Zone d' Activité de l'Etang, 26780 Chåteauneuf Du Rhöne, France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96</v>
      </c>
      <c r="U50" s="14" t="s">
        <v>265</v>
      </c>
      <c r="V50" s="101" t="str">
        <f t="shared" ca="1" si="3"/>
        <v>Бейсболка CAPSLAB арт. CL/DIS/TAG/1/SCR3 Disney Scrooge McDuck (черный)</v>
      </c>
      <c r="W50" s="100" t="str">
        <f t="shared" ca="1" si="4"/>
        <v>Бейсболка CAPSLAB арт. CL/DIS/TAG/1/SCR3 Disney Scrooge McDuck (черный) {black}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88-300-09-00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09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0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88-299-09</v>
      </c>
      <c r="B51" s="107" t="str">
        <f ca="1">_xlfn.LET(_xlpm.CAPS,0,_xlpm.Style,TRIM(_xlfn.XLOOKUP($A51,Строчный!$A:$A,Строчный!B:B,"ERR",0)),IF(_xlpm.CAPS=0,_xlpm.Style,UPPER(_xlpm.Style)))</f>
        <v>CL/DIS/TAG/1/SCR2 Disney Scrooge McDuck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 с сеточкой</v>
      </c>
      <c r="E51" s="81" t="str">
        <f ca="1">PROPER(TRIM(_xlfn.XLOOKUP($A51,Строчный!$A:$A,Строчный!E:E,"ERR",0)))</f>
        <v>Capslab-Disney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CAPSLAB</v>
      </c>
      <c r="H51" s="81" t="str">
        <f ca="1">LOWER(TRIM(_xlfn.XLOOKUP($A51,Строчный!$A:$A,Строчный!H:H,"ERR",0)))</f>
        <v>black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60% полиэстер - 40% хлопок</v>
      </c>
      <c r="K51" s="81" t="str">
        <f ca="1">LOWER(TRIM(_xlfn.XLOOKUP($A51,Строчный!$A:$A,Строчный!K:K,"ERR",0)))</f>
        <v/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>COMICS</v>
      </c>
      <c r="O51" s="102" t="str">
        <f ca="1">PROPER(TRIM(_xlfn.XLOOKUP($A51,Строчный!$A:$A,Строчный!P:P,"ERR",0)))</f>
        <v>Disney</v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1352</v>
      </c>
      <c r="R51" s="89" t="str">
        <f ca="1">_xlfn.XLOOKUP($G51,Фабрика!A:A,Фабрика!B:B,"ERR",0)</f>
        <v>TEXTISS S.A.S; Zone d' Activité de l'Etang, 26780 Chåteauneuf Du Rhöne, France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120</v>
      </c>
      <c r="U51" s="14" t="s">
        <v>265</v>
      </c>
      <c r="V51" s="101" t="str">
        <f t="shared" ca="1" si="3"/>
        <v>Бейсболка CAPSLAB арт. CL/DIS/TAG/1/SCR2 Disney Scrooge McDuck (черный)</v>
      </c>
      <c r="W51" s="100" t="str">
        <f t="shared" ca="1" si="4"/>
        <v>Бейсболка CAPSLAB арт. CL/DIS/TAG/1/SCR2 Disney Scrooge McDuck (черный) {black}</v>
      </c>
      <c r="X51" s="18" t="str">
        <f t="shared" ca="1" si="5"/>
        <v>черный</v>
      </c>
      <c r="Y51" s="18" t="str">
        <f t="shared" ca="1" si="6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88-299-09-00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09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0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88-298-09</v>
      </c>
      <c r="B52" s="107" t="str">
        <f ca="1">_xlfn.LET(_xlpm.CAPS,0,_xlpm.Style,TRIM(_xlfn.XLOOKUP($A52,Строчный!$A:$A,Строчный!B:B,"ERR",0)),IF(_xlpm.CAPS=0,_xlpm.Style,UPPER(_xlpm.Style)))</f>
        <v>CL/DIS/TAG/1/SCR1 Disney Scrooge McDuck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Capslab-Disney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CAPSLAB</v>
      </c>
      <c r="H52" s="81" t="str">
        <f ca="1">LOWER(TRIM(_xlfn.XLOOKUP($A52,Строчный!$A:$A,Строчный!H:H,"ERR",0)))</f>
        <v>black</v>
      </c>
      <c r="I52" s="81" t="str">
        <f ca="1">LOWER(TRIM(_xlfn.XLOOKUP($A52,Строчный!$A:$A,Строчный!I:I,"ERR",0)))</f>
        <v>черный</v>
      </c>
      <c r="J52" s="81" t="str">
        <f ca="1">SUBSTITUTE(LOWER(TRIM(_xlfn.XLOOKUP($A52,Строчный!$A:$A,Строчный!J:J,"ERR",0))),"подклад","Подклад")</f>
        <v>100% полиэстер</v>
      </c>
      <c r="K52" s="81" t="str">
        <f ca="1">LOWER(TRIM(_xlfn.XLOOKUP($A52,Строчный!$A:$A,Строчный!K:K,"ERR",0)))</f>
        <v/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>COMICS</v>
      </c>
      <c r="O52" s="102" t="str">
        <f ca="1">PROPER(TRIM(_xlfn.XLOOKUP($A52,Строчный!$A:$A,Строчный!P:P,"ERR",0)))</f>
        <v>Disney</v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1352</v>
      </c>
      <c r="R52" s="89" t="str">
        <f ca="1">_xlfn.XLOOKUP($G52,Фабрика!A:A,Фабрика!B:B,"ERR",0)</f>
        <v>TEXTISS S.A.S; Zone d' Activité de l'Etang, 26780 Chåteauneuf Du Rhöne, France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60</v>
      </c>
      <c r="U52" s="14" t="s">
        <v>265</v>
      </c>
      <c r="V52" s="101" t="str">
        <f t="shared" ca="1" si="3"/>
        <v>Бейсболка CAPSLAB арт. CL/DIS/TAG/1/SCR1 Disney Scrooge McDuck (черный)</v>
      </c>
      <c r="W52" s="100" t="str">
        <f t="shared" ca="1" si="4"/>
        <v>Бейсболка CAPSLAB арт. CL/DIS/TAG/1/SCR1 Disney Scrooge McDuck (черный) {black}</v>
      </c>
      <c r="X52" s="18" t="str">
        <f t="shared" ca="1" si="5"/>
        <v>черный</v>
      </c>
      <c r="Y52" s="18" t="str">
        <f t="shared" ca="1" si="6"/>
        <v>черный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AA52" s="73" t="str">
        <f ca="1"/>
        <v>88-298-09-00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09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0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88-297-09</v>
      </c>
      <c r="B53" s="107" t="str">
        <f ca="1">_xlfn.LET(_xlpm.CAPS,0,_xlpm.Style,TRIM(_xlfn.XLOOKUP($A53,Строчный!$A:$A,Строчный!B:B,"ERR",0)),IF(_xlpm.CAPS=0,_xlpm.Style,UPPER(_xlpm.Style)))</f>
        <v>CL/DIS/TAG/1/MIC4 Disney Mickey Mouse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Capslab-Disney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CAPSLAB</v>
      </c>
      <c r="H53" s="81" t="str">
        <f ca="1">LOWER(TRIM(_xlfn.XLOOKUP($A53,Строчный!$A:$A,Строчный!H:H,"ERR",0)))</f>
        <v>black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100% полиэстер</v>
      </c>
      <c r="K53" s="81" t="str">
        <f ca="1">LOWER(TRIM(_xlfn.XLOOKUP($A53,Строчный!$A:$A,Строчный!K:K,"ERR",0)))</f>
        <v/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>COMICS</v>
      </c>
      <c r="O53" s="102" t="str">
        <f ca="1">PROPER(TRIM(_xlfn.XLOOKUP($A53,Строчный!$A:$A,Строчный!P:P,"ERR",0)))</f>
        <v>Disney</v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1352</v>
      </c>
      <c r="R53" s="89" t="str">
        <f ca="1">_xlfn.XLOOKUP($G53,Фабрика!A:A,Фабрика!B:B,"ERR",0)</f>
        <v>TEXTISS S.A.S; Zone d' Activité de l'Etang, 26780 Chåteauneuf Du Rhöne, France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42</v>
      </c>
      <c r="U53" s="14" t="s">
        <v>265</v>
      </c>
      <c r="V53" s="101" t="str">
        <f t="shared" ca="1" si="3"/>
        <v>Бейсболка CAPSLAB арт. CL/DIS/TAG/1/MIC4 Disney Mickey Mouse (черный)</v>
      </c>
      <c r="W53" s="100" t="str">
        <f t="shared" ca="1" si="4"/>
        <v>Бейсболка CAPSLAB арт. CL/DIS/TAG/1/MIC4 Disney Mickey Mouse (черный) {black}</v>
      </c>
      <c r="X53" s="18" t="str">
        <f t="shared" ca="1" si="5"/>
        <v>черный</v>
      </c>
      <c r="Y53" s="18" t="str">
        <f t="shared" ca="1" si="6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88-297-09-00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0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88-296-09</v>
      </c>
      <c r="B54" s="107" t="str">
        <f ca="1">_xlfn.LET(_xlpm.CAPS,0,_xlpm.Style,TRIM(_xlfn.XLOOKUP($A54,Строчный!$A:$A,Строчный!B:B,"ERR",0)),IF(_xlpm.CAPS=0,_xlpm.Style,UPPER(_xlpm.Style)))</f>
        <v>CL/DIS/TAG/1/MIC3 Disney Mickey Mouse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Capslab-Disney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CAPSLAB</v>
      </c>
      <c r="H54" s="81" t="str">
        <f ca="1">LOWER(TRIM(_xlfn.XLOOKUP($A54,Строчный!$A:$A,Строчный!H:H,"ERR",0)))</f>
        <v>black</v>
      </c>
      <c r="I54" s="81" t="str">
        <f ca="1">LOWER(TRIM(_xlfn.XLOOKUP($A54,Строчный!$A:$A,Строчный!I:I,"ERR",0)))</f>
        <v>черный</v>
      </c>
      <c r="J54" s="81" t="str">
        <f ca="1">SUBSTITUTE(LOWER(TRIM(_xlfn.XLOOKUP($A54,Строчный!$A:$A,Строчный!J:J,"ERR",0))),"подклад","Подклад")</f>
        <v>100% полиэстер</v>
      </c>
      <c r="K54" s="81" t="str">
        <f ca="1">LOWER(TRIM(_xlfn.XLOOKUP($A54,Строчный!$A:$A,Строчный!K:K,"ERR",0)))</f>
        <v/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>COMICS</v>
      </c>
      <c r="O54" s="102" t="str">
        <f ca="1">PROPER(TRIM(_xlfn.XLOOKUP($A54,Строчный!$A:$A,Строчный!P:P,"ERR",0)))</f>
        <v>Disney</v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1352</v>
      </c>
      <c r="R54" s="89" t="str">
        <f ca="1">_xlfn.XLOOKUP($G54,Фабрика!A:A,Фабрика!B:B,"ERR",0)</f>
        <v>TEXTISS S.A.S; Zone d' Activité de l'Etang, 26780 Chåteauneuf Du Rhöne, France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42</v>
      </c>
      <c r="U54" s="14" t="s">
        <v>265</v>
      </c>
      <c r="V54" s="101" t="str">
        <f t="shared" ca="1" si="3"/>
        <v>Бейсболка CAPSLAB арт. CL/DIS/TAG/1/MIC3 Disney Mickey Mouse (черный)</v>
      </c>
      <c r="W54" s="100" t="str">
        <f t="shared" ca="1" si="4"/>
        <v>Бейсболка CAPSLAB арт. CL/DIS/TAG/1/MIC3 Disney Mickey Mouse (черный) {black}</v>
      </c>
      <c r="X54" s="18" t="str">
        <f t="shared" ca="1" si="5"/>
        <v>черный</v>
      </c>
      <c r="Y54" s="18" t="str">
        <f t="shared" ca="1" si="6"/>
        <v>черный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черный</v>
      </c>
      <c r="AA54" s="73" t="str">
        <f ca="1"/>
        <v>88-296-09-00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09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0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88-295-09</v>
      </c>
      <c r="B55" s="107" t="str">
        <f ca="1">_xlfn.LET(_xlpm.CAPS,0,_xlpm.Style,TRIM(_xlfn.XLOOKUP($A55,Строчный!$A:$A,Строчный!B:B,"ERR",0)),IF(_xlpm.CAPS=0,_xlpm.Style,UPPER(_xlpm.Style)))</f>
        <v>CL/DIS/1/DUC3 Disney Donald Duck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Capslab-Disney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CAPSLAB</v>
      </c>
      <c r="H55" s="81" t="str">
        <f ca="1">LOWER(TRIM(_xlfn.XLOOKUP($A55,Строчный!$A:$A,Строчный!H:H,"ERR",0)))</f>
        <v>black</v>
      </c>
      <c r="I55" s="81" t="str">
        <f ca="1">LOWER(TRIM(_xlfn.XLOOKUP($A55,Строчный!$A:$A,Строчный!I:I,"ERR",0)))</f>
        <v>черный</v>
      </c>
      <c r="J55" s="81" t="str">
        <f ca="1">SUBSTITUTE(LOWER(TRIM(_xlfn.XLOOKUP($A55,Строчный!$A:$A,Строчный!J:J,"ERR",0))),"подклад","Подклад")</f>
        <v>100%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>COMICS</v>
      </c>
      <c r="O55" s="102" t="str">
        <f ca="1">PROPER(TRIM(_xlfn.XLOOKUP($A55,Строчный!$A:$A,Строчный!P:P,"ERR",0)))</f>
        <v>Disney</v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1352</v>
      </c>
      <c r="R55" s="89" t="str">
        <f ca="1">_xlfn.XLOOKUP($G55,Фабрика!A:A,Фабрика!B:B,"ERR",0)</f>
        <v>TEXTISS S.A.S; Zone d' Activité de l'Etang, 26780 Chåteauneuf Du Rhöne, France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120</v>
      </c>
      <c r="U55" s="14" t="s">
        <v>265</v>
      </c>
      <c r="V55" s="101" t="str">
        <f t="shared" ca="1" si="3"/>
        <v>Бейсболка CAPSLAB арт. CL/DIS/1/DUC3 Disney Donald Duck (черный)</v>
      </c>
      <c r="W55" s="100" t="str">
        <f t="shared" ca="1" si="4"/>
        <v>Бейсболка CAPSLAB арт. CL/DIS/1/DUC3 Disney Donald Duck (черный) {black}</v>
      </c>
      <c r="X55" s="18" t="str">
        <f t="shared" ca="1" si="5"/>
        <v>черный</v>
      </c>
      <c r="Y55" s="18" t="str">
        <f t="shared" ca="1" si="6"/>
        <v>черный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73" t="str">
        <f ca="1"/>
        <v>88-295-09-00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09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88-294-38</v>
      </c>
      <c r="B56" s="107" t="str">
        <f ca="1">_xlfn.LET(_xlpm.CAPS,0,_xlpm.Style,TRIM(_xlfn.XLOOKUP($A56,Строчный!$A:$A,Строчный!B:B,"ERR",0)),IF(_xlpm.CAPS=0,_xlpm.Style,UPPER(_xlpm.Style)))</f>
        <v>CL/DIS/1/DUC2 Disney Donald Duck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 с сеточкой</v>
      </c>
      <c r="E56" s="81" t="str">
        <f ca="1">PROPER(TRIM(_xlfn.XLOOKUP($A56,Строчный!$A:$A,Строчный!E:E,"ERR",0)))</f>
        <v>Capslab-Disney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CAPSLAB</v>
      </c>
      <c r="H56" s="81" t="str">
        <f ca="1">LOWER(TRIM(_xlfn.XLOOKUP($A56,Строчный!$A:$A,Строчный!H:H,"ERR",0)))</f>
        <v>white</v>
      </c>
      <c r="I56" s="81" t="str">
        <f ca="1">LOWER(TRIM(_xlfn.XLOOKUP($A56,Строчный!$A:$A,Строчный!I:I,"ERR",0)))</f>
        <v>белый / синий</v>
      </c>
      <c r="J56" s="81" t="str">
        <f ca="1">SUBSTITUTE(LOWER(TRIM(_xlfn.XLOOKUP($A56,Строчный!$A:$A,Строчный!J:J,"ERR",0))),"подклад","Подклад")</f>
        <v>50% хлопок - 50% полиэстер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>COMICS</v>
      </c>
      <c r="O56" s="102" t="str">
        <f ca="1">PROPER(TRIM(_xlfn.XLOOKUP($A56,Строчный!$A:$A,Строчный!P:P,"ERR",0)))</f>
        <v>Disney</v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1352</v>
      </c>
      <c r="R56" s="89" t="str">
        <f ca="1">_xlfn.XLOOKUP($G56,Фабрика!A:A,Фабрика!B:B,"ERR",0)</f>
        <v>TEXTISS S.A.S; Zone d' Activité de l'Etang, 26780 Chåteauneuf Du Rhöne, France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144</v>
      </c>
      <c r="U56" s="14" t="s">
        <v>265</v>
      </c>
      <c r="V56" s="101" t="str">
        <f t="shared" ca="1" si="3"/>
        <v>Бейсболка CAPSLAB арт. CL/DIS/1/DUC2 Disney Donald Duck (белый / синий)</v>
      </c>
      <c r="W56" s="100" t="str">
        <f t="shared" ca="1" si="4"/>
        <v>Бейсболка CAPSLAB арт. CL/DIS/1/DUC2 Disney Donald Duck (белый / синий) {white}</v>
      </c>
      <c r="X56" s="18" t="str">
        <f t="shared" ca="1" si="5"/>
        <v>белый</v>
      </c>
      <c r="Y56" s="18" t="str">
        <f t="shared" ca="1" si="6"/>
        <v>синий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белый</v>
      </c>
      <c r="AA56" s="73" t="str">
        <f ca="1"/>
        <v>88-294-38-00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38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88-293-09</v>
      </c>
      <c r="B57" s="107" t="str">
        <f ca="1">_xlfn.LET(_xlpm.CAPS,0,_xlpm.Style,TRIM(_xlfn.XLOOKUP($A57,Строчный!$A:$A,Строчный!B:B,"ERR",0)),IF(_xlpm.CAPS=0,_xlpm.Style,UPPER(_xlpm.Style)))</f>
        <v>CL/DIS/1/DON2 Disney Donald Duck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81" t="str">
        <f ca="1">PROPER(TRIM(_xlfn.XLOOKUP($A57,Строчный!$A:$A,Строчный!E:E,"ERR",0)))</f>
        <v>Capslab-Disney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CAPSLAB</v>
      </c>
      <c r="H57" s="81" t="str">
        <f ca="1">LOWER(TRIM(_xlfn.XLOOKUP($A57,Строчный!$A:$A,Строчный!H:H,"ERR",0)))</f>
        <v>black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50% хлопок - 50% полиэстер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>COMICS</v>
      </c>
      <c r="O57" s="102" t="str">
        <f ca="1">PROPER(TRIM(_xlfn.XLOOKUP($A57,Строчный!$A:$A,Строчный!P:P,"ERR",0)))</f>
        <v>Disney</v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1352</v>
      </c>
      <c r="R57" s="89" t="str">
        <f ca="1">_xlfn.XLOOKUP($G57,Фабрика!A:A,Фабрика!B:B,"ERR",0)</f>
        <v>TEXTISS S.A.S; Zone d' Activité de l'Etang, 26780 Chåteauneuf Du Rhöne, France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120</v>
      </c>
      <c r="U57" s="14" t="s">
        <v>265</v>
      </c>
      <c r="V57" s="101" t="str">
        <f t="shared" ca="1" si="3"/>
        <v>Бейсболка CAPSLAB арт. CL/DIS/1/DON2 Disney Donald Duck (черный)</v>
      </c>
      <c r="W57" s="100" t="str">
        <f t="shared" ca="1" si="4"/>
        <v>Бейсболка CAPSLAB арт. CL/DIS/1/DON2 Disney Donald Duck (черный) {black}</v>
      </c>
      <c r="X57" s="18" t="str">
        <f t="shared" ca="1" si="5"/>
        <v>черный</v>
      </c>
      <c r="Y57" s="18" t="str">
        <f t="shared" ca="1" si="6"/>
        <v>черный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3" t="str">
        <f ca="1"/>
        <v>88-293-09-00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09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88-292-09</v>
      </c>
      <c r="B58" s="107" t="str">
        <f ca="1">_xlfn.LET(_xlpm.CAPS,0,_xlpm.Style,TRIM(_xlfn.XLOOKUP($A58,Строчный!$A:$A,Строчный!B:B,"ERR",0)),IF(_xlpm.CAPS=0,_xlpm.Style,UPPER(_xlpm.Style)))</f>
        <v>CL/DC3/1/CAS/JKR2 DC Comics Joker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 с сеточкой</v>
      </c>
      <c r="E58" s="81" t="str">
        <f ca="1">PROPER(TRIM(_xlfn.XLOOKUP($A58,Строчный!$A:$A,Строчный!E:E,"ERR",0)))</f>
        <v>Capslab-Dc Comics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CAPSLAB</v>
      </c>
      <c r="H58" s="81" t="str">
        <f ca="1">LOWER(TRIM(_xlfn.XLOOKUP($A58,Строчный!$A:$A,Строчный!H:H,"ERR",0)))</f>
        <v>black</v>
      </c>
      <c r="I58" s="81" t="str">
        <f ca="1">LOWER(TRIM(_xlfn.XLOOKUP($A58,Строчный!$A:$A,Строчный!I:I,"ERR",0)))</f>
        <v>черный</v>
      </c>
      <c r="J58" s="81" t="str">
        <f ca="1">SUBSTITUTE(LOWER(TRIM(_xlfn.XLOOKUP($A58,Строчный!$A:$A,Строчный!J:J,"ERR",0))),"подклад","Подклад")</f>
        <v>50% хлопок - 50% полиэстер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>COMICS</v>
      </c>
      <c r="O58" s="102" t="str">
        <f ca="1">PROPER(TRIM(_xlfn.XLOOKUP($A58,Строчный!$A:$A,Строчный!P:P,"ERR",0)))</f>
        <v>Dc Comics</v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1352</v>
      </c>
      <c r="R58" s="89" t="str">
        <f ca="1">_xlfn.XLOOKUP($G58,Фабрика!A:A,Фабрика!B:B,"ERR",0)</f>
        <v>TEXTISS S.A.S; Zone d' Activité de l'Etang, 26780 Chåteauneuf Du Rhöne, France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102</v>
      </c>
      <c r="U58" s="14" t="s">
        <v>265</v>
      </c>
      <c r="V58" s="101" t="str">
        <f t="shared" ca="1" si="3"/>
        <v>Бейсболка CAPSLAB арт. CL/DC3/1/CAS/JKR2 DC Comics Joker (черный)</v>
      </c>
      <c r="W58" s="100" t="str">
        <f t="shared" ca="1" si="4"/>
        <v>Бейсболка CAPSLAB арт. CL/DC3/1/CAS/JKR2 DC Comics Joker (черный) {black}</v>
      </c>
      <c r="X58" s="18" t="str">
        <f t="shared" ca="1" si="5"/>
        <v>черный</v>
      </c>
      <c r="Y58" s="18" t="str">
        <f t="shared" ca="1" si="6"/>
        <v>черный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AA58" s="73" t="str">
        <f ca="1"/>
        <v>88-292-09-00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09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88-291-78</v>
      </c>
      <c r="B59" s="107" t="str">
        <f ca="1">_xlfn.LET(_xlpm.CAPS,0,_xlpm.Style,TRIM(_xlfn.XLOOKUP($A59,Строчный!$A:$A,Строчный!B:B,"ERR",0)),IF(_xlpm.CAPS=0,_xlpm.Style,UPPER(_xlpm.Style)))</f>
        <v>CL/DC2/1/VIN1 Disney Mickey Mouse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 с сеточкой</v>
      </c>
      <c r="E59" s="81" t="str">
        <f ca="1">PROPER(TRIM(_xlfn.XLOOKUP($A59,Строчный!$A:$A,Строчный!E:E,"ERR",0)))</f>
        <v>Capslab-Disney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CAPSLAB</v>
      </c>
      <c r="H59" s="81" t="str">
        <f ca="1">LOWER(TRIM(_xlfn.XLOOKUP($A59,Строчный!$A:$A,Строчный!H:H,"ERR",0)))</f>
        <v>blue</v>
      </c>
      <c r="I59" s="81" t="str">
        <f ca="1">LOWER(TRIM(_xlfn.XLOOKUP($A59,Строчный!$A:$A,Строчный!I:I,"ERR",0)))</f>
        <v>синий / черный</v>
      </c>
      <c r="J59" s="81" t="str">
        <f ca="1">SUBSTITUTE(LOWER(TRIM(_xlfn.XLOOKUP($A59,Строчный!$A:$A,Строчный!J:J,"ERR",0))),"подклад","Подклад")</f>
        <v>50% хлопок - 50% полиэстер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>COMICS</v>
      </c>
      <c r="O59" s="102" t="str">
        <f ca="1">PROPER(TRIM(_xlfn.XLOOKUP($A59,Строчный!$A:$A,Строчный!P:P,"ERR",0)))</f>
        <v>Disney</v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1352</v>
      </c>
      <c r="R59" s="89" t="str">
        <f ca="1">_xlfn.XLOOKUP($G59,Фабрика!A:A,Фабрика!B:B,"ERR",0)</f>
        <v>TEXTISS S.A.S; Zone d' Activité de l'Etang, 26780 Chåteauneuf Du Rhöne, France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30</v>
      </c>
      <c r="U59" s="14" t="s">
        <v>265</v>
      </c>
      <c r="V59" s="101" t="str">
        <f t="shared" ca="1" si="3"/>
        <v>Бейсболка CAPSLAB арт. CL/DC2/1/VIN1 Disney Mickey Mouse (синий / черный)</v>
      </c>
      <c r="W59" s="100" t="str">
        <f t="shared" ca="1" si="4"/>
        <v>Бейсболка CAPSLAB арт. CL/DC2/1/VIN1 Disney Mickey Mouse (синий / черный) {blue}</v>
      </c>
      <c r="X59" s="18" t="str">
        <f t="shared" ca="1" si="5"/>
        <v>синий</v>
      </c>
      <c r="Y59" s="18" t="str">
        <f t="shared" ca="1" si="6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синий</v>
      </c>
      <c r="AA59" s="73" t="str">
        <f ca="1"/>
        <v>88-291-78-00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78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88-290-09</v>
      </c>
      <c r="B60" s="107" t="str">
        <f ca="1">_xlfn.LET(_xlpm.CAPS,0,_xlpm.Style,TRIM(_xlfn.XLOOKUP($A60,Строчный!$A:$A,Строчный!B:B,"ERR",0)),IF(_xlpm.CAPS=0,_xlpm.Style,UPPER(_xlpm.Style)))</f>
        <v>CL/DC2/1/MEM2 DC Comics Batman and Robin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 с сеточкой</v>
      </c>
      <c r="E60" s="81" t="str">
        <f ca="1">PROPER(TRIM(_xlfn.XLOOKUP($A60,Строчный!$A:$A,Строчный!E:E,"ERR",0)))</f>
        <v>Capslab-Dc Comics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CAPSLAB</v>
      </c>
      <c r="H60" s="81" t="str">
        <f ca="1">LOWER(TRIM(_xlfn.XLOOKUP($A60,Строчный!$A:$A,Строчный!H:H,"ERR",0)))</f>
        <v>black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50% хлопок - 50% полиэстер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>COMICS</v>
      </c>
      <c r="O60" s="102" t="str">
        <f ca="1">PROPER(TRIM(_xlfn.XLOOKUP($A60,Строчный!$A:$A,Строчный!P:P,"ERR",0)))</f>
        <v>Dc Comics</v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1352</v>
      </c>
      <c r="R60" s="89" t="str">
        <f ca="1">_xlfn.XLOOKUP($G60,Фабрика!A:A,Фабрика!B:B,"ERR",0)</f>
        <v>TEXTISS S.A.S; Zone d' Activité de l'Etang, 26780 Chåteauneuf Du Rhöne, France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48</v>
      </c>
      <c r="U60" s="14" t="s">
        <v>265</v>
      </c>
      <c r="V60" s="101" t="str">
        <f t="shared" ca="1" si="3"/>
        <v>Бейсболка CAPSLAB арт. CL/DC2/1/MEM2 DC Comics Batman and Robin (черный)</v>
      </c>
      <c r="W60" s="100" t="str">
        <f t="shared" ca="1" si="4"/>
        <v>Бейсболка CAPSLAB арт. CL/DC2/1/MEM2 DC Comics Batman and Robin (черный) {black}</v>
      </c>
      <c r="X60" s="18" t="str">
        <f t="shared" ca="1" si="5"/>
        <v>черный</v>
      </c>
      <c r="Y60" s="18" t="str">
        <f t="shared" ca="1" si="6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88-290-09-00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09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88-289-09</v>
      </c>
      <c r="B61" s="107" t="str">
        <f ca="1">_xlfn.LET(_xlpm.CAPS,0,_xlpm.Style,TRIM(_xlfn.XLOOKUP($A61,Строчный!$A:$A,Строчный!B:B,"ERR",0)),IF(_xlpm.CAPS=0,_xlpm.Style,UPPER(_xlpm.Style)))</f>
        <v>CL/DC/TAG/1/JOK DC Comics Joker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</v>
      </c>
      <c r="E61" s="81" t="str">
        <f ca="1">PROPER(TRIM(_xlfn.XLOOKUP($A61,Строчный!$A:$A,Строчный!E:E,"ERR",0)))</f>
        <v>Capslab-Dc Comics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CAPSLAB</v>
      </c>
      <c r="H61" s="81" t="str">
        <f ca="1">LOWER(TRIM(_xlfn.XLOOKUP($A61,Строчный!$A:$A,Строчный!H:H,"ERR",0)))</f>
        <v>black</v>
      </c>
      <c r="I61" s="81" t="str">
        <f ca="1">LOWER(TRIM(_xlfn.XLOOKUP($A61,Строчный!$A:$A,Строчный!I:I,"ERR",0)))</f>
        <v>черный</v>
      </c>
      <c r="J61" s="81" t="str">
        <f ca="1">SUBSTITUTE(LOWER(TRIM(_xlfn.XLOOKUP($A61,Строчный!$A:$A,Строчный!J:J,"ERR",0))),"подклад","Подклад")</f>
        <v>100% полиэстер</v>
      </c>
      <c r="K61" s="81" t="str">
        <f ca="1">LOWER(TRIM(_xlfn.XLOOKUP($A61,Строчный!$A:$A,Строчный!K:K,"ERR",0)))</f>
        <v/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>COMICS</v>
      </c>
      <c r="O61" s="102" t="str">
        <f ca="1">PROPER(TRIM(_xlfn.XLOOKUP($A61,Строчный!$A:$A,Строчный!P:P,"ERR",0)))</f>
        <v>Dc Comics</v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1352</v>
      </c>
      <c r="R61" s="89" t="str">
        <f ca="1">_xlfn.XLOOKUP($G61,Фабрика!A:A,Фабрика!B:B,"ERR",0)</f>
        <v>TEXTISS S.A.S; Zone d' Activité de l'Etang, 26780 Chåteauneuf Du Rhöne, France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54</v>
      </c>
      <c r="U61" s="14" t="s">
        <v>265</v>
      </c>
      <c r="V61" s="101" t="str">
        <f t="shared" ca="1" si="3"/>
        <v>Бейсболка CAPSLAB арт. CL/DC/TAG/1/JOK DC Comics Joker (черный)</v>
      </c>
      <c r="W61" s="100" t="str">
        <f t="shared" ca="1" si="4"/>
        <v>Бейсболка CAPSLAB арт. CL/DC/TAG/1/JOK DC Comics Joker (черный) {black}</v>
      </c>
      <c r="X61" s="18" t="str">
        <f t="shared" ca="1" si="5"/>
        <v>черный</v>
      </c>
      <c r="Y61" s="18" t="str">
        <f t="shared" ca="1" si="6"/>
        <v>черный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черный</v>
      </c>
      <c r="AA61" s="73" t="str">
        <f ca="1"/>
        <v>88-289-09-00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09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0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88-288-09</v>
      </c>
      <c r="B62" s="107" t="str">
        <f ca="1">_xlfn.LET(_xlpm.CAPS,0,_xlpm.Style,TRIM(_xlfn.XLOOKUP($A62,Строчный!$A:$A,Строчный!B:B,"ERR",0)),IF(_xlpm.CAPS=0,_xlpm.Style,UPPER(_xlpm.Style)))</f>
        <v>CL/DC/TAG/1/HAR DC Comics Harley Queen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</v>
      </c>
      <c r="E62" s="81" t="str">
        <f ca="1">PROPER(TRIM(_xlfn.XLOOKUP($A62,Строчный!$A:$A,Строчный!E:E,"ERR",0)))</f>
        <v>Capslab-Dc Comics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CAPSLAB</v>
      </c>
      <c r="H62" s="81" t="str">
        <f ca="1">LOWER(TRIM(_xlfn.XLOOKUP($A62,Строчный!$A:$A,Строчный!H:H,"ERR",0)))</f>
        <v>black</v>
      </c>
      <c r="I62" s="81" t="str">
        <f ca="1">LOWER(TRIM(_xlfn.XLOOKUP($A62,Строчный!$A:$A,Строчный!I:I,"ERR",0)))</f>
        <v>черный</v>
      </c>
      <c r="J62" s="81" t="str">
        <f ca="1">SUBSTITUTE(LOWER(TRIM(_xlfn.XLOOKUP($A62,Строчный!$A:$A,Строчный!J:J,"ERR",0))),"подклад","Подклад")</f>
        <v>100% полиэстер</v>
      </c>
      <c r="K62" s="81" t="str">
        <f ca="1">LOWER(TRIM(_xlfn.XLOOKUP($A62,Строчный!$A:$A,Строчный!K:K,"ERR",0)))</f>
        <v/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>COMICS</v>
      </c>
      <c r="O62" s="102" t="str">
        <f ca="1">PROPER(TRIM(_xlfn.XLOOKUP($A62,Строчный!$A:$A,Строчный!P:P,"ERR",0)))</f>
        <v>Dc Comics</v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1352</v>
      </c>
      <c r="R62" s="89" t="str">
        <f ca="1">_xlfn.XLOOKUP($G62,Фабрика!A:A,Фабрика!B:B,"ERR",0)</f>
        <v>TEXTISS S.A.S; Zone d' Activité de l'Etang, 26780 Chåteauneuf Du Rhöne, France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54</v>
      </c>
      <c r="U62" s="14" t="s">
        <v>265</v>
      </c>
      <c r="V62" s="101" t="str">
        <f t="shared" ca="1" si="3"/>
        <v>Бейсболка CAPSLAB арт. CL/DC/TAG/1/HAR DC Comics Harley Queen (черный)</v>
      </c>
      <c r="W62" s="100" t="str">
        <f t="shared" ca="1" si="4"/>
        <v>Бейсболка CAPSLAB арт. CL/DC/TAG/1/HAR DC Comics Harley Queen (черный) {black}</v>
      </c>
      <c r="X62" s="18" t="str">
        <f t="shared" ca="1" si="5"/>
        <v>черный</v>
      </c>
      <c r="Y62" s="18" t="str">
        <f t="shared" ca="1" si="6"/>
        <v>черный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88-288-09-00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09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0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88-287-09</v>
      </c>
      <c r="B63" s="107" t="str">
        <f ca="1">_xlfn.LET(_xlpm.CAPS,0,_xlpm.Style,TRIM(_xlfn.XLOOKUP($A63,Строчный!$A:$A,Строчный!B:B,"ERR",0)),IF(_xlpm.CAPS=0,_xlpm.Style,UPPER(_xlpm.Style)))</f>
        <v>CL/DC/TAG/1/BAT DC Comics Batman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</v>
      </c>
      <c r="E63" s="81" t="str">
        <f ca="1">PROPER(TRIM(_xlfn.XLOOKUP($A63,Строчный!$A:$A,Строчный!E:E,"ERR",0)))</f>
        <v>Capslab-Dc Comics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CAPSLAB</v>
      </c>
      <c r="H63" s="81" t="str">
        <f ca="1">LOWER(TRIM(_xlfn.XLOOKUP($A63,Строчный!$A:$A,Строчный!H:H,"ERR",0)))</f>
        <v>black</v>
      </c>
      <c r="I63" s="81" t="str">
        <f ca="1">LOWER(TRIM(_xlfn.XLOOKUP($A63,Строчный!$A:$A,Строчный!I:I,"ERR",0)))</f>
        <v>черный</v>
      </c>
      <c r="J63" s="81" t="str">
        <f ca="1">SUBSTITUTE(LOWER(TRIM(_xlfn.XLOOKUP($A63,Строчный!$A:$A,Строчный!J:J,"ERR",0))),"подклад","Подклад")</f>
        <v>100% полиэстер</v>
      </c>
      <c r="K63" s="81" t="str">
        <f ca="1">LOWER(TRIM(_xlfn.XLOOKUP($A63,Строчный!$A:$A,Строчный!K:K,"ERR",0)))</f>
        <v/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>COMICS</v>
      </c>
      <c r="O63" s="102" t="str">
        <f ca="1">PROPER(TRIM(_xlfn.XLOOKUP($A63,Строчный!$A:$A,Строчный!P:P,"ERR",0)))</f>
        <v>Dc Comics</v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1352</v>
      </c>
      <c r="R63" s="89" t="str">
        <f ca="1">_xlfn.XLOOKUP($G63,Фабрика!A:A,Фабрика!B:B,"ERR",0)</f>
        <v>TEXTISS S.A.S; Zone d' Activité de l'Etang, 26780 Chåteauneuf Du Rhöne, France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54</v>
      </c>
      <c r="U63" s="14" t="s">
        <v>265</v>
      </c>
      <c r="V63" s="101" t="str">
        <f t="shared" ca="1" si="3"/>
        <v>Бейсболка CAPSLAB арт. CL/DC/TAG/1/BAT DC Comics Batman (черный)</v>
      </c>
      <c r="W63" s="100" t="str">
        <f t="shared" ca="1" si="4"/>
        <v>Бейсболка CAPSLAB арт. CL/DC/TAG/1/BAT DC Comics Batman (черный) {black}</v>
      </c>
      <c r="X63" s="18" t="str">
        <f t="shared" ca="1" si="5"/>
        <v>черный</v>
      </c>
      <c r="Y63" s="18" t="str">
        <f t="shared" ca="1" si="6"/>
        <v>черный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черный</v>
      </c>
      <c r="AA63" s="73" t="str">
        <f ca="1"/>
        <v>88-287-09-00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09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0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88-286-00</v>
      </c>
      <c r="B64" s="107" t="str">
        <f ca="1">_xlfn.LET(_xlpm.CAPS,0,_xlpm.Style,TRIM(_xlfn.XLOOKUP($A64,Строчный!$A:$A,Строчный!B:B,"ERR",0)),IF(_xlpm.CAPS=0,_xlpm.Style,UPPER(_xlpm.Style)))</f>
        <v>CL/DBZ5/1/GOKC Dragon Ball Goku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 с сеточкой</v>
      </c>
      <c r="E64" s="81" t="str">
        <f ca="1">PROPER(TRIM(_xlfn.XLOOKUP($A64,Строчный!$A:$A,Строчный!E:E,"ERR",0)))</f>
        <v>Capslab-Dragon Ball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CAPSLAB</v>
      </c>
      <c r="H64" s="81" t="str">
        <f ca="1">LOWER(TRIM(_xlfn.XLOOKUP($A64,Строчный!$A:$A,Строчный!H:H,"ERR",0)))</f>
        <v>camo</v>
      </c>
      <c r="I64" s="81" t="str">
        <f ca="1">LOWER(TRIM(_xlfn.XLOOKUP($A64,Строчный!$A:$A,Строчный!I:I,"ERR",0)))</f>
        <v>камуфляж</v>
      </c>
      <c r="J64" s="81" t="str">
        <f ca="1">SUBSTITUTE(LOWER(TRIM(_xlfn.XLOOKUP($A64,Строчный!$A:$A,Строчный!J:J,"ERR",0))),"подклад","Подклад")</f>
        <v>80% полиэстер - 20% хлопок</v>
      </c>
      <c r="K64" s="81" t="str">
        <f ca="1">LOWER(TRIM(_xlfn.XLOOKUP($A64,Строчный!$A:$A,Строчный!K:K,"ERR",0)))</f>
        <v/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>COMICS</v>
      </c>
      <c r="O64" s="102" t="str">
        <f ca="1">PROPER(TRIM(_xlfn.XLOOKUP($A64,Строчный!$A:$A,Строчный!P:P,"ERR",0)))</f>
        <v>Dragon Ball</v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1352</v>
      </c>
      <c r="R64" s="89" t="str">
        <f ca="1">_xlfn.XLOOKUP($G64,Фабрика!A:A,Фабрика!B:B,"ERR",0)</f>
        <v>TEXTISS S.A.S; Zone d' Activité de l'Etang, 26780 Chåteauneuf Du Rhöne, France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18</v>
      </c>
      <c r="U64" s="14" t="s">
        <v>265</v>
      </c>
      <c r="V64" s="101" t="str">
        <f t="shared" ca="1" si="3"/>
        <v>Бейсболка CAPSLAB арт. CL/DBZ5/1/GOKC Dragon Ball Goku (камуфляж)</v>
      </c>
      <c r="W64" s="100" t="str">
        <f t="shared" ca="1" si="4"/>
        <v>Бейсболка CAPSLAB арт. CL/DBZ5/1/GOKC Dragon Ball Goku (камуфляж) {camo}</v>
      </c>
      <c r="X64" s="18" t="str">
        <f t="shared" ca="1" si="5"/>
        <v>камуфляж</v>
      </c>
      <c r="Y64" s="18" t="str">
        <f t="shared" ca="1" si="6"/>
        <v>камуфляж</v>
      </c>
      <c r="Z64" s="117" t="s">
        <v>54</v>
      </c>
      <c r="AA64" s="73" t="str">
        <f ca="1"/>
        <v>88-286-00-00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00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0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88-285-00</v>
      </c>
      <c r="B65" s="107" t="str">
        <f ca="1">_xlfn.LET(_xlpm.CAPS,0,_xlpm.Style,TRIM(_xlfn.XLOOKUP($A65,Строчный!$A:$A,Строчный!B:B,"ERR",0)),IF(_xlpm.CAPS=0,_xlpm.Style,UPPER(_xlpm.Style)))</f>
        <v>CL/DBZ5/1/GOK3C Dragon Ball Goku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 с сеточкой</v>
      </c>
      <c r="E65" s="81" t="str">
        <f ca="1">PROPER(TRIM(_xlfn.XLOOKUP($A65,Строчный!$A:$A,Строчный!E:E,"ERR",0)))</f>
        <v>Capslab-Dragon Ball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CAPSLAB</v>
      </c>
      <c r="H65" s="81" t="str">
        <f ca="1">LOWER(TRIM(_xlfn.XLOOKUP($A65,Строчный!$A:$A,Строчный!H:H,"ERR",0)))</f>
        <v>camo</v>
      </c>
      <c r="I65" s="81" t="str">
        <f ca="1">LOWER(TRIM(_xlfn.XLOOKUP($A65,Строчный!$A:$A,Строчный!I:I,"ERR",0)))</f>
        <v>камуфляж</v>
      </c>
      <c r="J65" s="81" t="str">
        <f ca="1">SUBSTITUTE(LOWER(TRIM(_xlfn.XLOOKUP($A65,Строчный!$A:$A,Строчный!J:J,"ERR",0))),"подклад","Подклад")</f>
        <v>80% полиэстер - 20% хлопок</v>
      </c>
      <c r="K65" s="81" t="str">
        <f ca="1">LOWER(TRIM(_xlfn.XLOOKUP($A65,Строчный!$A:$A,Строчный!K:K,"ERR",0)))</f>
        <v/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>COMICS</v>
      </c>
      <c r="O65" s="102" t="str">
        <f ca="1">PROPER(TRIM(_xlfn.XLOOKUP($A65,Строчный!$A:$A,Строчный!P:P,"ERR",0)))</f>
        <v>Dragon Ball</v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1352</v>
      </c>
      <c r="R65" s="89" t="str">
        <f ca="1">_xlfn.XLOOKUP($G65,Фабрика!A:A,Фабрика!B:B,"ERR",0)</f>
        <v>TEXTISS S.A.S; Zone d' Activité de l'Etang, 26780 Chåteauneuf Du Rhöne, France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18</v>
      </c>
      <c r="U65" s="14" t="s">
        <v>265</v>
      </c>
      <c r="V65" s="101" t="str">
        <f t="shared" ca="1" si="3"/>
        <v>Бейсболка CAPSLAB арт. CL/DBZ5/1/GOK3C Dragon Ball Goku (камуфляж)</v>
      </c>
      <c r="W65" s="100" t="str">
        <f t="shared" ca="1" si="4"/>
        <v>Бейсболка CAPSLAB арт. CL/DBZ5/1/GOK3C Dragon Ball Goku (камуфляж) {camo}</v>
      </c>
      <c r="X65" s="18" t="str">
        <f t="shared" ca="1" si="5"/>
        <v>камуфляж</v>
      </c>
      <c r="Y65" s="18" t="str">
        <f t="shared" ca="1" si="6"/>
        <v>камуфляж</v>
      </c>
      <c r="Z65" s="117" t="s">
        <v>54</v>
      </c>
      <c r="AA65" s="73" t="str">
        <f ca="1"/>
        <v>88-285-00-00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00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0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88-284-09</v>
      </c>
      <c r="B66" s="107" t="str">
        <f ca="1">_xlfn.LET(_xlpm.CAPS,0,_xlpm.Style,TRIM(_xlfn.XLOOKUP($A66,Строчный!$A:$A,Строчный!B:B,"ERR",0)),IF(_xlpm.CAPS=0,_xlpm.Style,UPPER(_xlpm.Style)))</f>
        <v>CL/DBZ5/1/GOK2C Dragon Ball Goku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сеточкой</v>
      </c>
      <c r="E66" s="81" t="str">
        <f ca="1">PROPER(TRIM(_xlfn.XLOOKUP($A66,Строчный!$A:$A,Строчный!E:E,"ERR",0)))</f>
        <v>Capslab-Dragon Ball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CAPSLAB</v>
      </c>
      <c r="H66" s="81" t="str">
        <f ca="1">LOWER(TRIM(_xlfn.XLOOKUP($A66,Строчный!$A:$A,Строчный!H:H,"ERR",0)))</f>
        <v>black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80% полиэстер - 20% хлопок</v>
      </c>
      <c r="K66" s="81" t="str">
        <f ca="1">LOWER(TRIM(_xlfn.XLOOKUP($A66,Строчный!$A:$A,Строчный!K:K,"ERR",0)))</f>
        <v/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>COMICS</v>
      </c>
      <c r="O66" s="102" t="str">
        <f ca="1">PROPER(TRIM(_xlfn.XLOOKUP($A66,Строчный!$A:$A,Строчный!P:P,"ERR",0)))</f>
        <v>Dragon Ball</v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1352</v>
      </c>
      <c r="R66" s="89" t="str">
        <f ca="1">_xlfn.XLOOKUP($G66,Фабрика!A:A,Фабрика!B:B,"ERR",0)</f>
        <v>TEXTISS S.A.S; Zone d' Activité de l'Etang, 26780 Chåteauneuf Du Rhöne, France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18</v>
      </c>
      <c r="U66" s="14" t="s">
        <v>265</v>
      </c>
      <c r="V66" s="101" t="str">
        <f t="shared" ca="1" si="3"/>
        <v>Бейсболка CAPSLAB арт. CL/DBZ5/1/GOK2C Dragon Ball Goku (черный)</v>
      </c>
      <c r="W66" s="100" t="str">
        <f t="shared" ca="1" si="4"/>
        <v>Бейсболка CAPSLAB арт. CL/DBZ5/1/GOK2C Dragon Ball Goku (черный) {black}</v>
      </c>
      <c r="X66" s="18" t="str">
        <f t="shared" ca="1" si="5"/>
        <v>черный</v>
      </c>
      <c r="Y66" s="18" t="str">
        <f t="shared" ca="1" si="6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88-284-09-00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09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0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19" ca="1" si="7">LEFT(AA67,9)</f>
        <v>88-283-80</v>
      </c>
      <c r="B67" s="107" t="str">
        <f ca="1">_xlfn.LET(_xlpm.CAPS,0,_xlpm.Style,TRIM(_xlfn.XLOOKUP($A67,Строчный!$A:$A,Строчный!B:B,"ERR",0)),IF(_xlpm.CAPS=0,_xlpm.Style,UPPER(_xlpm.Style)))</f>
        <v>CL/DBZ3/1/VEG3 Dragon Ball Vegeta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сеточкой</v>
      </c>
      <c r="E67" s="81" t="str">
        <f ca="1">PROPER(TRIM(_xlfn.XLOOKUP($A67,Строчный!$A:$A,Строчный!E:E,"ERR",0)))</f>
        <v>Capslab-Dragon Ball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CAPSLAB</v>
      </c>
      <c r="H67" s="81" t="str">
        <f ca="1">LOWER(TRIM(_xlfn.XLOOKUP($A67,Строчный!$A:$A,Строчный!H:H,"ERR",0)))</f>
        <v>grey</v>
      </c>
      <c r="I67" s="81" t="str">
        <f ca="1">LOWER(TRIM(_xlfn.XLOOKUP($A67,Строчный!$A:$A,Строчный!I:I,"ERR",0)))</f>
        <v>серый</v>
      </c>
      <c r="J67" s="81" t="str">
        <f ca="1">SUBSTITUTE(LOWER(TRIM(_xlfn.XLOOKUP($A67,Строчный!$A:$A,Строчный!J:J,"ERR",0))),"подклад","Подклад")</f>
        <v>50% хлопок - 50% полиэстер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>COMICS</v>
      </c>
      <c r="O67" s="102" t="str">
        <f ca="1">PROPER(TRIM(_xlfn.XLOOKUP($A67,Строчный!$A:$A,Строчный!P:P,"ERR",0)))</f>
        <v>Dragon Ball</v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1352</v>
      </c>
      <c r="R67" s="89" t="str">
        <f ca="1">_xlfn.XLOOKUP($G67,Фабрика!A:A,Фабрика!B:B,"ERR",0)</f>
        <v>TEXTISS S.A.S; Zone d' Activité de l'Etang, 26780 Chåteauneuf Du Rhöne, France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12</v>
      </c>
      <c r="U67" s="14" t="s">
        <v>265</v>
      </c>
      <c r="V67" s="101" t="str">
        <f t="shared" ref="V67:V119" ca="1" si="8">TRIM(CONCATENATE(AB67," ",G67," арт. ",B67," (",I67,")"))</f>
        <v>Бейсболка CAPSLAB арт. CL/DBZ3/1/VEG3 Dragon Ball Vegeta (серый)</v>
      </c>
      <c r="W67" s="100" t="str">
        <f t="shared" ref="W67:W119" ca="1" si="9">TRIM(CONCATENATE(AB67," ",G67," арт. ",B67," (",I67,") {",H67,"}"))</f>
        <v>Бейсболка CAPSLAB арт. CL/DBZ3/1/VEG3 Dragon Ball Vegeta (серый) {grey}</v>
      </c>
      <c r="X67" s="18" t="str">
        <f t="shared" ref="X67:X119" ca="1" si="10">IFERROR(MID(I67,FIND("-",I67)+1,LEN(I67)),IFERROR(MID(I67,1,FIND("/",I67)-2),I67))</f>
        <v>серый</v>
      </c>
      <c r="Y67" s="18" t="str">
        <f t="shared" ref="Y67:Y119" ca="1" si="11">IFERROR(MID(I67,FIND("-",I67)+1,LEN(I67)),IFERROR(MID(I67,FIND("/",I67)+2,LEN(I67)),I67))</f>
        <v>серый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серый</v>
      </c>
      <c r="AA67" s="73" t="str">
        <f ca="1"/>
        <v>88-283-80-00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80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88-282-48</v>
      </c>
      <c r="B68" s="107" t="str">
        <f ca="1">_xlfn.LET(_xlpm.CAPS,0,_xlpm.Style,TRIM(_xlfn.XLOOKUP($A68,Строчный!$A:$A,Строчный!B:B,"ERR",0)),IF(_xlpm.CAPS=0,_xlpm.Style,UPPER(_xlpm.Style)))</f>
        <v>CL/DBZ2/1/KAM4 Dragon Ball Kame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 с сеточкой</v>
      </c>
      <c r="E68" s="81" t="str">
        <f ca="1">PROPER(TRIM(_xlfn.XLOOKUP($A68,Строчный!$A:$A,Строчный!E:E,"ERR",0)))</f>
        <v>Capslab-Dragon Ball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CAPSLAB</v>
      </c>
      <c r="H68" s="81" t="str">
        <f ca="1">LOWER(TRIM(_xlfn.XLOOKUP($A68,Строчный!$A:$A,Строчный!H:H,"ERR",0)))</f>
        <v>white</v>
      </c>
      <c r="I68" s="81" t="str">
        <f ca="1">LOWER(TRIM(_xlfn.XLOOKUP($A68,Строчный!$A:$A,Строчный!I:I,"ERR",0)))</f>
        <v>белый / черный</v>
      </c>
      <c r="J68" s="81" t="str">
        <f ca="1">SUBSTITUTE(LOWER(TRIM(_xlfn.XLOOKUP($A68,Строчный!$A:$A,Строчный!J:J,"ERR",0))),"подклад","Подклад")</f>
        <v>50% хлопок - 50% полиэстер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>COMICS</v>
      </c>
      <c r="O68" s="102" t="str">
        <f ca="1">PROPER(TRIM(_xlfn.XLOOKUP($A68,Строчный!$A:$A,Строчный!P:P,"ERR",0)))</f>
        <v>Dragon Ball</v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1352</v>
      </c>
      <c r="R68" s="89" t="str">
        <f ca="1">_xlfn.XLOOKUP($G68,Фабрика!A:A,Фабрика!B:B,"ERR",0)</f>
        <v>TEXTISS S.A.S; Zone d' Activité de l'Etang, 26780 Chåteauneuf Du Rhöne, France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18</v>
      </c>
      <c r="U68" s="14" t="s">
        <v>265</v>
      </c>
      <c r="V68" s="101" t="str">
        <f t="shared" ca="1" si="8"/>
        <v>Бейсболка CAPSLAB арт. CL/DBZ2/1/KAM4 Dragon Ball Kame (белый / черный)</v>
      </c>
      <c r="W68" s="100" t="str">
        <f t="shared" ca="1" si="9"/>
        <v>Бейсболка CAPSLAB арт. CL/DBZ2/1/KAM4 Dragon Ball Kame (белый / черный) {white}</v>
      </c>
      <c r="X68" s="18" t="str">
        <f t="shared" ca="1" si="10"/>
        <v>белый</v>
      </c>
      <c r="Y68" s="18" t="str">
        <f t="shared" ca="1" si="11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белый</v>
      </c>
      <c r="AA68" s="73" t="str">
        <f ca="1"/>
        <v>88-282-48-00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48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88-281-09</v>
      </c>
      <c r="B69" s="107" t="str">
        <f ca="1">_xlfn.LET(_xlpm.CAPS,0,_xlpm.Style,TRIM(_xlfn.XLOOKUP($A69,Строчный!$A:$A,Строчный!B:B,"ERR",0)),IF(_xlpm.CAPS=0,_xlpm.Style,UPPER(_xlpm.Style)))</f>
        <v>CL/DBZ/1/KAMC Junior Dragon Ball Kame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 с сеточкой</v>
      </c>
      <c r="E69" s="81" t="str">
        <f ca="1">PROPER(TRIM(_xlfn.XLOOKUP($A69,Строчный!$A:$A,Строчный!E:E,"ERR",0)))</f>
        <v>Capslab-Junior Dragon Ball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CAPSLAB</v>
      </c>
      <c r="H69" s="81" t="str">
        <f ca="1">LOWER(TRIM(_xlfn.XLOOKUP($A69,Строчный!$A:$A,Строчный!H:H,"ERR",0)))</f>
        <v>black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50% хлопок - 50% полиэстер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>COMICS</v>
      </c>
      <c r="O69" s="102" t="str">
        <f ca="1">PROPER(TRIM(_xlfn.XLOOKUP($A69,Строчный!$A:$A,Строчный!P:P,"ERR",0)))</f>
        <v>Junior Dragon Ball</v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1352</v>
      </c>
      <c r="R69" s="89" t="str">
        <f ca="1">_xlfn.XLOOKUP($G69,Фабрика!A:A,Фабрика!B:B,"ERR",0)</f>
        <v>TEXTISS S.A.S; Zone d' Activité de l'Etang, 26780 Chåteauneuf Du Rhöne, France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36</v>
      </c>
      <c r="U69" s="14" t="s">
        <v>265</v>
      </c>
      <c r="V69" s="101" t="str">
        <f t="shared" ca="1" si="8"/>
        <v>Бейсболка CAPSLAB арт. CL/DBZ/1/KAMC Junior Dragon Ball Kame (черный)</v>
      </c>
      <c r="W69" s="100" t="str">
        <f t="shared" ca="1" si="9"/>
        <v>Бейсболка CAPSLAB арт. CL/DBZ/1/KAMC Junior Dragon Ball Kame (черный) {black}</v>
      </c>
      <c r="X69" s="18" t="str">
        <f t="shared" ca="1" si="10"/>
        <v>черный</v>
      </c>
      <c r="Y69" s="18" t="str">
        <f t="shared" ca="1" si="11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88-281-09-00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09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7"/>
        <v>88-280-59</v>
      </c>
      <c r="B70" s="107" t="str">
        <f ca="1">_xlfn.LET(_xlpm.CAPS,0,_xlpm.Style,TRIM(_xlfn.XLOOKUP($A70,Строчный!$A:$A,Строчный!B:B,"ERR",0)),IF(_xlpm.CAPS=0,_xlpm.Style,UPPER(_xlpm.Style)))</f>
        <v>CL/DB2/1/KRI Dragon Ball Krillin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 с сеточкой</v>
      </c>
      <c r="E70" s="81" t="str">
        <f ca="1">PROPER(TRIM(_xlfn.XLOOKUP($A70,Строчный!$A:$A,Строчный!E:E,"ERR",0)))</f>
        <v>Capslab-Dragon Ball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CAPSLAB</v>
      </c>
      <c r="H70" s="81" t="str">
        <f ca="1">LOWER(TRIM(_xlfn.XLOOKUP($A70,Строчный!$A:$A,Строчный!H:H,"ERR",0)))</f>
        <v>white</v>
      </c>
      <c r="I70" s="81" t="str">
        <f ca="1">LOWER(TRIM(_xlfn.XLOOKUP($A70,Строчный!$A:$A,Строчный!I:I,"ERR",0)))</f>
        <v>белый / оранжевый</v>
      </c>
      <c r="J70" s="81" t="str">
        <f ca="1">SUBSTITUTE(LOWER(TRIM(_xlfn.XLOOKUP($A70,Строчный!$A:$A,Строчный!J:J,"ERR",0))),"подклад","Подклад")</f>
        <v>50% хлопок - 50% полиэстер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>COMICS</v>
      </c>
      <c r="O70" s="102" t="str">
        <f ca="1">PROPER(TRIM(_xlfn.XLOOKUP($A70,Строчный!$A:$A,Строчный!P:P,"ERR",0)))</f>
        <v>Dragon Ball</v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1352</v>
      </c>
      <c r="R70" s="89" t="str">
        <f ca="1">_xlfn.XLOOKUP($G70,Фабрика!A:A,Фабрика!B:B,"ERR",0)</f>
        <v>TEXTISS S.A.S; Zone d' Activité de l'Etang, 26780 Chåteauneuf Du Rhöne, France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6</v>
      </c>
      <c r="U70" s="14" t="s">
        <v>265</v>
      </c>
      <c r="V70" s="101" t="str">
        <f t="shared" ca="1" si="8"/>
        <v>Бейсболка CAPSLAB арт. CL/DB2/1/KRI Dragon Ball Krillin (белый / оранжевый)</v>
      </c>
      <c r="W70" s="100" t="str">
        <f t="shared" ca="1" si="9"/>
        <v>Бейсболка CAPSLAB арт. CL/DB2/1/KRI Dragon Ball Krillin (белый / оранжевый) {white}</v>
      </c>
      <c r="X70" s="18" t="str">
        <f t="shared" ca="1" si="10"/>
        <v>белый</v>
      </c>
      <c r="Y70" s="18" t="str">
        <f t="shared" ca="1" si="11"/>
        <v>оранжевый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белый</v>
      </c>
      <c r="AA70" s="73" t="str">
        <f ca="1"/>
        <v>88-280-59-00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59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7"/>
        <v>88-279-14</v>
      </c>
      <c r="B71" s="107" t="str">
        <f ca="1">_xlfn.LET(_xlpm.CAPS,0,_xlpm.Style,TRIM(_xlfn.XLOOKUP($A71,Строчный!$A:$A,Строчный!B:B,"ERR",0)),IF(_xlpm.CAPS=0,_xlpm.Style,UPPER(_xlpm.Style)))</f>
        <v>CL/DB2/1/KAM1 Dragon Ball Kame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 с сеточкой</v>
      </c>
      <c r="E71" s="81" t="str">
        <f ca="1">PROPER(TRIM(_xlfn.XLOOKUP($A71,Строчный!$A:$A,Строчный!E:E,"ERR",0)))</f>
        <v>Capslab-Dragon Ball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CAPSLAB</v>
      </c>
      <c r="H71" s="81" t="str">
        <f ca="1">LOWER(TRIM(_xlfn.XLOOKUP($A71,Строчный!$A:$A,Строчный!H:H,"ERR",0)))</f>
        <v>brown</v>
      </c>
      <c r="I71" s="81" t="str">
        <f ca="1">LOWER(TRIM(_xlfn.XLOOKUP($A71,Строчный!$A:$A,Строчный!I:I,"ERR",0)))</f>
        <v>коричневый</v>
      </c>
      <c r="J71" s="81" t="str">
        <f ca="1">SUBSTITUTE(LOWER(TRIM(_xlfn.XLOOKUP($A71,Строчный!$A:$A,Строчный!J:J,"ERR",0))),"подклад","Подклад")</f>
        <v>50% хлопок - 50% полиэстер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>COMICS</v>
      </c>
      <c r="O71" s="102" t="str">
        <f ca="1">PROPER(TRIM(_xlfn.XLOOKUP($A71,Строчный!$A:$A,Строчный!P:P,"ERR",0)))</f>
        <v>Dragon Ball</v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1352</v>
      </c>
      <c r="R71" s="89" t="str">
        <f ca="1">_xlfn.XLOOKUP($G71,Фабрика!A:A,Фабрика!B:B,"ERR",0)</f>
        <v>TEXTISS S.A.S; Zone d' Activité de l'Etang, 26780 Chåteauneuf Du Rhöne, France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36</v>
      </c>
      <c r="U71" s="14" t="s">
        <v>265</v>
      </c>
      <c r="V71" s="101" t="str">
        <f t="shared" ca="1" si="8"/>
        <v>Бейсболка CAPSLAB арт. CL/DB2/1/KAM1 Dragon Ball Kame (коричневый)</v>
      </c>
      <c r="W71" s="100" t="str">
        <f t="shared" ca="1" si="9"/>
        <v>Бейсболка CAPSLAB арт. CL/DB2/1/KAM1 Dragon Ball Kame (коричневый) {brown}</v>
      </c>
      <c r="X71" s="18" t="str">
        <f t="shared" ca="1" si="10"/>
        <v>коричневый</v>
      </c>
      <c r="Y71" s="18" t="str">
        <f t="shared" ca="1" si="11"/>
        <v>коричневый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коричневый</v>
      </c>
      <c r="AA71" s="73" t="str">
        <f ca="1"/>
        <v>88-279-14-00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14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7"/>
        <v>88-278-19</v>
      </c>
      <c r="B72" s="107" t="str">
        <f ca="1">_xlfn.LET(_xlpm.CAPS,0,_xlpm.Style,TRIM(_xlfn.XLOOKUP($A72,Строчный!$A:$A,Строчный!B:B,"ERR",0)),IF(_xlpm.CAPS=0,_xlpm.Style,UPPER(_xlpm.Style)))</f>
        <v>CL/DB2/1/GOK2 Dragon Ball Goku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 с сеточкой</v>
      </c>
      <c r="E72" s="81" t="str">
        <f ca="1">PROPER(TRIM(_xlfn.XLOOKUP($A72,Строчный!$A:$A,Строчный!E:E,"ERR",0)))</f>
        <v>Capslab-Dragon Ball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CAPSLAB</v>
      </c>
      <c r="H72" s="81" t="str">
        <f ca="1">LOWER(TRIM(_xlfn.XLOOKUP($A72,Строчный!$A:$A,Строчный!H:H,"ERR",0)))</f>
        <v>blue</v>
      </c>
      <c r="I72" s="81" t="str">
        <f ca="1">LOWER(TRIM(_xlfn.XLOOKUP($A72,Строчный!$A:$A,Строчный!I:I,"ERR",0)))</f>
        <v>голубой</v>
      </c>
      <c r="J72" s="81" t="str">
        <f ca="1">SUBSTITUTE(LOWER(TRIM(_xlfn.XLOOKUP($A72,Строчный!$A:$A,Строчный!J:J,"ERR",0))),"подклад","Подклад")</f>
        <v>50% хлопок - 50% полиэстер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>COMICS</v>
      </c>
      <c r="O72" s="102" t="str">
        <f ca="1">PROPER(TRIM(_xlfn.XLOOKUP($A72,Строчный!$A:$A,Строчный!P:P,"ERR",0)))</f>
        <v>Dragon Ball</v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1352</v>
      </c>
      <c r="R72" s="89" t="str">
        <f ca="1">_xlfn.XLOOKUP($G72,Фабрика!A:A,Фабрика!B:B,"ERR",0)</f>
        <v>TEXTISS S.A.S; Zone d' Activité de l'Etang, 26780 Chåteauneuf Du Rhöne, France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18</v>
      </c>
      <c r="U72" s="14" t="s">
        <v>265</v>
      </c>
      <c r="V72" s="101" t="str">
        <f t="shared" ca="1" si="8"/>
        <v>Бейсболка CAPSLAB арт. CL/DB2/1/GOK2 Dragon Ball Goku (голубой)</v>
      </c>
      <c r="W72" s="100" t="str">
        <f t="shared" ca="1" si="9"/>
        <v>Бейсболка CAPSLAB арт. CL/DB2/1/GOK2 Dragon Ball Goku (голубой) {blue}</v>
      </c>
      <c r="X72" s="18" t="str">
        <f t="shared" ca="1" si="10"/>
        <v>голубой</v>
      </c>
      <c r="Y72" s="18" t="str">
        <f t="shared" ca="1" si="11"/>
        <v>голубой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голубой</v>
      </c>
      <c r="AA72" s="73" t="str">
        <f ca="1"/>
        <v>88-278-19-00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19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7"/>
        <v>88-277-16</v>
      </c>
      <c r="B73" s="107" t="str">
        <f ca="1">_xlfn.LET(_xlpm.CAPS,0,_xlpm.Style,TRIM(_xlfn.XLOOKUP($A73,Строчный!$A:$A,Строчный!B:B,"ERR",0)),IF(_xlpm.CAPS=0,_xlpm.Style,UPPER(_xlpm.Style)))</f>
        <v>CL/DB2/1/GOK Dragon Ball Goku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 с сеточкой</v>
      </c>
      <c r="E73" s="81" t="str">
        <f ca="1">PROPER(TRIM(_xlfn.XLOOKUP($A73,Строчный!$A:$A,Строчный!E:E,"ERR",0)))</f>
        <v>Capslab-Dragon Ball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CAPSLAB</v>
      </c>
      <c r="H73" s="81" t="str">
        <f ca="1">LOWER(TRIM(_xlfn.XLOOKUP($A73,Строчный!$A:$A,Строчный!H:H,"ERR",0)))</f>
        <v>navy</v>
      </c>
      <c r="I73" s="81" t="str">
        <f ca="1">LOWER(TRIM(_xlfn.XLOOKUP($A73,Строчный!$A:$A,Строчный!I:I,"ERR",0)))</f>
        <v>темно-синий</v>
      </c>
      <c r="J73" s="81" t="str">
        <f ca="1">SUBSTITUTE(LOWER(TRIM(_xlfn.XLOOKUP($A73,Строчный!$A:$A,Строчный!J:J,"ERR",0))),"подклад","Подклад")</f>
        <v>50% хлопок - 50% полиэстер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>COMICS</v>
      </c>
      <c r="O73" s="102" t="str">
        <f ca="1">PROPER(TRIM(_xlfn.XLOOKUP($A73,Строчный!$A:$A,Строчный!P:P,"ERR",0)))</f>
        <v>Dragon Ball</v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1352</v>
      </c>
      <c r="R73" s="89" t="str">
        <f ca="1">_xlfn.XLOOKUP($G73,Фабрика!A:A,Фабрика!B:B,"ERR",0)</f>
        <v>TEXTISS S.A.S; Zone d' Activité de l'Etang, 26780 Chåteauneuf Du Rhöne, France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18</v>
      </c>
      <c r="U73" s="14" t="s">
        <v>265</v>
      </c>
      <c r="V73" s="101" t="str">
        <f t="shared" ca="1" si="8"/>
        <v>Бейсболка CAPSLAB арт. CL/DB2/1/GOK Dragon Ball Goku (темно-синий)</v>
      </c>
      <c r="W73" s="100" t="str">
        <f t="shared" ca="1" si="9"/>
        <v>Бейсболка CAPSLAB арт. CL/DB2/1/GOK Dragon Ball Goku (темно-синий) {navy}</v>
      </c>
      <c r="X73" s="18" t="str">
        <f t="shared" ca="1" si="10"/>
        <v>синий</v>
      </c>
      <c r="Y73" s="18" t="str">
        <f t="shared" ca="1" si="11"/>
        <v>синий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синий</v>
      </c>
      <c r="AA73" s="73" t="str">
        <f ca="1"/>
        <v>88-277-16-00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16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7"/>
        <v>88-276-12</v>
      </c>
      <c r="B74" s="107" t="str">
        <f ca="1">_xlfn.LET(_xlpm.CAPS,0,_xlpm.Style,TRIM(_xlfn.XLOOKUP($A74,Строчный!$A:$A,Строчный!B:B,"ERR",0)),IF(_xlpm.CAPS=0,_xlpm.Style,UPPER(_xlpm.Style)))</f>
        <v>CL/DB2/1/BUL2 Dragon Ball Bulma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 с сеточкой</v>
      </c>
      <c r="E74" s="81" t="str">
        <f ca="1">PROPER(TRIM(_xlfn.XLOOKUP($A74,Строчный!$A:$A,Строчный!E:E,"ERR",0)))</f>
        <v>Capslab-Dragon Ball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CAPSLAB</v>
      </c>
      <c r="H74" s="81" t="str">
        <f ca="1">LOWER(TRIM(_xlfn.XLOOKUP($A74,Строчный!$A:$A,Строчный!H:H,"ERR",0)))</f>
        <v>red</v>
      </c>
      <c r="I74" s="81" t="str">
        <f ca="1">LOWER(TRIM(_xlfn.XLOOKUP($A74,Строчный!$A:$A,Строчный!I:I,"ERR",0)))</f>
        <v>бордовый</v>
      </c>
      <c r="J74" s="81" t="str">
        <f ca="1">SUBSTITUTE(LOWER(TRIM(_xlfn.XLOOKUP($A74,Строчный!$A:$A,Строчный!J:J,"ERR",0))),"подклад","Подклад")</f>
        <v>80% полиэстер - 20% хлопок</v>
      </c>
      <c r="K74" s="81" t="str">
        <f ca="1">LOWER(TRIM(_xlfn.XLOOKUP($A74,Строчный!$A:$A,Строчный!K:K,"ERR",0)))</f>
        <v/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>COMICS</v>
      </c>
      <c r="O74" s="102" t="str">
        <f ca="1">PROPER(TRIM(_xlfn.XLOOKUP($A74,Строчный!$A:$A,Строчный!P:P,"ERR",0)))</f>
        <v>Dragon Ball</v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1352</v>
      </c>
      <c r="R74" s="89" t="str">
        <f ca="1">_xlfn.XLOOKUP($G74,Фабрика!A:A,Фабрика!B:B,"ERR",0)</f>
        <v>TEXTISS S.A.S; Zone d' Activité de l'Etang, 26780 Chåteauneuf Du Rhöne, France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12</v>
      </c>
      <c r="U74" s="14" t="s">
        <v>265</v>
      </c>
      <c r="V74" s="101" t="str">
        <f t="shared" ca="1" si="8"/>
        <v>Бейсболка CAPSLAB арт. CL/DB2/1/BUL2 Dragon Ball Bulma (бордовый)</v>
      </c>
      <c r="W74" s="100" t="str">
        <f t="shared" ca="1" si="9"/>
        <v>Бейсболка CAPSLAB арт. CL/DB2/1/BUL2 Dragon Ball Bulma (бордовый) {red}</v>
      </c>
      <c r="X74" s="18" t="str">
        <f t="shared" ca="1" si="10"/>
        <v>бордовый</v>
      </c>
      <c r="Y74" s="18" t="str">
        <f t="shared" ca="1" si="11"/>
        <v>бордовый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бордовый</v>
      </c>
      <c r="AA74" s="73" t="str">
        <f ca="1"/>
        <v>88-276-12-00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12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0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7"/>
        <v>88-275-12</v>
      </c>
      <c r="B75" s="107" t="str">
        <f ca="1">_xlfn.LET(_xlpm.CAPS,0,_xlpm.Style,TRIM(_xlfn.XLOOKUP($A75,Строчный!$A:$A,Строчный!B:B,"ERR",0)),IF(_xlpm.CAPS=0,_xlpm.Style,UPPER(_xlpm.Style)))</f>
        <v>CL/DB2/1/BUL1 Dragon Ball Bulma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сеточкой</v>
      </c>
      <c r="E75" s="81" t="str">
        <f ca="1">PROPER(TRIM(_xlfn.XLOOKUP($A75,Строчный!$A:$A,Строчный!E:E,"ERR",0)))</f>
        <v>Capslab-Dragon Ball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CAPSLAB</v>
      </c>
      <c r="H75" s="81" t="str">
        <f ca="1">LOWER(TRIM(_xlfn.XLOOKUP($A75,Строчный!$A:$A,Строчный!H:H,"ERR",0)))</f>
        <v>red</v>
      </c>
      <c r="I75" s="81" t="str">
        <f ca="1">LOWER(TRIM(_xlfn.XLOOKUP($A75,Строчный!$A:$A,Строчный!I:I,"ERR",0)))</f>
        <v>бордовый</v>
      </c>
      <c r="J75" s="81" t="str">
        <f ca="1">SUBSTITUTE(LOWER(TRIM(_xlfn.XLOOKUP($A75,Строчный!$A:$A,Строчный!J:J,"ERR",0))),"подклад","Подклад")</f>
        <v>50% хлопок - 50% полиэстер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>COMICS</v>
      </c>
      <c r="O75" s="102" t="str">
        <f ca="1">PROPER(TRIM(_xlfn.XLOOKUP($A75,Строчный!$A:$A,Строчный!P:P,"ERR",0)))</f>
        <v>Dragon Ball</v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1352</v>
      </c>
      <c r="R75" s="89" t="str">
        <f ca="1">_xlfn.XLOOKUP($G75,Фабрика!A:A,Фабрика!B:B,"ERR",0)</f>
        <v>TEXTISS S.A.S; Zone d' Activité de l'Etang, 26780 Chåteauneuf Du Rhöne, France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12</v>
      </c>
      <c r="U75" s="14" t="s">
        <v>265</v>
      </c>
      <c r="V75" s="101" t="str">
        <f t="shared" ca="1" si="8"/>
        <v>Бейсболка CAPSLAB арт. CL/DB2/1/BUL1 Dragon Ball Bulma (бордовый)</v>
      </c>
      <c r="W75" s="100" t="str">
        <f t="shared" ca="1" si="9"/>
        <v>Бейсболка CAPSLAB арт. CL/DB2/1/BUL1 Dragon Ball Bulma (бордовый) {red}</v>
      </c>
      <c r="X75" s="18" t="str">
        <f t="shared" ca="1" si="10"/>
        <v>бордовый</v>
      </c>
      <c r="Y75" s="18" t="str">
        <f t="shared" ca="1" si="11"/>
        <v>бордовый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бордовый</v>
      </c>
      <c r="AA75" s="73" t="str">
        <f ca="1"/>
        <v>88-275-12-00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12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7"/>
        <v>88-274-80</v>
      </c>
      <c r="B76" s="107" t="str">
        <f ca="1">_xlfn.LET(_xlpm.CAPS,0,_xlpm.Style,TRIM(_xlfn.XLOOKUP($A76,Строчный!$A:$A,Строчный!B:B,"ERR",0)),IF(_xlpm.CAPS=0,_xlpm.Style,UPPER(_xlpm.Style)))</f>
        <v>CL/DB1/1/GOK4 Dragon Ball Goku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сеточкой</v>
      </c>
      <c r="E76" s="81" t="str">
        <f ca="1">PROPER(TRIM(_xlfn.XLOOKUP($A76,Строчный!$A:$A,Строчный!E:E,"ERR",0)))</f>
        <v>Capslab-Dragon Ball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CAPSLAB</v>
      </c>
      <c r="H76" s="81" t="str">
        <f ca="1">LOWER(TRIM(_xlfn.XLOOKUP($A76,Строчный!$A:$A,Строчный!H:H,"ERR",0)))</f>
        <v>grey</v>
      </c>
      <c r="I76" s="81" t="str">
        <f ca="1">LOWER(TRIM(_xlfn.XLOOKUP($A76,Строчный!$A:$A,Строчный!I:I,"ERR",0)))</f>
        <v>серый</v>
      </c>
      <c r="J76" s="81" t="str">
        <f ca="1">SUBSTITUTE(LOWER(TRIM(_xlfn.XLOOKUP($A76,Строчный!$A:$A,Строчный!J:J,"ERR",0))),"подклад","Подклад")</f>
        <v>50% хлопок - 50% полиэстер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>COMICS</v>
      </c>
      <c r="O76" s="102" t="str">
        <f ca="1">PROPER(TRIM(_xlfn.XLOOKUP($A76,Строчный!$A:$A,Строчный!P:P,"ERR",0)))</f>
        <v>Dragon Ball</v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1352</v>
      </c>
      <c r="R76" s="89" t="str">
        <f ca="1">_xlfn.XLOOKUP($G76,Фабрика!A:A,Фабрика!B:B,"ERR",0)</f>
        <v>TEXTISS S.A.S; Zone d' Activité de l'Etang, 26780 Chåteauneuf Du Rhöne, France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12</v>
      </c>
      <c r="U76" s="14" t="s">
        <v>265</v>
      </c>
      <c r="V76" s="101" t="str">
        <f t="shared" ca="1" si="8"/>
        <v>Бейсболка CAPSLAB арт. CL/DB1/1/GOK4 Dragon Ball Goku (серый)</v>
      </c>
      <c r="W76" s="100" t="str">
        <f t="shared" ca="1" si="9"/>
        <v>Бейсболка CAPSLAB арт. CL/DB1/1/GOK4 Dragon Ball Goku (серый) {grey}</v>
      </c>
      <c r="X76" s="18" t="str">
        <f t="shared" ca="1" si="10"/>
        <v>серый</v>
      </c>
      <c r="Y76" s="18" t="str">
        <f t="shared" ca="1" si="11"/>
        <v>серый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серый</v>
      </c>
      <c r="AA76" s="73" t="str">
        <f ca="1"/>
        <v>88-274-80-00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80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7"/>
        <v>88-270-09</v>
      </c>
      <c r="B77" s="107" t="str">
        <f ca="1">_xlfn.LET(_xlpm.CAPS,0,_xlpm.Style,TRIM(_xlfn.XLOOKUP($A77,Строчный!$A:$A,Строчный!B:B,"ERR",0)),IF(_xlpm.CAPS=0,_xlpm.Style,UPPER(_xlpm.Style)))</f>
        <v>CL/LOO4/1/BON/COY2 Looney Tunes Wile E. Coyote</v>
      </c>
      <c r="C77" s="81" t="str">
        <f ca="1">TRIM(PROPER(_xlfn.XLOOKUP($A77,Строчный!$A:$A,Строчный!C:C,"ERR",0)))</f>
        <v>Шапки</v>
      </c>
      <c r="D77" s="81" t="str">
        <f ca="1">_xlfn.LET(_xlpm.DATA,TRIM(_xlfn.XLOOKUP($A77,Строчный!$A:$A,Строчный!D:D,"ERR",0)),UPPER(MID(_xlpm.DATA,1,1))&amp;LOWER(MID(_xlpm.DATA,2,LEN(_xlpm.DATA)-1)))</f>
        <v>Шапка вязаная</v>
      </c>
      <c r="E77" s="81" t="str">
        <f ca="1">PROPER(TRIM(_xlfn.XLOOKUP($A77,Строчный!$A:$A,Строчный!E:E,"ERR",0)))</f>
        <v>Capslab-Looney Tunes</v>
      </c>
      <c r="F77" s="81" t="str">
        <f ca="1">LOWER(TRIM(_xlfn.XLOOKUP($A77,Строчный!$A:$A,Строчный!F:F,"ERR",0)))</f>
        <v>зимний</v>
      </c>
      <c r="G77" s="81" t="str">
        <f ca="1">UPPER(TRIM(_xlfn.XLOOKUP($A77,Строчный!$A:$A,Строчный!G:G,"ERR",0)))</f>
        <v>CAPSLAB</v>
      </c>
      <c r="H77" s="81" t="str">
        <f ca="1">LOWER(TRIM(_xlfn.XLOOKUP($A77,Строчный!$A:$A,Строчный!H:H,"ERR",0)))</f>
        <v>black</v>
      </c>
      <c r="I77" s="81" t="str">
        <f ca="1">LOWER(TRIM(_xlfn.XLOOKUP($A77,Строчный!$A:$A,Строчный!I:I,"ERR",0)))</f>
        <v>черный</v>
      </c>
      <c r="J77" s="81" t="str">
        <f ca="1">SUBSTITUTE(LOWER(TRIM(_xlfn.XLOOKUP($A77,Строчный!$A:$A,Строчный!J:J,"ERR",0))),"подклад","Подклад")</f>
        <v>100% акрил</v>
      </c>
      <c r="K77" s="81" t="str">
        <f ca="1">LOWER(TRIM(_xlfn.XLOOKUP($A77,Строчный!$A:$A,Строчный!K:K,"ERR",0)))</f>
        <v/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>COMICS</v>
      </c>
      <c r="O77" s="102" t="str">
        <f ca="1">PROPER(TRIM(_xlfn.XLOOKUP($A77,Строчный!$A:$A,Строчный!P:P,"ERR",0)))</f>
        <v>Looney Tunes</v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1352</v>
      </c>
      <c r="R77" s="89" t="str">
        <f ca="1">_xlfn.XLOOKUP($G77,Фабрика!A:A,Фабрика!B:B,"ERR",0)</f>
        <v>TEXTISS S.A.S; Zone d' Activité de l'Etang, 26780 Chåteauneuf Du Rhöne, France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6</v>
      </c>
      <c r="U77" s="14" t="s">
        <v>265</v>
      </c>
      <c r="V77" s="101" t="str">
        <f t="shared" ca="1" si="8"/>
        <v>Шапка CAPSLAB арт. CL/LOO4/1/BON/COY2 Looney Tunes Wile E. Coyote (черный)</v>
      </c>
      <c r="W77" s="100" t="str">
        <f t="shared" ca="1" si="9"/>
        <v>Шапка CAPSLAB арт. CL/LOO4/1/BON/COY2 Looney Tunes Wile E. Coyote (черный) {black}</v>
      </c>
      <c r="X77" s="18" t="str">
        <f t="shared" ca="1" si="10"/>
        <v>черный</v>
      </c>
      <c r="Y77" s="18" t="str">
        <f t="shared" ca="1" si="11"/>
        <v>черный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88-270-09-00</v>
      </c>
      <c r="AB77" s="75" t="str">
        <f ca="1">VLOOKUP(C77,Группа!A:B,2,FALSE)</f>
        <v>Шапка</v>
      </c>
      <c r="AC77" s="97" t="str">
        <f ca="1">IFERROR(VLOOKUP(S77,Размеры!A:C,3,FALSE),"")</f>
        <v>ONE</v>
      </c>
      <c r="AD77" s="97" t="str">
        <f ca="1">VLOOKUP(I77,ЦветПолный!A:B,2,FALSE)</f>
        <v>09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1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0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str">
        <f ca="1">IF(VLOOKUP(W77,Товары!A:B,2,FALSE)=A77,"Есть в 1С","ERR")</f>
        <v>Есть в 1С</v>
      </c>
      <c r="AU77" s="65" t="str">
        <f ca="1">IF(VLOOKUP(A77,Товары!B:B,1,FALSE)=A77,"Есть в 1С","ERR")</f>
        <v>Есть в 1С</v>
      </c>
      <c r="AV77" s="96" t="str">
        <f ca="1">VLOOKUP(W77,Товары!A:B,2,FALSE)</f>
        <v>88-270-09</v>
      </c>
      <c r="AW77" s="94" t="str">
        <f ca="1">VLOOKUP(W77,Товары!A:B,1,FALSE)</f>
        <v>Шапка CAPSLAB арт. CL/LOO4/1/BON/COY2 Looney Tunes Wile E. Coyote (черный) {black}</v>
      </c>
    </row>
    <row r="78" spans="1:49" x14ac:dyDescent="0.25">
      <c r="A78" s="110" t="str">
        <f t="shared" ca="1" si="7"/>
        <v>88-262-06</v>
      </c>
      <c r="B78" s="107" t="str">
        <f ca="1">_xlfn.LET(_xlpm.CAPS,0,_xlpm.Style,TRIM(_xlfn.XLOOKUP($A78,Строчный!$A:$A,Строчный!B:B,"ERR",0)),IF(_xlpm.CAPS=0,_xlpm.Style,UPPER(_xlpm.Style)))</f>
        <v>CL/REM/1/SAN2 Rick and Morty Rick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81" t="str">
        <f ca="1">PROPER(TRIM(_xlfn.XLOOKUP($A78,Строчный!$A:$A,Строчный!E:E,"ERR",0)))</f>
        <v>Capslab-Rick And Morty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CAPSLAB</v>
      </c>
      <c r="H78" s="81" t="str">
        <f ca="1">LOWER(TRIM(_xlfn.XLOOKUP($A78,Строчный!$A:$A,Строчный!H:H,"ERR",0)))</f>
        <v>blue</v>
      </c>
      <c r="I78" s="81" t="str">
        <f ca="1">LOWER(TRIM(_xlfn.XLOOKUP($A78,Строчный!$A:$A,Строчный!I:I,"ERR",0)))</f>
        <v>синий</v>
      </c>
      <c r="J78" s="81" t="str">
        <f ca="1">SUBSTITUTE(LOWER(TRIM(_xlfn.XLOOKUP($A78,Строчный!$A:$A,Строчный!J:J,"ERR",0))),"подклад","Подклад")</f>
        <v>50% хлопок - 50% полиэстер</v>
      </c>
      <c r="K78" s="81" t="str">
        <f ca="1">LOWER(TRIM(_xlfn.XLOOKUP($A78,Строчный!$A:$A,Строчный!K:K,"ERR",0)))</f>
        <v>хлопковые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>COMICS</v>
      </c>
      <c r="O78" s="102" t="str">
        <f ca="1">PROPER(TRIM(_xlfn.XLOOKUP($A78,Строчный!$A:$A,Строчный!P:P,"ERR",0)))</f>
        <v>Rick And Morty</v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1352</v>
      </c>
      <c r="R78" s="89" t="str">
        <f ca="1">_xlfn.XLOOKUP($G78,Фабрика!A:A,Фабрика!B:B,"ERR",0)</f>
        <v>TEXTISS S.A.S; Zone d' Activité de l'Etang, 26780 Chåteauneuf Du Rhöne, France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12</v>
      </c>
      <c r="U78" s="14" t="s">
        <v>265</v>
      </c>
      <c r="V78" s="101" t="str">
        <f t="shared" ca="1" si="8"/>
        <v>Бейсболка CAPSLAB арт. CL/REM/1/SAN2 Rick and Morty Rick (синий)</v>
      </c>
      <c r="W78" s="100" t="str">
        <f t="shared" ca="1" si="9"/>
        <v>Бейсболка CAPSLAB арт. CL/REM/1/SAN2 Rick and Morty Rick (синий) {blue}</v>
      </c>
      <c r="X78" s="18" t="str">
        <f t="shared" ca="1" si="10"/>
        <v>синий</v>
      </c>
      <c r="Y78" s="18" t="str">
        <f t="shared" ca="1" si="11"/>
        <v>синий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синий</v>
      </c>
      <c r="AA78" s="73" t="str">
        <f ca="1"/>
        <v>88-262-06-00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06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1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str">
        <f ca="1">IF(VLOOKUP(W78,Товары!A:B,2,FALSE)=A78,"Есть в 1С","ERR")</f>
        <v>Есть в 1С</v>
      </c>
      <c r="AU78" s="65" t="str">
        <f ca="1">IF(VLOOKUP(A78,Товары!B:B,1,FALSE)=A78,"Есть в 1С","ERR")</f>
        <v>Есть в 1С</v>
      </c>
      <c r="AV78" s="96" t="str">
        <f ca="1">VLOOKUP(W78,Товары!A:B,2,FALSE)</f>
        <v>88-262-06</v>
      </c>
      <c r="AW78" s="94" t="str">
        <f ca="1">VLOOKUP(W78,Товары!A:B,1,FALSE)</f>
        <v>Бейсболка CAPSLAB арт. CL/REM/1/SAN2 Rick and Morty Rick (синий) {blue}</v>
      </c>
    </row>
    <row r="79" spans="1:49" x14ac:dyDescent="0.25">
      <c r="A79" s="110" t="str">
        <f t="shared" ca="1" si="7"/>
        <v>88-260-06</v>
      </c>
      <c r="B79" s="107" t="str">
        <f ca="1">_xlfn.LET(_xlpm.CAPS,0,_xlpm.Style,TRIM(_xlfn.XLOOKUP($A79,Строчный!$A:$A,Строчный!B:B,"ERR",0)),IF(_xlpm.CAPS=0,_xlpm.Style,UPPER(_xlpm.Style)))</f>
        <v>CL/REM/1/PSY1 Rick and Morty Portal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сеточкой</v>
      </c>
      <c r="E79" s="81" t="str">
        <f ca="1">PROPER(TRIM(_xlfn.XLOOKUP($A79,Строчный!$A:$A,Строчный!E:E,"ERR",0)))</f>
        <v>Capslab-Rick And Morty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CAPSLAB</v>
      </c>
      <c r="H79" s="81" t="str">
        <f ca="1">LOWER(TRIM(_xlfn.XLOOKUP($A79,Строчный!$A:$A,Строчный!H:H,"ERR",0)))</f>
        <v>black</v>
      </c>
      <c r="I79" s="81" t="str">
        <f ca="1">LOWER(TRIM(_xlfn.XLOOKUP($A79,Строчный!$A:$A,Строчный!I:I,"ERR",0)))</f>
        <v>синий</v>
      </c>
      <c r="J79" s="81" t="str">
        <f ca="1">SUBSTITUTE(LOWER(TRIM(_xlfn.XLOOKUP($A79,Строчный!$A:$A,Строчный!J:J,"ERR",0))),"подклад","Подклад")</f>
        <v>50% хлопок - 50% полиэстер</v>
      </c>
      <c r="K79" s="81" t="str">
        <f ca="1">LOWER(TRIM(_xlfn.XLOOKUP($A79,Строчный!$A:$A,Строчный!K:K,"ERR",0)))</f>
        <v>хлопковые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>COMICS</v>
      </c>
      <c r="O79" s="102" t="str">
        <f ca="1">PROPER(TRIM(_xlfn.XLOOKUP($A79,Строчный!$A:$A,Строчный!P:P,"ERR",0)))</f>
        <v>Rick And Morty</v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1352</v>
      </c>
      <c r="R79" s="89" t="str">
        <f ca="1">_xlfn.XLOOKUP($G79,Фабрика!A:A,Фабрика!B:B,"ERR",0)</f>
        <v>TEXTISS S.A.S; Zone d' Activité de l'Etang, 26780 Chåteauneuf Du Rhöne, France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12</v>
      </c>
      <c r="U79" s="14" t="s">
        <v>265</v>
      </c>
      <c r="V79" s="101" t="str">
        <f t="shared" ca="1" si="8"/>
        <v>Бейсболка CAPSLAB арт. CL/REM/1/PSY1 Rick and Morty Portal (синий)</v>
      </c>
      <c r="W79" s="100" t="str">
        <f t="shared" ca="1" si="9"/>
        <v>Бейсболка CAPSLAB арт. CL/REM/1/PSY1 Rick and Morty Portal (синий) {black}</v>
      </c>
      <c r="X79" s="18" t="str">
        <f t="shared" ca="1" si="10"/>
        <v>синий</v>
      </c>
      <c r="Y79" s="18" t="str">
        <f t="shared" ca="1" si="11"/>
        <v>синий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синий</v>
      </c>
      <c r="AA79" s="73" t="str">
        <f ca="1"/>
        <v>88-260-06-00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06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1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str">
        <f ca="1">IF(VLOOKUP(W79,Товары!A:B,2,FALSE)=A79,"Есть в 1С","ERR")</f>
        <v>Есть в 1С</v>
      </c>
      <c r="AU79" s="65" t="str">
        <f ca="1">IF(VLOOKUP(A79,Товары!B:B,1,FALSE)=A79,"Есть в 1С","ERR")</f>
        <v>Есть в 1С</v>
      </c>
      <c r="AV79" s="96" t="str">
        <f ca="1">VLOOKUP(W79,Товары!A:B,2,FALSE)</f>
        <v>88-260-06</v>
      </c>
      <c r="AW79" s="94" t="str">
        <f ca="1">VLOOKUP(W79,Товары!A:B,1,FALSE)</f>
        <v>Бейсболка CAPSLAB арт. CL/REM/1/PSY1 Rick and Morty Portal (синий) {black}</v>
      </c>
    </row>
    <row r="80" spans="1:49" x14ac:dyDescent="0.25">
      <c r="A80" s="110" t="str">
        <f t="shared" ca="1" si="7"/>
        <v>88-252-08</v>
      </c>
      <c r="B80" s="107" t="str">
        <f ca="1">_xlfn.LET(_xlpm.CAPS,0,_xlpm.Style,TRIM(_xlfn.XLOOKUP($A80,Строчный!$A:$A,Строчный!B:B,"ERR",0)),IF(_xlpm.CAPS=0,_xlpm.Style,UPPER(_xlpm.Style)))</f>
        <v>CL/LOO4/1/BUG1 Looney Tunes Bugs Bunny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81" t="str">
        <f ca="1">PROPER(TRIM(_xlfn.XLOOKUP($A80,Строчный!$A:$A,Строчный!E:E,"ERR",0)))</f>
        <v>Capslab-Looney Tunes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CAPSLAB</v>
      </c>
      <c r="H80" s="81" t="str">
        <f ca="1">LOWER(TRIM(_xlfn.XLOOKUP($A80,Строчный!$A:$A,Строчный!H:H,"ERR",0)))</f>
        <v>white</v>
      </c>
      <c r="I80" s="81" t="str">
        <f ca="1">LOWER(TRIM(_xlfn.XLOOKUP($A80,Строчный!$A:$A,Строчный!I:I,"ERR",0)))</f>
        <v>серый</v>
      </c>
      <c r="J80" s="81" t="str">
        <f ca="1">SUBSTITUTE(LOWER(TRIM(_xlfn.XLOOKUP($A80,Строчный!$A:$A,Строчный!J:J,"ERR",0))),"подклад","Подклад")</f>
        <v>50% хлопок - 50% полиэстер</v>
      </c>
      <c r="K80" s="81" t="str">
        <f ca="1">LOWER(TRIM(_xlfn.XLOOKUP($A80,Строчный!$A:$A,Строчный!K:K,"ERR",0)))</f>
        <v>хлопковые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>COMICS</v>
      </c>
      <c r="O80" s="102" t="str">
        <f ca="1">PROPER(TRIM(_xlfn.XLOOKUP($A80,Строчный!$A:$A,Строчный!P:P,"ERR",0)))</f>
        <v>Looney Tunes</v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1352</v>
      </c>
      <c r="R80" s="89" t="str">
        <f ca="1">_xlfn.XLOOKUP($G80,Фабрика!A:A,Фабрика!B:B,"ERR",0)</f>
        <v>TEXTISS S.A.S; Zone d' Activité de l'Etang, 26780 Chåteauneuf Du Rhöne, France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102</v>
      </c>
      <c r="U80" s="14" t="s">
        <v>265</v>
      </c>
      <c r="V80" s="101" t="str">
        <f t="shared" ca="1" si="8"/>
        <v>Бейсболка CAPSLAB арт. CL/LOO4/1/BUG1 Looney Tunes Bugs Bunny (серый)</v>
      </c>
      <c r="W80" s="100" t="str">
        <f t="shared" ca="1" si="9"/>
        <v>Бейсболка CAPSLAB арт. CL/LOO4/1/BUG1 Looney Tunes Bugs Bunny (серый) {white}</v>
      </c>
      <c r="X80" s="18" t="str">
        <f t="shared" ca="1" si="10"/>
        <v>серый</v>
      </c>
      <c r="Y80" s="18" t="str">
        <f t="shared" ca="1" si="11"/>
        <v>серый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серый</v>
      </c>
      <c r="AA80" s="73" t="str">
        <f ca="1"/>
        <v>88-252-08-00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80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1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str">
        <f ca="1">IF(VLOOKUP(W80,Товары!A:B,2,FALSE)=A80,"Есть в 1С","ERR")</f>
        <v>Есть в 1С</v>
      </c>
      <c r="AU80" s="65" t="str">
        <f ca="1">IF(VLOOKUP(A80,Товары!B:B,1,FALSE)=A80,"Есть в 1С","ERR")</f>
        <v>Есть в 1С</v>
      </c>
      <c r="AV80" s="96" t="str">
        <f ca="1">VLOOKUP(W80,Товары!A:B,2,FALSE)</f>
        <v>88-252-08</v>
      </c>
      <c r="AW80" s="94" t="str">
        <f ca="1">VLOOKUP(W80,Товары!A:B,1,FALSE)</f>
        <v>Бейсболка CAPSLAB арт. CL/LOO4/1/BUG1 Looney Tunes Bugs Bunny (серый) {white}</v>
      </c>
    </row>
    <row r="81" spans="1:49" x14ac:dyDescent="0.25">
      <c r="A81" s="110" t="str">
        <f t="shared" ca="1" si="7"/>
        <v>88-251-08</v>
      </c>
      <c r="B81" s="107" t="str">
        <f ca="1">_xlfn.LET(_xlpm.CAPS,0,_xlpm.Style,TRIM(_xlfn.XLOOKUP($A81,Строчный!$A:$A,Строчный!B:B,"ERR",0)),IF(_xlpm.CAPS=0,_xlpm.Style,UPPER(_xlpm.Style)))</f>
        <v>CL/LOO3/1/RIN1 Looney Tunes Bugs Bunny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81" t="str">
        <f ca="1">PROPER(TRIM(_xlfn.XLOOKUP($A81,Строчный!$A:$A,Строчный!E:E,"ERR",0)))</f>
        <v>Capslab-Looney Tunes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CAPSLAB</v>
      </c>
      <c r="H81" s="81" t="str">
        <f ca="1">LOWER(TRIM(_xlfn.XLOOKUP($A81,Строчный!$A:$A,Строчный!H:H,"ERR",0)))</f>
        <v>grey</v>
      </c>
      <c r="I81" s="81" t="str">
        <f ca="1">LOWER(TRIM(_xlfn.XLOOKUP($A81,Строчный!$A:$A,Строчный!I:I,"ERR",0)))</f>
        <v>серый</v>
      </c>
      <c r="J81" s="81" t="str">
        <f ca="1">SUBSTITUTE(LOWER(TRIM(_xlfn.XLOOKUP($A81,Строчный!$A:$A,Строчный!J:J,"ERR",0))),"подклад","Подклад")</f>
        <v>50% хлопок - 50% полиэстер</v>
      </c>
      <c r="K81" s="81" t="str">
        <f ca="1">LOWER(TRIM(_xlfn.XLOOKUP($A81,Строчный!$A:$A,Строчный!K:K,"ERR",0)))</f>
        <v>хлопковые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>COMICS</v>
      </c>
      <c r="O81" s="102" t="str">
        <f ca="1">PROPER(TRIM(_xlfn.XLOOKUP($A81,Строчный!$A:$A,Строчный!P:P,"ERR",0)))</f>
        <v>Looney Tunes</v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1352</v>
      </c>
      <c r="R81" s="89" t="str">
        <f ca="1">_xlfn.XLOOKUP($G81,Фабрика!A:A,Фабрика!B:B,"ERR",0)</f>
        <v>TEXTISS S.A.S; Zone d' Activité de l'Etang, 26780 Chåteauneuf Du Rhöne, France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72</v>
      </c>
      <c r="U81" s="14" t="s">
        <v>265</v>
      </c>
      <c r="V81" s="101" t="str">
        <f t="shared" ca="1" si="8"/>
        <v>Бейсболка CAPSLAB арт. CL/LOO3/1/RIN1 Looney Tunes Bugs Bunny (серый)</v>
      </c>
      <c r="W81" s="100" t="str">
        <f t="shared" ca="1" si="9"/>
        <v>Бейсболка CAPSLAB арт. CL/LOO3/1/RIN1 Looney Tunes Bugs Bunny (серый) {grey}</v>
      </c>
      <c r="X81" s="18" t="str">
        <f t="shared" ca="1" si="10"/>
        <v>серый</v>
      </c>
      <c r="Y81" s="18" t="str">
        <f t="shared" ca="1" si="11"/>
        <v>серый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серый</v>
      </c>
      <c r="AA81" s="73" t="str">
        <f ca="1"/>
        <v>88-251-08-00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80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1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str">
        <f ca="1">IF(VLOOKUP(W81,Товары!A:B,2,FALSE)=A81,"Есть в 1С","ERR")</f>
        <v>Есть в 1С</v>
      </c>
      <c r="AU81" s="65" t="str">
        <f ca="1">IF(VLOOKUP(A81,Товары!B:B,1,FALSE)=A81,"Есть в 1С","ERR")</f>
        <v>Есть в 1С</v>
      </c>
      <c r="AV81" s="96" t="str">
        <f ca="1">VLOOKUP(W81,Товары!A:B,2,FALSE)</f>
        <v>88-251-08</v>
      </c>
      <c r="AW81" s="94" t="str">
        <f ca="1">VLOOKUP(W81,Товары!A:B,1,FALSE)</f>
        <v>Бейсболка CAPSLAB арт. CL/LOO3/1/RIN1 Looney Tunes Bugs Bunny (серый) {grey}</v>
      </c>
    </row>
    <row r="82" spans="1:49" x14ac:dyDescent="0.25">
      <c r="A82" s="110" t="str">
        <f t="shared" ca="1" si="7"/>
        <v>88-247-14</v>
      </c>
      <c r="B82" s="107" t="str">
        <f ca="1">_xlfn.LET(_xlpm.CAPS,0,_xlpm.Style,TRIM(_xlfn.XLOOKUP($A82,Строчный!$A:$A,Строчный!B:B,"ERR",0)),IF(_xlpm.CAPS=0,_xlpm.Style,UPPER(_xlpm.Style)))</f>
        <v>CL/LOO/1/TAZ2 Looney Tunes Taz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 с сеточкой</v>
      </c>
      <c r="E82" s="81" t="str">
        <f ca="1">PROPER(TRIM(_xlfn.XLOOKUP($A82,Строчный!$A:$A,Строчный!E:E,"ERR",0)))</f>
        <v>Capslab-Looney Tunes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CAPSLAB</v>
      </c>
      <c r="H82" s="81" t="str">
        <f ca="1">LOWER(TRIM(_xlfn.XLOOKUP($A82,Строчный!$A:$A,Строчный!H:H,"ERR",0)))</f>
        <v>brown</v>
      </c>
      <c r="I82" s="81" t="str">
        <f ca="1">LOWER(TRIM(_xlfn.XLOOKUP($A82,Строчный!$A:$A,Строчный!I:I,"ERR",0)))</f>
        <v>коричневый</v>
      </c>
      <c r="J82" s="81" t="str">
        <f ca="1">SUBSTITUTE(LOWER(TRIM(_xlfn.XLOOKUP($A82,Строчный!$A:$A,Строчный!J:J,"ERR",0))),"подклад","Подклад")</f>
        <v>50% хлопок - 50% полиэстер</v>
      </c>
      <c r="K82" s="81" t="str">
        <f ca="1">LOWER(TRIM(_xlfn.XLOOKUP($A82,Строчный!$A:$A,Строчный!K:K,"ERR",0)))</f>
        <v>хлопковые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>COMICS</v>
      </c>
      <c r="O82" s="102" t="str">
        <f ca="1">PROPER(TRIM(_xlfn.XLOOKUP($A82,Строчный!$A:$A,Строчный!P:P,"ERR",0)))</f>
        <v>Looney Tunes</v>
      </c>
      <c r="P82" s="81" t="str">
        <f ca="1">PROPER(TRIM(_xlfn.XLOOKUP($A82,Строчный!$A:$A,Строчный!R:R,"ERR",0)))</f>
        <v/>
      </c>
      <c r="Q82" s="90">
        <f ca="1">VALUE(_xlfn.XLOOKUP($A82,Строчный!$A:$A,Строчный!N:N,"ERR",0))</f>
        <v>1352</v>
      </c>
      <c r="R82" s="89" t="str">
        <f ca="1">_xlfn.XLOOKUP($G82,Фабрика!A:A,Фабрика!B:B,"ERR",0)</f>
        <v>TEXTISS S.A.S; Zone d' Activité de l'Etang, 26780 Chåteauneuf Du Rhöne, France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18</v>
      </c>
      <c r="U82" s="14" t="s">
        <v>265</v>
      </c>
      <c r="V82" s="101" t="str">
        <f t="shared" ca="1" si="8"/>
        <v>Бейсболка CAPSLAB арт. CL/LOO/1/TAZ2 Looney Tunes Taz (коричневый)</v>
      </c>
      <c r="W82" s="100" t="str">
        <f t="shared" ca="1" si="9"/>
        <v>Бейсболка CAPSLAB арт. CL/LOO/1/TAZ2 Looney Tunes Taz (коричневый) {brown}</v>
      </c>
      <c r="X82" s="18" t="str">
        <f t="shared" ca="1" si="10"/>
        <v>коричневый</v>
      </c>
      <c r="Y82" s="18" t="str">
        <f t="shared" ca="1" si="11"/>
        <v>коричневый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коричневый</v>
      </c>
      <c r="AA82" s="73" t="str">
        <f ca="1"/>
        <v>88-247-14-00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14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1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str">
        <f ca="1">IF(VLOOKUP(W82,Товары!A:B,2,FALSE)=A82,"Есть в 1С","ERR")</f>
        <v>Есть в 1С</v>
      </c>
      <c r="AU82" s="65" t="str">
        <f ca="1">IF(VLOOKUP(A82,Товары!B:B,1,FALSE)=A82,"Есть в 1С","ERR")</f>
        <v>Есть в 1С</v>
      </c>
      <c r="AV82" s="96" t="str">
        <f ca="1">VLOOKUP(W82,Товары!A:B,2,FALSE)</f>
        <v>88-247-14</v>
      </c>
      <c r="AW82" s="94" t="str">
        <f ca="1">VLOOKUP(W82,Товары!A:B,1,FALSE)</f>
        <v>Бейсболка CAPSLAB арт. CL/LOO/1/TAZ2 Looney Tunes Taz (коричневый) {brown}</v>
      </c>
    </row>
    <row r="83" spans="1:49" x14ac:dyDescent="0.25">
      <c r="A83" s="110" t="str">
        <f t="shared" ca="1" si="7"/>
        <v>88-243-03</v>
      </c>
      <c r="B83" s="107" t="str">
        <f ca="1">_xlfn.LET(_xlpm.CAPS,0,_xlpm.Style,TRIM(_xlfn.XLOOKUP($A83,Строчный!$A:$A,Строчный!B:B,"ERR",0)),IF(_xlpm.CAPS=0,_xlpm.Style,UPPER(_xlpm.Style)))</f>
        <v>CL/LOO/1/DAF4 Looney Tunes Daffy Duck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 с сеточкой</v>
      </c>
      <c r="E83" s="81" t="str">
        <f ca="1">PROPER(TRIM(_xlfn.XLOOKUP($A83,Строчный!$A:$A,Строчный!E:E,"ERR",0)))</f>
        <v>Capslab-Looney Tunes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CAPSLAB</v>
      </c>
      <c r="H83" s="81" t="str">
        <f ca="1">LOWER(TRIM(_xlfn.XLOOKUP($A83,Строчный!$A:$A,Строчный!H:H,"ERR",0)))</f>
        <v>camou</v>
      </c>
      <c r="I83" s="81" t="str">
        <f ca="1">LOWER(TRIM(_xlfn.XLOOKUP($A83,Строчный!$A:$A,Строчный!I:I,"ERR",0)))</f>
        <v>оливковый</v>
      </c>
      <c r="J83" s="81" t="str">
        <f ca="1">SUBSTITUTE(LOWER(TRIM(_xlfn.XLOOKUP($A83,Строчный!$A:$A,Строчный!J:J,"ERR",0))),"подклад","Подклад")</f>
        <v>50% хлопок - 50% полиэстер</v>
      </c>
      <c r="K83" s="81" t="str">
        <f ca="1">LOWER(TRIM(_xlfn.XLOOKUP($A83,Строчный!$A:$A,Строчный!K:K,"ERR",0)))</f>
        <v>хлопковые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>COMICS</v>
      </c>
      <c r="O83" s="102" t="str">
        <f ca="1">PROPER(TRIM(_xlfn.XLOOKUP($A83,Строчный!$A:$A,Строчный!P:P,"ERR",0)))</f>
        <v>Looney Tunes</v>
      </c>
      <c r="P83" s="81" t="str">
        <f ca="1">PROPER(TRIM(_xlfn.XLOOKUP($A83,Строчный!$A:$A,Строчный!R:R,"ERR",0)))</f>
        <v/>
      </c>
      <c r="Q83" s="90">
        <f ca="1">VALUE(_xlfn.XLOOKUP($A83,Строчный!$A:$A,Строчный!N:N,"ERR",0))</f>
        <v>1352</v>
      </c>
      <c r="R83" s="89" t="str">
        <f ca="1">_xlfn.XLOOKUP($G83,Фабрика!A:A,Фабрика!B:B,"ERR",0)</f>
        <v>TEXTISS S.A.S; Zone d' Activité de l'Etang, 26780 Chåteauneuf Du Rhöne, France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96</v>
      </c>
      <c r="U83" s="14" t="s">
        <v>265</v>
      </c>
      <c r="V83" s="101" t="str">
        <f t="shared" ca="1" si="8"/>
        <v>Бейсболка CAPSLAB арт. CL/LOO/1/DAF4 Looney Tunes Daffy Duck (оливковый)</v>
      </c>
      <c r="W83" s="100" t="str">
        <f t="shared" ca="1" si="9"/>
        <v>Бейсболка CAPSLAB арт. CL/LOO/1/DAF4 Looney Tunes Daffy Duck (оливковый) {camou}</v>
      </c>
      <c r="X83" s="18" t="str">
        <f t="shared" ca="1" si="10"/>
        <v>оливковый</v>
      </c>
      <c r="Y83" s="18" t="str">
        <f t="shared" ca="1" si="11"/>
        <v>оливковый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оливковый</v>
      </c>
      <c r="AA83" s="73" t="str">
        <f ca="1"/>
        <v>88-243-03-00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03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1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str">
        <f ca="1">IF(VLOOKUP(W83,Товары!A:B,2,FALSE)=A83,"Есть в 1С","ERR")</f>
        <v>Есть в 1С</v>
      </c>
      <c r="AU83" s="65" t="str">
        <f ca="1">IF(VLOOKUP(A83,Товары!B:B,1,FALSE)=A83,"Есть в 1С","ERR")</f>
        <v>Есть в 1С</v>
      </c>
      <c r="AV83" s="96" t="str">
        <f ca="1">VLOOKUP(W83,Товары!A:B,2,FALSE)</f>
        <v>88-243-03</v>
      </c>
      <c r="AW83" s="94" t="str">
        <f ca="1">VLOOKUP(W83,Товары!A:B,1,FALSE)</f>
        <v>Бейсболка CAPSLAB арт. CL/LOO/1/DAF4 Looney Tunes Daffy Duck (оливковый) {camou}</v>
      </c>
    </row>
    <row r="84" spans="1:49" x14ac:dyDescent="0.25">
      <c r="A84" s="110" t="str">
        <f t="shared" ca="1" si="7"/>
        <v>88-239-16</v>
      </c>
      <c r="B84" s="107" t="str">
        <f ca="1">_xlfn.LET(_xlpm.CAPS,0,_xlpm.Style,TRIM(_xlfn.XLOOKUP($A84,Строчный!$A:$A,Строчный!B:B,"ERR",0)),IF(_xlpm.CAPS=0,_xlpm.Style,UPPER(_xlpm.Style)))</f>
        <v>CL/LOO/1/BUN5 Looney Tunes Bugs Bunny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81" t="str">
        <f ca="1">PROPER(TRIM(_xlfn.XLOOKUP($A84,Строчный!$A:$A,Строчный!E:E,"ERR",0)))</f>
        <v>Capslab-Looney Tunes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CAPSLAB</v>
      </c>
      <c r="H84" s="81" t="str">
        <f ca="1">LOWER(TRIM(_xlfn.XLOOKUP($A84,Строчный!$A:$A,Строчный!H:H,"ERR",0)))</f>
        <v>navy</v>
      </c>
      <c r="I84" s="81" t="str">
        <f ca="1">LOWER(TRIM(_xlfn.XLOOKUP($A84,Строчный!$A:$A,Строчный!I:I,"ERR",0)))</f>
        <v>темно-синий</v>
      </c>
      <c r="J84" s="81" t="str">
        <f ca="1">SUBSTITUTE(LOWER(TRIM(_xlfn.XLOOKUP($A84,Строчный!$A:$A,Строчный!J:J,"ERR",0))),"подклад","Подклад")</f>
        <v>50% хлопок - 50% полиэстер</v>
      </c>
      <c r="K84" s="81" t="str">
        <f ca="1">LOWER(TRIM(_xlfn.XLOOKUP($A84,Строчный!$A:$A,Строчный!K:K,"ERR",0)))</f>
        <v>хлопковые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>COMICS</v>
      </c>
      <c r="O84" s="102" t="str">
        <f ca="1">PROPER(TRIM(_xlfn.XLOOKUP($A84,Строчный!$A:$A,Строчный!P:P,"ERR",0)))</f>
        <v>Looney Tunes</v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1352</v>
      </c>
      <c r="R84" s="89" t="str">
        <f ca="1">_xlfn.XLOOKUP($G84,Фабрика!A:A,Фабрика!B:B,"ERR",0)</f>
        <v>TEXTISS S.A.S; Zone d' Activité de l'Etang, 26780 Chåteauneuf Du Rhöne, France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24</v>
      </c>
      <c r="U84" s="14" t="s">
        <v>265</v>
      </c>
      <c r="V84" s="101" t="str">
        <f t="shared" ca="1" si="8"/>
        <v>Бейсболка CAPSLAB арт. CL/LOO/1/BUN5 Looney Tunes Bugs Bunny (темно-синий)</v>
      </c>
      <c r="W84" s="100" t="str">
        <f t="shared" ca="1" si="9"/>
        <v>Бейсболка CAPSLAB арт. CL/LOO/1/BUN5 Looney Tunes Bugs Bunny (темно-синий) {navy}</v>
      </c>
      <c r="X84" s="18" t="str">
        <f t="shared" ca="1" si="10"/>
        <v>синий</v>
      </c>
      <c r="Y84" s="18" t="str">
        <f t="shared" ca="1" si="11"/>
        <v>синий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синий</v>
      </c>
      <c r="AA84" s="73" t="str">
        <f ca="1"/>
        <v>88-239-16-00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16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1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str">
        <f ca="1">IF(VLOOKUP(W84,Товары!A:B,2,FALSE)=A84,"Есть в 1С","ERR")</f>
        <v>Есть в 1С</v>
      </c>
      <c r="AU84" s="65" t="str">
        <f ca="1">IF(VLOOKUP(A84,Товары!B:B,1,FALSE)=A84,"Есть в 1С","ERR")</f>
        <v>Есть в 1С</v>
      </c>
      <c r="AV84" s="96" t="str">
        <f ca="1">VLOOKUP(W84,Товары!A:B,2,FALSE)</f>
        <v>88-239-16</v>
      </c>
      <c r="AW84" s="94" t="str">
        <f ca="1">VLOOKUP(W84,Товары!A:B,1,FALSE)</f>
        <v>Бейсболка CAPSLAB арт. CL/LOO/1/BUN5 Looney Tunes Bugs Bunny (темно-синий) {navy}</v>
      </c>
    </row>
    <row r="85" spans="1:49" x14ac:dyDescent="0.25">
      <c r="A85" s="110" t="str">
        <f t="shared" ca="1" si="7"/>
        <v>88-230-09</v>
      </c>
      <c r="B85" s="107" t="str">
        <f ca="1">_xlfn.LET(_xlpm.CAPS,0,_xlpm.Style,TRIM(_xlfn.XLOOKUP($A85,Строчный!$A:$A,Строчный!B:B,"ERR",0)),IF(_xlpm.CAPS=0,_xlpm.Style,UPPER(_xlpm.Style)))</f>
        <v>CL/REM/1/MOR1 Rick and Morty Run Morty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 с сеточкой</v>
      </c>
      <c r="E85" s="81" t="str">
        <f ca="1">PROPER(TRIM(_xlfn.XLOOKUP($A85,Строчный!$A:$A,Строчный!E:E,"ERR",0)))</f>
        <v>Capslab-Rick And Morty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CAPSLAB</v>
      </c>
      <c r="H85" s="81" t="str">
        <f ca="1">LOWER(TRIM(_xlfn.XLOOKUP($A85,Строчный!$A:$A,Строчный!H:H,"ERR",0)))</f>
        <v>black</v>
      </c>
      <c r="I85" s="81" t="str">
        <f ca="1">LOWER(TRIM(_xlfn.XLOOKUP($A85,Строчный!$A:$A,Строчный!I:I,"ERR",0)))</f>
        <v>черный</v>
      </c>
      <c r="J85" s="81" t="str">
        <f ca="1">SUBSTITUTE(LOWER(TRIM(_xlfn.XLOOKUP($A85,Строчный!$A:$A,Строчный!J:J,"ERR",0))),"подклад","Подклад")</f>
        <v>50% хлопок - 50% полиэстер</v>
      </c>
      <c r="K85" s="81" t="str">
        <f ca="1">LOWER(TRIM(_xlfn.XLOOKUP($A85,Строчный!$A:$A,Строчный!K:K,"ERR",0)))</f>
        <v>хлопковые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>COMICS</v>
      </c>
      <c r="O85" s="102" t="str">
        <f ca="1">PROPER(TRIM(_xlfn.XLOOKUP($A85,Строчный!$A:$A,Строчный!P:P,"ERR",0)))</f>
        <v>Rick And Morty</v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1352</v>
      </c>
      <c r="R85" s="89" t="str">
        <f ca="1">_xlfn.XLOOKUP($G85,Фабрика!A:A,Фабрика!B:B,"ERR",0)</f>
        <v>TEXTISS S.A.S; Zone d' Activité de l'Etang, 26780 Chåteauneuf Du Rhöne, France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24</v>
      </c>
      <c r="U85" s="14" t="s">
        <v>265</v>
      </c>
      <c r="V85" s="101" t="str">
        <f t="shared" ca="1" si="8"/>
        <v>Бейсболка CAPSLAB арт. CL/REM/1/MOR1 Rick and Morty Run Morty (черный)</v>
      </c>
      <c r="W85" s="100" t="str">
        <f t="shared" ca="1" si="9"/>
        <v>Бейсболка CAPSLAB арт. CL/REM/1/MOR1 Rick and Morty Run Morty (черный) {black}</v>
      </c>
      <c r="X85" s="18" t="str">
        <f t="shared" ca="1" si="10"/>
        <v>черный</v>
      </c>
      <c r="Y85" s="18" t="str">
        <f t="shared" ca="1" si="11"/>
        <v>черный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3" t="str">
        <f ca="1"/>
        <v>88-230-09-00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09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1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str">
        <f ca="1">IF(VLOOKUP(W85,Товары!A:B,2,FALSE)=A85,"Есть в 1С","ERR")</f>
        <v>Есть в 1С</v>
      </c>
      <c r="AU85" s="65" t="str">
        <f ca="1">IF(VLOOKUP(A85,Товары!B:B,1,FALSE)=A85,"Есть в 1С","ERR")</f>
        <v>Есть в 1С</v>
      </c>
      <c r="AV85" s="96" t="str">
        <f ca="1">VLOOKUP(W85,Товары!A:B,2,FALSE)</f>
        <v>88-230-09</v>
      </c>
      <c r="AW85" s="94" t="str">
        <f ca="1">VLOOKUP(W85,Товары!A:B,1,FALSE)</f>
        <v>Бейсболка CAPSLAB арт. CL/REM/1/MOR1 Rick and Morty Run Morty (черный) {black}</v>
      </c>
    </row>
    <row r="86" spans="1:49" x14ac:dyDescent="0.25">
      <c r="A86" s="110" t="str">
        <f t="shared" ca="1" si="7"/>
        <v>88-229-09</v>
      </c>
      <c r="B86" s="107" t="str">
        <f ca="1">_xlfn.LET(_xlpm.CAPS,0,_xlpm.Style,TRIM(_xlfn.XLOOKUP($A86,Строчный!$A:$A,Строчный!B:B,"ERR",0)),IF(_xlpm.CAPS=0,_xlpm.Style,UPPER(_xlpm.Style)))</f>
        <v>CL/REM/1/LOO1 Rick and Morty Together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 с сеточкой</v>
      </c>
      <c r="E86" s="81" t="str">
        <f ca="1">PROPER(TRIM(_xlfn.XLOOKUP($A86,Строчный!$A:$A,Строчный!E:E,"ERR",0)))</f>
        <v>Capslab-Rick And Morty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CAPSLAB</v>
      </c>
      <c r="H86" s="81" t="str">
        <f ca="1">LOWER(TRIM(_xlfn.XLOOKUP($A86,Строчный!$A:$A,Строчный!H:H,"ERR",0)))</f>
        <v>black</v>
      </c>
      <c r="I86" s="81" t="str">
        <f ca="1">LOWER(TRIM(_xlfn.XLOOKUP($A86,Строчный!$A:$A,Строчный!I:I,"ERR",0)))</f>
        <v>черный</v>
      </c>
      <c r="J86" s="81" t="str">
        <f ca="1">SUBSTITUTE(LOWER(TRIM(_xlfn.XLOOKUP($A86,Строчный!$A:$A,Строчный!J:J,"ERR",0))),"подклад","Подклад")</f>
        <v>50% хлопок - 50% полиэстер</v>
      </c>
      <c r="K86" s="81" t="str">
        <f ca="1">LOWER(TRIM(_xlfn.XLOOKUP($A86,Строчный!$A:$A,Строчный!K:K,"ERR",0)))</f>
        <v>хлопковые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>COMICS</v>
      </c>
      <c r="O86" s="102" t="str">
        <f ca="1">PROPER(TRIM(_xlfn.XLOOKUP($A86,Строчный!$A:$A,Строчный!P:P,"ERR",0)))</f>
        <v>Rick And Morty</v>
      </c>
      <c r="P86" s="81" t="str">
        <f ca="1">PROPER(TRIM(_xlfn.XLOOKUP($A86,Строчный!$A:$A,Строчный!R:R,"ERR",0)))</f>
        <v/>
      </c>
      <c r="Q86" s="90">
        <f ca="1">VALUE(_xlfn.XLOOKUP($A86,Строчный!$A:$A,Строчный!N:N,"ERR",0))</f>
        <v>1352</v>
      </c>
      <c r="R86" s="89" t="str">
        <f ca="1">_xlfn.XLOOKUP($G86,Фабрика!A:A,Фабрика!B:B,"ERR",0)</f>
        <v>TEXTISS S.A.S; Zone d' Activité de l'Etang, 26780 Chåteauneuf Du Rhöne, France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24</v>
      </c>
      <c r="U86" s="14" t="s">
        <v>265</v>
      </c>
      <c r="V86" s="101" t="str">
        <f t="shared" ca="1" si="8"/>
        <v>Бейсболка CAPSLAB арт. CL/REM/1/LOO1 Rick and Morty Together (черный)</v>
      </c>
      <c r="W86" s="100" t="str">
        <f t="shared" ca="1" si="9"/>
        <v>Бейсболка CAPSLAB арт. CL/REM/1/LOO1 Rick and Morty Together (черный) {black}</v>
      </c>
      <c r="X86" s="18" t="str">
        <f t="shared" ca="1" si="10"/>
        <v>черный</v>
      </c>
      <c r="Y86" s="18" t="str">
        <f t="shared" ca="1" si="11"/>
        <v>черный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черный</v>
      </c>
      <c r="AA86" s="73" t="str">
        <f ca="1"/>
        <v>88-229-09-00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09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1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str">
        <f ca="1">IF(VLOOKUP(W86,Товары!A:B,2,FALSE)=A86,"Есть в 1С","ERR")</f>
        <v>Есть в 1С</v>
      </c>
      <c r="AU86" s="65" t="str">
        <f ca="1">IF(VLOOKUP(A86,Товары!B:B,1,FALSE)=A86,"Есть в 1С","ERR")</f>
        <v>Есть в 1С</v>
      </c>
      <c r="AV86" s="96" t="str">
        <f ca="1">VLOOKUP(W86,Товары!A:B,2,FALSE)</f>
        <v>88-229-09</v>
      </c>
      <c r="AW86" s="94" t="str">
        <f ca="1">VLOOKUP(W86,Товары!A:B,1,FALSE)</f>
        <v>Бейсболка CAPSLAB арт. CL/REM/1/LOO1 Rick and Morty Together (черный) {black}</v>
      </c>
    </row>
    <row r="87" spans="1:49" x14ac:dyDescent="0.25">
      <c r="A87" s="110" t="str">
        <f t="shared" ca="1" si="7"/>
        <v>88-228-09</v>
      </c>
      <c r="B87" s="107" t="str">
        <f ca="1">_xlfn.LET(_xlpm.CAPS,0,_xlpm.Style,TRIM(_xlfn.XLOOKUP($A87,Строчный!$A:$A,Строчный!B:B,"ERR",0)),IF(_xlpm.CAPS=0,_xlpm.Style,UPPER(_xlpm.Style)))</f>
        <v>CL/REM/1/CKL2 Rick and Morty Pickle Rick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 с сеточкой</v>
      </c>
      <c r="E87" s="81" t="str">
        <f ca="1">PROPER(TRIM(_xlfn.XLOOKUP($A87,Строчный!$A:$A,Строчный!E:E,"ERR",0)))</f>
        <v>Capslab-Rick And Morty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CAPSLAB</v>
      </c>
      <c r="H87" s="81" t="str">
        <f ca="1">LOWER(TRIM(_xlfn.XLOOKUP($A87,Строчный!$A:$A,Строчный!H:H,"ERR",0)))</f>
        <v>black</v>
      </c>
      <c r="I87" s="81" t="str">
        <f ca="1">LOWER(TRIM(_xlfn.XLOOKUP($A87,Строчный!$A:$A,Строчный!I:I,"ERR",0)))</f>
        <v>черный</v>
      </c>
      <c r="J87" s="81" t="str">
        <f ca="1">SUBSTITUTE(LOWER(TRIM(_xlfn.XLOOKUP($A87,Строчный!$A:$A,Строчный!J:J,"ERR",0))),"подклад","Подклад")</f>
        <v>50% хлопок - 50% полиэстер</v>
      </c>
      <c r="K87" s="81" t="str">
        <f ca="1">LOWER(TRIM(_xlfn.XLOOKUP($A87,Строчный!$A:$A,Строчный!K:K,"ERR",0)))</f>
        <v>хлопковые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>COMICS</v>
      </c>
      <c r="O87" s="102" t="str">
        <f ca="1">PROPER(TRIM(_xlfn.XLOOKUP($A87,Строчный!$A:$A,Строчный!P:P,"ERR",0)))</f>
        <v>Rick And Morty</v>
      </c>
      <c r="P87" s="81" t="str">
        <f ca="1">PROPER(TRIM(_xlfn.XLOOKUP($A87,Строчный!$A:$A,Строчный!R:R,"ERR",0)))</f>
        <v/>
      </c>
      <c r="Q87" s="90">
        <f ca="1">VALUE(_xlfn.XLOOKUP($A87,Строчный!$A:$A,Строчный!N:N,"ERR",0))</f>
        <v>1352</v>
      </c>
      <c r="R87" s="89" t="str">
        <f ca="1">_xlfn.XLOOKUP($G87,Фабрика!A:A,Фабрика!B:B,"ERR",0)</f>
        <v>TEXTISS S.A.S; Zone d' Activité de l'Etang, 26780 Chåteauneuf Du Rhöne, France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12</v>
      </c>
      <c r="U87" s="14" t="s">
        <v>265</v>
      </c>
      <c r="V87" s="101" t="str">
        <f t="shared" ca="1" si="8"/>
        <v>Бейсболка CAPSLAB арт. CL/REM/1/CKL2 Rick and Morty Pickle Rick (черный)</v>
      </c>
      <c r="W87" s="100" t="str">
        <f t="shared" ca="1" si="9"/>
        <v>Бейсболка CAPSLAB арт. CL/REM/1/CKL2 Rick and Morty Pickle Rick (черный) {black}</v>
      </c>
      <c r="X87" s="18" t="str">
        <f t="shared" ca="1" si="10"/>
        <v>черный</v>
      </c>
      <c r="Y87" s="18" t="str">
        <f t="shared" ca="1" si="11"/>
        <v>черный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73" t="str">
        <f ca="1"/>
        <v>88-228-09-00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09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1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str">
        <f ca="1">IF(VLOOKUP(W87,Товары!A:B,2,FALSE)=A87,"Есть в 1С","ERR")</f>
        <v>Есть в 1С</v>
      </c>
      <c r="AU87" s="65" t="str">
        <f ca="1">IF(VLOOKUP(A87,Товары!B:B,1,FALSE)=A87,"Есть в 1С","ERR")</f>
        <v>Есть в 1С</v>
      </c>
      <c r="AV87" s="96" t="str">
        <f ca="1">VLOOKUP(W87,Товары!A:B,2,FALSE)</f>
        <v>88-228-09</v>
      </c>
      <c r="AW87" s="94" t="str">
        <f ca="1">VLOOKUP(W87,Товары!A:B,1,FALSE)</f>
        <v>Бейсболка CAPSLAB арт. CL/REM/1/CKL2 Rick and Morty Pickle Rick (черный) {black}</v>
      </c>
    </row>
    <row r="88" spans="1:49" x14ac:dyDescent="0.25">
      <c r="A88" s="110" t="str">
        <f t="shared" ca="1" si="7"/>
        <v>88-227-09</v>
      </c>
      <c r="B88" s="107" t="str">
        <f ca="1">_xlfn.LET(_xlpm.CAPS,0,_xlpm.Style,TRIM(_xlfn.XLOOKUP($A88,Строчный!$A:$A,Строчный!B:B,"ERR",0)),IF(_xlpm.CAPS=0,_xlpm.Style,UPPER(_xlpm.Style)))</f>
        <v>CL/PKM2/3/PIK6 Junior Pokemon Pikachu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 с сеточкой</v>
      </c>
      <c r="E88" s="81" t="str">
        <f ca="1">PROPER(TRIM(_xlfn.XLOOKUP($A88,Строчный!$A:$A,Строчный!E:E,"ERR",0)))</f>
        <v>Capslab-Pokemon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CAPSLAB</v>
      </c>
      <c r="H88" s="81" t="str">
        <f ca="1">LOWER(TRIM(_xlfn.XLOOKUP($A88,Строчный!$A:$A,Строчный!H:H,"ERR",0)))</f>
        <v>black</v>
      </c>
      <c r="I88" s="81" t="str">
        <f ca="1">LOWER(TRIM(_xlfn.XLOOKUP($A88,Строчный!$A:$A,Строчный!I:I,"ERR",0)))</f>
        <v>черный / желтый</v>
      </c>
      <c r="J88" s="81" t="str">
        <f ca="1">SUBSTITUTE(LOWER(TRIM(_xlfn.XLOOKUP($A88,Строчный!$A:$A,Строчный!J:J,"ERR",0))),"подклад","Подклад")</f>
        <v>50% хлопок - 50% полиэстер</v>
      </c>
      <c r="K88" s="81" t="str">
        <f ca="1">LOWER(TRIM(_xlfn.XLOOKUP($A88,Строчный!$A:$A,Строчный!K:K,"ERR",0)))</f>
        <v>хлопковые</v>
      </c>
      <c r="L88" s="81" t="str">
        <f ca="1">PROPER(TRIM(_xlfn.XLOOKUP($A88,Строчный!$A:$A,Строчный!L:L,"ERR",0)))</f>
        <v>Детские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>COMICS</v>
      </c>
      <c r="O88" s="102" t="str">
        <f ca="1">PROPER(TRIM(_xlfn.XLOOKUP($A88,Строчный!$A:$A,Строчный!P:P,"ERR",0)))</f>
        <v>Pokemon</v>
      </c>
      <c r="P88" s="81" t="str">
        <f ca="1">PROPER(TRIM(_xlfn.XLOOKUP($A88,Строчный!$A:$A,Строчный!R:R,"ERR",0)))</f>
        <v/>
      </c>
      <c r="Q88" s="90">
        <f ca="1">VALUE(_xlfn.XLOOKUP($A88,Строчный!$A:$A,Строчный!N:N,"ERR",0))</f>
        <v>1352</v>
      </c>
      <c r="R88" s="89" t="str">
        <f ca="1">_xlfn.XLOOKUP($G88,Фабрика!A:A,Фабрика!B:B,"ERR",0)</f>
        <v>TEXTISS S.A.S; Zone d' Activité de l'Etang, 26780 Chåteauneuf Du Rhöne, France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6</v>
      </c>
      <c r="U88" s="14" t="s">
        <v>265</v>
      </c>
      <c r="V88" s="101" t="str">
        <f t="shared" ca="1" si="8"/>
        <v>Бейсболка CAPSLAB арт. CL/PKM2/3/PIK6 Junior Pokemon Pikachu (черный / желтый)</v>
      </c>
      <c r="W88" s="100" t="str">
        <f t="shared" ca="1" si="9"/>
        <v>Бейсболка CAPSLAB арт. CL/PKM2/3/PIK6 Junior Pokemon Pikachu (черный / желтый) {black}</v>
      </c>
      <c r="X88" s="18" t="str">
        <f t="shared" ca="1" si="10"/>
        <v>черный</v>
      </c>
      <c r="Y88" s="18" t="str">
        <f t="shared" ca="1" si="11"/>
        <v>желтый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88-227-09-00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09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1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str">
        <f ca="1">IF(VLOOKUP(W88,Товары!A:B,2,FALSE)=A88,"Есть в 1С","ERR")</f>
        <v>Есть в 1С</v>
      </c>
      <c r="AU88" s="65" t="str">
        <f ca="1">IF(VLOOKUP(A88,Товары!B:B,1,FALSE)=A88,"Есть в 1С","ERR")</f>
        <v>Есть в 1С</v>
      </c>
      <c r="AV88" s="96" t="str">
        <f ca="1">VLOOKUP(W88,Товары!A:B,2,FALSE)</f>
        <v>88-227-09</v>
      </c>
      <c r="AW88" s="94" t="str">
        <f ca="1">VLOOKUP(W88,Товары!A:B,1,FALSE)</f>
        <v>Бейсболка CAPSLAB арт. CL/PKM2/3/PIK6 Junior Pokemon Pikachu (черный / желтый) {black}</v>
      </c>
    </row>
    <row r="89" spans="1:49" x14ac:dyDescent="0.25">
      <c r="A89" s="110" t="str">
        <f t="shared" ca="1" si="7"/>
        <v>88-205-08</v>
      </c>
      <c r="B89" s="107" t="str">
        <f ca="1">_xlfn.LET(_xlpm.CAPS,0,_xlpm.Style,TRIM(_xlfn.XLOOKUP($A89,Строчный!$A:$A,Строчный!B:B,"ERR",0)),IF(_xlpm.CAPS=0,_xlpm.Style,UPPER(_xlpm.Style)))</f>
        <v>CL/LOO3/1/DUC1 Looney Tunes Daffy Duck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 с сеточкой</v>
      </c>
      <c r="E89" s="81" t="str">
        <f ca="1">PROPER(TRIM(_xlfn.XLOOKUP($A89,Строчный!$A:$A,Строчный!E:E,"ERR",0)))</f>
        <v>Capslab-Looney Tunes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CAPSLAB</v>
      </c>
      <c r="H89" s="81" t="str">
        <f ca="1">LOWER(TRIM(_xlfn.XLOOKUP($A89,Строчный!$A:$A,Строчный!H:H,"ERR",0)))</f>
        <v>white</v>
      </c>
      <c r="I89" s="81" t="str">
        <f ca="1">LOWER(TRIM(_xlfn.XLOOKUP($A89,Строчный!$A:$A,Строчный!I:I,"ERR",0)))</f>
        <v>кремовый / черный</v>
      </c>
      <c r="J89" s="81" t="str">
        <f ca="1">SUBSTITUTE(LOWER(TRIM(_xlfn.XLOOKUP($A89,Строчный!$A:$A,Строчный!J:J,"ERR",0))),"подклад","Подклад")</f>
        <v>60% полиэстер - 40% хлопок</v>
      </c>
      <c r="K89" s="81" t="str">
        <f ca="1">LOWER(TRIM(_xlfn.XLOOKUP($A89,Строчный!$A:$A,Строчный!K:K,"ERR",0)))</f>
        <v>хлопковые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>COMICS</v>
      </c>
      <c r="O89" s="102" t="str">
        <f ca="1">PROPER(TRIM(_xlfn.XLOOKUP($A89,Строчный!$A:$A,Строчный!P:P,"ERR",0)))</f>
        <v>Looney Tunes</v>
      </c>
      <c r="P89" s="81" t="str">
        <f ca="1">PROPER(TRIM(_xlfn.XLOOKUP($A89,Строчный!$A:$A,Строчный!R:R,"ERR",0)))</f>
        <v/>
      </c>
      <c r="Q89" s="90">
        <f ca="1">VALUE(_xlfn.XLOOKUP($A89,Строчный!$A:$A,Строчный!N:N,"ERR",0))</f>
        <v>1352</v>
      </c>
      <c r="R89" s="89" t="str">
        <f ca="1">_xlfn.XLOOKUP($G89,Фабрика!A:A,Фабрика!B:B,"ERR",0)</f>
        <v>TEXTISS S.A.S; Zone d' Activité de l'Etang, 26780 Chåteauneuf Du Rhöne, France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132</v>
      </c>
      <c r="U89" s="14" t="s">
        <v>265</v>
      </c>
      <c r="V89" s="101" t="str">
        <f t="shared" ca="1" si="8"/>
        <v>Бейсболка CAPSLAB арт. CL/LOO3/1/DUC1 Looney Tunes Daffy Duck (кремовый / черный)</v>
      </c>
      <c r="W89" s="100" t="str">
        <f t="shared" ca="1" si="9"/>
        <v>Бейсболка CAPSLAB арт. CL/LOO3/1/DUC1 Looney Tunes Daffy Duck (кремовый / черный) {white}</v>
      </c>
      <c r="X89" s="18" t="str">
        <f t="shared" ca="1" si="10"/>
        <v>кремовый</v>
      </c>
      <c r="Y89" s="18" t="str">
        <f t="shared" ca="1" si="11"/>
        <v>черный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бежевый</v>
      </c>
      <c r="AA89" s="73" t="str">
        <f ca="1"/>
        <v>88-205-08-00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80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1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str">
        <f ca="1">IF(VLOOKUP(W89,Товары!A:B,2,FALSE)=A89,"Есть в 1С","ERR")</f>
        <v>Есть в 1С</v>
      </c>
      <c r="AU89" s="65" t="str">
        <f ca="1">IF(VLOOKUP(A89,Товары!B:B,1,FALSE)=A89,"Есть в 1С","ERR")</f>
        <v>Есть в 1С</v>
      </c>
      <c r="AV89" s="96" t="str">
        <f ca="1">VLOOKUP(W89,Товары!A:B,2,FALSE)</f>
        <v>88-205-08</v>
      </c>
      <c r="AW89" s="94" t="str">
        <f ca="1">VLOOKUP(W89,Товары!A:B,1,FALSE)</f>
        <v>Бейсболка CAPSLAB арт. CL/LOO3/1/DUC1 Looney Tunes Daffy Duck (кремовый / черный) {white}</v>
      </c>
    </row>
    <row r="90" spans="1:49" x14ac:dyDescent="0.25">
      <c r="A90" s="110" t="str">
        <f t="shared" ca="1" si="7"/>
        <v>88-203-48</v>
      </c>
      <c r="B90" s="107" t="str">
        <f ca="1">_xlfn.LET(_xlpm.CAPS,0,_xlpm.Style,TRIM(_xlfn.XLOOKUP($A90,Строчный!$A:$A,Строчный!B:B,"ERR",0)),IF(_xlpm.CAPS=0,_xlpm.Style,UPPER(_xlpm.Style)))</f>
        <v>CL/LOO3/1/CHA Looney Tunes Foghorn Leghorn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 с сеточкой</v>
      </c>
      <c r="E90" s="81" t="str">
        <f ca="1">PROPER(TRIM(_xlfn.XLOOKUP($A90,Строчный!$A:$A,Строчный!E:E,"ERR",0)))</f>
        <v>Capslab-Looney Tunes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CAPSLAB</v>
      </c>
      <c r="H90" s="81" t="str">
        <f ca="1">LOWER(TRIM(_xlfn.XLOOKUP($A90,Строчный!$A:$A,Строчный!H:H,"ERR",0)))</f>
        <v>black</v>
      </c>
      <c r="I90" s="81" t="str">
        <f ca="1">LOWER(TRIM(_xlfn.XLOOKUP($A90,Строчный!$A:$A,Строчный!I:I,"ERR",0)))</f>
        <v>черный / белый</v>
      </c>
      <c r="J90" s="81" t="str">
        <f ca="1">SUBSTITUTE(LOWER(TRIM(_xlfn.XLOOKUP($A90,Строчный!$A:$A,Строчный!J:J,"ERR",0))),"подклад","Подклад")</f>
        <v>50% хлопок - 50% полиэстер</v>
      </c>
      <c r="K90" s="81" t="str">
        <f ca="1">LOWER(TRIM(_xlfn.XLOOKUP($A90,Строчный!$A:$A,Строчный!K:K,"ERR",0)))</f>
        <v>хлопковые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>COMICS</v>
      </c>
      <c r="O90" s="102" t="str">
        <f ca="1">PROPER(TRIM(_xlfn.XLOOKUP($A90,Строчный!$A:$A,Строчный!P:P,"ERR",0)))</f>
        <v>Looney Tunes</v>
      </c>
      <c r="P90" s="81" t="str">
        <f ca="1">PROPER(TRIM(_xlfn.XLOOKUP($A90,Строчный!$A:$A,Строчный!R:R,"ERR",0)))</f>
        <v/>
      </c>
      <c r="Q90" s="90">
        <f ca="1">VALUE(_xlfn.XLOOKUP($A90,Строчный!$A:$A,Строчный!N:N,"ERR",0))</f>
        <v>1352</v>
      </c>
      <c r="R90" s="89" t="str">
        <f ca="1">_xlfn.XLOOKUP($G90,Фабрика!A:A,Фабрика!B:B,"ERR",0)</f>
        <v>TEXTISS S.A.S; Zone d' Activité de l'Etang, 26780 Chåteauneuf Du Rhöne, France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6</v>
      </c>
      <c r="U90" s="14" t="s">
        <v>265</v>
      </c>
      <c r="V90" s="101" t="str">
        <f t="shared" ca="1" si="8"/>
        <v>Бейсболка CAPSLAB арт. CL/LOO3/1/CHA Looney Tunes Foghorn Leghorn (черный / белый)</v>
      </c>
      <c r="W90" s="100" t="str">
        <f t="shared" ca="1" si="9"/>
        <v>Бейсболка CAPSLAB арт. CL/LOO3/1/CHA Looney Tunes Foghorn Leghorn (черный / белый) {black}</v>
      </c>
      <c r="X90" s="18" t="str">
        <f t="shared" ca="1" si="10"/>
        <v>черный</v>
      </c>
      <c r="Y90" s="18" t="str">
        <f t="shared" ca="1" si="11"/>
        <v>белый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черный</v>
      </c>
      <c r="AA90" s="73" t="str">
        <f ca="1"/>
        <v>88-203-48-00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72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1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str">
        <f ca="1">IF(VLOOKUP(W90,Товары!A:B,2,FALSE)=A90,"Есть в 1С","ERR")</f>
        <v>Есть в 1С</v>
      </c>
      <c r="AU90" s="65" t="str">
        <f ca="1">IF(VLOOKUP(A90,Товары!B:B,1,FALSE)=A90,"Есть в 1С","ERR")</f>
        <v>Есть в 1С</v>
      </c>
      <c r="AV90" s="96" t="str">
        <f ca="1">VLOOKUP(W90,Товары!A:B,2,FALSE)</f>
        <v>88-203-48</v>
      </c>
      <c r="AW90" s="94" t="str">
        <f ca="1">VLOOKUP(W90,Товары!A:B,1,FALSE)</f>
        <v>Бейсболка CAPSLAB арт. CL/LOO3/1/CHA Looney Tunes Foghorn Leghorn (черный / белый) {black}</v>
      </c>
    </row>
    <row r="91" spans="1:49" x14ac:dyDescent="0.25">
      <c r="A91" s="110" t="str">
        <f t="shared" ca="1" si="7"/>
        <v>88-201-72</v>
      </c>
      <c r="B91" s="107" t="str">
        <f ca="1">_xlfn.LET(_xlpm.CAPS,0,_xlpm.Style,TRIM(_xlfn.XLOOKUP($A91,Строчный!$A:$A,Строчный!B:B,"ERR",0)),IF(_xlpm.CAPS=0,_xlpm.Style,UPPER(_xlpm.Style)))</f>
        <v>CL/LOO3/1/BUG1 Looney Tunes Bugs Bunny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 с сеточкой</v>
      </c>
      <c r="E91" s="81" t="str">
        <f ca="1">PROPER(TRIM(_xlfn.XLOOKUP($A91,Строчный!$A:$A,Строчный!E:E,"ERR",0)))</f>
        <v>Capslab-Looney Tunes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CAPSLAB</v>
      </c>
      <c r="H91" s="81" t="str">
        <f ca="1">LOWER(TRIM(_xlfn.XLOOKUP($A91,Строчный!$A:$A,Строчный!H:H,"ERR",0)))</f>
        <v>red</v>
      </c>
      <c r="I91" s="81" t="str">
        <f ca="1">LOWER(TRIM(_xlfn.XLOOKUP($A91,Строчный!$A:$A,Строчный!I:I,"ERR",0)))</f>
        <v>красный / черный</v>
      </c>
      <c r="J91" s="81" t="str">
        <f ca="1">SUBSTITUTE(LOWER(TRIM(_xlfn.XLOOKUP($A91,Строчный!$A:$A,Строчный!J:J,"ERR",0))),"подклад","Подклад")</f>
        <v>60% полиэстер - 40% хлопок</v>
      </c>
      <c r="K91" s="81" t="str">
        <f ca="1">LOWER(TRIM(_xlfn.XLOOKUP($A91,Строчный!$A:$A,Строчный!K:K,"ERR",0)))</f>
        <v>хлопковые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>COMICS</v>
      </c>
      <c r="O91" s="102" t="str">
        <f ca="1">PROPER(TRIM(_xlfn.XLOOKUP($A91,Строчный!$A:$A,Строчный!P:P,"ERR",0)))</f>
        <v>Looney Tunes</v>
      </c>
      <c r="P91" s="81" t="str">
        <f ca="1">PROPER(TRIM(_xlfn.XLOOKUP($A91,Строчный!$A:$A,Строчный!R:R,"ERR",0)))</f>
        <v/>
      </c>
      <c r="Q91" s="90">
        <f ca="1">VALUE(_xlfn.XLOOKUP($A91,Строчный!$A:$A,Строчный!N:N,"ERR",0))</f>
        <v>1352</v>
      </c>
      <c r="R91" s="89" t="str">
        <f ca="1">_xlfn.XLOOKUP($G91,Фабрика!A:A,Фабрика!B:B,"ERR",0)</f>
        <v>TEXTISS S.A.S; Zone d' Activité de l'Etang, 26780 Chåteauneuf Du Rhöne, France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60</v>
      </c>
      <c r="U91" s="14" t="s">
        <v>265</v>
      </c>
      <c r="V91" s="101" t="str">
        <f t="shared" ca="1" si="8"/>
        <v>Бейсболка CAPSLAB арт. CL/LOO3/1/BUG1 Looney Tunes Bugs Bunny (красный / черный)</v>
      </c>
      <c r="W91" s="100" t="str">
        <f t="shared" ca="1" si="9"/>
        <v>Бейсболка CAPSLAB арт. CL/LOO3/1/BUG1 Looney Tunes Bugs Bunny (красный / черный) {red}</v>
      </c>
      <c r="X91" s="18" t="str">
        <f t="shared" ca="1" si="10"/>
        <v>красный</v>
      </c>
      <c r="Y91" s="18" t="str">
        <f t="shared" ca="1" si="11"/>
        <v>черный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красный</v>
      </c>
      <c r="AA91" s="73" t="str">
        <f ca="1"/>
        <v>88-201-72-00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72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1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str">
        <f ca="1">IF(VLOOKUP(W91,Товары!A:B,2,FALSE)=A91,"Есть в 1С","ERR")</f>
        <v>Есть в 1С</v>
      </c>
      <c r="AU91" s="65" t="str">
        <f ca="1">IF(VLOOKUP(A91,Товары!B:B,1,FALSE)=A91,"Есть в 1С","ERR")</f>
        <v>Есть в 1С</v>
      </c>
      <c r="AV91" s="96" t="str">
        <f ca="1">VLOOKUP(W91,Товары!A:B,2,FALSE)</f>
        <v>88-201-72</v>
      </c>
      <c r="AW91" s="94" t="str">
        <f ca="1">VLOOKUP(W91,Товары!A:B,1,FALSE)</f>
        <v>Бейсболка CAPSLAB арт. CL/LOO3/1/BUG1 Looney Tunes Bugs Bunny (красный / черный) {red}</v>
      </c>
    </row>
    <row r="92" spans="1:49" x14ac:dyDescent="0.25">
      <c r="A92" s="110" t="str">
        <f t="shared" ca="1" si="7"/>
        <v>88-191-09</v>
      </c>
      <c r="B92" s="107" t="str">
        <f ca="1">_xlfn.LET(_xlpm.CAPS,0,_xlpm.Style,TRIM(_xlfn.XLOOKUP($A92,Строчный!$A:$A,Строчный!B:B,"ERR",0)),IF(_xlpm.CAPS=0,_xlpm.Style,UPPER(_xlpm.Style)))</f>
        <v>CL/LOO/TAG/1/DAF Looney Tunes Daffy Duck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</v>
      </c>
      <c r="E92" s="81" t="str">
        <f ca="1">PROPER(TRIM(_xlfn.XLOOKUP($A92,Строчный!$A:$A,Строчный!E:E,"ERR",0)))</f>
        <v>Capslab-Looney Tunes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CAPSLAB</v>
      </c>
      <c r="H92" s="81" t="str">
        <f ca="1">LOWER(TRIM(_xlfn.XLOOKUP($A92,Строчный!$A:$A,Строчный!H:H,"ERR",0)))</f>
        <v>black</v>
      </c>
      <c r="I92" s="81" t="str">
        <f ca="1">LOWER(TRIM(_xlfn.XLOOKUP($A92,Строчный!$A:$A,Строчный!I:I,"ERR",0)))</f>
        <v>черный</v>
      </c>
      <c r="J92" s="81" t="str">
        <f ca="1">SUBSTITUTE(LOWER(TRIM(_xlfn.XLOOKUP($A92,Строчный!$A:$A,Строчный!J:J,"ERR",0))),"подклад","Подклад")</f>
        <v>100% полиэстер</v>
      </c>
      <c r="K92" s="81" t="str">
        <f ca="1">LOWER(TRIM(_xlfn.XLOOKUP($A92,Строчный!$A:$A,Строчный!K:K,"ERR",0)))</f>
        <v/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>COMICS</v>
      </c>
      <c r="O92" s="102" t="str">
        <f ca="1">PROPER(TRIM(_xlfn.XLOOKUP($A92,Строчный!$A:$A,Строчный!P:P,"ERR",0)))</f>
        <v>Looney Tunes</v>
      </c>
      <c r="P92" s="81" t="str">
        <f ca="1">PROPER(TRIM(_xlfn.XLOOKUP($A92,Строчный!$A:$A,Строчный!R:R,"ERR",0)))</f>
        <v/>
      </c>
      <c r="Q92" s="90">
        <f ca="1">VALUE(_xlfn.XLOOKUP($A92,Строчный!$A:$A,Строчный!N:N,"ERR",0))</f>
        <v>1352</v>
      </c>
      <c r="R92" s="89" t="str">
        <f ca="1">_xlfn.XLOOKUP($G92,Фабрика!A:A,Фабрика!B:B,"ERR",0)</f>
        <v>TEXTISS S.A.S; Zone d' Activité de l'Etang, 26780 Chåteauneuf Du Rhöne, France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36</v>
      </c>
      <c r="U92" s="14" t="s">
        <v>265</v>
      </c>
      <c r="V92" s="101" t="str">
        <f t="shared" ca="1" si="8"/>
        <v>Бейсболка CAPSLAB арт. CL/LOO/TAG/1/DAF Looney Tunes Daffy Duck (черный)</v>
      </c>
      <c r="W92" s="100" t="str">
        <f t="shared" ca="1" si="9"/>
        <v>Бейсболка CAPSLAB арт. CL/LOO/TAG/1/DAF Looney Tunes Daffy Duck (черный) {black}</v>
      </c>
      <c r="X92" s="18" t="str">
        <f t="shared" ca="1" si="10"/>
        <v>черный</v>
      </c>
      <c r="Y92" s="18" t="str">
        <f t="shared" ca="1" si="11"/>
        <v>черный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88-191-09-00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09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1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0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str">
        <f ca="1">IF(VLOOKUP(W92,Товары!A:B,2,FALSE)=A92,"Есть в 1С","ERR")</f>
        <v>Есть в 1С</v>
      </c>
      <c r="AU92" s="65" t="str">
        <f ca="1">IF(VLOOKUP(A92,Товары!B:B,1,FALSE)=A92,"Есть в 1С","ERR")</f>
        <v>Есть в 1С</v>
      </c>
      <c r="AV92" s="96" t="str">
        <f ca="1">VLOOKUP(W92,Товары!A:B,2,FALSE)</f>
        <v>88-191-09</v>
      </c>
      <c r="AW92" s="94" t="str">
        <f ca="1">VLOOKUP(W92,Товары!A:B,1,FALSE)</f>
        <v>Бейсболка CAPSLAB арт. CL/LOO/TAG/1/DAF Looney Tunes Daffy Duck (черный) {black}</v>
      </c>
    </row>
    <row r="93" spans="1:49" x14ac:dyDescent="0.25">
      <c r="A93" s="110" t="str">
        <f t="shared" ca="1" si="7"/>
        <v>88-190-09</v>
      </c>
      <c r="B93" s="107" t="str">
        <f ca="1">_xlfn.LET(_xlpm.CAPS,0,_xlpm.Style,TRIM(_xlfn.XLOOKUP($A93,Строчный!$A:$A,Строчный!B:B,"ERR",0)),IF(_xlpm.CAPS=0,_xlpm.Style,UPPER(_xlpm.Style)))</f>
        <v>CL/LOO/TAG/1/BUG Looney Tunes Bugs Bunny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</v>
      </c>
      <c r="E93" s="81" t="str">
        <f ca="1">PROPER(TRIM(_xlfn.XLOOKUP($A93,Строчный!$A:$A,Строчный!E:E,"ERR",0)))</f>
        <v>Capslab-Looney Tunes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CAPSLAB</v>
      </c>
      <c r="H93" s="81" t="str">
        <f ca="1">LOWER(TRIM(_xlfn.XLOOKUP($A93,Строчный!$A:$A,Строчный!H:H,"ERR",0)))</f>
        <v>black</v>
      </c>
      <c r="I93" s="81" t="str">
        <f ca="1">LOWER(TRIM(_xlfn.XLOOKUP($A93,Строчный!$A:$A,Строчный!I:I,"ERR",0)))</f>
        <v>черный</v>
      </c>
      <c r="J93" s="81" t="str">
        <f ca="1">SUBSTITUTE(LOWER(TRIM(_xlfn.XLOOKUP($A93,Строчный!$A:$A,Строчный!J:J,"ERR",0))),"подклад","Подклад")</f>
        <v>100% полиэстер</v>
      </c>
      <c r="K93" s="81" t="str">
        <f ca="1">LOWER(TRIM(_xlfn.XLOOKUP($A93,Строчный!$A:$A,Строчный!K:K,"ERR",0)))</f>
        <v/>
      </c>
      <c r="L93" s="81" t="str">
        <f ca="1">PROPER(TRIM(_xlfn.XLOOKUP($A93,Строчный!$A:$A,Строчный!L:L,"ERR",0)))</f>
        <v>Женский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>COMICS</v>
      </c>
      <c r="O93" s="102" t="str">
        <f ca="1">PROPER(TRIM(_xlfn.XLOOKUP($A93,Строчный!$A:$A,Строчный!P:P,"ERR",0)))</f>
        <v>Looney Tunes</v>
      </c>
      <c r="P93" s="81" t="str">
        <f ca="1">PROPER(TRIM(_xlfn.XLOOKUP($A93,Строчный!$A:$A,Строчный!R:R,"ERR",0)))</f>
        <v/>
      </c>
      <c r="Q93" s="90">
        <f ca="1">VALUE(_xlfn.XLOOKUP($A93,Строчный!$A:$A,Строчный!N:N,"ERR",0))</f>
        <v>1352</v>
      </c>
      <c r="R93" s="89" t="str">
        <f ca="1">_xlfn.XLOOKUP($G93,Фабрика!A:A,Фабрика!B:B,"ERR",0)</f>
        <v>TEXTISS S.A.S; Zone d' Activité de l'Etang, 26780 Chåteauneuf Du Rhöne, France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48</v>
      </c>
      <c r="U93" s="14" t="s">
        <v>265</v>
      </c>
      <c r="V93" s="101" t="str">
        <f t="shared" ca="1" si="8"/>
        <v>Бейсболка CAPSLAB арт. CL/LOO/TAG/1/BUG Looney Tunes Bugs Bunny (черный)</v>
      </c>
      <c r="W93" s="100" t="str">
        <f t="shared" ca="1" si="9"/>
        <v>Бейсболка CAPSLAB арт. CL/LOO/TAG/1/BUG Looney Tunes Bugs Bunny (черный) {black}</v>
      </c>
      <c r="X93" s="18" t="str">
        <f t="shared" ca="1" si="10"/>
        <v>черный</v>
      </c>
      <c r="Y93" s="18" t="str">
        <f t="shared" ca="1" si="11"/>
        <v>черный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3" t="str">
        <f ca="1"/>
        <v>88-190-09-00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09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1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0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str">
        <f ca="1">IF(VLOOKUP(W93,Товары!A:B,2,FALSE)=A93,"Есть в 1С","ERR")</f>
        <v>Есть в 1С</v>
      </c>
      <c r="AU93" s="65" t="str">
        <f ca="1">IF(VLOOKUP(A93,Товары!B:B,1,FALSE)=A93,"Есть в 1С","ERR")</f>
        <v>Есть в 1С</v>
      </c>
      <c r="AV93" s="96" t="str">
        <f ca="1">VLOOKUP(W93,Товары!A:B,2,FALSE)</f>
        <v>88-190-09</v>
      </c>
      <c r="AW93" s="94" t="str">
        <f ca="1">VLOOKUP(W93,Товары!A:B,1,FALSE)</f>
        <v>Бейсболка CAPSLAB арт. CL/LOO/TAG/1/BUG Looney Tunes Bugs Bunny (черный) {black}</v>
      </c>
    </row>
    <row r="94" spans="1:49" x14ac:dyDescent="0.25">
      <c r="A94" s="110" t="str">
        <f t="shared" ca="1" si="7"/>
        <v>88-188-16</v>
      </c>
      <c r="B94" s="107" t="str">
        <f ca="1">_xlfn.LET(_xlpm.CAPS,0,_xlpm.Style,TRIM(_xlfn.XLOOKUP($A94,Строчный!$A:$A,Строчный!B:B,"ERR",0)),IF(_xlpm.CAPS=0,_xlpm.Style,UPPER(_xlpm.Style)))</f>
        <v>CL/LOO/1/TAZ3 Looney Tunes Taz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 с сеточкой</v>
      </c>
      <c r="E94" s="81" t="str">
        <f ca="1">PROPER(TRIM(_xlfn.XLOOKUP($A94,Строчный!$A:$A,Строчный!E:E,"ERR",0)))</f>
        <v>Capslab-Looney Tunes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CAPSLAB</v>
      </c>
      <c r="H94" s="81" t="str">
        <f ca="1">LOWER(TRIM(_xlfn.XLOOKUP($A94,Строчный!$A:$A,Строчный!H:H,"ERR",0)))</f>
        <v>navy</v>
      </c>
      <c r="I94" s="81" t="str">
        <f ca="1">LOWER(TRIM(_xlfn.XLOOKUP($A94,Строчный!$A:$A,Строчный!I:I,"ERR",0)))</f>
        <v>черный</v>
      </c>
      <c r="J94" s="81" t="str">
        <f ca="1">SUBSTITUTE(LOWER(TRIM(_xlfn.XLOOKUP($A94,Строчный!$A:$A,Строчный!J:J,"ERR",0))),"подклад","Подклад")</f>
        <v>50% хлопок - 50% полиэстер</v>
      </c>
      <c r="K94" s="81" t="str">
        <f ca="1">LOWER(TRIM(_xlfn.XLOOKUP($A94,Строчный!$A:$A,Строчный!K:K,"ERR",0)))</f>
        <v>хлопковые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>COMICS</v>
      </c>
      <c r="O94" s="102" t="str">
        <f ca="1">PROPER(TRIM(_xlfn.XLOOKUP($A94,Строчный!$A:$A,Строчный!P:P,"ERR",0)))</f>
        <v>Looney Tunes</v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1352</v>
      </c>
      <c r="R94" s="89" t="str">
        <f ca="1">_xlfn.XLOOKUP($G94,Фабрика!A:A,Фабрика!B:B,"ERR",0)</f>
        <v>TEXTISS S.A.S; Zone d' Activité de l'Etang, 26780 Chåteauneuf Du Rhöne, France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120</v>
      </c>
      <c r="U94" s="14" t="s">
        <v>265</v>
      </c>
      <c r="V94" s="101" t="str">
        <f t="shared" ca="1" si="8"/>
        <v>Бейсболка CAPSLAB арт. CL/LOO/1/TAZ3 Looney Tunes Taz (черный)</v>
      </c>
      <c r="W94" s="100" t="str">
        <f t="shared" ca="1" si="9"/>
        <v>Бейсболка CAPSLAB арт. CL/LOO/1/TAZ3 Looney Tunes Taz (черный) {navy}</v>
      </c>
      <c r="X94" s="18" t="str">
        <f t="shared" ca="1" si="10"/>
        <v>черный</v>
      </c>
      <c r="Y94" s="18" t="str">
        <f t="shared" ca="1" si="11"/>
        <v>черный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3" t="str">
        <f ca="1"/>
        <v>88-188-16-00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09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1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str">
        <f ca="1">IF(VLOOKUP(W94,Товары!A:B,2,FALSE)=A94,"Есть в 1С","ERR")</f>
        <v>Есть в 1С</v>
      </c>
      <c r="AU94" s="65" t="str">
        <f ca="1">IF(VLOOKUP(A94,Товары!B:B,1,FALSE)=A94,"Есть в 1С","ERR")</f>
        <v>Есть в 1С</v>
      </c>
      <c r="AV94" s="96" t="str">
        <f ca="1">VLOOKUP(W94,Товары!A:B,2,FALSE)</f>
        <v>88-188-16</v>
      </c>
      <c r="AW94" s="94" t="str">
        <f ca="1">VLOOKUP(W94,Товары!A:B,1,FALSE)</f>
        <v>Бейсболка CAPSLAB арт. CL/LOO/1/TAZ3 Looney Tunes Taz (черный) {navy}</v>
      </c>
    </row>
    <row r="95" spans="1:49" x14ac:dyDescent="0.25">
      <c r="A95" s="110" t="str">
        <f t="shared" ca="1" si="7"/>
        <v>88-184-14</v>
      </c>
      <c r="B95" s="107" t="str">
        <f ca="1">_xlfn.LET(_xlpm.CAPS,0,_xlpm.Style,TRIM(_xlfn.XLOOKUP($A95,Строчный!$A:$A,Строчный!B:B,"ERR",0)),IF(_xlpm.CAPS=0,_xlpm.Style,UPPER(_xlpm.Style)))</f>
        <v>CL/LOO/1/COY2 Looney Tunes Wile E. Coyote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 с сеточкой</v>
      </c>
      <c r="E95" s="81" t="str">
        <f ca="1">PROPER(TRIM(_xlfn.XLOOKUP($A95,Строчный!$A:$A,Строчный!E:E,"ERR",0)))</f>
        <v>Capslab-Looney Tunes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CAPSLAB</v>
      </c>
      <c r="H95" s="81" t="str">
        <f ca="1">LOWER(TRIM(_xlfn.XLOOKUP($A95,Строчный!$A:$A,Строчный!H:H,"ERR",0)))</f>
        <v>brown</v>
      </c>
      <c r="I95" s="81" t="str">
        <f ca="1">LOWER(TRIM(_xlfn.XLOOKUP($A95,Строчный!$A:$A,Строчный!I:I,"ERR",0)))</f>
        <v>коричневый</v>
      </c>
      <c r="J95" s="81" t="str">
        <f ca="1">SUBSTITUTE(LOWER(TRIM(_xlfn.XLOOKUP($A95,Строчный!$A:$A,Строчный!J:J,"ERR",0))),"подклад","Подклад")</f>
        <v>50% хлопок - 50% полиэстер</v>
      </c>
      <c r="K95" s="81" t="str">
        <f ca="1">LOWER(TRIM(_xlfn.XLOOKUP($A95,Строчный!$A:$A,Строчный!K:K,"ERR",0)))</f>
        <v>хлопковые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>COMICS</v>
      </c>
      <c r="O95" s="102" t="str">
        <f ca="1">PROPER(TRIM(_xlfn.XLOOKUP($A95,Строчный!$A:$A,Строчный!P:P,"ERR",0)))</f>
        <v>Looney Tunes</v>
      </c>
      <c r="P95" s="81" t="str">
        <f ca="1">PROPER(TRIM(_xlfn.XLOOKUP($A95,Строчный!$A:$A,Строчный!R:R,"ERR",0)))</f>
        <v/>
      </c>
      <c r="Q95" s="90">
        <f ca="1">VALUE(_xlfn.XLOOKUP($A95,Строчный!$A:$A,Строчный!N:N,"ERR",0))</f>
        <v>1352</v>
      </c>
      <c r="R95" s="89" t="str">
        <f ca="1">_xlfn.XLOOKUP($G95,Фабрика!A:A,Фабрика!B:B,"ERR",0)</f>
        <v>TEXTISS S.A.S; Zone d' Activité de l'Etang, 26780 Chåteauneuf Du Rhöne, France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72</v>
      </c>
      <c r="U95" s="14" t="s">
        <v>265</v>
      </c>
      <c r="V95" s="101" t="str">
        <f t="shared" ca="1" si="8"/>
        <v>Бейсболка CAPSLAB арт. CL/LOO/1/COY2 Looney Tunes Wile E. Coyote (коричневый)</v>
      </c>
      <c r="W95" s="100" t="str">
        <f t="shared" ca="1" si="9"/>
        <v>Бейсболка CAPSLAB арт. CL/LOO/1/COY2 Looney Tunes Wile E. Coyote (коричневый) {brown}</v>
      </c>
      <c r="X95" s="18" t="str">
        <f t="shared" ca="1" si="10"/>
        <v>коричневый</v>
      </c>
      <c r="Y95" s="18" t="str">
        <f t="shared" ca="1" si="11"/>
        <v>коричневый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коричневый</v>
      </c>
      <c r="AA95" s="73" t="str">
        <f ca="1"/>
        <v>88-184-14-00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14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1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str">
        <f ca="1">IF(VLOOKUP(W95,Товары!A:B,2,FALSE)=A95,"Есть в 1С","ERR")</f>
        <v>Есть в 1С</v>
      </c>
      <c r="AU95" s="65" t="str">
        <f ca="1">IF(VLOOKUP(A95,Товары!B:B,1,FALSE)=A95,"Есть в 1С","ERR")</f>
        <v>Есть в 1С</v>
      </c>
      <c r="AV95" s="96" t="str">
        <f ca="1">VLOOKUP(W95,Товары!A:B,2,FALSE)</f>
        <v>88-184-14</v>
      </c>
      <c r="AW95" s="94" t="str">
        <f ca="1">VLOOKUP(W95,Товары!A:B,1,FALSE)</f>
        <v>Бейсболка CAPSLAB арт. CL/LOO/1/COY2 Looney Tunes Wile E. Coyote (коричневый) {brown}</v>
      </c>
    </row>
    <row r="96" spans="1:49" x14ac:dyDescent="0.25">
      <c r="A96" s="110" t="str">
        <f t="shared" ca="1" si="7"/>
        <v>88-180-09</v>
      </c>
      <c r="B96" s="107" t="str">
        <f ca="1">_xlfn.LET(_xlpm.CAPS,0,_xlpm.Style,TRIM(_xlfn.XLOOKUP($A96,Строчный!$A:$A,Строчный!B:B,"ERR",0)),IF(_xlpm.CAPS=0,_xlpm.Style,UPPER(_xlpm.Style)))</f>
        <v>CL/DC4/1/BAT1 DC Comics Batman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 с сеточкой</v>
      </c>
      <c r="E96" s="81" t="str">
        <f ca="1">PROPER(TRIM(_xlfn.XLOOKUP($A96,Строчный!$A:$A,Строчный!E:E,"ERR",0)))</f>
        <v>Capslab-Dc Comics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CAPSLAB</v>
      </c>
      <c r="H96" s="81" t="str">
        <f ca="1">LOWER(TRIM(_xlfn.XLOOKUP($A96,Строчный!$A:$A,Строчный!H:H,"ERR",0)))</f>
        <v>black</v>
      </c>
      <c r="I96" s="81" t="str">
        <f ca="1">LOWER(TRIM(_xlfn.XLOOKUP($A96,Строчный!$A:$A,Строчный!I:I,"ERR",0)))</f>
        <v>черный</v>
      </c>
      <c r="J96" s="81" t="str">
        <f ca="1">SUBSTITUTE(LOWER(TRIM(_xlfn.XLOOKUP($A96,Строчный!$A:$A,Строчный!J:J,"ERR",0))),"подклад","Подклад")</f>
        <v>50% хлопок - 50% полиэстер</v>
      </c>
      <c r="K96" s="81" t="str">
        <f ca="1">LOWER(TRIM(_xlfn.XLOOKUP($A96,Строчный!$A:$A,Строчный!K:K,"ERR",0)))</f>
        <v>хлопковые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>COMICS</v>
      </c>
      <c r="O96" s="102" t="str">
        <f ca="1">PROPER(TRIM(_xlfn.XLOOKUP($A96,Строчный!$A:$A,Строчный!P:P,"ERR",0)))</f>
        <v>Dc Comics</v>
      </c>
      <c r="P96" s="81" t="str">
        <f ca="1">PROPER(TRIM(_xlfn.XLOOKUP($A96,Строчный!$A:$A,Строчный!R:R,"ERR",0)))</f>
        <v/>
      </c>
      <c r="Q96" s="90">
        <f ca="1">VALUE(_xlfn.XLOOKUP($A96,Строчный!$A:$A,Строчный!N:N,"ERR",0))</f>
        <v>1352</v>
      </c>
      <c r="R96" s="89" t="str">
        <f ca="1">_xlfn.XLOOKUP($G96,Фабрика!A:A,Фабрика!B:B,"ERR",0)</f>
        <v>TEXTISS S.A.S; Zone d' Activité de l'Etang, 26780 Chåteauneuf Du Rhöne, France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60</v>
      </c>
      <c r="U96" s="14" t="s">
        <v>265</v>
      </c>
      <c r="V96" s="101" t="str">
        <f t="shared" ca="1" si="8"/>
        <v>Бейсболка CAPSLAB арт. CL/DC4/1/BAT1 DC Comics Batman (черный)</v>
      </c>
      <c r="W96" s="100" t="str">
        <f t="shared" ca="1" si="9"/>
        <v>Бейсболка CAPSLAB арт. CL/DC4/1/BAT1 DC Comics Batman (черный) {black}</v>
      </c>
      <c r="X96" s="18" t="str">
        <f t="shared" ca="1" si="10"/>
        <v>черный</v>
      </c>
      <c r="Y96" s="18" t="str">
        <f t="shared" ca="1" si="11"/>
        <v>черный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88-180-09-00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09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1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str">
        <f ca="1">IF(VLOOKUP(W96,Товары!A:B,2,FALSE)=A96,"Есть в 1С","ERR")</f>
        <v>Есть в 1С</v>
      </c>
      <c r="AU96" s="65" t="str">
        <f ca="1">IF(VLOOKUP(A96,Товары!B:B,1,FALSE)=A96,"Есть в 1С","ERR")</f>
        <v>Есть в 1С</v>
      </c>
      <c r="AV96" s="96" t="str">
        <f ca="1">VLOOKUP(W96,Товары!A:B,2,FALSE)</f>
        <v>88-180-09</v>
      </c>
      <c r="AW96" s="94" t="str">
        <f ca="1">VLOOKUP(W96,Товары!A:B,1,FALSE)</f>
        <v>Бейсболка CAPSLAB арт. CL/DC4/1/BAT1 DC Comics Batman (черный) {black}</v>
      </c>
    </row>
    <row r="97" spans="1:49" x14ac:dyDescent="0.25">
      <c r="A97" s="110" t="str">
        <f t="shared" ca="1" si="7"/>
        <v>88-179-16</v>
      </c>
      <c r="B97" s="107" t="str">
        <f ca="1">_xlfn.LET(_xlpm.CAPS,0,_xlpm.Style,TRIM(_xlfn.XLOOKUP($A97,Строчный!$A:$A,Строчный!B:B,"ERR",0)),IF(_xlpm.CAPS=0,_xlpm.Style,UPPER(_xlpm.Style)))</f>
        <v>CL/DC3/1/CAS/JOK2 DC Comics Joker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 с сеточкой</v>
      </c>
      <c r="E97" s="81" t="str">
        <f ca="1">PROPER(TRIM(_xlfn.XLOOKUP($A97,Строчный!$A:$A,Строчный!E:E,"ERR",0)))</f>
        <v>Capslab-Dc Comics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CAPSLAB</v>
      </c>
      <c r="H97" s="81" t="str">
        <f ca="1">LOWER(TRIM(_xlfn.XLOOKUP($A97,Строчный!$A:$A,Строчный!H:H,"ERR",0)))</f>
        <v>navy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50% хлопок - 50% полиэстер</v>
      </c>
      <c r="K97" s="81" t="str">
        <f ca="1">LOWER(TRIM(_xlfn.XLOOKUP($A97,Строчный!$A:$A,Строчный!K:K,"ERR",0)))</f>
        <v>хлопковые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>COMICS</v>
      </c>
      <c r="O97" s="102" t="str">
        <f ca="1">PROPER(TRIM(_xlfn.XLOOKUP($A97,Строчный!$A:$A,Строчный!P:P,"ERR",0)))</f>
        <v>Dc Comics</v>
      </c>
      <c r="P97" s="81" t="str">
        <f ca="1">PROPER(TRIM(_xlfn.XLOOKUP($A97,Строчный!$A:$A,Строчный!R:R,"ERR",0)))</f>
        <v/>
      </c>
      <c r="Q97" s="90">
        <f ca="1">VALUE(_xlfn.XLOOKUP($A97,Строчный!$A:$A,Строчный!N:N,"ERR",0))</f>
        <v>1352</v>
      </c>
      <c r="R97" s="89" t="str">
        <f ca="1">_xlfn.XLOOKUP($G97,Фабрика!A:A,Фабрика!B:B,"ERR",0)</f>
        <v>TEXTISS S.A.S; Zone d' Activité de l'Etang, 26780 Chåteauneuf Du Rhöne, France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42</v>
      </c>
      <c r="U97" s="14" t="s">
        <v>265</v>
      </c>
      <c r="V97" s="101" t="str">
        <f t="shared" ca="1" si="8"/>
        <v>Бейсболка CAPSLAB арт. CL/DC3/1/CAS/JOK2 DC Comics Joker (черный)</v>
      </c>
      <c r="W97" s="100" t="str">
        <f t="shared" ca="1" si="9"/>
        <v>Бейсболка CAPSLAB арт. CL/DC3/1/CAS/JOK2 DC Comics Joker (черный) {navy}</v>
      </c>
      <c r="X97" s="18" t="str">
        <f t="shared" ca="1" si="10"/>
        <v>черный</v>
      </c>
      <c r="Y97" s="18" t="str">
        <f t="shared" ca="1" si="11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88-179-16-00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1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str">
        <f ca="1">IF(VLOOKUP(W97,Товары!A:B,2,FALSE)=A97,"Есть в 1С","ERR")</f>
        <v>Есть в 1С</v>
      </c>
      <c r="AU97" s="65" t="str">
        <f ca="1">IF(VLOOKUP(A97,Товары!B:B,1,FALSE)=A97,"Есть в 1С","ERR")</f>
        <v>Есть в 1С</v>
      </c>
      <c r="AV97" s="96" t="str">
        <f ca="1">VLOOKUP(W97,Товары!A:B,2,FALSE)</f>
        <v>88-179-16</v>
      </c>
      <c r="AW97" s="94" t="str">
        <f ca="1">VLOOKUP(W97,Товары!A:B,1,FALSE)</f>
        <v>Бейсболка CAPSLAB арт. CL/DC3/1/CAS/JOK2 DC Comics Joker (черный) {navy}</v>
      </c>
    </row>
    <row r="98" spans="1:49" x14ac:dyDescent="0.25">
      <c r="A98" s="110" t="str">
        <f t="shared" ca="1" si="7"/>
        <v>88-175-09</v>
      </c>
      <c r="B98" s="107" t="str">
        <f ca="1">_xlfn.LET(_xlpm.CAPS,0,_xlpm.Style,TRIM(_xlfn.XLOOKUP($A98,Строчный!$A:$A,Строчный!B:B,"ERR",0)),IF(_xlpm.CAPS=0,_xlpm.Style,UPPER(_xlpm.Style)))</f>
        <v>CL/DC2/1/BATP1 DC Comics Gotham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 с сеточкой</v>
      </c>
      <c r="E98" s="81" t="str">
        <f ca="1">PROPER(TRIM(_xlfn.XLOOKUP($A98,Строчный!$A:$A,Строчный!E:E,"ERR",0)))</f>
        <v>Capslab-Dc Comics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CAPSLAB</v>
      </c>
      <c r="H98" s="81" t="str">
        <f ca="1">LOWER(TRIM(_xlfn.XLOOKUP($A98,Строчный!$A:$A,Строчный!H:H,"ERR",0)))</f>
        <v>black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50% хлопок - 50% полиэстер</v>
      </c>
      <c r="K98" s="81" t="str">
        <f ca="1">LOWER(TRIM(_xlfn.XLOOKUP($A98,Строчный!$A:$A,Строчный!K:K,"ERR",0)))</f>
        <v>хлопковые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>COMICS</v>
      </c>
      <c r="O98" s="102" t="str">
        <f ca="1">PROPER(TRIM(_xlfn.XLOOKUP($A98,Строчный!$A:$A,Строчный!P:P,"ERR",0)))</f>
        <v>Dc Comics</v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1352</v>
      </c>
      <c r="R98" s="89" t="str">
        <f ca="1">_xlfn.XLOOKUP($G98,Фабрика!A:A,Фабрика!B:B,"ERR",0)</f>
        <v>TEXTISS S.A.S; Zone d' Activité de l'Etang, 26780 Chåteauneuf Du Rhöne, France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6</v>
      </c>
      <c r="U98" s="14" t="s">
        <v>265</v>
      </c>
      <c r="V98" s="101" t="str">
        <f t="shared" ca="1" si="8"/>
        <v>Бейсболка CAPSLAB арт. CL/DC2/1/BATP1 DC Comics Gotham (черный)</v>
      </c>
      <c r="W98" s="100" t="str">
        <f t="shared" ca="1" si="9"/>
        <v>Бейсболка CAPSLAB арт. CL/DC2/1/BATP1 DC Comics Gotham (черный) {black}</v>
      </c>
      <c r="X98" s="18" t="str">
        <f t="shared" ca="1" si="10"/>
        <v>черный</v>
      </c>
      <c r="Y98" s="18" t="str">
        <f t="shared" ca="1" si="11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88-175-09-00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09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1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str">
        <f ca="1">IF(VLOOKUP(W98,Товары!A:B,2,FALSE)=A98,"Есть в 1С","ERR")</f>
        <v>Есть в 1С</v>
      </c>
      <c r="AU98" s="65" t="str">
        <f ca="1">IF(VLOOKUP(A98,Товары!B:B,1,FALSE)=A98,"Есть в 1С","ERR")</f>
        <v>Есть в 1С</v>
      </c>
      <c r="AV98" s="96" t="str">
        <f ca="1">VLOOKUP(W98,Товары!A:B,2,FALSE)</f>
        <v>88-175-09</v>
      </c>
      <c r="AW98" s="94" t="str">
        <f ca="1">VLOOKUP(W98,Товары!A:B,1,FALSE)</f>
        <v>Бейсболка CAPSLAB арт. CL/DC2/1/BATP1 DC Comics Gotham (черный) {black}</v>
      </c>
    </row>
    <row r="99" spans="1:49" x14ac:dyDescent="0.25">
      <c r="A99" s="110" t="str">
        <f t="shared" ca="1" si="7"/>
        <v>88-174-16</v>
      </c>
      <c r="B99" s="107" t="str">
        <f ca="1">_xlfn.LET(_xlpm.CAPS,0,_xlpm.Style,TRIM(_xlfn.XLOOKUP($A99,Строчный!$A:$A,Строчный!B:B,"ERR",0)),IF(_xlpm.CAPS=0,_xlpm.Style,UPPER(_xlpm.Style)))</f>
        <v>CL/DC2/1/BAT4 DC Comics Batman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 с сеточкой</v>
      </c>
      <c r="E99" s="81" t="str">
        <f ca="1">PROPER(TRIM(_xlfn.XLOOKUP($A99,Строчный!$A:$A,Строчный!E:E,"ERR",0)))</f>
        <v>Capslab-Dc Comics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CAPSLAB</v>
      </c>
      <c r="H99" s="81" t="str">
        <f ca="1">LOWER(TRIM(_xlfn.XLOOKUP($A99,Строчный!$A:$A,Строчный!H:H,"ERR",0)))</f>
        <v>navy</v>
      </c>
      <c r="I99" s="81" t="str">
        <f ca="1">LOWER(TRIM(_xlfn.XLOOKUP($A99,Строчный!$A:$A,Строчный!I:I,"ERR",0)))</f>
        <v>темно-синий</v>
      </c>
      <c r="J99" s="81" t="str">
        <f ca="1">SUBSTITUTE(LOWER(TRIM(_xlfn.XLOOKUP($A99,Строчный!$A:$A,Строчный!J:J,"ERR",0))),"подклад","Подклад")</f>
        <v>50% хлопок - 50% полиэстер</v>
      </c>
      <c r="K99" s="81" t="str">
        <f ca="1">LOWER(TRIM(_xlfn.XLOOKUP($A99,Строчный!$A:$A,Строчный!K:K,"ERR",0)))</f>
        <v>хлопковые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>COMICS</v>
      </c>
      <c r="O99" s="102" t="str">
        <f ca="1">PROPER(TRIM(_xlfn.XLOOKUP($A99,Строчный!$A:$A,Строчный!P:P,"ERR",0)))</f>
        <v>Dc Comics</v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1352</v>
      </c>
      <c r="R99" s="89" t="str">
        <f ca="1">_xlfn.XLOOKUP($G99,Фабрика!A:A,Фабрика!B:B,"ERR",0)</f>
        <v>TEXTISS S.A.S; Zone d' Activité de l'Etang, 26780 Chåteauneuf Du Rhöne, France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24</v>
      </c>
      <c r="U99" s="14" t="s">
        <v>265</v>
      </c>
      <c r="V99" s="101" t="str">
        <f t="shared" ca="1" si="8"/>
        <v>Бейсболка CAPSLAB арт. CL/DC2/1/BAT4 DC Comics Batman (темно-синий)</v>
      </c>
      <c r="W99" s="100" t="str">
        <f t="shared" ca="1" si="9"/>
        <v>Бейсболка CAPSLAB арт. CL/DC2/1/BAT4 DC Comics Batman (темно-синий) {navy}</v>
      </c>
      <c r="X99" s="18" t="str">
        <f t="shared" ca="1" si="10"/>
        <v>синий</v>
      </c>
      <c r="Y99" s="18" t="str">
        <f t="shared" ca="1" si="11"/>
        <v>синий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синий</v>
      </c>
      <c r="AA99" s="73" t="str">
        <f ca="1"/>
        <v>88-174-16-00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16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1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str">
        <f ca="1">IF(VLOOKUP(W99,Товары!A:B,2,FALSE)=A99,"Есть в 1С","ERR")</f>
        <v>Есть в 1С</v>
      </c>
      <c r="AU99" s="65" t="str">
        <f ca="1">IF(VLOOKUP(A99,Товары!B:B,1,FALSE)=A99,"Есть в 1С","ERR")</f>
        <v>Есть в 1С</v>
      </c>
      <c r="AV99" s="96" t="str">
        <f ca="1">VLOOKUP(W99,Товары!A:B,2,FALSE)</f>
        <v>88-174-16</v>
      </c>
      <c r="AW99" s="94" t="str">
        <f ca="1">VLOOKUP(W99,Товары!A:B,1,FALSE)</f>
        <v>Бейсболка CAPSLAB арт. CL/DC2/1/BAT4 DC Comics Batman (темно-синий) {navy}</v>
      </c>
    </row>
    <row r="100" spans="1:49" x14ac:dyDescent="0.25">
      <c r="A100" s="110" t="str">
        <f t="shared" ca="1" si="7"/>
        <v>88-110-03</v>
      </c>
      <c r="B100" s="107" t="str">
        <f ca="1">_xlfn.LET(_xlpm.CAPS,0,_xlpm.Style,TRIM(_xlfn.XLOOKUP($A100,Строчный!$A:$A,Строчный!B:B,"ERR",0)),IF(_xlpm.CAPS=0,_xlpm.Style,UPPER(_xlpm.Style)))</f>
        <v>CL/DBZ3/1/RON1 Dragon Ball Shenron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 с сеточкой</v>
      </c>
      <c r="E100" s="81" t="str">
        <f ca="1">PROPER(TRIM(_xlfn.XLOOKUP($A100,Строчный!$A:$A,Строчный!E:E,"ERR",0)))</f>
        <v>Capslab-Dragon Ball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CAPSLAB</v>
      </c>
      <c r="H100" s="81" t="str">
        <f ca="1">LOWER(TRIM(_xlfn.XLOOKUP($A100,Строчный!$A:$A,Строчный!H:H,"ERR",0)))</f>
        <v>khaki</v>
      </c>
      <c r="I100" s="81" t="str">
        <f ca="1">LOWER(TRIM(_xlfn.XLOOKUP($A100,Строчный!$A:$A,Строчный!I:I,"ERR",0)))</f>
        <v>оливковый</v>
      </c>
      <c r="J100" s="81" t="str">
        <f ca="1">SUBSTITUTE(LOWER(TRIM(_xlfn.XLOOKUP($A100,Строчный!$A:$A,Строчный!J:J,"ERR",0))),"подклад","Подклад")</f>
        <v>50% хлопок - 50% полиэстер</v>
      </c>
      <c r="K100" s="81" t="str">
        <f ca="1">LOWER(TRIM(_xlfn.XLOOKUP($A100,Строчный!$A:$A,Строчный!K:K,"ERR",0)))</f>
        <v>хлопковые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>COMICS</v>
      </c>
      <c r="O100" s="102" t="str">
        <f ca="1">PROPER(TRIM(_xlfn.XLOOKUP($A100,Строчный!$A:$A,Строчный!P:P,"ERR",0)))</f>
        <v>Dragon Ball</v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1352</v>
      </c>
      <c r="R100" s="89" t="str">
        <f ca="1">_xlfn.XLOOKUP($G100,Фабрика!A:A,Фабрика!B:B,"ERR",0)</f>
        <v>TEXTISS S.A.S; Zone d' Activité de l'Etang, 26780 Chåteauneuf Du Rhöne, France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12</v>
      </c>
      <c r="U100" s="14" t="s">
        <v>265</v>
      </c>
      <c r="V100" s="101" t="str">
        <f t="shared" ca="1" si="8"/>
        <v>Бейсболка CAPSLAB арт. CL/DBZ3/1/RON1 Dragon Ball Shenron (оливковый)</v>
      </c>
      <c r="W100" s="100" t="str">
        <f t="shared" ca="1" si="9"/>
        <v>Бейсболка CAPSLAB арт. CL/DBZ3/1/RON1 Dragon Ball Shenron (оливковый) {khaki}</v>
      </c>
      <c r="X100" s="18" t="str">
        <f t="shared" ca="1" si="10"/>
        <v>оливковый</v>
      </c>
      <c r="Y100" s="18" t="str">
        <f t="shared" ca="1" si="11"/>
        <v>оливковый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оливковый</v>
      </c>
      <c r="AA100" s="73" t="str">
        <f ca="1"/>
        <v>88-110-03-00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03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1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str">
        <f ca="1">IF(VLOOKUP(W100,Товары!A:B,2,FALSE)=A100,"Есть в 1С","ERR")</f>
        <v>Есть в 1С</v>
      </c>
      <c r="AU100" s="65" t="str">
        <f ca="1">IF(VLOOKUP(A100,Товары!B:B,1,FALSE)=A100,"Есть в 1С","ERR")</f>
        <v>Есть в 1С</v>
      </c>
      <c r="AV100" s="96" t="str">
        <f ca="1">VLOOKUP(W100,Товары!A:B,2,FALSE)</f>
        <v>88-110-03</v>
      </c>
      <c r="AW100" s="94" t="str">
        <f ca="1">VLOOKUP(W100,Товары!A:B,1,FALSE)</f>
        <v>Бейсболка CAPSLAB арт. CL/DBZ3/1/RON1 Dragon Ball Shenron (оливковый) {khaki}</v>
      </c>
    </row>
    <row r="101" spans="1:49" x14ac:dyDescent="0.25">
      <c r="A101" s="110" t="str">
        <f t="shared" ca="1" si="7"/>
        <v>88-107-09</v>
      </c>
      <c r="B101" s="107" t="str">
        <f ca="1">_xlfn.LET(_xlpm.CAPS,0,_xlpm.Style,TRIM(_xlfn.XLOOKUP($A101,Строчный!$A:$A,Строчный!B:B,"ERR",0)),IF(_xlpm.CAPS=0,_xlpm.Style,UPPER(_xlpm.Style)))</f>
        <v>CL/DBZ5/1/GOK/F Dragon Ball Goku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</v>
      </c>
      <c r="E101" s="81" t="str">
        <f ca="1">PROPER(TRIM(_xlfn.XLOOKUP($A101,Строчный!$A:$A,Строчный!E:E,"ERR",0)))</f>
        <v>Capslab-Dragon Ball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CAPSLAB</v>
      </c>
      <c r="H101" s="81" t="str">
        <f ca="1">LOWER(TRIM(_xlfn.XLOOKUP($A101,Строчный!$A:$A,Строчный!H:H,"ERR",0)))</f>
        <v>black</v>
      </c>
      <c r="I101" s="81" t="str">
        <f ca="1">LOWER(TRIM(_xlfn.XLOOKUP($A101,Строчный!$A:$A,Строчный!I:I,"ERR",0)))</f>
        <v>черный</v>
      </c>
      <c r="J101" s="81" t="str">
        <f ca="1">SUBSTITUTE(LOWER(TRIM(_xlfn.XLOOKUP($A101,Строчный!$A:$A,Строчный!J:J,"ERR",0))),"подклад","Подклад")</f>
        <v>100% хлопок</v>
      </c>
      <c r="K101" s="81" t="str">
        <f ca="1">LOWER(TRIM(_xlfn.XLOOKUP($A101,Строчный!$A:$A,Строчный!K:K,"ERR",0)))</f>
        <v>хлопковые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>COMICS</v>
      </c>
      <c r="O101" s="102" t="str">
        <f ca="1">PROPER(TRIM(_xlfn.XLOOKUP($A101,Строчный!$A:$A,Строчный!P:P,"ERR",0)))</f>
        <v>Dragon Ball</v>
      </c>
      <c r="P101" s="81" t="str">
        <f ca="1">PROPER(TRIM(_xlfn.XLOOKUP($A101,Строчный!$A:$A,Строчный!R:R,"ERR",0)))</f>
        <v/>
      </c>
      <c r="Q101" s="90">
        <f ca="1">VALUE(_xlfn.XLOOKUP($A101,Строчный!$A:$A,Строчный!N:N,"ERR",0))</f>
        <v>1352</v>
      </c>
      <c r="R101" s="89" t="str">
        <f ca="1">_xlfn.XLOOKUP($G101,Фабрика!A:A,Фабрика!B:B,"ERR",0)</f>
        <v>TEXTISS S.A.S; Zone d' Activité de l'Etang, 26780 Chåteauneuf Du Rhöne, France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18</v>
      </c>
      <c r="U101" s="14" t="s">
        <v>265</v>
      </c>
      <c r="V101" s="101" t="str">
        <f t="shared" ca="1" si="8"/>
        <v>Бейсболка CAPSLAB арт. CL/DBZ5/1/GOK/F Dragon Ball Goku (черный)</v>
      </c>
      <c r="W101" s="100" t="str">
        <f t="shared" ca="1" si="9"/>
        <v>Бейсболка CAPSLAB арт. CL/DBZ5/1/GOK/F Dragon Ball Goku (черный) {black}</v>
      </c>
      <c r="X101" s="18" t="str">
        <f t="shared" ca="1" si="10"/>
        <v>черный</v>
      </c>
      <c r="Y101" s="18" t="str">
        <f t="shared" ca="1" si="11"/>
        <v>черный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черный</v>
      </c>
      <c r="AA101" s="73" t="str">
        <f ca="1"/>
        <v>88-107-09-00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09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1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str">
        <f ca="1">IF(VLOOKUP(W101,Товары!A:B,2,FALSE)=A101,"Есть в 1С","ERR")</f>
        <v>Есть в 1С</v>
      </c>
      <c r="AU101" s="65" t="str">
        <f ca="1">IF(VLOOKUP(A101,Товары!B:B,1,FALSE)=A101,"Есть в 1С","ERR")</f>
        <v>Есть в 1С</v>
      </c>
      <c r="AV101" s="96" t="str">
        <f ca="1">VLOOKUP(W101,Товары!A:B,2,FALSE)</f>
        <v>88-107-09</v>
      </c>
      <c r="AW101" s="94" t="str">
        <f ca="1">VLOOKUP(W101,Товары!A:B,1,FALSE)</f>
        <v>Бейсболка CAPSLAB арт. CL/DBZ5/1/GOK/F Dragon Ball Goku (черный) {black}</v>
      </c>
    </row>
    <row r="102" spans="1:49" x14ac:dyDescent="0.25">
      <c r="A102" s="110" t="str">
        <f t="shared" ca="1" si="7"/>
        <v>88-077-26</v>
      </c>
      <c r="B102" s="107" t="str">
        <f ca="1">_xlfn.LET(_xlpm.CAPS,0,_xlpm.Style,TRIM(_xlfn.XLOOKUP($A102,Строчный!$A:$A,Строчный!B:B,"ERR",0)),IF(_xlpm.CAPS=0,_xlpm.Style,UPPER(_xlpm.Style)))</f>
        <v>CL/DBZ2/1/TRK1 Dragon Ball Trunks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 с сеточкой</v>
      </c>
      <c r="E102" s="81" t="str">
        <f ca="1">PROPER(TRIM(_xlfn.XLOOKUP($A102,Строчный!$A:$A,Строчный!E:E,"ERR",0)))</f>
        <v>Capslab-Dragon Ball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CAPSLAB</v>
      </c>
      <c r="H102" s="81" t="str">
        <f ca="1">LOWER(TRIM(_xlfn.XLOOKUP($A102,Строчный!$A:$A,Строчный!H:H,"ERR",0)))</f>
        <v>blue</v>
      </c>
      <c r="I102" s="81" t="str">
        <f ca="1">LOWER(TRIM(_xlfn.XLOOKUP($A102,Строчный!$A:$A,Строчный!I:I,"ERR",0)))</f>
        <v>серо-синий</v>
      </c>
      <c r="J102" s="81" t="str">
        <f ca="1">SUBSTITUTE(LOWER(TRIM(_xlfn.XLOOKUP($A102,Строчный!$A:$A,Строчный!J:J,"ERR",0))),"подклад","Подклад")</f>
        <v>50% хлопок - 50% полиэстер</v>
      </c>
      <c r="K102" s="81" t="str">
        <f ca="1">LOWER(TRIM(_xlfn.XLOOKUP($A102,Строчный!$A:$A,Строчный!K:K,"ERR",0)))</f>
        <v>хлопковые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>COMICS</v>
      </c>
      <c r="O102" s="102" t="str">
        <f ca="1">PROPER(TRIM(_xlfn.XLOOKUP($A102,Строчный!$A:$A,Строчный!P:P,"ERR",0)))</f>
        <v>Dragon Ball</v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1352</v>
      </c>
      <c r="R102" s="89" t="str">
        <f ca="1">_xlfn.XLOOKUP($G102,Фабрика!A:A,Фабрика!B:B,"ERR",0)</f>
        <v>TEXTISS S.A.S; Zone d' Activité de l'Etang, 26780 Chåteauneuf Du Rhöne, France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6</v>
      </c>
      <c r="U102" s="14" t="s">
        <v>265</v>
      </c>
      <c r="V102" s="101" t="str">
        <f t="shared" ca="1" si="8"/>
        <v>Бейсболка CAPSLAB арт. CL/DBZ2/1/TRK1 Dragon Ball Trunks (серо-синий)</v>
      </c>
      <c r="W102" s="100" t="str">
        <f t="shared" ca="1" si="9"/>
        <v>Бейсболка CAPSLAB арт. CL/DBZ2/1/TRK1 Dragon Ball Trunks (серо-синий) {blue}</v>
      </c>
      <c r="X102" s="18" t="str">
        <f t="shared" ca="1" si="10"/>
        <v>синий</v>
      </c>
      <c r="Y102" s="18" t="str">
        <f t="shared" ca="1" si="11"/>
        <v>синий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синий</v>
      </c>
      <c r="AA102" s="73" t="str">
        <f ca="1"/>
        <v>88-077-26-00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26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1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str">
        <f ca="1">IF(VLOOKUP(W102,Товары!A:B,2,FALSE)=A102,"Есть в 1С","ERR")</f>
        <v>Есть в 1С</v>
      </c>
      <c r="AU102" s="65" t="str">
        <f ca="1">IF(VLOOKUP(A102,Товары!B:B,1,FALSE)=A102,"Есть в 1С","ERR")</f>
        <v>Есть в 1С</v>
      </c>
      <c r="AV102" s="96" t="str">
        <f ca="1">VLOOKUP(W102,Товары!A:B,2,FALSE)</f>
        <v>88-077-26</v>
      </c>
      <c r="AW102" s="94" t="str">
        <f ca="1">VLOOKUP(W102,Товары!A:B,1,FALSE)</f>
        <v>Бейсболка CAPSLAB арт. CL/DBZ2/1/TRK1 Dragon Ball Trunks (серо-синий) {blue}</v>
      </c>
    </row>
    <row r="103" spans="1:49" x14ac:dyDescent="0.25">
      <c r="A103" s="110" t="str">
        <f t="shared" ca="1" si="7"/>
        <v>88-071-17</v>
      </c>
      <c r="B103" s="107" t="str">
        <f ca="1">_xlfn.LET(_xlpm.CAPS,0,_xlpm.Style,TRIM(_xlfn.XLOOKUP($A103,Строчный!$A:$A,Строчный!B:B,"ERR",0)),IF(_xlpm.CAPS=0,_xlpm.Style,UPPER(_xlpm.Style)))</f>
        <v>CL/DBZ2/1/KAM7 Dragon Ball Kame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 с сеточкой</v>
      </c>
      <c r="E103" s="81" t="str">
        <f ca="1">PROPER(TRIM(_xlfn.XLOOKUP($A103,Строчный!$A:$A,Строчный!E:E,"ERR",0)))</f>
        <v>Capslab-Dragon Ball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CAPSLAB</v>
      </c>
      <c r="H103" s="81" t="str">
        <f ca="1">LOWER(TRIM(_xlfn.XLOOKUP($A103,Строчный!$A:$A,Строчный!H:H,"ERR",0)))</f>
        <v>white</v>
      </c>
      <c r="I103" s="81" t="str">
        <f ca="1">LOWER(TRIM(_xlfn.XLOOKUP($A103,Строчный!$A:$A,Строчный!I:I,"ERR",0)))</f>
        <v>белый / бордовый</v>
      </c>
      <c r="J103" s="81" t="str">
        <f ca="1">SUBSTITUTE(LOWER(TRIM(_xlfn.XLOOKUP($A103,Строчный!$A:$A,Строчный!J:J,"ERR",0))),"подклад","Подклад")</f>
        <v>50% хлопок - 50% полиэстер</v>
      </c>
      <c r="K103" s="81" t="str">
        <f ca="1">LOWER(TRIM(_xlfn.XLOOKUP($A103,Строчный!$A:$A,Строчный!K:K,"ERR",0)))</f>
        <v>хлопковые</v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>COMICS</v>
      </c>
      <c r="O103" s="102" t="str">
        <f ca="1">PROPER(TRIM(_xlfn.XLOOKUP($A103,Строчный!$A:$A,Строчный!P:P,"ERR",0)))</f>
        <v>Dragon Ball</v>
      </c>
      <c r="P103" s="81" t="str">
        <f ca="1">PROPER(TRIM(_xlfn.XLOOKUP($A103,Строчный!$A:$A,Строчный!R:R,"ERR",0)))</f>
        <v/>
      </c>
      <c r="Q103" s="90">
        <f ca="1">VALUE(_xlfn.XLOOKUP($A103,Строчный!$A:$A,Строчный!N:N,"ERR",0))</f>
        <v>1352</v>
      </c>
      <c r="R103" s="89" t="str">
        <f ca="1">_xlfn.XLOOKUP($G103,Фабрика!A:A,Фабрика!B:B,"ERR",0)</f>
        <v>TEXTISS S.A.S; Zone d' Activité de l'Etang, 26780 Chåteauneuf Du Rhöne, France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6</v>
      </c>
      <c r="U103" s="14" t="s">
        <v>265</v>
      </c>
      <c r="V103" s="101" t="str">
        <f t="shared" ca="1" si="8"/>
        <v>Бейсболка CAPSLAB арт. CL/DBZ2/1/KAM7 Dragon Ball Kame (белый / бордовый)</v>
      </c>
      <c r="W103" s="100" t="str">
        <f t="shared" ca="1" si="9"/>
        <v>Бейсболка CAPSLAB арт. CL/DBZ2/1/KAM7 Dragon Ball Kame (белый / бордовый) {white}</v>
      </c>
      <c r="X103" s="18" t="str">
        <f t="shared" ca="1" si="10"/>
        <v>белый</v>
      </c>
      <c r="Y103" s="18" t="str">
        <f t="shared" ca="1" si="11"/>
        <v>бордовый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белый</v>
      </c>
      <c r="AA103" s="73" t="str">
        <f ca="1"/>
        <v>88-071-17-00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17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1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str">
        <f ca="1">IF(VLOOKUP(W103,Товары!A:B,2,FALSE)=A103,"Есть в 1С","ERR")</f>
        <v>Есть в 1С</v>
      </c>
      <c r="AU103" s="65" t="str">
        <f ca="1">IF(VLOOKUP(A103,Товары!B:B,1,FALSE)=A103,"Есть в 1С","ERR")</f>
        <v>Есть в 1С</v>
      </c>
      <c r="AV103" s="96" t="str">
        <f ca="1">VLOOKUP(W103,Товары!A:B,2,FALSE)</f>
        <v>88-071-17</v>
      </c>
      <c r="AW103" s="94" t="str">
        <f ca="1">VLOOKUP(W103,Товары!A:B,1,FALSE)</f>
        <v>Бейсболка CAPSLAB арт. CL/DBZ2/1/KAM7 Dragon Ball Kame (белый / бордовый) {white}</v>
      </c>
    </row>
    <row r="104" spans="1:49" x14ac:dyDescent="0.25">
      <c r="A104" s="110" t="str">
        <f t="shared" ca="1" si="7"/>
        <v>88-062-09</v>
      </c>
      <c r="B104" s="107" t="str">
        <f ca="1">_xlfn.LET(_xlpm.CAPS,0,_xlpm.Style,TRIM(_xlfn.XLOOKUP($A104,Строчный!$A:$A,Строчный!B:B,"ERR",0)),IF(_xlpm.CAPS=0,_xlpm.Style,UPPER(_xlpm.Style)))</f>
        <v>CL/DBZ/TAG/1/KAM Dragon Ball Kame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</v>
      </c>
      <c r="E104" s="81" t="str">
        <f ca="1">PROPER(TRIM(_xlfn.XLOOKUP($A104,Строчный!$A:$A,Строчный!E:E,"ERR",0)))</f>
        <v>Capslab-Dragon Ball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CAPSLAB</v>
      </c>
      <c r="H104" s="81" t="str">
        <f ca="1">LOWER(TRIM(_xlfn.XLOOKUP($A104,Строчный!$A:$A,Строчный!H:H,"ERR",0)))</f>
        <v>black</v>
      </c>
      <c r="I104" s="81" t="str">
        <f ca="1">LOWER(TRIM(_xlfn.XLOOKUP($A104,Строчный!$A:$A,Строчный!I:I,"ERR",0)))</f>
        <v>черный</v>
      </c>
      <c r="J104" s="81" t="str">
        <f ca="1">SUBSTITUTE(LOWER(TRIM(_xlfn.XLOOKUP($A104,Строчный!$A:$A,Строчный!J:J,"ERR",0))),"подклад","Подклад")</f>
        <v>100% полиэстер</v>
      </c>
      <c r="K104" s="81" t="str">
        <f ca="1">LOWER(TRIM(_xlfn.XLOOKUP($A104,Строчный!$A:$A,Строчный!K:K,"ERR",0)))</f>
        <v/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>COMICS</v>
      </c>
      <c r="O104" s="102" t="str">
        <f ca="1">PROPER(TRIM(_xlfn.XLOOKUP($A104,Строчный!$A:$A,Строчный!P:P,"ERR",0)))</f>
        <v>Dragon Ball</v>
      </c>
      <c r="P104" s="81" t="str">
        <f ca="1">PROPER(TRIM(_xlfn.XLOOKUP($A104,Строчный!$A:$A,Строчный!R:R,"ERR",0)))</f>
        <v/>
      </c>
      <c r="Q104" s="90">
        <f ca="1">VALUE(_xlfn.XLOOKUP($A104,Строчный!$A:$A,Строчный!N:N,"ERR",0))</f>
        <v>1352</v>
      </c>
      <c r="R104" s="89" t="str">
        <f ca="1">_xlfn.XLOOKUP($G104,Фабрика!A:A,Фабрика!B:B,"ERR",0)</f>
        <v>TEXTISS S.A.S; Zone d' Activité de l'Etang, 26780 Chåteauneuf Du Rhöne, France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6</v>
      </c>
      <c r="U104" s="14" t="s">
        <v>265</v>
      </c>
      <c r="V104" s="101" t="str">
        <f t="shared" ca="1" si="8"/>
        <v>Бейсболка CAPSLAB арт. CL/DBZ/TAG/1/KAM Dragon Ball Kame (черный)</v>
      </c>
      <c r="W104" s="100" t="str">
        <f t="shared" ca="1" si="9"/>
        <v>Бейсболка CAPSLAB арт. CL/DBZ/TAG/1/KAM Dragon Ball Kame (черный) {black}</v>
      </c>
      <c r="X104" s="18" t="str">
        <f t="shared" ca="1" si="10"/>
        <v>черный</v>
      </c>
      <c r="Y104" s="18" t="str">
        <f t="shared" ca="1" si="11"/>
        <v>черный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черный</v>
      </c>
      <c r="AA104" s="73" t="str">
        <f ca="1"/>
        <v>88-062-09-00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09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1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0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str">
        <f ca="1">IF(VLOOKUP(W104,Товары!A:B,2,FALSE)=A104,"Есть в 1С","ERR")</f>
        <v>Есть в 1С</v>
      </c>
      <c r="AU104" s="65" t="str">
        <f ca="1">IF(VLOOKUP(A104,Товары!B:B,1,FALSE)=A104,"Есть в 1С","ERR")</f>
        <v>Есть в 1С</v>
      </c>
      <c r="AV104" s="96" t="str">
        <f ca="1">VLOOKUP(W104,Товары!A:B,2,FALSE)</f>
        <v>88-062-09</v>
      </c>
      <c r="AW104" s="94" t="str">
        <f ca="1">VLOOKUP(W104,Товары!A:B,1,FALSE)</f>
        <v>Бейсболка CAPSLAB арт. CL/DBZ/TAG/1/KAM Dragon Ball Kame (черный) {black}</v>
      </c>
    </row>
    <row r="105" spans="1:49" x14ac:dyDescent="0.25">
      <c r="A105" s="110" t="str">
        <f t="shared" ca="1" si="7"/>
        <v>88-061-09</v>
      </c>
      <c r="B105" s="107" t="str">
        <f ca="1">_xlfn.LET(_xlpm.CAPS,0,_xlpm.Style,TRIM(_xlfn.XLOOKUP($A105,Строчный!$A:$A,Строчный!B:B,"ERR",0)),IF(_xlpm.CAPS=0,_xlpm.Style,UPPER(_xlpm.Style)))</f>
        <v>CL/DBZ/TAG/1/GOK Dragon Ball Goku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</v>
      </c>
      <c r="E105" s="81" t="str">
        <f ca="1">PROPER(TRIM(_xlfn.XLOOKUP($A105,Строчный!$A:$A,Строчный!E:E,"ERR",0)))</f>
        <v>Capslab-Dragon Ball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CAPSLAB</v>
      </c>
      <c r="H105" s="81" t="str">
        <f ca="1">LOWER(TRIM(_xlfn.XLOOKUP($A105,Строчный!$A:$A,Строчный!H:H,"ERR",0)))</f>
        <v>black</v>
      </c>
      <c r="I105" s="81" t="str">
        <f ca="1">LOWER(TRIM(_xlfn.XLOOKUP($A105,Строчный!$A:$A,Строчный!I:I,"ERR",0)))</f>
        <v>черный</v>
      </c>
      <c r="J105" s="81" t="str">
        <f ca="1">SUBSTITUTE(LOWER(TRIM(_xlfn.XLOOKUP($A105,Строчный!$A:$A,Строчный!J:J,"ERR",0))),"подклад","Подклад")</f>
        <v>100% полиэстер</v>
      </c>
      <c r="K105" s="81" t="str">
        <f ca="1">LOWER(TRIM(_xlfn.XLOOKUP($A105,Строчный!$A:$A,Строчный!K:K,"ERR",0)))</f>
        <v/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>COMICS</v>
      </c>
      <c r="O105" s="102" t="str">
        <f ca="1">PROPER(TRIM(_xlfn.XLOOKUP($A105,Строчный!$A:$A,Строчный!P:P,"ERR",0)))</f>
        <v>Dragon Ball</v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1352</v>
      </c>
      <c r="R105" s="89" t="str">
        <f ca="1">_xlfn.XLOOKUP($G105,Фабрика!A:A,Фабрика!B:B,"ERR",0)</f>
        <v>TEXTISS S.A.S; Zone d' Activité de l'Etang, 26780 Chåteauneuf Du Rhöne, France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12</v>
      </c>
      <c r="U105" s="14" t="s">
        <v>265</v>
      </c>
      <c r="V105" s="101" t="str">
        <f t="shared" ca="1" si="8"/>
        <v>Бейсболка CAPSLAB арт. CL/DBZ/TAG/1/GOK Dragon Ball Goku (черный)</v>
      </c>
      <c r="W105" s="100" t="str">
        <f t="shared" ca="1" si="9"/>
        <v>Бейсболка CAPSLAB арт. CL/DBZ/TAG/1/GOK Dragon Ball Goku (черный) {black}</v>
      </c>
      <c r="X105" s="18" t="str">
        <f t="shared" ca="1" si="10"/>
        <v>черный</v>
      </c>
      <c r="Y105" s="18" t="str">
        <f t="shared" ca="1" si="11"/>
        <v>черный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черный</v>
      </c>
      <c r="AA105" s="73" t="str">
        <f ca="1"/>
        <v>88-061-09-00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09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1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0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str">
        <f ca="1">IF(VLOOKUP(W105,Товары!A:B,2,FALSE)=A105,"Есть в 1С","ERR")</f>
        <v>Есть в 1С</v>
      </c>
      <c r="AU105" s="65" t="str">
        <f ca="1">IF(VLOOKUP(A105,Товары!B:B,1,FALSE)=A105,"Есть в 1С","ERR")</f>
        <v>Есть в 1С</v>
      </c>
      <c r="AV105" s="96" t="str">
        <f ca="1">VLOOKUP(W105,Товары!A:B,2,FALSE)</f>
        <v>88-061-09</v>
      </c>
      <c r="AW105" s="94" t="str">
        <f ca="1">VLOOKUP(W105,Товары!A:B,1,FALSE)</f>
        <v>Бейсболка CAPSLAB арт. CL/DBZ/TAG/1/GOK Dragon Ball Goku (черный) {black}</v>
      </c>
    </row>
    <row r="106" spans="1:49" x14ac:dyDescent="0.25">
      <c r="A106" s="110" t="str">
        <f t="shared" ca="1" si="7"/>
        <v>88-057-09</v>
      </c>
      <c r="B106" s="107" t="str">
        <f ca="1">_xlfn.LET(_xlpm.CAPS,0,_xlpm.Style,TRIM(_xlfn.XLOOKUP($A106,Строчный!$A:$A,Строчный!B:B,"ERR",0)),IF(_xlpm.CAPS=0,_xlpm.Style,UPPER(_xlpm.Style)))</f>
        <v>CL/DBZ/3/KAMC Junior Dragon Ball Kame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сеточкой</v>
      </c>
      <c r="E106" s="81" t="str">
        <f ca="1">PROPER(TRIM(_xlfn.XLOOKUP($A106,Строчный!$A:$A,Строчный!E:E,"ERR",0)))</f>
        <v>Capslab-Dragon Ball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CAPSLAB</v>
      </c>
      <c r="H106" s="81" t="str">
        <f ca="1">LOWER(TRIM(_xlfn.XLOOKUP($A106,Строчный!$A:$A,Строчный!H:H,"ERR",0)))</f>
        <v>black</v>
      </c>
      <c r="I106" s="81" t="str">
        <f ca="1">LOWER(TRIM(_xlfn.XLOOKUP($A106,Строчный!$A:$A,Строчный!I:I,"ERR",0)))</f>
        <v>черный</v>
      </c>
      <c r="J106" s="81" t="str">
        <f ca="1">SUBSTITUTE(LOWER(TRIM(_xlfn.XLOOKUP($A106,Строчный!$A:$A,Строчный!J:J,"ERR",0))),"подклад","Подклад")</f>
        <v>50% хлопок - 50% полиэстер</v>
      </c>
      <c r="K106" s="81" t="str">
        <f ca="1">LOWER(TRIM(_xlfn.XLOOKUP($A106,Строчный!$A:$A,Строчный!K:K,"ERR",0)))</f>
        <v>хлопковые</v>
      </c>
      <c r="L106" s="81" t="str">
        <f ca="1">PROPER(TRIM(_xlfn.XLOOKUP($A106,Строчный!$A:$A,Строчный!L:L,"ERR",0)))</f>
        <v>Детские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>COMICS</v>
      </c>
      <c r="O106" s="102" t="str">
        <f ca="1">PROPER(TRIM(_xlfn.XLOOKUP($A106,Строчный!$A:$A,Строчный!P:P,"ERR",0)))</f>
        <v>Dragon Ball</v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1352</v>
      </c>
      <c r="R106" s="89" t="str">
        <f ca="1">_xlfn.XLOOKUP($G106,Фабрика!A:A,Фабрика!B:B,"ERR",0)</f>
        <v>TEXTISS S.A.S; Zone d' Activité de l'Etang, 26780 Chåteauneuf Du Rhöne, France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12</v>
      </c>
      <c r="U106" s="14" t="s">
        <v>265</v>
      </c>
      <c r="V106" s="101" t="str">
        <f t="shared" ca="1" si="8"/>
        <v>Бейсболка CAPSLAB арт. CL/DBZ/3/KAMC Junior Dragon Ball Kame (черный)</v>
      </c>
      <c r="W106" s="100" t="str">
        <f t="shared" ca="1" si="9"/>
        <v>Бейсболка CAPSLAB арт. CL/DBZ/3/KAMC Junior Dragon Ball Kame (черный) {black}</v>
      </c>
      <c r="X106" s="18" t="str">
        <f t="shared" ca="1" si="10"/>
        <v>черный</v>
      </c>
      <c r="Y106" s="18" t="str">
        <f t="shared" ca="1" si="11"/>
        <v>черный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черный</v>
      </c>
      <c r="AA106" s="73" t="str">
        <f ca="1"/>
        <v>88-057-09-00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09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1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str">
        <f ca="1">IF(VLOOKUP(W106,Товары!A:B,2,FALSE)=A106,"Есть в 1С","ERR")</f>
        <v>Есть в 1С</v>
      </c>
      <c r="AU106" s="65" t="str">
        <f ca="1">IF(VLOOKUP(A106,Товары!B:B,1,FALSE)=A106,"Есть в 1С","ERR")</f>
        <v>Есть в 1С</v>
      </c>
      <c r="AV106" s="96" t="str">
        <f ca="1">VLOOKUP(W106,Товары!A:B,2,FALSE)</f>
        <v>88-057-09</v>
      </c>
      <c r="AW106" s="94" t="str">
        <f ca="1">VLOOKUP(W106,Товары!A:B,1,FALSE)</f>
        <v>Бейсболка CAPSLAB арт. CL/DBZ/3/KAMC Junior Dragon Ball Kame (черный) {black}</v>
      </c>
    </row>
    <row r="107" spans="1:49" x14ac:dyDescent="0.25">
      <c r="A107" s="110" t="str">
        <f t="shared" ca="1" si="7"/>
        <v>88-029-19</v>
      </c>
      <c r="B107" s="107" t="str">
        <f ca="1">_xlfn.LET(_xlpm.CAPS,0,_xlpm.Style,TRIM(_xlfn.XLOOKUP($A107,Строчный!$A:$A,Строчный!B:B,"ERR",0)),IF(_xlpm.CAPS=0,_xlpm.Style,UPPER(_xlpm.Style)))</f>
        <v>CL/DB1/1/HOU3 Dragon Ball Kame House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сеточкой</v>
      </c>
      <c r="E107" s="81" t="str">
        <f ca="1">PROPER(TRIM(_xlfn.XLOOKUP($A107,Строчный!$A:$A,Строчный!E:E,"ERR",0)))</f>
        <v>Capslab-Dragon Ball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CAPSLAB</v>
      </c>
      <c r="H107" s="81" t="str">
        <f ca="1">LOWER(TRIM(_xlfn.XLOOKUP($A107,Строчный!$A:$A,Строчный!H:H,"ERR",0)))</f>
        <v>blue</v>
      </c>
      <c r="I107" s="81" t="str">
        <f ca="1">LOWER(TRIM(_xlfn.XLOOKUP($A107,Строчный!$A:$A,Строчный!I:I,"ERR",0)))</f>
        <v>голубой</v>
      </c>
      <c r="J107" s="81" t="str">
        <f ca="1">SUBSTITUTE(LOWER(TRIM(_xlfn.XLOOKUP($A107,Строчный!$A:$A,Строчный!J:J,"ERR",0))),"подклад","Подклад")</f>
        <v>50% хлопок - 50% полиэстер</v>
      </c>
      <c r="K107" s="81" t="str">
        <f ca="1">LOWER(TRIM(_xlfn.XLOOKUP($A107,Строчный!$A:$A,Строчный!K:K,"ERR",0)))</f>
        <v>хлопковые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>COMICS</v>
      </c>
      <c r="O107" s="102" t="str">
        <f ca="1">PROPER(TRIM(_xlfn.XLOOKUP($A107,Строчный!$A:$A,Строчный!P:P,"ERR",0)))</f>
        <v>Dragon Ball</v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1352</v>
      </c>
      <c r="R107" s="89" t="str">
        <f ca="1">_xlfn.XLOOKUP($G107,Фабрика!A:A,Фабрика!B:B,"ERR",0)</f>
        <v>TEXTISS S.A.S; Zone d' Activité de l'Etang, 26780 Chåteauneuf Du Rhöne, France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24</v>
      </c>
      <c r="U107" s="14" t="s">
        <v>265</v>
      </c>
      <c r="V107" s="101" t="str">
        <f t="shared" ca="1" si="8"/>
        <v>Бейсболка CAPSLAB арт. CL/DB1/1/HOU3 Dragon Ball Kame House (голубой)</v>
      </c>
      <c r="W107" s="100" t="str">
        <f t="shared" ca="1" si="9"/>
        <v>Бейсболка CAPSLAB арт. CL/DB1/1/HOU3 Dragon Ball Kame House (голубой) {blue}</v>
      </c>
      <c r="X107" s="18" t="str">
        <f t="shared" ca="1" si="10"/>
        <v>голубой</v>
      </c>
      <c r="Y107" s="18" t="str">
        <f t="shared" ca="1" si="11"/>
        <v>голубой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голубой</v>
      </c>
      <c r="AA107" s="73" t="str">
        <f ca="1"/>
        <v>88-029-19-00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19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1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1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str">
        <f ca="1">IF(VLOOKUP(W107,Товары!A:B,2,FALSE)=A107,"Есть в 1С","ERR")</f>
        <v>Есть в 1С</v>
      </c>
      <c r="AU107" s="65" t="str">
        <f ca="1">IF(VLOOKUP(A107,Товары!B:B,1,FALSE)=A107,"Есть в 1С","ERR")</f>
        <v>Есть в 1С</v>
      </c>
      <c r="AV107" s="96" t="str">
        <f ca="1">VLOOKUP(W107,Товары!A:B,2,FALSE)</f>
        <v>88-029-19</v>
      </c>
      <c r="AW107" s="94" t="str">
        <f ca="1">VLOOKUP(W107,Товары!A:B,1,FALSE)</f>
        <v>Бейсболка CAPSLAB арт. CL/DB1/1/HOU3 Dragon Ball Kame House (голубой) {blue}</v>
      </c>
    </row>
    <row r="108" spans="1:49" x14ac:dyDescent="0.25">
      <c r="A108" s="110" t="str">
        <f t="shared" ca="1" si="7"/>
        <v>88-028-46</v>
      </c>
      <c r="B108" s="107" t="str">
        <f ca="1">_xlfn.LET(_xlpm.CAPS,0,_xlpm.Style,TRIM(_xlfn.XLOOKUP($A108,Строчный!$A:$A,Строчный!B:B,"ERR",0)),IF(_xlpm.CAPS=0,_xlpm.Style,UPPER(_xlpm.Style)))</f>
        <v>CL/DB1/1/HOU2 Dragon Ball Kame House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сеточкой</v>
      </c>
      <c r="E108" s="81" t="str">
        <f ca="1">PROPER(TRIM(_xlfn.XLOOKUP($A108,Строчный!$A:$A,Строчный!E:E,"ERR",0)))</f>
        <v>Capslab-Dragon Ball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CAPSLAB</v>
      </c>
      <c r="H108" s="81" t="str">
        <f ca="1">LOWER(TRIM(_xlfn.XLOOKUP($A108,Строчный!$A:$A,Строчный!H:H,"ERR",0)))</f>
        <v>white</v>
      </c>
      <c r="I108" s="81" t="str">
        <f ca="1">LOWER(TRIM(_xlfn.XLOOKUP($A108,Строчный!$A:$A,Строчный!I:I,"ERR",0)))</f>
        <v>белый / голубой</v>
      </c>
      <c r="J108" s="81" t="str">
        <f ca="1">SUBSTITUTE(LOWER(TRIM(_xlfn.XLOOKUP($A108,Строчный!$A:$A,Строчный!J:J,"ERR",0))),"подклад","Подклад")</f>
        <v>50% хлопок - 50% полиэстер</v>
      </c>
      <c r="K108" s="81" t="str">
        <f ca="1">LOWER(TRIM(_xlfn.XLOOKUP($A108,Строчный!$A:$A,Строчный!K:K,"ERR",0)))</f>
        <v>хлопковые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>COMICS</v>
      </c>
      <c r="O108" s="102" t="str">
        <f ca="1">PROPER(TRIM(_xlfn.XLOOKUP($A108,Строчный!$A:$A,Строчный!P:P,"ERR",0)))</f>
        <v>Dragon Ball</v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1352</v>
      </c>
      <c r="R108" s="89" t="str">
        <f ca="1">_xlfn.XLOOKUP($G108,Фабрика!A:A,Фабрика!B:B,"ERR",0)</f>
        <v>TEXTISS S.A.S; Zone d' Activité de l'Etang, 26780 Chåteauneuf Du Rhöne, France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24</v>
      </c>
      <c r="U108" s="14" t="s">
        <v>265</v>
      </c>
      <c r="V108" s="101" t="str">
        <f t="shared" ca="1" si="8"/>
        <v>Бейсболка CAPSLAB арт. CL/DB1/1/HOU2 Dragon Ball Kame House (белый / голубой)</v>
      </c>
      <c r="W108" s="100" t="str">
        <f t="shared" ca="1" si="9"/>
        <v>Бейсболка CAPSLAB арт. CL/DB1/1/HOU2 Dragon Ball Kame House (белый / голубой) {white}</v>
      </c>
      <c r="X108" s="18" t="str">
        <f t="shared" ca="1" si="10"/>
        <v>белый</v>
      </c>
      <c r="Y108" s="18" t="str">
        <f t="shared" ca="1" si="11"/>
        <v>голубой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белый</v>
      </c>
      <c r="AA108" s="73" t="str">
        <f ca="1"/>
        <v>88-028-46-00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46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1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1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str">
        <f ca="1">IF(VLOOKUP(W108,Товары!A:B,2,FALSE)=A108,"Есть в 1С","ERR")</f>
        <v>Есть в 1С</v>
      </c>
      <c r="AU108" s="65" t="str">
        <f ca="1">IF(VLOOKUP(A108,Товары!B:B,1,FALSE)=A108,"Есть в 1С","ERR")</f>
        <v>Есть в 1С</v>
      </c>
      <c r="AV108" s="96" t="str">
        <f ca="1">VLOOKUP(W108,Товары!A:B,2,FALSE)</f>
        <v>88-028-46</v>
      </c>
      <c r="AW108" s="94" t="str">
        <f ca="1">VLOOKUP(W108,Товары!A:B,1,FALSE)</f>
        <v>Бейсболка CAPSLAB арт. CL/DB1/1/HOU2 Dragon Ball Kame House (белый / голубой) {white}</v>
      </c>
    </row>
    <row r="109" spans="1:49" x14ac:dyDescent="0.25">
      <c r="A109" s="110" t="str">
        <f t="shared" ca="1" si="7"/>
        <v>88-019-78</v>
      </c>
      <c r="B109" s="107" t="str">
        <f ca="1">_xlfn.LET(_xlpm.CAPS,0,_xlpm.Style,TRIM(_xlfn.XLOOKUP($A109,Строчный!$A:$A,Строчный!B:B,"ERR",0)),IF(_xlpm.CAPS=0,_xlpm.Style,UPPER(_xlpm.Style)))</f>
        <v>CL/DIS/TAG/1/MIC Disney Mickey Mouse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</v>
      </c>
      <c r="E109" s="81" t="str">
        <f ca="1">PROPER(TRIM(_xlfn.XLOOKUP($A109,Строчный!$A:$A,Строчный!E:E,"ERR",0)))</f>
        <v>Capslab-Disney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CAPSLAB</v>
      </c>
      <c r="H109" s="81" t="str">
        <f ca="1">LOWER(TRIM(_xlfn.XLOOKUP($A109,Строчный!$A:$A,Строчный!H:H,"ERR",0)))</f>
        <v>black</v>
      </c>
      <c r="I109" s="81" t="str">
        <f ca="1">LOWER(TRIM(_xlfn.XLOOKUP($A109,Строчный!$A:$A,Строчный!I:I,"ERR",0)))</f>
        <v>черный / синий</v>
      </c>
      <c r="J109" s="81" t="str">
        <f ca="1">SUBSTITUTE(LOWER(TRIM(_xlfn.XLOOKUP($A109,Строчный!$A:$A,Строчный!J:J,"ERR",0))),"подклад","Подклад")</f>
        <v>100% полиэстер</v>
      </c>
      <c r="K109" s="81" t="str">
        <f ca="1">LOWER(TRIM(_xlfn.XLOOKUP($A109,Строчный!$A:$A,Строчный!K:K,"ERR",0)))</f>
        <v>хлопковые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>COMICS</v>
      </c>
      <c r="O109" s="102" t="str">
        <f ca="1">PROPER(TRIM(_xlfn.XLOOKUP($A109,Строчный!$A:$A,Строчный!P:P,"ERR",0)))</f>
        <v>Disney</v>
      </c>
      <c r="P109" s="81" t="str">
        <f ca="1">PROPER(TRIM(_xlfn.XLOOKUP($A109,Строчный!$A:$A,Строчный!R:R,"ERR",0)))</f>
        <v/>
      </c>
      <c r="Q109" s="90">
        <f ca="1">VALUE(_xlfn.XLOOKUP($A109,Строчный!$A:$A,Строчный!N:N,"ERR",0))</f>
        <v>1352</v>
      </c>
      <c r="R109" s="89" t="str">
        <f ca="1">_xlfn.XLOOKUP($G109,Фабрика!A:A,Фабрика!B:B,"ERR",0)</f>
        <v>TEXTISS S.A.S; Zone d' Activité de l'Etang, 26780 Chåteauneuf Du Rhöne, France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6</v>
      </c>
      <c r="U109" s="14" t="s">
        <v>265</v>
      </c>
      <c r="V109" s="101" t="str">
        <f t="shared" ca="1" si="8"/>
        <v>Бейсболка CAPSLAB арт. CL/DIS/TAG/1/MIC Disney Mickey Mouse (черный / синий)</v>
      </c>
      <c r="W109" s="100" t="str">
        <f t="shared" ca="1" si="9"/>
        <v>Бейсболка CAPSLAB арт. CL/DIS/TAG/1/MIC Disney Mickey Mouse (черный / синий) {black}</v>
      </c>
      <c r="X109" s="18" t="str">
        <f t="shared" ca="1" si="10"/>
        <v>черный</v>
      </c>
      <c r="Y109" s="18" t="str">
        <f t="shared" ca="1" si="11"/>
        <v>синий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черный</v>
      </c>
      <c r="AA109" s="73" t="str">
        <f ca="1"/>
        <v>88-019-78-00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78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1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1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str">
        <f ca="1">IF(VLOOKUP(W109,Товары!A:B,2,FALSE)=A109,"Есть в 1С","ERR")</f>
        <v>Есть в 1С</v>
      </c>
      <c r="AU109" s="65" t="str">
        <f ca="1">IF(VLOOKUP(A109,Товары!B:B,1,FALSE)=A109,"Есть в 1С","ERR")</f>
        <v>Есть в 1С</v>
      </c>
      <c r="AV109" s="96" t="str">
        <f ca="1">VLOOKUP(W109,Товары!A:B,2,FALSE)</f>
        <v>88-019-78</v>
      </c>
      <c r="AW109" s="94" t="str">
        <f ca="1">VLOOKUP(W109,Товары!A:B,1,FALSE)</f>
        <v>Бейсболка CAPSLAB арт. CL/DIS/TAG/1/MIC Disney Mickey Mouse (черный / синий) {black}</v>
      </c>
    </row>
    <row r="110" spans="1:49" x14ac:dyDescent="0.25">
      <c r="A110" s="110" t="str">
        <f t="shared" ca="1" si="7"/>
        <v>88-018-17</v>
      </c>
      <c r="B110" s="107" t="str">
        <f ca="1">_xlfn.LET(_xlpm.CAPS,0,_xlpm.Style,TRIM(_xlfn.XLOOKUP($A110,Строчный!$A:$A,Строчный!B:B,"ERR",0)),IF(_xlpm.CAPS=0,_xlpm.Style,UPPER(_xlpm.Style)))</f>
        <v>CL/DIS/3/MIC4 Junior Disney Mickey Mouse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 с сеточкой</v>
      </c>
      <c r="E110" s="81" t="str">
        <f ca="1">PROPER(TRIM(_xlfn.XLOOKUP($A110,Строчный!$A:$A,Строчный!E:E,"ERR",0)))</f>
        <v>Capslab-Disney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CAPSLAB</v>
      </c>
      <c r="H110" s="81" t="str">
        <f ca="1">LOWER(TRIM(_xlfn.XLOOKUP($A110,Строчный!$A:$A,Строчный!H:H,"ERR",0)))</f>
        <v>white</v>
      </c>
      <c r="I110" s="81" t="str">
        <f ca="1">LOWER(TRIM(_xlfn.XLOOKUP($A110,Строчный!$A:$A,Строчный!I:I,"ERR",0)))</f>
        <v>белый / красный</v>
      </c>
      <c r="J110" s="81" t="str">
        <f ca="1">SUBSTITUTE(LOWER(TRIM(_xlfn.XLOOKUP($A110,Строчный!$A:$A,Строчный!J:J,"ERR",0))),"подклад","Подклад")</f>
        <v>50% хлопок - 50% полиэстер</v>
      </c>
      <c r="K110" s="81" t="str">
        <f ca="1">LOWER(TRIM(_xlfn.XLOOKUP($A110,Строчный!$A:$A,Строчный!K:K,"ERR",0)))</f>
        <v>хлопковые</v>
      </c>
      <c r="L110" s="81" t="str">
        <f ca="1">PROPER(TRIM(_xlfn.XLOOKUP($A110,Строчный!$A:$A,Строчный!L:L,"ERR",0)))</f>
        <v>Детские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>COMICS</v>
      </c>
      <c r="O110" s="102" t="str">
        <f ca="1">PROPER(TRIM(_xlfn.XLOOKUP($A110,Строчный!$A:$A,Строчный!P:P,"ERR",0)))</f>
        <v>Disney</v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1352</v>
      </c>
      <c r="R110" s="89" t="str">
        <f ca="1">_xlfn.XLOOKUP($G110,Фабрика!A:A,Фабрика!B:B,"ERR",0)</f>
        <v>TEXTISS S.A.S; Zone d' Activité de l'Etang, 26780 Chåteauneuf Du Rhöne, France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60</v>
      </c>
      <c r="U110" s="14" t="s">
        <v>265</v>
      </c>
      <c r="V110" s="101" t="str">
        <f t="shared" ca="1" si="8"/>
        <v>Бейсболка CAPSLAB арт. CL/DIS/3/MIC4 Junior Disney Mickey Mouse (белый / красный)</v>
      </c>
      <c r="W110" s="100" t="str">
        <f t="shared" ca="1" si="9"/>
        <v>Бейсболка CAPSLAB арт. CL/DIS/3/MIC4 Junior Disney Mickey Mouse (белый / красный) {white}</v>
      </c>
      <c r="X110" s="18" t="str">
        <f t="shared" ca="1" si="10"/>
        <v>белый</v>
      </c>
      <c r="Y110" s="18" t="str">
        <f t="shared" ca="1" si="11"/>
        <v>красный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белый</v>
      </c>
      <c r="AA110" s="73" t="str">
        <f ca="1"/>
        <v>88-018-17-00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45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1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1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str">
        <f ca="1">IF(VLOOKUP(W110,Товары!A:B,2,FALSE)=A110,"Есть в 1С","ERR")</f>
        <v>Есть в 1С</v>
      </c>
      <c r="AU110" s="65" t="str">
        <f ca="1">IF(VLOOKUP(A110,Товары!B:B,1,FALSE)=A110,"Есть в 1С","ERR")</f>
        <v>Есть в 1С</v>
      </c>
      <c r="AV110" s="96" t="str">
        <f ca="1">VLOOKUP(W110,Товары!A:B,2,FALSE)</f>
        <v>88-018-17</v>
      </c>
      <c r="AW110" s="94" t="str">
        <f ca="1">VLOOKUP(W110,Товары!A:B,1,FALSE)</f>
        <v>Бейсболка CAPSLAB арт. CL/DIS/3/MIC4 Junior Disney Mickey Mouse (белый / красный) {white}</v>
      </c>
    </row>
    <row r="111" spans="1:49" x14ac:dyDescent="0.25">
      <c r="A111" s="110" t="str">
        <f t="shared" ca="1" si="7"/>
        <v>88-015-09</v>
      </c>
      <c r="B111" s="107" t="str">
        <f ca="1">_xlfn.LET(_xlpm.CAPS,0,_xlpm.Style,TRIM(_xlfn.XLOOKUP($A111,Строчный!$A:$A,Строчный!B:B,"ERR",0)),IF(_xlpm.CAPS=0,_xlpm.Style,UPPER(_xlpm.Style)))</f>
        <v>CL/DIS/1/VIN2 Disney Mickey Mouse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 с сеточкой</v>
      </c>
      <c r="E111" s="81" t="str">
        <f ca="1">PROPER(TRIM(_xlfn.XLOOKUP($A111,Строчный!$A:$A,Строчный!E:E,"ERR",0)))</f>
        <v>Capslab-Disney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CAPSLAB</v>
      </c>
      <c r="H111" s="81" t="str">
        <f ca="1">LOWER(TRIM(_xlfn.XLOOKUP($A111,Строчный!$A:$A,Строчный!H:H,"ERR",0)))</f>
        <v>black</v>
      </c>
      <c r="I111" s="81" t="str">
        <f ca="1">LOWER(TRIM(_xlfn.XLOOKUP($A111,Строчный!$A:$A,Строчный!I:I,"ERR",0)))</f>
        <v>черный</v>
      </c>
      <c r="J111" s="81" t="str">
        <f ca="1">SUBSTITUTE(LOWER(TRIM(_xlfn.XLOOKUP($A111,Строчный!$A:$A,Строчный!J:J,"ERR",0))),"подклад","Подклад")</f>
        <v>50% хлопок - 50% полиэстер</v>
      </c>
      <c r="K111" s="81" t="str">
        <f ca="1">LOWER(TRIM(_xlfn.XLOOKUP($A111,Строчный!$A:$A,Строчный!K:K,"ERR",0)))</f>
        <v>хлопковые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>COMICS</v>
      </c>
      <c r="O111" s="102" t="str">
        <f ca="1">PROPER(TRIM(_xlfn.XLOOKUP($A111,Строчный!$A:$A,Строчный!P:P,"ERR",0)))</f>
        <v>Disney</v>
      </c>
      <c r="P111" s="81" t="str">
        <f ca="1">PROPER(TRIM(_xlfn.XLOOKUP($A111,Строчный!$A:$A,Строчный!R:R,"ERR",0)))</f>
        <v/>
      </c>
      <c r="Q111" s="90">
        <f ca="1">VALUE(_xlfn.XLOOKUP($A111,Строчный!$A:$A,Строчный!N:N,"ERR",0))</f>
        <v>1352</v>
      </c>
      <c r="R111" s="89" t="str">
        <f ca="1">_xlfn.XLOOKUP($G111,Фабрика!A:A,Фабрика!B:B,"ERR",0)</f>
        <v>TEXTISS S.A.S; Zone d' Activité de l'Etang, 26780 Chåteauneuf Du Rhöne, France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120</v>
      </c>
      <c r="U111" s="14" t="s">
        <v>265</v>
      </c>
      <c r="V111" s="101" t="str">
        <f t="shared" ca="1" si="8"/>
        <v>Бейсболка CAPSLAB арт. CL/DIS/1/VIN2 Disney Mickey Mouse (черный)</v>
      </c>
      <c r="W111" s="100" t="str">
        <f t="shared" ca="1" si="9"/>
        <v>Бейсболка CAPSLAB арт. CL/DIS/1/VIN2 Disney Mickey Mouse (черный) {black}</v>
      </c>
      <c r="X111" s="18" t="str">
        <f t="shared" ca="1" si="10"/>
        <v>черный</v>
      </c>
      <c r="Y111" s="18" t="str">
        <f t="shared" ca="1" si="11"/>
        <v>черный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черный</v>
      </c>
      <c r="AA111" s="73" t="str">
        <f ca="1"/>
        <v>88-015-09-00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09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1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1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str">
        <f ca="1">IF(VLOOKUP(W111,Товары!A:B,2,FALSE)=A111,"Есть в 1С","ERR")</f>
        <v>Есть в 1С</v>
      </c>
      <c r="AU111" s="65" t="str">
        <f ca="1">IF(VLOOKUP(A111,Товары!B:B,1,FALSE)=A111,"Есть в 1С","ERR")</f>
        <v>Есть в 1С</v>
      </c>
      <c r="AV111" s="96" t="str">
        <f ca="1">VLOOKUP(W111,Товары!A:B,2,FALSE)</f>
        <v>88-015-09</v>
      </c>
      <c r="AW111" s="94" t="str">
        <f ca="1">VLOOKUP(W111,Товары!A:B,1,FALSE)</f>
        <v>Бейсболка CAPSLAB арт. CL/DIS/1/VIN2 Disney Mickey Mouse (черный) {black}</v>
      </c>
    </row>
    <row r="112" spans="1:49" x14ac:dyDescent="0.25">
      <c r="A112" s="110" t="str">
        <f t="shared" ca="1" si="7"/>
        <v>88-013-13</v>
      </c>
      <c r="B112" s="107" t="str">
        <f ca="1">_xlfn.LET(_xlpm.CAPS,0,_xlpm.Style,TRIM(_xlfn.XLOOKUP($A112,Строчный!$A:$A,Строчный!B:B,"ERR",0)),IF(_xlpm.CAPS=0,_xlpm.Style,UPPER(_xlpm.Style)))</f>
        <v>CL/DIS/1/SCR1 Disney Scrooge McDuck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 с сеточкой</v>
      </c>
      <c r="E112" s="81" t="str">
        <f ca="1">PROPER(TRIM(_xlfn.XLOOKUP($A112,Строчный!$A:$A,Строчный!E:E,"ERR",0)))</f>
        <v>Capslab-Disney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CAPSLAB</v>
      </c>
      <c r="H112" s="81" t="str">
        <f ca="1">LOWER(TRIM(_xlfn.XLOOKUP($A112,Строчный!$A:$A,Строчный!H:H,"ERR",0)))</f>
        <v>orange</v>
      </c>
      <c r="I112" s="81" t="str">
        <f ca="1">LOWER(TRIM(_xlfn.XLOOKUP($A112,Строчный!$A:$A,Строчный!I:I,"ERR",0)))</f>
        <v>оранжевый / синий</v>
      </c>
      <c r="J112" s="81" t="str">
        <f ca="1">SUBSTITUTE(LOWER(TRIM(_xlfn.XLOOKUP($A112,Строчный!$A:$A,Строчный!J:J,"ERR",0))),"подклад","Подклад")</f>
        <v>50% хлопок - 50% полиэстер</v>
      </c>
      <c r="K112" s="81" t="str">
        <f ca="1">LOWER(TRIM(_xlfn.XLOOKUP($A112,Строчный!$A:$A,Строчный!K:K,"ERR",0)))</f>
        <v>хлопковые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>COMICS</v>
      </c>
      <c r="O112" s="102" t="str">
        <f ca="1">PROPER(TRIM(_xlfn.XLOOKUP($A112,Строчный!$A:$A,Строчный!P:P,"ERR",0)))</f>
        <v>Disney</v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1352</v>
      </c>
      <c r="R112" s="89" t="str">
        <f ca="1">_xlfn.XLOOKUP($G112,Фабрика!A:A,Фабрика!B:B,"ERR",0)</f>
        <v>TEXTISS S.A.S; Zone d' Activité de l'Etang, 26780 Chåteauneuf Du Rhöne, France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132</v>
      </c>
      <c r="U112" s="14" t="s">
        <v>265</v>
      </c>
      <c r="V112" s="101" t="str">
        <f t="shared" ca="1" si="8"/>
        <v>Бейсболка CAPSLAB арт. CL/DIS/1/SCR1 Disney Scrooge McDuck (оранжевый / синий)</v>
      </c>
      <c r="W112" s="100" t="str">
        <f t="shared" ca="1" si="9"/>
        <v>Бейсболка CAPSLAB арт. CL/DIS/1/SCR1 Disney Scrooge McDuck (оранжевый / синий) {orange}</v>
      </c>
      <c r="X112" s="18" t="str">
        <f t="shared" ca="1" si="10"/>
        <v>оранжевый</v>
      </c>
      <c r="Y112" s="18" t="str">
        <f t="shared" ca="1" si="11"/>
        <v>синий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оранжевый</v>
      </c>
      <c r="AA112" s="73" t="str">
        <f ca="1"/>
        <v>88-013-13-00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13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1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str">
        <f ca="1">IF(VLOOKUP(W112,Товары!A:B,2,FALSE)=A112,"Есть в 1С","ERR")</f>
        <v>Есть в 1С</v>
      </c>
      <c r="AU112" s="65" t="str">
        <f ca="1">IF(VLOOKUP(A112,Товары!B:B,1,FALSE)=A112,"Есть в 1С","ERR")</f>
        <v>Есть в 1С</v>
      </c>
      <c r="AV112" s="96" t="str">
        <f ca="1">VLOOKUP(W112,Товары!A:B,2,FALSE)</f>
        <v>88-013-13</v>
      </c>
      <c r="AW112" s="94" t="str">
        <f ca="1">VLOOKUP(W112,Товары!A:B,1,FALSE)</f>
        <v>Бейсболка CAPSLAB арт. CL/DIS/1/SCR1 Disney Scrooge McDuck (оранжевый / синий) {orange}</v>
      </c>
    </row>
    <row r="113" spans="1:49" x14ac:dyDescent="0.25">
      <c r="A113" s="110" t="str">
        <f t="shared" ca="1" si="7"/>
        <v>88-010-09</v>
      </c>
      <c r="B113" s="107" t="str">
        <f ca="1">_xlfn.LET(_xlpm.CAPS,0,_xlpm.Style,TRIM(_xlfn.XLOOKUP($A113,Строчный!$A:$A,Строчный!B:B,"ERR",0)),IF(_xlpm.CAPS=0,_xlpm.Style,UPPER(_xlpm.Style)))</f>
        <v>CL/DIS/1/MIC5 Disney Mickey Mouse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 с сеточкой</v>
      </c>
      <c r="E113" s="81" t="str">
        <f ca="1">PROPER(TRIM(_xlfn.XLOOKUP($A113,Строчный!$A:$A,Строчный!E:E,"ERR",0)))</f>
        <v>Capslab-Disney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CAPSLAB</v>
      </c>
      <c r="H113" s="81" t="str">
        <f ca="1">LOWER(TRIM(_xlfn.XLOOKUP($A113,Строчный!$A:$A,Строчный!H:H,"ERR",0)))</f>
        <v>black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50% хлопок - 50% полиэстер</v>
      </c>
      <c r="K113" s="81" t="str">
        <f ca="1">LOWER(TRIM(_xlfn.XLOOKUP($A113,Строчный!$A:$A,Строчный!K:K,"ERR",0)))</f>
        <v>хлопковые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>COMICS</v>
      </c>
      <c r="O113" s="102" t="str">
        <f ca="1">PROPER(TRIM(_xlfn.XLOOKUP($A113,Строчный!$A:$A,Строчный!P:P,"ERR",0)))</f>
        <v>Disney</v>
      </c>
      <c r="P113" s="81" t="str">
        <f ca="1">PROPER(TRIM(_xlfn.XLOOKUP($A113,Строчный!$A:$A,Строчный!R:R,"ERR",0)))</f>
        <v/>
      </c>
      <c r="Q113" s="90">
        <f ca="1">VALUE(_xlfn.XLOOKUP($A113,Строчный!$A:$A,Строчный!N:N,"ERR",0))</f>
        <v>1352</v>
      </c>
      <c r="R113" s="89" t="str">
        <f ca="1">_xlfn.XLOOKUP($G113,Фабрика!A:A,Фабрика!B:B,"ERR",0)</f>
        <v>TEXTISS S.A.S; Zone d' Activité de l'Etang, 26780 Chåteauneuf Du Rhöne, France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120</v>
      </c>
      <c r="U113" s="14" t="s">
        <v>265</v>
      </c>
      <c r="V113" s="101" t="str">
        <f t="shared" ca="1" si="8"/>
        <v>Бейсболка CAPSLAB арт. CL/DIS/1/MIC5 Disney Mickey Mouse (черный)</v>
      </c>
      <c r="W113" s="100" t="str">
        <f t="shared" ca="1" si="9"/>
        <v>Бейсболка CAPSLAB арт. CL/DIS/1/MIC5 Disney Mickey Mouse (черный) {black}</v>
      </c>
      <c r="X113" s="18" t="str">
        <f t="shared" ca="1" si="10"/>
        <v>черный</v>
      </c>
      <c r="Y113" s="18" t="str">
        <f t="shared" ca="1" si="11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88-010-09-00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1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str">
        <f ca="1">IF(VLOOKUP(W113,Товары!A:B,2,FALSE)=A113,"Есть в 1С","ERR")</f>
        <v>Есть в 1С</v>
      </c>
      <c r="AU113" s="65" t="str">
        <f ca="1">IF(VLOOKUP(A113,Товары!B:B,1,FALSE)=A113,"Есть в 1С","ERR")</f>
        <v>Есть в 1С</v>
      </c>
      <c r="AV113" s="96" t="str">
        <f ca="1">VLOOKUP(W113,Товары!A:B,2,FALSE)</f>
        <v>88-010-09</v>
      </c>
      <c r="AW113" s="94" t="str">
        <f ca="1">VLOOKUP(W113,Товары!A:B,1,FALSE)</f>
        <v>Бейсболка CAPSLAB арт. CL/DIS/1/MIC5 Disney Mickey Mouse (черный) {black}</v>
      </c>
    </row>
    <row r="114" spans="1:49" x14ac:dyDescent="0.25">
      <c r="A114" s="110" t="str">
        <f t="shared" ca="1" si="7"/>
        <v>88-009-17</v>
      </c>
      <c r="B114" s="107" t="str">
        <f ca="1">_xlfn.LET(_xlpm.CAPS,0,_xlpm.Style,TRIM(_xlfn.XLOOKUP($A114,Строчный!$A:$A,Строчный!B:B,"ERR",0)),IF(_xlpm.CAPS=0,_xlpm.Style,UPPER(_xlpm.Style)))</f>
        <v>CL/DIS/1/MIC4 Disney Mickey Mouse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 с сеточкой</v>
      </c>
      <c r="E114" s="81" t="str">
        <f ca="1">PROPER(TRIM(_xlfn.XLOOKUP($A114,Строчный!$A:$A,Строчный!E:E,"ERR",0)))</f>
        <v>Capslab-Disney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CAPSLAB</v>
      </c>
      <c r="H114" s="81" t="str">
        <f ca="1">LOWER(TRIM(_xlfn.XLOOKUP($A114,Строчный!$A:$A,Строчный!H:H,"ERR",0)))</f>
        <v>white</v>
      </c>
      <c r="I114" s="81" t="str">
        <f ca="1">LOWER(TRIM(_xlfn.XLOOKUP($A114,Строчный!$A:$A,Строчный!I:I,"ERR",0)))</f>
        <v>белый / красный</v>
      </c>
      <c r="J114" s="81" t="str">
        <f ca="1">SUBSTITUTE(LOWER(TRIM(_xlfn.XLOOKUP($A114,Строчный!$A:$A,Строчный!J:J,"ERR",0))),"подклад","Подклад")</f>
        <v>50% хлопок - 50% полиэстер</v>
      </c>
      <c r="K114" s="81" t="str">
        <f ca="1">LOWER(TRIM(_xlfn.XLOOKUP($A114,Строчный!$A:$A,Строчный!K:K,"ERR",0)))</f>
        <v>хлопковые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>COMICS</v>
      </c>
      <c r="O114" s="102" t="str">
        <f ca="1">PROPER(TRIM(_xlfn.XLOOKUP($A114,Строчный!$A:$A,Строчный!P:P,"ERR",0)))</f>
        <v>Disney</v>
      </c>
      <c r="P114" s="81" t="str">
        <f ca="1">PROPER(TRIM(_xlfn.XLOOKUP($A114,Строчный!$A:$A,Строчный!R:R,"ERR",0)))</f>
        <v/>
      </c>
      <c r="Q114" s="90">
        <f ca="1">VALUE(_xlfn.XLOOKUP($A114,Строчный!$A:$A,Строчный!N:N,"ERR",0))</f>
        <v>1352</v>
      </c>
      <c r="R114" s="89" t="str">
        <f ca="1">_xlfn.XLOOKUP($G114,Фабрика!A:A,Фабрика!B:B,"ERR",0)</f>
        <v>TEXTISS S.A.S; Zone d' Activité de l'Etang, 26780 Chåteauneuf Du Rhöne, France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192</v>
      </c>
      <c r="U114" s="14" t="s">
        <v>265</v>
      </c>
      <c r="V114" s="101" t="str">
        <f t="shared" ca="1" si="8"/>
        <v>Бейсболка CAPSLAB арт. CL/DIS/1/MIC4 Disney Mickey Mouse (белый / красный)</v>
      </c>
      <c r="W114" s="100" t="str">
        <f t="shared" ca="1" si="9"/>
        <v>Бейсболка CAPSLAB арт. CL/DIS/1/MIC4 Disney Mickey Mouse (белый / красный) {white}</v>
      </c>
      <c r="X114" s="18" t="str">
        <f t="shared" ca="1" si="10"/>
        <v>белый</v>
      </c>
      <c r="Y114" s="18" t="str">
        <f t="shared" ca="1" si="11"/>
        <v>красный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белый</v>
      </c>
      <c r="AA114" s="73" t="str">
        <f ca="1"/>
        <v>88-009-17-00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45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1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str">
        <f ca="1">IF(VLOOKUP(W114,Товары!A:B,2,FALSE)=A114,"Есть в 1С","ERR")</f>
        <v>Есть в 1С</v>
      </c>
      <c r="AU114" s="65" t="str">
        <f ca="1">IF(VLOOKUP(A114,Товары!B:B,1,FALSE)=A114,"Есть в 1С","ERR")</f>
        <v>Есть в 1С</v>
      </c>
      <c r="AV114" s="96" t="str">
        <f ca="1">VLOOKUP(W114,Товары!A:B,2,FALSE)</f>
        <v>88-009-17</v>
      </c>
      <c r="AW114" s="94" t="str">
        <f ca="1">VLOOKUP(W114,Товары!A:B,1,FALSE)</f>
        <v>Бейсболка CAPSLAB арт. CL/DIS/1/MIC4 Disney Mickey Mouse (белый / красный) {white}</v>
      </c>
    </row>
    <row r="115" spans="1:49" x14ac:dyDescent="0.25">
      <c r="A115" s="110" t="str">
        <f t="shared" ca="1" si="7"/>
        <v>88-008-09</v>
      </c>
      <c r="B115" s="107" t="str">
        <f ca="1">_xlfn.LET(_xlpm.CAPS,0,_xlpm.Style,TRIM(_xlfn.XLOOKUP($A115,Строчный!$A:$A,Строчный!B:B,"ERR",0)),IF(_xlpm.CAPS=0,_xlpm.Style,UPPER(_xlpm.Style)))</f>
        <v>CL/DIS/1/MIC3 Disney Mickey Mouse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</v>
      </c>
      <c r="E115" s="81" t="str">
        <f ca="1">PROPER(TRIM(_xlfn.XLOOKUP($A115,Строчный!$A:$A,Строчный!E:E,"ERR",0)))</f>
        <v>Capslab-Disney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CAPSLAB</v>
      </c>
      <c r="H115" s="81" t="str">
        <f ca="1">LOWER(TRIM(_xlfn.XLOOKUP($A115,Строчный!$A:$A,Строчный!H:H,"ERR",0)))</f>
        <v>black</v>
      </c>
      <c r="I115" s="81" t="str">
        <f ca="1">LOWER(TRIM(_xlfn.XLOOKUP($A115,Строчный!$A:$A,Строчный!I:I,"ERR",0)))</f>
        <v>черный</v>
      </c>
      <c r="J115" s="81" t="str">
        <f ca="1">SUBSTITUTE(LOWER(TRIM(_xlfn.XLOOKUP($A115,Строчный!$A:$A,Строчный!J:J,"ERR",0))),"подклад","Подклад")</f>
        <v>100% хлопок</v>
      </c>
      <c r="K115" s="81" t="str">
        <f ca="1">LOWER(TRIM(_xlfn.XLOOKUP($A115,Строчный!$A:$A,Строчный!K:K,"ERR",0)))</f>
        <v>хлопковые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>COMICS</v>
      </c>
      <c r="O115" s="102" t="str">
        <f ca="1">PROPER(TRIM(_xlfn.XLOOKUP($A115,Строчный!$A:$A,Строчный!P:P,"ERR",0)))</f>
        <v>Disney</v>
      </c>
      <c r="P115" s="81" t="str">
        <f ca="1">PROPER(TRIM(_xlfn.XLOOKUP($A115,Строчный!$A:$A,Строчный!R:R,"ERR",0)))</f>
        <v/>
      </c>
      <c r="Q115" s="90">
        <f ca="1">VALUE(_xlfn.XLOOKUP($A115,Строчный!$A:$A,Строчный!N:N,"ERR",0))</f>
        <v>1352</v>
      </c>
      <c r="R115" s="89" t="str">
        <f ca="1">_xlfn.XLOOKUP($G115,Фабрика!A:A,Фабрика!B:B,"ERR",0)</f>
        <v>TEXTISS S.A.S; Zone d' Activité de l'Etang, 26780 Chåteauneuf Du Rhöne, France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144</v>
      </c>
      <c r="U115" s="14" t="s">
        <v>265</v>
      </c>
      <c r="V115" s="101" t="str">
        <f t="shared" ca="1" si="8"/>
        <v>Бейсболка CAPSLAB арт. CL/DIS/1/MIC3 Disney Mickey Mouse (черный)</v>
      </c>
      <c r="W115" s="100" t="str">
        <f t="shared" ca="1" si="9"/>
        <v>Бейсболка CAPSLAB арт. CL/DIS/1/MIC3 Disney Mickey Mouse (черный) {black}</v>
      </c>
      <c r="X115" s="18" t="str">
        <f t="shared" ca="1" si="10"/>
        <v>черный</v>
      </c>
      <c r="Y115" s="18" t="str">
        <f t="shared" ca="1" si="11"/>
        <v>черный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черный</v>
      </c>
      <c r="AA115" s="73" t="str">
        <f ca="1"/>
        <v>88-008-09-00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09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1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str">
        <f ca="1">IF(VLOOKUP(W115,Товары!A:B,2,FALSE)=A115,"Есть в 1С","ERR")</f>
        <v>Есть в 1С</v>
      </c>
      <c r="AU115" s="65" t="str">
        <f ca="1">IF(VLOOKUP(A115,Товары!B:B,1,FALSE)=A115,"Есть в 1С","ERR")</f>
        <v>Есть в 1С</v>
      </c>
      <c r="AV115" s="96" t="str">
        <f ca="1">VLOOKUP(W115,Товары!A:B,2,FALSE)</f>
        <v>88-008-09</v>
      </c>
      <c r="AW115" s="94" t="str">
        <f ca="1">VLOOKUP(W115,Товары!A:B,1,FALSE)</f>
        <v>Бейсболка CAPSLAB арт. CL/DIS/1/MIC3 Disney Mickey Mouse (черный) {black}</v>
      </c>
    </row>
    <row r="116" spans="1:49" x14ac:dyDescent="0.25">
      <c r="A116" s="110" t="str">
        <f t="shared" ca="1" si="7"/>
        <v>88-007-09</v>
      </c>
      <c r="B116" s="107" t="str">
        <f ca="1">_xlfn.LET(_xlpm.CAPS,0,_xlpm.Style,TRIM(_xlfn.XLOOKUP($A116,Строчный!$A:$A,Строчный!B:B,"ERR",0)),IF(_xlpm.CAPS=0,_xlpm.Style,UPPER(_xlpm.Style)))</f>
        <v>CL/DIS/1/MIC2 Disney Mickey Mouse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 с сеточкой</v>
      </c>
      <c r="E116" s="81" t="str">
        <f ca="1">PROPER(TRIM(_xlfn.XLOOKUP($A116,Строчный!$A:$A,Строчный!E:E,"ERR",0)))</f>
        <v>Capslab-Disney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CAPSLAB</v>
      </c>
      <c r="H116" s="81" t="str">
        <f ca="1">LOWER(TRIM(_xlfn.XLOOKUP($A116,Строчный!$A:$A,Строчный!H:H,"ERR",0)))</f>
        <v>black</v>
      </c>
      <c r="I116" s="81" t="str">
        <f ca="1">LOWER(TRIM(_xlfn.XLOOKUP($A116,Строчный!$A:$A,Строчный!I:I,"ERR",0)))</f>
        <v>черный</v>
      </c>
      <c r="J116" s="81" t="str">
        <f ca="1">SUBSTITUTE(LOWER(TRIM(_xlfn.XLOOKUP($A116,Строчный!$A:$A,Строчный!J:J,"ERR",0))),"подклад","Подклад")</f>
        <v>50% хлопок - 50% полиэстер</v>
      </c>
      <c r="K116" s="81" t="str">
        <f ca="1">LOWER(TRIM(_xlfn.XLOOKUP($A116,Строчный!$A:$A,Строчный!K:K,"ERR",0)))</f>
        <v>хлопковые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>COMICS</v>
      </c>
      <c r="O116" s="102" t="str">
        <f ca="1">PROPER(TRIM(_xlfn.XLOOKUP($A116,Строчный!$A:$A,Строчный!P:P,"ERR",0)))</f>
        <v>Disney</v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1352</v>
      </c>
      <c r="R116" s="89" t="str">
        <f ca="1">_xlfn.XLOOKUP($G116,Фабрика!A:A,Фабрика!B:B,"ERR",0)</f>
        <v>TEXTISS S.A.S; Zone d' Activité de l'Etang, 26780 Chåteauneuf Du Rhöne, France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204</v>
      </c>
      <c r="U116" s="14" t="s">
        <v>265</v>
      </c>
      <c r="V116" s="101" t="str">
        <f t="shared" ca="1" si="8"/>
        <v>Бейсболка CAPSLAB арт. CL/DIS/1/MIC2 Disney Mickey Mouse (черный)</v>
      </c>
      <c r="W116" s="100" t="str">
        <f t="shared" ca="1" si="9"/>
        <v>Бейсболка CAPSLAB арт. CL/DIS/1/MIC2 Disney Mickey Mouse (черный) {black}</v>
      </c>
      <c r="X116" s="18" t="str">
        <f t="shared" ca="1" si="10"/>
        <v>черный</v>
      </c>
      <c r="Y116" s="18" t="str">
        <f t="shared" ca="1" si="11"/>
        <v>черный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черный</v>
      </c>
      <c r="AA116" s="73" t="str">
        <f ca="1"/>
        <v>88-007-09-00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09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1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str">
        <f ca="1">IF(VLOOKUP(W116,Товары!A:B,2,FALSE)=A116,"Есть в 1С","ERR")</f>
        <v>Есть в 1С</v>
      </c>
      <c r="AU116" s="65" t="str">
        <f ca="1">IF(VLOOKUP(A116,Товары!B:B,1,FALSE)=A116,"Есть в 1С","ERR")</f>
        <v>Есть в 1С</v>
      </c>
      <c r="AV116" s="96" t="str">
        <f ca="1">VLOOKUP(W116,Товары!A:B,2,FALSE)</f>
        <v>88-007-09</v>
      </c>
      <c r="AW116" s="94" t="str">
        <f ca="1">VLOOKUP(W116,Товары!A:B,1,FALSE)</f>
        <v>Бейсболка CAPSLAB арт. CL/DIS/1/MIC2 Disney Mickey Mouse (черный) {black}</v>
      </c>
    </row>
    <row r="117" spans="1:49" x14ac:dyDescent="0.25">
      <c r="A117" s="110" t="str">
        <f t="shared" ca="1" si="7"/>
        <v>88-006-06</v>
      </c>
      <c r="B117" s="107" t="str">
        <f ca="1">_xlfn.LET(_xlpm.CAPS,0,_xlpm.Style,TRIM(_xlfn.XLOOKUP($A117,Строчный!$A:$A,Строчный!B:B,"ERR",0)),IF(_xlpm.CAPS=0,_xlpm.Style,UPPER(_xlpm.Style)))</f>
        <v>CL/DIS/1/MIC1 Disney Mickey Mouse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 с сеточкой</v>
      </c>
      <c r="E117" s="81" t="str">
        <f ca="1">PROPER(TRIM(_xlfn.XLOOKUP($A117,Строчный!$A:$A,Строчный!E:E,"ERR",0)))</f>
        <v>Capslab-Disney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CAPSLAB</v>
      </c>
      <c r="H117" s="81" t="str">
        <f ca="1">LOWER(TRIM(_xlfn.XLOOKUP($A117,Строчный!$A:$A,Строчный!H:H,"ERR",0)))</f>
        <v>blue</v>
      </c>
      <c r="I117" s="81" t="str">
        <f ca="1">LOWER(TRIM(_xlfn.XLOOKUP($A117,Строчный!$A:$A,Строчный!I:I,"ERR",0)))</f>
        <v>синий / коричневый</v>
      </c>
      <c r="J117" s="81" t="str">
        <f ca="1">SUBSTITUTE(LOWER(TRIM(_xlfn.XLOOKUP($A117,Строчный!$A:$A,Строчный!J:J,"ERR",0))),"подклад","Подклад")</f>
        <v>50% хлопок - 50% полиэстер</v>
      </c>
      <c r="K117" s="81" t="str">
        <f ca="1">LOWER(TRIM(_xlfn.XLOOKUP($A117,Строчный!$A:$A,Строчный!K:K,"ERR",0)))</f>
        <v>хлопковые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>COMICS</v>
      </c>
      <c r="O117" s="102" t="str">
        <f ca="1">PROPER(TRIM(_xlfn.XLOOKUP($A117,Строчный!$A:$A,Строчный!P:P,"ERR",0)))</f>
        <v>Disney</v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1352</v>
      </c>
      <c r="R117" s="89" t="str">
        <f ca="1">_xlfn.XLOOKUP($G117,Фабрика!A:A,Фабрика!B:B,"ERR",0)</f>
        <v>TEXTISS S.A.S; Zone d' Activité de l'Etang, 26780 Chåteauneuf Du Rhöne, France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408</v>
      </c>
      <c r="U117" s="14" t="s">
        <v>265</v>
      </c>
      <c r="V117" s="101" t="str">
        <f t="shared" ca="1" si="8"/>
        <v>Бейсболка CAPSLAB арт. CL/DIS/1/MIC1 Disney Mickey Mouse (синий / коричневый)</v>
      </c>
      <c r="W117" s="100" t="str">
        <f t="shared" ca="1" si="9"/>
        <v>Бейсболка CAPSLAB арт. CL/DIS/1/MIC1 Disney Mickey Mouse (синий / коричневый) {blue}</v>
      </c>
      <c r="X117" s="18" t="str">
        <f t="shared" ca="1" si="10"/>
        <v>синий</v>
      </c>
      <c r="Y117" s="18" t="str">
        <f t="shared" ca="1" si="11"/>
        <v>коричневый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синий</v>
      </c>
      <c r="AA117" s="73" t="str">
        <f ca="1"/>
        <v>88-006-06-00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06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1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str">
        <f ca="1">IF(VLOOKUP(W117,Товары!A:B,2,FALSE)=A117,"Есть в 1С","ERR")</f>
        <v>Есть в 1С</v>
      </c>
      <c r="AU117" s="65" t="str">
        <f ca="1">IF(VLOOKUP(A117,Товары!B:B,1,FALSE)=A117,"Есть в 1С","ERR")</f>
        <v>Есть в 1С</v>
      </c>
      <c r="AV117" s="96" t="str">
        <f ca="1">VLOOKUP(W117,Товары!A:B,2,FALSE)</f>
        <v>88-006-06</v>
      </c>
      <c r="AW117" s="94" t="str">
        <f ca="1">VLOOKUP(W117,Товары!A:B,1,FALSE)</f>
        <v>Бейсболка CAPSLAB арт. CL/DIS/1/MIC1 Disney Mickey Mouse (синий / коричневый) {blue}</v>
      </c>
    </row>
    <row r="118" spans="1:49" x14ac:dyDescent="0.25">
      <c r="A118" s="110" t="str">
        <f t="shared" ca="1" si="7"/>
        <v>88-005-09</v>
      </c>
      <c r="B118" s="107" t="str">
        <f ca="1">_xlfn.LET(_xlpm.CAPS,0,_xlpm.Style,TRIM(_xlfn.XLOOKUP($A118,Строчный!$A:$A,Строчный!B:B,"ERR",0)),IF(_xlpm.CAPS=0,_xlpm.Style,UPPER(_xlpm.Style)))</f>
        <v>CL/DIS/1/GOO2 Disney Goofy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 с сеточкой</v>
      </c>
      <c r="E118" s="81" t="str">
        <f ca="1">PROPER(TRIM(_xlfn.XLOOKUP($A118,Строчный!$A:$A,Строчный!E:E,"ERR",0)))</f>
        <v>Capslab-Disney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CAPSLAB</v>
      </c>
      <c r="H118" s="81" t="str">
        <f ca="1">LOWER(TRIM(_xlfn.XLOOKUP($A118,Строчный!$A:$A,Строчный!H:H,"ERR",0)))</f>
        <v>black</v>
      </c>
      <c r="I118" s="81" t="str">
        <f ca="1">LOWER(TRIM(_xlfn.XLOOKUP($A118,Строчный!$A:$A,Строчный!I:I,"ERR",0)))</f>
        <v>черный</v>
      </c>
      <c r="J118" s="81" t="str">
        <f ca="1">SUBSTITUTE(LOWER(TRIM(_xlfn.XLOOKUP($A118,Строчный!$A:$A,Строчный!J:J,"ERR",0))),"подклад","Подклад")</f>
        <v>50% хлопок - 50% полиэстер</v>
      </c>
      <c r="K118" s="81" t="str">
        <f ca="1">LOWER(TRIM(_xlfn.XLOOKUP($A118,Строчный!$A:$A,Строчный!K:K,"ERR",0)))</f>
        <v>хлопковые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>COMICS</v>
      </c>
      <c r="O118" s="102" t="str">
        <f ca="1">PROPER(TRIM(_xlfn.XLOOKUP($A118,Строчный!$A:$A,Строчный!P:P,"ERR",0)))</f>
        <v>Disney</v>
      </c>
      <c r="P118" s="81" t="str">
        <f ca="1">PROPER(TRIM(_xlfn.XLOOKUP($A118,Строчный!$A:$A,Строчный!R:R,"ERR",0)))</f>
        <v/>
      </c>
      <c r="Q118" s="90">
        <f ca="1">VALUE(_xlfn.XLOOKUP($A118,Строчный!$A:$A,Строчный!N:N,"ERR",0))</f>
        <v>1352</v>
      </c>
      <c r="R118" s="89" t="str">
        <f ca="1">_xlfn.XLOOKUP($G118,Фабрика!A:A,Фабрика!B:B,"ERR",0)</f>
        <v>TEXTISS S.A.S; Zone d' Activité de l'Etang, 26780 Chåteauneuf Du Rhöne, France</v>
      </c>
      <c r="S118" s="80" t="str">
        <f ca="1">_xlfn.XLOOKUP(RIGHT(AA118,2),Размеры!D:D,Размеры!A:A,"ERR",0)</f>
        <v>ONE</v>
      </c>
      <c r="T118" s="80">
        <f ca="1">VALUE(_xlfn.XLOOKUP($AA118,Строчный!$S:$S,Строчный!U:U,"ERR",0))</f>
        <v>132</v>
      </c>
      <c r="U118" s="14" t="s">
        <v>265</v>
      </c>
      <c r="V118" s="101" t="str">
        <f t="shared" ca="1" si="8"/>
        <v>Бейсболка CAPSLAB арт. CL/DIS/1/GOO2 Disney Goofy (черный)</v>
      </c>
      <c r="W118" s="100" t="str">
        <f t="shared" ca="1" si="9"/>
        <v>Бейсболка CAPSLAB арт. CL/DIS/1/GOO2 Disney Goofy (черный) {black}</v>
      </c>
      <c r="X118" s="18" t="str">
        <f t="shared" ca="1" si="10"/>
        <v>черный</v>
      </c>
      <c r="Y118" s="18" t="str">
        <f t="shared" ca="1" si="11"/>
        <v>черный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черный</v>
      </c>
      <c r="AA118" s="73" t="str">
        <f ca="1"/>
        <v>88-005-09-00</v>
      </c>
      <c r="AB118" s="75" t="str">
        <f ca="1">VLOOKUP(C118,Группа!A:B,2,FALSE)</f>
        <v>Бейсболка</v>
      </c>
      <c r="AC118" s="97" t="str">
        <f ca="1">IFERROR(VLOOKUP(S118,Размеры!A:C,3,FALSE),"")</f>
        <v>ONE</v>
      </c>
      <c r="AD118" s="97" t="str">
        <f ca="1">VLOOKUP(I118,ЦветПолный!A:B,2,FALSE)</f>
        <v>09</v>
      </c>
      <c r="AE118" s="97" t="str">
        <f ca="1">IFERROR(VLOOKUP(S118,Размеры!A:D,4,FALSE),"")</f>
        <v>00</v>
      </c>
      <c r="AF118" s="97">
        <f ca="1">IF(LEFT(IFERROR(VLOOKUP(LOOKUP(2,1/SEARCH(B118,Товары!A:A),Товары!A:A),Товары!A:B,2,0),""),6)=MID(AA118,1,6),1,0)</f>
        <v>1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1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str">
        <f ca="1">IF(VLOOKUP(W118,Товары!A:B,2,FALSE)=A118,"Есть в 1С","ERR")</f>
        <v>Есть в 1С</v>
      </c>
      <c r="AU118" s="65" t="str">
        <f ca="1">IF(VLOOKUP(A118,Товары!B:B,1,FALSE)=A118,"Есть в 1С","ERR")</f>
        <v>Есть в 1С</v>
      </c>
      <c r="AV118" s="96" t="str">
        <f ca="1">VLOOKUP(W118,Товары!A:B,2,FALSE)</f>
        <v>88-005-09</v>
      </c>
      <c r="AW118" s="94" t="str">
        <f ca="1">VLOOKUP(W118,Товары!A:B,1,FALSE)</f>
        <v>Бейсболка CAPSLAB арт. CL/DIS/1/GOO2 Disney Goofy (черный) {black}</v>
      </c>
    </row>
    <row r="119" spans="1:49" x14ac:dyDescent="0.25">
      <c r="A119" s="110" t="str">
        <f t="shared" ca="1" si="7"/>
        <v>88-004-48</v>
      </c>
      <c r="B119" s="107" t="str">
        <f ca="1">_xlfn.LET(_xlpm.CAPS,0,_xlpm.Style,TRIM(_xlfn.XLOOKUP($A119,Строчный!$A:$A,Строчный!B:B,"ERR",0)),IF(_xlpm.CAPS=0,_xlpm.Style,UPPER(_xlpm.Style)))</f>
        <v>CL/DIS/1/FLO Disney Mickey Mouse</v>
      </c>
      <c r="C119" s="81" t="str">
        <f ca="1">TRIM(PROPER(_xlfn.XLOOKUP($A119,Строчный!$A:$A,Строчный!C:C,"ERR",0)))</f>
        <v>Бейсболки</v>
      </c>
      <c r="D119" s="81" t="str">
        <f ca="1">_xlfn.LET(_xlpm.DATA,TRIM(_xlfn.XLOOKUP($A119,Строчный!$A:$A,Строчный!D:D,"ERR",0)),UPPER(MID(_xlpm.DATA,1,1))&amp;LOWER(MID(_xlpm.DATA,2,LEN(_xlpm.DATA)-1)))</f>
        <v>Бейсболка с сеточкой</v>
      </c>
      <c r="E119" s="81" t="str">
        <f ca="1">PROPER(TRIM(_xlfn.XLOOKUP($A119,Строчный!$A:$A,Строчный!E:E,"ERR",0)))</f>
        <v>Capslab-Disney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CAPSLAB</v>
      </c>
      <c r="H119" s="81" t="str">
        <f ca="1">LOWER(TRIM(_xlfn.XLOOKUP($A119,Строчный!$A:$A,Строчный!H:H,"ERR",0)))</f>
        <v>white</v>
      </c>
      <c r="I119" s="81" t="str">
        <f ca="1">LOWER(TRIM(_xlfn.XLOOKUP($A119,Строчный!$A:$A,Строчный!I:I,"ERR",0)))</f>
        <v>белый / черный</v>
      </c>
      <c r="J119" s="81" t="str">
        <f ca="1">SUBSTITUTE(LOWER(TRIM(_xlfn.XLOOKUP($A119,Строчный!$A:$A,Строчный!J:J,"ERR",0))),"подклад","Подклад")</f>
        <v>50% хлопок - 50% полиэстер</v>
      </c>
      <c r="K119" s="81" t="str">
        <f ca="1">LOWER(TRIM(_xlfn.XLOOKUP($A119,Строчный!$A:$A,Строчный!K:K,"ERR",0)))</f>
        <v>хлопковые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>COMICS</v>
      </c>
      <c r="O119" s="102" t="str">
        <f ca="1">PROPER(TRIM(_xlfn.XLOOKUP($A119,Строчный!$A:$A,Строчный!P:P,"ERR",0)))</f>
        <v>Disney</v>
      </c>
      <c r="P119" s="81" t="str">
        <f ca="1">PROPER(TRIM(_xlfn.XLOOKUP($A119,Строчный!$A:$A,Строчный!R:R,"ERR",0)))</f>
        <v/>
      </c>
      <c r="Q119" s="90">
        <f ca="1">VALUE(_xlfn.XLOOKUP($A119,Строчный!$A:$A,Строчный!N:N,"ERR",0))</f>
        <v>1352</v>
      </c>
      <c r="R119" s="89" t="str">
        <f ca="1">_xlfn.XLOOKUP($G119,Фабрика!A:A,Фабрика!B:B,"ERR",0)</f>
        <v>TEXTISS S.A.S; Zone d' Activité de l'Etang, 26780 Chåteauneuf Du Rhöne, France</v>
      </c>
      <c r="S119" s="80" t="str">
        <f ca="1">_xlfn.XLOOKUP(RIGHT(AA119,2),Размеры!D:D,Размеры!A:A,"ERR",0)</f>
        <v>ONE</v>
      </c>
      <c r="T119" s="80">
        <f ca="1">VALUE(_xlfn.XLOOKUP($AA119,Строчный!$S:$S,Строчный!U:U,"ERR",0))</f>
        <v>204</v>
      </c>
      <c r="U119" s="14" t="s">
        <v>265</v>
      </c>
      <c r="V119" s="101" t="str">
        <f t="shared" ca="1" si="8"/>
        <v>Бейсболка CAPSLAB арт. CL/DIS/1/FLO Disney Mickey Mouse (белый / черный)</v>
      </c>
      <c r="W119" s="100" t="str">
        <f t="shared" ca="1" si="9"/>
        <v>Бейсболка CAPSLAB арт. CL/DIS/1/FLO Disney Mickey Mouse (белый / черный) {white}</v>
      </c>
      <c r="X119" s="18" t="str">
        <f t="shared" ca="1" si="10"/>
        <v>белый</v>
      </c>
      <c r="Y119" s="18" t="str">
        <f t="shared" ca="1" si="11"/>
        <v>черный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белый</v>
      </c>
      <c r="AA119" s="73" t="str">
        <f ca="1"/>
        <v>88-004-48-00</v>
      </c>
      <c r="AB119" s="75" t="str">
        <f ca="1">VLOOKUP(C119,Группа!A:B,2,FALSE)</f>
        <v>Бейсболка</v>
      </c>
      <c r="AC119" s="97" t="str">
        <f ca="1">IFERROR(VLOOKUP(S119,Размеры!A:C,3,FALSE),"")</f>
        <v>ONE</v>
      </c>
      <c r="AD119" s="97" t="str">
        <f ca="1">VLOOKUP(I119,ЦветПолный!A:B,2,FALSE)</f>
        <v>48</v>
      </c>
      <c r="AE119" s="97" t="str">
        <f ca="1">IFERROR(VLOOKUP(S119,Размеры!A:D,4,FALSE),"")</f>
        <v>00</v>
      </c>
      <c r="AF119" s="97">
        <f ca="1">IF(LEFT(IFERROR(VLOOKUP(LOOKUP(2,1/SEARCH(B119,Товары!A:A),Товары!A:A),Товары!A:B,2,0),""),6)=MID(AA119,1,6),1,0)</f>
        <v>1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1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1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str">
        <f ca="1">IF(VLOOKUP(W119,Товары!A:B,2,FALSE)=A119,"Есть в 1С","ERR")</f>
        <v>Есть в 1С</v>
      </c>
      <c r="AU119" s="65" t="str">
        <f ca="1">IF(VLOOKUP(A119,Товары!B:B,1,FALSE)=A119,"Есть в 1С","ERR")</f>
        <v>Есть в 1С</v>
      </c>
      <c r="AV119" s="96" t="str">
        <f ca="1">VLOOKUP(W119,Товары!A:B,2,FALSE)</f>
        <v>88-004-48</v>
      </c>
      <c r="AW119" s="94" t="str">
        <f ca="1">VLOOKUP(W119,Товары!A:B,1,FALSE)</f>
        <v>Бейсболка CAPSLAB арт. CL/DIS/1/FLO Disney Mickey Mouse (белый / черный) {white}</v>
      </c>
    </row>
  </sheetData>
  <autoFilter ref="G1:AW119" xr:uid="{00000000-0009-0000-0000-000000000000}"/>
  <conditionalFormatting sqref="AT2:AT119">
    <cfRule type="expression" dxfId="42" priority="36">
      <formula>IFERROR(AT2,TRUE)</formula>
    </cfRule>
  </conditionalFormatting>
  <conditionalFormatting sqref="AU2:AU119">
    <cfRule type="expression" dxfId="41" priority="34">
      <formula>IFERROR(AU2,TRUE)</formula>
    </cfRule>
  </conditionalFormatting>
  <conditionalFormatting sqref="AH2:AH119 AF1:AF1048576">
    <cfRule type="cellIs" dxfId="40" priority="32" operator="lessThan">
      <formula>1</formula>
    </cfRule>
  </conditionalFormatting>
  <conditionalFormatting sqref="AC2:AS119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19">
    <cfRule type="expression" dxfId="37" priority="28">
      <formula>IFERROR(AV2,TRUE)</formula>
    </cfRule>
  </conditionalFormatting>
  <conditionalFormatting sqref="AW2:AW119">
    <cfRule type="expression" dxfId="36" priority="26">
      <formula>IFERROR(AW2,TRUE)</formula>
    </cfRule>
  </conditionalFormatting>
  <conditionalFormatting sqref="AE2:AE119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119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119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29573</v>
      </c>
      <c r="B29" s="135">
        <v>1</v>
      </c>
    </row>
    <row r="30" spans="1:2" x14ac:dyDescent="0.25">
      <c r="A30" s="136" t="s">
        <v>28396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29573</v>
      </c>
      <c r="B29" s="34" t="s">
        <v>29578</v>
      </c>
    </row>
    <row r="30" spans="1:2" x14ac:dyDescent="0.25">
      <c r="A30" s="34" t="s">
        <v>28396</v>
      </c>
      <c r="B30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P10" sqref="P10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29698</v>
      </c>
      <c r="B2" s="80" t="s">
        <v>29580</v>
      </c>
      <c r="C2" s="80" t="s">
        <v>46</v>
      </c>
      <c r="D2" s="80" t="s">
        <v>92</v>
      </c>
      <c r="E2" s="80" t="s">
        <v>25609</v>
      </c>
      <c r="F2" s="80" t="s">
        <v>91</v>
      </c>
      <c r="G2" s="80" t="s">
        <v>29778</v>
      </c>
      <c r="H2" s="80" t="s">
        <v>29779</v>
      </c>
      <c r="I2" s="80" t="s">
        <v>28</v>
      </c>
      <c r="J2" s="83" t="s">
        <v>25993</v>
      </c>
      <c r="K2" s="80" t="s">
        <v>25678</v>
      </c>
      <c r="L2" s="80" t="s">
        <v>25598</v>
      </c>
      <c r="M2" s="80" t="s">
        <v>12</v>
      </c>
      <c r="N2" s="80">
        <v>1352</v>
      </c>
      <c r="O2" s="80" t="s">
        <v>29792</v>
      </c>
      <c r="P2" s="80" t="s">
        <v>25628</v>
      </c>
      <c r="Q2" s="80"/>
      <c r="R2" s="146"/>
      <c r="S2" s="103" t="str">
        <f>A2&amp;"-"&amp;T2</f>
        <v>88-274-80-</v>
      </c>
      <c r="V2" s="81">
        <v>12</v>
      </c>
    </row>
    <row r="3" spans="1:45" ht="15" customHeight="1" x14ac:dyDescent="0.2">
      <c r="A3" s="81" t="s">
        <v>29699</v>
      </c>
      <c r="B3" s="81" t="s">
        <v>29581</v>
      </c>
      <c r="C3" s="81" t="s">
        <v>46</v>
      </c>
      <c r="D3" s="81" t="s">
        <v>92</v>
      </c>
      <c r="E3" s="81" t="s">
        <v>25609</v>
      </c>
      <c r="F3" s="81" t="s">
        <v>91</v>
      </c>
      <c r="G3" s="81" t="s">
        <v>29778</v>
      </c>
      <c r="H3" s="81" t="s">
        <v>29780</v>
      </c>
      <c r="I3" s="81" t="s">
        <v>96</v>
      </c>
      <c r="J3" s="84" t="s">
        <v>25993</v>
      </c>
      <c r="K3" s="81" t="s">
        <v>25678</v>
      </c>
      <c r="L3" s="81" t="s">
        <v>25598</v>
      </c>
      <c r="M3" s="81" t="s">
        <v>12</v>
      </c>
      <c r="N3" s="81">
        <v>1352</v>
      </c>
      <c r="O3" s="81" t="s">
        <v>29792</v>
      </c>
      <c r="P3" s="81" t="s">
        <v>25628</v>
      </c>
      <c r="Q3" s="80"/>
      <c r="R3" s="146"/>
      <c r="S3" s="103" t="str">
        <f t="shared" ref="S3:S66" si="0">A3&amp;"-"&amp;T3</f>
        <v>88-275-12-</v>
      </c>
      <c r="V3" s="81">
        <v>12</v>
      </c>
    </row>
    <row r="4" spans="1:45" ht="15" customHeight="1" x14ac:dyDescent="0.2">
      <c r="A4" s="81" t="s">
        <v>29700</v>
      </c>
      <c r="B4" s="81" t="s">
        <v>29582</v>
      </c>
      <c r="C4" s="81" t="s">
        <v>46</v>
      </c>
      <c r="D4" s="81" t="s">
        <v>92</v>
      </c>
      <c r="E4" s="81" t="s">
        <v>25609</v>
      </c>
      <c r="F4" s="81" t="s">
        <v>91</v>
      </c>
      <c r="G4" s="81" t="s">
        <v>29778</v>
      </c>
      <c r="H4" s="81" t="s">
        <v>29780</v>
      </c>
      <c r="I4" s="81" t="s">
        <v>96</v>
      </c>
      <c r="J4" s="84" t="s">
        <v>26443</v>
      </c>
      <c r="L4" s="81" t="s">
        <v>25598</v>
      </c>
      <c r="M4" s="81" t="s">
        <v>12</v>
      </c>
      <c r="N4" s="81">
        <v>1352</v>
      </c>
      <c r="O4" s="81" t="s">
        <v>29792</v>
      </c>
      <c r="P4" s="81" t="s">
        <v>25628</v>
      </c>
      <c r="Q4" s="80"/>
      <c r="R4" s="146"/>
      <c r="S4" s="103" t="str">
        <f t="shared" si="0"/>
        <v>88-276-12-</v>
      </c>
      <c r="V4" s="81">
        <v>12</v>
      </c>
    </row>
    <row r="5" spans="1:45" ht="15" customHeight="1" x14ac:dyDescent="0.2">
      <c r="A5" s="81" t="s">
        <v>29701</v>
      </c>
      <c r="B5" s="81" t="s">
        <v>29583</v>
      </c>
      <c r="C5" s="81" t="s">
        <v>46</v>
      </c>
      <c r="D5" s="81" t="s">
        <v>92</v>
      </c>
      <c r="E5" s="81" t="s">
        <v>25609</v>
      </c>
      <c r="F5" s="81" t="s">
        <v>91</v>
      </c>
      <c r="G5" s="81" t="s">
        <v>29778</v>
      </c>
      <c r="H5" s="81" t="s">
        <v>29781</v>
      </c>
      <c r="I5" s="81" t="s">
        <v>23</v>
      </c>
      <c r="J5" s="84" t="s">
        <v>25993</v>
      </c>
      <c r="K5" s="81" t="s">
        <v>25678</v>
      </c>
      <c r="L5" s="81" t="s">
        <v>25598</v>
      </c>
      <c r="M5" s="81" t="s">
        <v>12</v>
      </c>
      <c r="N5" s="81">
        <v>1352</v>
      </c>
      <c r="O5" s="81" t="s">
        <v>29792</v>
      </c>
      <c r="P5" s="81" t="s">
        <v>25628</v>
      </c>
      <c r="Q5" s="80"/>
      <c r="R5" s="146"/>
      <c r="S5" s="103" t="str">
        <f t="shared" si="0"/>
        <v>88-277-16-</v>
      </c>
      <c r="V5" s="81">
        <v>18</v>
      </c>
    </row>
    <row r="6" spans="1:45" ht="15" customHeight="1" x14ac:dyDescent="0.2">
      <c r="A6" s="81" t="s">
        <v>29702</v>
      </c>
      <c r="B6" s="81" t="s">
        <v>29584</v>
      </c>
      <c r="C6" s="81" t="s">
        <v>46</v>
      </c>
      <c r="D6" s="81" t="s">
        <v>92</v>
      </c>
      <c r="E6" s="81" t="s">
        <v>25609</v>
      </c>
      <c r="F6" s="81" t="s">
        <v>91</v>
      </c>
      <c r="G6" s="81" t="s">
        <v>29778</v>
      </c>
      <c r="H6" s="81" t="s">
        <v>29782</v>
      </c>
      <c r="I6" s="81" t="s">
        <v>147</v>
      </c>
      <c r="J6" s="84" t="s">
        <v>25993</v>
      </c>
      <c r="K6" s="81" t="s">
        <v>25678</v>
      </c>
      <c r="L6" s="81" t="s">
        <v>25598</v>
      </c>
      <c r="M6" s="81" t="s">
        <v>12</v>
      </c>
      <c r="N6" s="81">
        <v>1352</v>
      </c>
      <c r="O6" s="81" t="s">
        <v>29792</v>
      </c>
      <c r="P6" s="81" t="s">
        <v>25628</v>
      </c>
      <c r="Q6" s="80"/>
      <c r="R6" s="146"/>
      <c r="S6" s="103" t="str">
        <f t="shared" si="0"/>
        <v>88-278-19-</v>
      </c>
      <c r="V6" s="81">
        <v>18</v>
      </c>
    </row>
    <row r="7" spans="1:45" ht="15" customHeight="1" x14ac:dyDescent="0.2">
      <c r="A7" s="81" t="s">
        <v>29703</v>
      </c>
      <c r="B7" s="81" t="s">
        <v>29585</v>
      </c>
      <c r="C7" s="81" t="s">
        <v>46</v>
      </c>
      <c r="D7" s="81" t="s">
        <v>92</v>
      </c>
      <c r="E7" s="81" t="s">
        <v>25609</v>
      </c>
      <c r="F7" s="81" t="s">
        <v>91</v>
      </c>
      <c r="G7" s="81" t="s">
        <v>29778</v>
      </c>
      <c r="H7" s="81" t="s">
        <v>29783</v>
      </c>
      <c r="I7" s="81" t="s">
        <v>22</v>
      </c>
      <c r="J7" s="84" t="s">
        <v>25993</v>
      </c>
      <c r="K7" s="81" t="s">
        <v>25678</v>
      </c>
      <c r="L7" s="81" t="s">
        <v>25598</v>
      </c>
      <c r="M7" s="81" t="s">
        <v>12</v>
      </c>
      <c r="N7" s="81">
        <v>1352</v>
      </c>
      <c r="O7" s="81" t="s">
        <v>29792</v>
      </c>
      <c r="P7" s="81" t="s">
        <v>25628</v>
      </c>
      <c r="Q7" s="80"/>
      <c r="R7" s="146"/>
      <c r="S7" s="103" t="str">
        <f t="shared" si="0"/>
        <v>88-279-14-</v>
      </c>
      <c r="V7" s="81">
        <v>36</v>
      </c>
    </row>
    <row r="8" spans="1:45" ht="15" customHeight="1" x14ac:dyDescent="0.2">
      <c r="A8" s="81" t="s">
        <v>29704</v>
      </c>
      <c r="B8" s="81" t="s">
        <v>29586</v>
      </c>
      <c r="C8" s="81" t="s">
        <v>46</v>
      </c>
      <c r="D8" s="81" t="s">
        <v>92</v>
      </c>
      <c r="E8" s="81" t="s">
        <v>25609</v>
      </c>
      <c r="F8" s="81" t="s">
        <v>91</v>
      </c>
      <c r="G8" s="81" t="s">
        <v>29778</v>
      </c>
      <c r="H8" s="81" t="s">
        <v>29784</v>
      </c>
      <c r="I8" s="81" t="s">
        <v>25360</v>
      </c>
      <c r="J8" s="84" t="s">
        <v>25993</v>
      </c>
      <c r="K8" s="81" t="s">
        <v>25678</v>
      </c>
      <c r="L8" s="81" t="s">
        <v>25598</v>
      </c>
      <c r="M8" s="81" t="s">
        <v>12</v>
      </c>
      <c r="N8" s="81">
        <v>1352</v>
      </c>
      <c r="O8" s="81" t="s">
        <v>29792</v>
      </c>
      <c r="P8" s="81" t="s">
        <v>25628</v>
      </c>
      <c r="Q8" s="80"/>
      <c r="R8" s="146"/>
      <c r="S8" s="103" t="str">
        <f t="shared" si="0"/>
        <v>88-280-59-</v>
      </c>
      <c r="V8" s="81">
        <v>6</v>
      </c>
    </row>
    <row r="9" spans="1:45" ht="15" customHeight="1" x14ac:dyDescent="0.2">
      <c r="A9" s="81" t="s">
        <v>29705</v>
      </c>
      <c r="B9" s="81" t="s">
        <v>29587</v>
      </c>
      <c r="C9" s="81" t="s">
        <v>46</v>
      </c>
      <c r="D9" s="81" t="s">
        <v>92</v>
      </c>
      <c r="E9" s="81" t="s">
        <v>29773</v>
      </c>
      <c r="F9" s="81" t="s">
        <v>91</v>
      </c>
      <c r="G9" s="81" t="s">
        <v>29778</v>
      </c>
      <c r="H9" s="81" t="s">
        <v>29785</v>
      </c>
      <c r="I9" s="81" t="s">
        <v>1</v>
      </c>
      <c r="J9" s="84" t="s">
        <v>25993</v>
      </c>
      <c r="K9" s="81" t="s">
        <v>25678</v>
      </c>
      <c r="L9" s="81" t="s">
        <v>25598</v>
      </c>
      <c r="M9" s="81" t="s">
        <v>12</v>
      </c>
      <c r="N9" s="81">
        <v>1352</v>
      </c>
      <c r="O9" s="81" t="s">
        <v>29792</v>
      </c>
      <c r="P9" s="81" t="s">
        <v>29793</v>
      </c>
      <c r="Q9" s="80"/>
      <c r="R9" s="146"/>
      <c r="S9" s="103" t="str">
        <f t="shared" si="0"/>
        <v>88-281-09-</v>
      </c>
      <c r="V9" s="81">
        <v>36</v>
      </c>
    </row>
    <row r="10" spans="1:45" ht="15" customHeight="1" x14ac:dyDescent="0.2">
      <c r="A10" s="81" t="s">
        <v>29706</v>
      </c>
      <c r="B10" s="81" t="s">
        <v>29588</v>
      </c>
      <c r="C10" s="81" t="s">
        <v>46</v>
      </c>
      <c r="D10" s="81" t="s">
        <v>92</v>
      </c>
      <c r="E10" s="81" t="s">
        <v>25609</v>
      </c>
      <c r="F10" s="81" t="s">
        <v>91</v>
      </c>
      <c r="G10" s="81" t="s">
        <v>29778</v>
      </c>
      <c r="H10" s="81" t="s">
        <v>29784</v>
      </c>
      <c r="I10" s="81" t="s">
        <v>107</v>
      </c>
      <c r="J10" s="84" t="s">
        <v>25993</v>
      </c>
      <c r="K10" s="81" t="s">
        <v>25678</v>
      </c>
      <c r="L10" s="81" t="s">
        <v>25598</v>
      </c>
      <c r="M10" s="81" t="s">
        <v>12</v>
      </c>
      <c r="N10" s="81">
        <v>1352</v>
      </c>
      <c r="O10" s="81" t="s">
        <v>29792</v>
      </c>
      <c r="P10" s="81" t="s">
        <v>25628</v>
      </c>
      <c r="Q10" s="80"/>
      <c r="R10" s="146"/>
      <c r="S10" s="103" t="str">
        <f t="shared" si="0"/>
        <v>88-282-48-</v>
      </c>
      <c r="V10" s="81">
        <v>18</v>
      </c>
    </row>
    <row r="11" spans="1:45" ht="15" customHeight="1" x14ac:dyDescent="0.2">
      <c r="A11" s="81" t="s">
        <v>29707</v>
      </c>
      <c r="B11" s="81" t="s">
        <v>29589</v>
      </c>
      <c r="C11" s="81" t="s">
        <v>46</v>
      </c>
      <c r="D11" s="81" t="s">
        <v>92</v>
      </c>
      <c r="E11" s="81" t="s">
        <v>25609</v>
      </c>
      <c r="F11" s="81" t="s">
        <v>91</v>
      </c>
      <c r="G11" s="81" t="s">
        <v>29778</v>
      </c>
      <c r="H11" s="81" t="s">
        <v>29779</v>
      </c>
      <c r="I11" s="81" t="s">
        <v>28</v>
      </c>
      <c r="J11" s="84" t="s">
        <v>25993</v>
      </c>
      <c r="K11" s="81" t="s">
        <v>25678</v>
      </c>
      <c r="L11" s="81" t="s">
        <v>25598</v>
      </c>
      <c r="M11" s="81" t="s">
        <v>12</v>
      </c>
      <c r="N11" s="81">
        <v>1352</v>
      </c>
      <c r="O11" s="81" t="s">
        <v>29792</v>
      </c>
      <c r="P11" s="81" t="s">
        <v>25628</v>
      </c>
      <c r="Q11" s="80"/>
      <c r="R11" s="146"/>
      <c r="S11" s="103" t="str">
        <f t="shared" si="0"/>
        <v>88-283-80-</v>
      </c>
      <c r="V11" s="81">
        <v>12</v>
      </c>
    </row>
    <row r="12" spans="1:45" ht="15" customHeight="1" x14ac:dyDescent="0.2">
      <c r="A12" s="81" t="s">
        <v>29708</v>
      </c>
      <c r="B12" s="81" t="s">
        <v>29590</v>
      </c>
      <c r="C12" s="81" t="s">
        <v>46</v>
      </c>
      <c r="D12" s="81" t="s">
        <v>92</v>
      </c>
      <c r="E12" s="81" t="s">
        <v>25609</v>
      </c>
      <c r="F12" s="81" t="s">
        <v>91</v>
      </c>
      <c r="G12" s="81" t="s">
        <v>29778</v>
      </c>
      <c r="H12" s="81" t="s">
        <v>29785</v>
      </c>
      <c r="I12" s="81" t="s">
        <v>1</v>
      </c>
      <c r="J12" s="84" t="s">
        <v>26443</v>
      </c>
      <c r="L12" s="81" t="s">
        <v>25598</v>
      </c>
      <c r="M12" s="81" t="s">
        <v>12</v>
      </c>
      <c r="N12" s="81">
        <v>1352</v>
      </c>
      <c r="O12" s="81" t="s">
        <v>29792</v>
      </c>
      <c r="P12" s="81" t="s">
        <v>25628</v>
      </c>
      <c r="Q12" s="80"/>
      <c r="R12" s="146"/>
      <c r="S12" s="103" t="str">
        <f t="shared" si="0"/>
        <v>88-284-09-</v>
      </c>
      <c r="V12" s="81">
        <v>18</v>
      </c>
    </row>
    <row r="13" spans="1:45" ht="15" customHeight="1" x14ac:dyDescent="0.2">
      <c r="A13" s="80" t="s">
        <v>29709</v>
      </c>
      <c r="B13" s="81" t="s">
        <v>29591</v>
      </c>
      <c r="C13" s="81" t="s">
        <v>46</v>
      </c>
      <c r="D13" s="81" t="s">
        <v>92</v>
      </c>
      <c r="E13" s="81" t="s">
        <v>25609</v>
      </c>
      <c r="F13" s="81" t="s">
        <v>91</v>
      </c>
      <c r="G13" s="81" t="s">
        <v>29778</v>
      </c>
      <c r="H13" s="81" t="s">
        <v>29786</v>
      </c>
      <c r="I13" s="80" t="s">
        <v>104</v>
      </c>
      <c r="J13" s="84" t="s">
        <v>26443</v>
      </c>
      <c r="L13" s="81" t="s">
        <v>25598</v>
      </c>
      <c r="M13" s="81" t="s">
        <v>12</v>
      </c>
      <c r="N13" s="81">
        <v>1352</v>
      </c>
      <c r="O13" s="81" t="s">
        <v>29792</v>
      </c>
      <c r="P13" s="81" t="s">
        <v>25628</v>
      </c>
      <c r="Q13" s="80"/>
      <c r="R13" s="146"/>
      <c r="S13" s="103" t="str">
        <f t="shared" si="0"/>
        <v>88-285-00-</v>
      </c>
      <c r="V13" s="81">
        <v>18</v>
      </c>
    </row>
    <row r="14" spans="1:45" ht="15" customHeight="1" x14ac:dyDescent="0.2">
      <c r="A14" s="81" t="s">
        <v>29710</v>
      </c>
      <c r="B14" s="81" t="s">
        <v>29592</v>
      </c>
      <c r="C14" s="81" t="s">
        <v>46</v>
      </c>
      <c r="D14" s="81" t="s">
        <v>92</v>
      </c>
      <c r="E14" s="81" t="s">
        <v>25609</v>
      </c>
      <c r="F14" s="81" t="s">
        <v>91</v>
      </c>
      <c r="G14" s="81" t="s">
        <v>29778</v>
      </c>
      <c r="H14" s="81" t="s">
        <v>29786</v>
      </c>
      <c r="I14" s="81" t="s">
        <v>104</v>
      </c>
      <c r="J14" s="84" t="s">
        <v>26443</v>
      </c>
      <c r="L14" s="81" t="s">
        <v>25598</v>
      </c>
      <c r="M14" s="81" t="s">
        <v>12</v>
      </c>
      <c r="N14" s="81">
        <v>1352</v>
      </c>
      <c r="O14" s="81" t="s">
        <v>29792</v>
      </c>
      <c r="P14" s="81" t="s">
        <v>25628</v>
      </c>
      <c r="Q14" s="80"/>
      <c r="R14" s="146"/>
      <c r="S14" s="103" t="str">
        <f t="shared" si="0"/>
        <v>88-286-00-</v>
      </c>
      <c r="V14" s="81">
        <v>18</v>
      </c>
    </row>
    <row r="15" spans="1:45" ht="15" customHeight="1" x14ac:dyDescent="0.2">
      <c r="A15" s="81" t="s">
        <v>29711</v>
      </c>
      <c r="B15" s="81" t="s">
        <v>29593</v>
      </c>
      <c r="C15" s="81" t="s">
        <v>46</v>
      </c>
      <c r="D15" s="81" t="s">
        <v>47</v>
      </c>
      <c r="E15" s="81" t="s">
        <v>25606</v>
      </c>
      <c r="F15" s="81" t="s">
        <v>91</v>
      </c>
      <c r="G15" s="81" t="s">
        <v>29778</v>
      </c>
      <c r="H15" s="81" t="s">
        <v>29785</v>
      </c>
      <c r="I15" s="81" t="s">
        <v>1</v>
      </c>
      <c r="J15" s="84" t="s">
        <v>59</v>
      </c>
      <c r="L15" s="81" t="s">
        <v>25598</v>
      </c>
      <c r="M15" s="81" t="s">
        <v>12</v>
      </c>
      <c r="N15" s="81">
        <v>1352</v>
      </c>
      <c r="O15" s="81" t="s">
        <v>29792</v>
      </c>
      <c r="P15" s="81" t="s">
        <v>25624</v>
      </c>
      <c r="Q15" s="80"/>
      <c r="R15" s="146"/>
      <c r="S15" s="103" t="str">
        <f t="shared" si="0"/>
        <v>88-287-09-</v>
      </c>
      <c r="V15" s="81">
        <v>54</v>
      </c>
    </row>
    <row r="16" spans="1:45" ht="15" customHeight="1" x14ac:dyDescent="0.2">
      <c r="A16" s="81" t="s">
        <v>29712</v>
      </c>
      <c r="B16" s="81" t="s">
        <v>29594</v>
      </c>
      <c r="C16" s="81" t="s">
        <v>46</v>
      </c>
      <c r="D16" s="81" t="s">
        <v>47</v>
      </c>
      <c r="E16" s="81" t="s">
        <v>25606</v>
      </c>
      <c r="F16" s="81" t="s">
        <v>91</v>
      </c>
      <c r="G16" s="81" t="s">
        <v>29778</v>
      </c>
      <c r="H16" s="81" t="s">
        <v>29785</v>
      </c>
      <c r="I16" s="81" t="s">
        <v>1</v>
      </c>
      <c r="J16" s="84" t="s">
        <v>59</v>
      </c>
      <c r="L16" s="81" t="s">
        <v>25598</v>
      </c>
      <c r="M16" s="81" t="s">
        <v>12</v>
      </c>
      <c r="N16" s="81">
        <v>1352</v>
      </c>
      <c r="O16" s="81" t="s">
        <v>29792</v>
      </c>
      <c r="P16" s="81" t="s">
        <v>25624</v>
      </c>
      <c r="Q16" s="80"/>
      <c r="R16" s="146"/>
      <c r="S16" s="103" t="str">
        <f t="shared" si="0"/>
        <v>88-288-09-</v>
      </c>
      <c r="V16" s="81">
        <v>54</v>
      </c>
    </row>
    <row r="17" spans="1:22" ht="15" customHeight="1" x14ac:dyDescent="0.2">
      <c r="A17" s="81" t="s">
        <v>29713</v>
      </c>
      <c r="B17" s="81" t="s">
        <v>29595</v>
      </c>
      <c r="C17" s="81" t="s">
        <v>46</v>
      </c>
      <c r="D17" s="81" t="s">
        <v>47</v>
      </c>
      <c r="E17" s="81" t="s">
        <v>25606</v>
      </c>
      <c r="F17" s="81" t="s">
        <v>91</v>
      </c>
      <c r="G17" s="81" t="s">
        <v>29778</v>
      </c>
      <c r="H17" s="81" t="s">
        <v>29785</v>
      </c>
      <c r="I17" s="81" t="s">
        <v>1</v>
      </c>
      <c r="J17" s="84" t="s">
        <v>59</v>
      </c>
      <c r="L17" s="81" t="s">
        <v>25598</v>
      </c>
      <c r="M17" s="81" t="s">
        <v>12</v>
      </c>
      <c r="N17" s="81">
        <v>1352</v>
      </c>
      <c r="O17" s="81" t="s">
        <v>29792</v>
      </c>
      <c r="P17" s="81" t="s">
        <v>25624</v>
      </c>
      <c r="Q17" s="80"/>
      <c r="R17" s="146"/>
      <c r="S17" s="103" t="str">
        <f t="shared" si="0"/>
        <v>88-289-09-</v>
      </c>
      <c r="V17" s="81">
        <v>54</v>
      </c>
    </row>
    <row r="18" spans="1:22" ht="15" customHeight="1" x14ac:dyDescent="0.2">
      <c r="A18" s="81" t="s">
        <v>29714</v>
      </c>
      <c r="B18" s="81" t="s">
        <v>29596</v>
      </c>
      <c r="C18" s="81" t="s">
        <v>46</v>
      </c>
      <c r="D18" s="81" t="s">
        <v>92</v>
      </c>
      <c r="E18" s="81" t="s">
        <v>25606</v>
      </c>
      <c r="F18" s="81" t="s">
        <v>91</v>
      </c>
      <c r="G18" s="81" t="s">
        <v>29778</v>
      </c>
      <c r="H18" s="81" t="s">
        <v>29785</v>
      </c>
      <c r="I18" s="81" t="s">
        <v>1</v>
      </c>
      <c r="J18" s="84" t="s">
        <v>29798</v>
      </c>
      <c r="K18" s="81" t="s">
        <v>25678</v>
      </c>
      <c r="L18" s="81" t="s">
        <v>25598</v>
      </c>
      <c r="M18" s="81" t="s">
        <v>12</v>
      </c>
      <c r="N18" s="81">
        <v>1352</v>
      </c>
      <c r="O18" s="81" t="s">
        <v>29792</v>
      </c>
      <c r="P18" s="81" t="s">
        <v>25624</v>
      </c>
      <c r="Q18" s="80"/>
      <c r="R18" s="146"/>
      <c r="S18" s="103" t="str">
        <f t="shared" si="0"/>
        <v>88-290-09-</v>
      </c>
      <c r="V18" s="81">
        <v>48</v>
      </c>
    </row>
    <row r="19" spans="1:22" ht="15" customHeight="1" x14ac:dyDescent="0.2">
      <c r="A19" s="81" t="s">
        <v>29715</v>
      </c>
      <c r="B19" s="81" t="s">
        <v>29597</v>
      </c>
      <c r="C19" s="81" t="s">
        <v>46</v>
      </c>
      <c r="D19" s="81" t="s">
        <v>92</v>
      </c>
      <c r="E19" s="81" t="s">
        <v>25607</v>
      </c>
      <c r="F19" s="81" t="s">
        <v>91</v>
      </c>
      <c r="G19" s="81" t="s">
        <v>29778</v>
      </c>
      <c r="H19" s="81" t="s">
        <v>29782</v>
      </c>
      <c r="I19" s="81" t="s">
        <v>25488</v>
      </c>
      <c r="J19" s="84" t="s">
        <v>29798</v>
      </c>
      <c r="K19" s="81" t="s">
        <v>25678</v>
      </c>
      <c r="L19" s="81" t="s">
        <v>25598</v>
      </c>
      <c r="M19" s="81" t="s">
        <v>12</v>
      </c>
      <c r="N19" s="81">
        <v>1352</v>
      </c>
      <c r="O19" s="81" t="s">
        <v>29792</v>
      </c>
      <c r="P19" s="81" t="s">
        <v>25625</v>
      </c>
      <c r="Q19" s="80"/>
      <c r="R19" s="146"/>
      <c r="S19" s="103" t="str">
        <f t="shared" si="0"/>
        <v>88-291-78-</v>
      </c>
      <c r="V19" s="81">
        <v>30</v>
      </c>
    </row>
    <row r="20" spans="1:22" ht="15" customHeight="1" x14ac:dyDescent="0.2">
      <c r="A20" s="81" t="s">
        <v>29716</v>
      </c>
      <c r="B20" s="81" t="s">
        <v>29598</v>
      </c>
      <c r="C20" s="81" t="s">
        <v>46</v>
      </c>
      <c r="D20" s="81" t="s">
        <v>92</v>
      </c>
      <c r="E20" s="81" t="s">
        <v>25606</v>
      </c>
      <c r="F20" s="81" t="s">
        <v>91</v>
      </c>
      <c r="G20" s="81" t="s">
        <v>29778</v>
      </c>
      <c r="H20" s="81" t="s">
        <v>29785</v>
      </c>
      <c r="I20" s="81" t="s">
        <v>1</v>
      </c>
      <c r="J20" s="84" t="s">
        <v>29798</v>
      </c>
      <c r="K20" s="81" t="s">
        <v>25678</v>
      </c>
      <c r="L20" s="81" t="s">
        <v>25598</v>
      </c>
      <c r="M20" s="81" t="s">
        <v>12</v>
      </c>
      <c r="N20" s="81">
        <v>1352</v>
      </c>
      <c r="O20" s="81" t="s">
        <v>29792</v>
      </c>
      <c r="P20" s="81" t="s">
        <v>25624</v>
      </c>
      <c r="Q20" s="80"/>
      <c r="R20" s="146"/>
      <c r="S20" s="103" t="str">
        <f t="shared" si="0"/>
        <v>88-292-09-</v>
      </c>
      <c r="V20" s="81">
        <v>102</v>
      </c>
    </row>
    <row r="21" spans="1:22" ht="15" customHeight="1" x14ac:dyDescent="0.2">
      <c r="A21" s="81" t="s">
        <v>29717</v>
      </c>
      <c r="B21" s="81" t="s">
        <v>29599</v>
      </c>
      <c r="C21" s="81" t="s">
        <v>46</v>
      </c>
      <c r="D21" s="81" t="s">
        <v>92</v>
      </c>
      <c r="E21" s="81" t="s">
        <v>25607</v>
      </c>
      <c r="F21" s="81" t="s">
        <v>91</v>
      </c>
      <c r="G21" s="81" t="s">
        <v>29778</v>
      </c>
      <c r="H21" s="81" t="s">
        <v>29785</v>
      </c>
      <c r="I21" s="81" t="s">
        <v>1</v>
      </c>
      <c r="J21" s="84" t="s">
        <v>29798</v>
      </c>
      <c r="K21" s="81" t="s">
        <v>25678</v>
      </c>
      <c r="L21" s="81" t="s">
        <v>25598</v>
      </c>
      <c r="M21" s="81" t="s">
        <v>12</v>
      </c>
      <c r="N21" s="81">
        <v>1352</v>
      </c>
      <c r="O21" s="81" t="s">
        <v>29792</v>
      </c>
      <c r="P21" s="81" t="s">
        <v>25625</v>
      </c>
      <c r="Q21" s="80"/>
      <c r="R21" s="146"/>
      <c r="S21" s="103" t="str">
        <f t="shared" si="0"/>
        <v>88-293-09-</v>
      </c>
      <c r="V21" s="81">
        <v>120</v>
      </c>
    </row>
    <row r="22" spans="1:22" ht="15" customHeight="1" x14ac:dyDescent="0.2">
      <c r="A22" s="81" t="s">
        <v>29718</v>
      </c>
      <c r="B22" s="81" t="s">
        <v>29600</v>
      </c>
      <c r="C22" s="81" t="s">
        <v>46</v>
      </c>
      <c r="D22" s="81" t="s">
        <v>92</v>
      </c>
      <c r="E22" s="81" t="s">
        <v>25607</v>
      </c>
      <c r="F22" s="81" t="s">
        <v>91</v>
      </c>
      <c r="G22" s="81" t="s">
        <v>29778</v>
      </c>
      <c r="H22" s="81" t="s">
        <v>29784</v>
      </c>
      <c r="I22" s="81" t="s">
        <v>201</v>
      </c>
      <c r="J22" s="84" t="s">
        <v>29798</v>
      </c>
      <c r="K22" s="81" t="s">
        <v>25678</v>
      </c>
      <c r="L22" s="81" t="s">
        <v>25598</v>
      </c>
      <c r="M22" s="81" t="s">
        <v>12</v>
      </c>
      <c r="N22" s="81">
        <v>1352</v>
      </c>
      <c r="O22" s="81" t="s">
        <v>29792</v>
      </c>
      <c r="P22" s="81" t="s">
        <v>25625</v>
      </c>
      <c r="Q22" s="80"/>
      <c r="R22" s="146"/>
      <c r="S22" s="103" t="str">
        <f t="shared" si="0"/>
        <v>88-294-38-</v>
      </c>
      <c r="V22" s="81">
        <v>144</v>
      </c>
    </row>
    <row r="23" spans="1:22" ht="15" customHeight="1" x14ac:dyDescent="0.2">
      <c r="A23" s="81" t="s">
        <v>29719</v>
      </c>
      <c r="B23" s="81" t="s">
        <v>29601</v>
      </c>
      <c r="C23" s="81" t="s">
        <v>46</v>
      </c>
      <c r="D23" s="81" t="s">
        <v>47</v>
      </c>
      <c r="E23" s="81" t="s">
        <v>25607</v>
      </c>
      <c r="F23" s="81" t="s">
        <v>91</v>
      </c>
      <c r="G23" s="81" t="s">
        <v>29778</v>
      </c>
      <c r="H23" s="81" t="s">
        <v>29785</v>
      </c>
      <c r="I23" s="81" t="s">
        <v>1</v>
      </c>
      <c r="J23" s="84" t="s">
        <v>11</v>
      </c>
      <c r="K23" s="81" t="s">
        <v>25678</v>
      </c>
      <c r="L23" s="81" t="s">
        <v>25598</v>
      </c>
      <c r="M23" s="81" t="s">
        <v>12</v>
      </c>
      <c r="N23" s="81">
        <v>1352</v>
      </c>
      <c r="O23" s="81" t="s">
        <v>29792</v>
      </c>
      <c r="P23" s="81" t="s">
        <v>25625</v>
      </c>
      <c r="Q23" s="80"/>
      <c r="R23" s="146"/>
      <c r="S23" s="103" t="str">
        <f t="shared" si="0"/>
        <v>88-295-09-</v>
      </c>
      <c r="V23" s="81">
        <v>120</v>
      </c>
    </row>
    <row r="24" spans="1:22" ht="15" customHeight="1" x14ac:dyDescent="0.2">
      <c r="A24" s="81" t="s">
        <v>29720</v>
      </c>
      <c r="B24" s="81" t="s">
        <v>29602</v>
      </c>
      <c r="C24" s="81" t="s">
        <v>46</v>
      </c>
      <c r="D24" s="81" t="s">
        <v>47</v>
      </c>
      <c r="E24" s="81" t="s">
        <v>25607</v>
      </c>
      <c r="F24" s="81" t="s">
        <v>91</v>
      </c>
      <c r="G24" s="81" t="s">
        <v>29778</v>
      </c>
      <c r="H24" s="81" t="s">
        <v>29785</v>
      </c>
      <c r="I24" s="81" t="s">
        <v>1</v>
      </c>
      <c r="J24" s="84" t="s">
        <v>59</v>
      </c>
      <c r="L24" s="81" t="s">
        <v>25598</v>
      </c>
      <c r="M24" s="81" t="s">
        <v>12</v>
      </c>
      <c r="N24" s="81">
        <v>1352</v>
      </c>
      <c r="O24" s="81" t="s">
        <v>29792</v>
      </c>
      <c r="P24" s="81" t="s">
        <v>25625</v>
      </c>
      <c r="Q24" s="80"/>
      <c r="R24" s="146"/>
      <c r="S24" s="103" t="str">
        <f t="shared" si="0"/>
        <v>88-296-09-</v>
      </c>
      <c r="V24" s="81">
        <v>42</v>
      </c>
    </row>
    <row r="25" spans="1:22" ht="15" customHeight="1" x14ac:dyDescent="0.2">
      <c r="A25" s="81" t="s">
        <v>29721</v>
      </c>
      <c r="B25" s="81" t="s">
        <v>29603</v>
      </c>
      <c r="C25" s="81" t="s">
        <v>46</v>
      </c>
      <c r="D25" s="81" t="s">
        <v>47</v>
      </c>
      <c r="E25" s="81" t="s">
        <v>25607</v>
      </c>
      <c r="F25" s="81" t="s">
        <v>91</v>
      </c>
      <c r="G25" s="81" t="s">
        <v>29778</v>
      </c>
      <c r="H25" s="81" t="s">
        <v>29785</v>
      </c>
      <c r="I25" s="81" t="s">
        <v>1</v>
      </c>
      <c r="J25" s="84" t="s">
        <v>59</v>
      </c>
      <c r="L25" s="81" t="s">
        <v>25598</v>
      </c>
      <c r="M25" s="81" t="s">
        <v>12</v>
      </c>
      <c r="N25" s="81">
        <v>1352</v>
      </c>
      <c r="O25" s="81" t="s">
        <v>29792</v>
      </c>
      <c r="P25" s="81" t="s">
        <v>25625</v>
      </c>
      <c r="Q25" s="80"/>
      <c r="R25" s="146"/>
      <c r="S25" s="103" t="str">
        <f t="shared" si="0"/>
        <v>88-297-09-</v>
      </c>
      <c r="V25" s="81">
        <v>42</v>
      </c>
    </row>
    <row r="26" spans="1:22" ht="15" customHeight="1" x14ac:dyDescent="0.2">
      <c r="A26" s="81" t="s">
        <v>29722</v>
      </c>
      <c r="B26" s="81" t="s">
        <v>29604</v>
      </c>
      <c r="C26" s="81" t="s">
        <v>46</v>
      </c>
      <c r="D26" s="81" t="s">
        <v>47</v>
      </c>
      <c r="E26" s="81" t="s">
        <v>25607</v>
      </c>
      <c r="F26" s="81" t="s">
        <v>91</v>
      </c>
      <c r="G26" s="81" t="s">
        <v>29778</v>
      </c>
      <c r="H26" s="81" t="s">
        <v>29785</v>
      </c>
      <c r="I26" s="81" t="s">
        <v>1</v>
      </c>
      <c r="J26" s="84" t="s">
        <v>59</v>
      </c>
      <c r="L26" s="81" t="s">
        <v>25598</v>
      </c>
      <c r="M26" s="81" t="s">
        <v>12</v>
      </c>
      <c r="N26" s="81">
        <v>1352</v>
      </c>
      <c r="O26" s="81" t="s">
        <v>29792</v>
      </c>
      <c r="P26" s="81" t="s">
        <v>25625</v>
      </c>
      <c r="Q26" s="80"/>
      <c r="R26" s="146"/>
      <c r="S26" s="103" t="str">
        <f t="shared" si="0"/>
        <v>88-298-09-</v>
      </c>
      <c r="V26" s="81">
        <v>60</v>
      </c>
    </row>
    <row r="27" spans="1:22" ht="15" customHeight="1" x14ac:dyDescent="0.2">
      <c r="A27" s="81" t="s">
        <v>29723</v>
      </c>
      <c r="B27" s="81" t="s">
        <v>29605</v>
      </c>
      <c r="C27" s="81" t="s">
        <v>46</v>
      </c>
      <c r="D27" s="81" t="s">
        <v>92</v>
      </c>
      <c r="E27" s="81" t="s">
        <v>25607</v>
      </c>
      <c r="F27" s="81" t="s">
        <v>91</v>
      </c>
      <c r="G27" s="81" t="s">
        <v>29778</v>
      </c>
      <c r="H27" s="81" t="s">
        <v>29785</v>
      </c>
      <c r="I27" s="81" t="s">
        <v>1</v>
      </c>
      <c r="J27" s="84" t="s">
        <v>26146</v>
      </c>
      <c r="L27" s="81" t="s">
        <v>25598</v>
      </c>
      <c r="M27" s="81" t="s">
        <v>12</v>
      </c>
      <c r="N27" s="81">
        <v>1352</v>
      </c>
      <c r="O27" s="81" t="s">
        <v>29792</v>
      </c>
      <c r="P27" s="81" t="s">
        <v>25625</v>
      </c>
      <c r="Q27" s="80"/>
      <c r="R27" s="146"/>
      <c r="S27" s="103" t="str">
        <f t="shared" si="0"/>
        <v>88-299-09-</v>
      </c>
      <c r="V27" s="81">
        <v>120</v>
      </c>
    </row>
    <row r="28" spans="1:22" ht="15" customHeight="1" x14ac:dyDescent="0.2">
      <c r="A28" s="81" t="s">
        <v>29724</v>
      </c>
      <c r="B28" s="81" t="s">
        <v>29606</v>
      </c>
      <c r="C28" s="81" t="s">
        <v>46</v>
      </c>
      <c r="D28" s="81" t="s">
        <v>92</v>
      </c>
      <c r="E28" s="81" t="s">
        <v>25607</v>
      </c>
      <c r="F28" s="81" t="s">
        <v>91</v>
      </c>
      <c r="G28" s="81" t="s">
        <v>29778</v>
      </c>
      <c r="H28" s="81" t="s">
        <v>29785</v>
      </c>
      <c r="I28" s="81" t="s">
        <v>1</v>
      </c>
      <c r="J28" s="84" t="s">
        <v>26146</v>
      </c>
      <c r="L28" s="81" t="s">
        <v>25598</v>
      </c>
      <c r="M28" s="81" t="s">
        <v>12</v>
      </c>
      <c r="N28" s="81">
        <v>1352</v>
      </c>
      <c r="O28" s="81" t="s">
        <v>29792</v>
      </c>
      <c r="P28" s="81" t="s">
        <v>25625</v>
      </c>
      <c r="Q28" s="80"/>
      <c r="R28" s="146"/>
      <c r="S28" s="103" t="str">
        <f t="shared" si="0"/>
        <v>88-300-09-</v>
      </c>
      <c r="V28" s="81">
        <v>96</v>
      </c>
    </row>
    <row r="29" spans="1:22" ht="15" customHeight="1" x14ac:dyDescent="0.2">
      <c r="A29" s="81" t="s">
        <v>29725</v>
      </c>
      <c r="B29" s="81" t="s">
        <v>29607</v>
      </c>
      <c r="C29" s="81" t="s">
        <v>46</v>
      </c>
      <c r="D29" s="81" t="s">
        <v>47</v>
      </c>
      <c r="E29" s="81" t="s">
        <v>25607</v>
      </c>
      <c r="F29" s="81" t="s">
        <v>91</v>
      </c>
      <c r="G29" s="81" t="s">
        <v>29778</v>
      </c>
      <c r="H29" s="81" t="s">
        <v>29785</v>
      </c>
      <c r="I29" s="81" t="s">
        <v>1</v>
      </c>
      <c r="J29" s="84" t="s">
        <v>59</v>
      </c>
      <c r="L29" s="81" t="s">
        <v>25598</v>
      </c>
      <c r="M29" s="81" t="s">
        <v>12</v>
      </c>
      <c r="N29" s="81">
        <v>1352</v>
      </c>
      <c r="O29" s="81" t="s">
        <v>29792</v>
      </c>
      <c r="P29" s="81" t="s">
        <v>25625</v>
      </c>
      <c r="Q29" s="80"/>
      <c r="R29" s="146"/>
      <c r="S29" s="103" t="str">
        <f t="shared" si="0"/>
        <v>88-301-09-</v>
      </c>
      <c r="V29" s="81">
        <v>60</v>
      </c>
    </row>
    <row r="30" spans="1:22" ht="15" customHeight="1" x14ac:dyDescent="0.2">
      <c r="A30" s="81" t="s">
        <v>29726</v>
      </c>
      <c r="B30" s="81" t="s">
        <v>29608</v>
      </c>
      <c r="C30" s="81" t="s">
        <v>46</v>
      </c>
      <c r="D30" s="81" t="s">
        <v>92</v>
      </c>
      <c r="E30" s="81" t="s">
        <v>25610</v>
      </c>
      <c r="F30" s="81" t="s">
        <v>91</v>
      </c>
      <c r="G30" s="81" t="s">
        <v>29778</v>
      </c>
      <c r="H30" s="81" t="s">
        <v>29785</v>
      </c>
      <c r="I30" s="81" t="s">
        <v>1</v>
      </c>
      <c r="J30" s="84" t="s">
        <v>29798</v>
      </c>
      <c r="K30" s="81" t="s">
        <v>25678</v>
      </c>
      <c r="L30" s="81" t="s">
        <v>25598</v>
      </c>
      <c r="M30" s="81" t="s">
        <v>12</v>
      </c>
      <c r="N30" s="81">
        <v>1352</v>
      </c>
      <c r="O30" s="81" t="s">
        <v>29792</v>
      </c>
      <c r="P30" s="81" t="s">
        <v>25647</v>
      </c>
      <c r="Q30" s="80"/>
      <c r="R30" s="146"/>
      <c r="S30" s="103" t="str">
        <f t="shared" si="0"/>
        <v>88-302-09-</v>
      </c>
      <c r="V30" s="81">
        <v>84</v>
      </c>
    </row>
    <row r="31" spans="1:22" ht="15" customHeight="1" x14ac:dyDescent="0.2">
      <c r="A31" s="81" t="s">
        <v>29727</v>
      </c>
      <c r="B31" s="81" t="s">
        <v>29609</v>
      </c>
      <c r="C31" s="81" t="s">
        <v>46</v>
      </c>
      <c r="D31" s="81" t="s">
        <v>92</v>
      </c>
      <c r="E31" s="81" t="s">
        <v>25610</v>
      </c>
      <c r="F31" s="81" t="s">
        <v>91</v>
      </c>
      <c r="G31" s="81" t="s">
        <v>29778</v>
      </c>
      <c r="H31" s="81" t="s">
        <v>29783</v>
      </c>
      <c r="I31" s="81" t="s">
        <v>25407</v>
      </c>
      <c r="J31" s="84" t="s">
        <v>29798</v>
      </c>
      <c r="K31" s="81" t="s">
        <v>25678</v>
      </c>
      <c r="L31" s="81" t="s">
        <v>25598</v>
      </c>
      <c r="M31" s="81" t="s">
        <v>12</v>
      </c>
      <c r="N31" s="81">
        <v>1352</v>
      </c>
      <c r="O31" s="81" t="s">
        <v>29792</v>
      </c>
      <c r="P31" s="81" t="s">
        <v>25647</v>
      </c>
      <c r="Q31" s="80"/>
      <c r="R31" s="146"/>
      <c r="S31" s="103" t="str">
        <f t="shared" si="0"/>
        <v>88-303-66-</v>
      </c>
      <c r="V31" s="81">
        <v>30</v>
      </c>
    </row>
    <row r="32" spans="1:22" ht="15" customHeight="1" x14ac:dyDescent="0.2">
      <c r="A32" s="81" t="s">
        <v>29728</v>
      </c>
      <c r="B32" s="81" t="s">
        <v>29610</v>
      </c>
      <c r="C32" s="81" t="s">
        <v>46</v>
      </c>
      <c r="D32" s="81" t="s">
        <v>92</v>
      </c>
      <c r="E32" s="81" t="s">
        <v>25610</v>
      </c>
      <c r="F32" s="81" t="s">
        <v>91</v>
      </c>
      <c r="G32" s="81" t="s">
        <v>29778</v>
      </c>
      <c r="H32" s="81" t="s">
        <v>29780</v>
      </c>
      <c r="I32" s="81" t="s">
        <v>210</v>
      </c>
      <c r="J32" s="84" t="s">
        <v>26146</v>
      </c>
      <c r="L32" s="81" t="s">
        <v>25598</v>
      </c>
      <c r="M32" s="81" t="s">
        <v>12</v>
      </c>
      <c r="N32" s="81">
        <v>1352</v>
      </c>
      <c r="O32" s="81" t="s">
        <v>29792</v>
      </c>
      <c r="P32" s="81" t="s">
        <v>25647</v>
      </c>
      <c r="Q32" s="80"/>
      <c r="R32" s="146"/>
      <c r="S32" s="103" t="str">
        <f t="shared" si="0"/>
        <v>88-304-72-</v>
      </c>
      <c r="V32" s="81">
        <v>48</v>
      </c>
    </row>
    <row r="33" spans="1:22" ht="15" customHeight="1" x14ac:dyDescent="0.2">
      <c r="A33" s="81" t="s">
        <v>29729</v>
      </c>
      <c r="B33" s="81" t="s">
        <v>29611</v>
      </c>
      <c r="C33" s="81" t="s">
        <v>46</v>
      </c>
      <c r="D33" s="81" t="s">
        <v>92</v>
      </c>
      <c r="E33" s="81" t="s">
        <v>25610</v>
      </c>
      <c r="F33" s="81" t="s">
        <v>91</v>
      </c>
      <c r="G33" s="81" t="s">
        <v>29778</v>
      </c>
      <c r="H33" s="81" t="s">
        <v>29785</v>
      </c>
      <c r="I33" s="81" t="s">
        <v>1</v>
      </c>
      <c r="J33" s="84" t="s">
        <v>26146</v>
      </c>
      <c r="K33" s="81" t="s">
        <v>25678</v>
      </c>
      <c r="L33" s="81" t="s">
        <v>25598</v>
      </c>
      <c r="M33" s="81" t="s">
        <v>12</v>
      </c>
      <c r="N33" s="81">
        <v>1352</v>
      </c>
      <c r="O33" s="81" t="s">
        <v>29792</v>
      </c>
      <c r="P33" s="81" t="s">
        <v>25647</v>
      </c>
      <c r="Q33" s="80"/>
      <c r="R33" s="146"/>
      <c r="S33" s="103" t="str">
        <f t="shared" si="0"/>
        <v>88-305-09-</v>
      </c>
      <c r="V33" s="81">
        <v>144</v>
      </c>
    </row>
    <row r="34" spans="1:22" ht="15" customHeight="1" x14ac:dyDescent="0.2">
      <c r="A34" s="81" t="s">
        <v>29730</v>
      </c>
      <c r="B34" s="81" t="s">
        <v>29612</v>
      </c>
      <c r="C34" s="81" t="s">
        <v>46</v>
      </c>
      <c r="D34" s="81" t="s">
        <v>92</v>
      </c>
      <c r="E34" s="81" t="s">
        <v>25610</v>
      </c>
      <c r="F34" s="81" t="s">
        <v>91</v>
      </c>
      <c r="G34" s="81" t="s">
        <v>29778</v>
      </c>
      <c r="H34" s="81" t="s">
        <v>29785</v>
      </c>
      <c r="I34" s="81" t="s">
        <v>1</v>
      </c>
      <c r="J34" s="84" t="s">
        <v>25993</v>
      </c>
      <c r="K34" s="81" t="s">
        <v>25678</v>
      </c>
      <c r="L34" s="81" t="s">
        <v>25598</v>
      </c>
      <c r="M34" s="81" t="s">
        <v>12</v>
      </c>
      <c r="N34" s="81">
        <v>1352</v>
      </c>
      <c r="O34" s="81" t="s">
        <v>29792</v>
      </c>
      <c r="P34" s="81" t="s">
        <v>25647</v>
      </c>
      <c r="Q34" s="80"/>
      <c r="R34" s="146"/>
      <c r="S34" s="103" t="str">
        <f t="shared" si="0"/>
        <v>88-306-09-</v>
      </c>
      <c r="V34" s="81">
        <v>96</v>
      </c>
    </row>
    <row r="35" spans="1:22" ht="15" customHeight="1" x14ac:dyDescent="0.2">
      <c r="A35" s="81" t="s">
        <v>29731</v>
      </c>
      <c r="B35" s="81" t="s">
        <v>29613</v>
      </c>
      <c r="C35" s="81" t="s">
        <v>46</v>
      </c>
      <c r="D35" s="81" t="s">
        <v>92</v>
      </c>
      <c r="E35" s="81" t="s">
        <v>25610</v>
      </c>
      <c r="F35" s="81" t="s">
        <v>91</v>
      </c>
      <c r="G35" s="81" t="s">
        <v>29778</v>
      </c>
      <c r="H35" s="81" t="s">
        <v>29780</v>
      </c>
      <c r="I35" s="81" t="s">
        <v>96</v>
      </c>
      <c r="J35" s="84" t="s">
        <v>25993</v>
      </c>
      <c r="K35" s="81" t="s">
        <v>25678</v>
      </c>
      <c r="L35" s="81" t="s">
        <v>25598</v>
      </c>
      <c r="M35" s="81" t="s">
        <v>12</v>
      </c>
      <c r="N35" s="81">
        <v>1352</v>
      </c>
      <c r="O35" s="81" t="s">
        <v>29792</v>
      </c>
      <c r="P35" s="81" t="s">
        <v>25647</v>
      </c>
      <c r="Q35" s="80"/>
      <c r="R35" s="146"/>
      <c r="S35" s="103" t="str">
        <f t="shared" si="0"/>
        <v>88-307-12-</v>
      </c>
      <c r="V35" s="81">
        <v>108</v>
      </c>
    </row>
    <row r="36" spans="1:22" ht="15" customHeight="1" x14ac:dyDescent="0.2">
      <c r="A36" s="81" t="s">
        <v>29732</v>
      </c>
      <c r="B36" s="81" t="s">
        <v>29614</v>
      </c>
      <c r="C36" s="81" t="s">
        <v>46</v>
      </c>
      <c r="D36" s="81" t="s">
        <v>92</v>
      </c>
      <c r="E36" s="81" t="s">
        <v>25610</v>
      </c>
      <c r="F36" s="81" t="s">
        <v>91</v>
      </c>
      <c r="G36" s="81" t="s">
        <v>29778</v>
      </c>
      <c r="H36" s="81" t="s">
        <v>29785</v>
      </c>
      <c r="I36" s="81" t="s">
        <v>1</v>
      </c>
      <c r="J36" s="84" t="s">
        <v>26443</v>
      </c>
      <c r="L36" s="81" t="s">
        <v>25598</v>
      </c>
      <c r="M36" s="81" t="s">
        <v>12</v>
      </c>
      <c r="N36" s="81">
        <v>1352</v>
      </c>
      <c r="O36" s="81" t="s">
        <v>29792</v>
      </c>
      <c r="P36" s="81" t="s">
        <v>25647</v>
      </c>
      <c r="Q36" s="80"/>
      <c r="R36" s="146"/>
      <c r="S36" s="103" t="str">
        <f t="shared" si="0"/>
        <v>88-308-09-</v>
      </c>
      <c r="V36" s="81">
        <v>96</v>
      </c>
    </row>
    <row r="37" spans="1:22" ht="15" customHeight="1" x14ac:dyDescent="0.2">
      <c r="A37" s="81" t="s">
        <v>29733</v>
      </c>
      <c r="B37" s="81" t="s">
        <v>29615</v>
      </c>
      <c r="C37" s="81" t="s">
        <v>46</v>
      </c>
      <c r="D37" s="81" t="s">
        <v>92</v>
      </c>
      <c r="E37" s="81" t="s">
        <v>25610</v>
      </c>
      <c r="F37" s="81" t="s">
        <v>91</v>
      </c>
      <c r="G37" s="81" t="s">
        <v>29778</v>
      </c>
      <c r="H37" s="81" t="s">
        <v>29784</v>
      </c>
      <c r="I37" s="81" t="s">
        <v>25358</v>
      </c>
      <c r="J37" s="84" t="s">
        <v>25993</v>
      </c>
      <c r="K37" s="81" t="s">
        <v>25678</v>
      </c>
      <c r="L37" s="81" t="s">
        <v>25598</v>
      </c>
      <c r="M37" s="81" t="s">
        <v>12</v>
      </c>
      <c r="N37" s="81">
        <v>1352</v>
      </c>
      <c r="O37" s="81" t="s">
        <v>29792</v>
      </c>
      <c r="P37" s="81" t="s">
        <v>25647</v>
      </c>
      <c r="Q37" s="80"/>
      <c r="R37" s="146"/>
      <c r="S37" s="103" t="str">
        <f t="shared" si="0"/>
        <v>88-309-45-</v>
      </c>
      <c r="V37" s="81">
        <v>48</v>
      </c>
    </row>
    <row r="38" spans="1:22" ht="15" customHeight="1" x14ac:dyDescent="0.2">
      <c r="A38" s="81" t="s">
        <v>29734</v>
      </c>
      <c r="B38" s="81" t="s">
        <v>29616</v>
      </c>
      <c r="C38" s="81" t="s">
        <v>46</v>
      </c>
      <c r="D38" s="81" t="s">
        <v>92</v>
      </c>
      <c r="E38" s="81" t="s">
        <v>25610</v>
      </c>
      <c r="F38" s="81" t="s">
        <v>91</v>
      </c>
      <c r="G38" s="81" t="s">
        <v>29778</v>
      </c>
      <c r="H38" s="81" t="s">
        <v>29781</v>
      </c>
      <c r="I38" s="81" t="s">
        <v>23</v>
      </c>
      <c r="J38" s="84" t="s">
        <v>26146</v>
      </c>
      <c r="L38" s="81" t="s">
        <v>25598</v>
      </c>
      <c r="M38" s="81" t="s">
        <v>12</v>
      </c>
      <c r="N38" s="81">
        <v>1352</v>
      </c>
      <c r="O38" s="81" t="s">
        <v>29792</v>
      </c>
      <c r="P38" s="81" t="s">
        <v>25647</v>
      </c>
      <c r="Q38" s="80"/>
      <c r="R38" s="146"/>
      <c r="S38" s="103" t="str">
        <f t="shared" si="0"/>
        <v>88-310-16-</v>
      </c>
      <c r="V38" s="81">
        <v>84</v>
      </c>
    </row>
    <row r="39" spans="1:22" ht="15" customHeight="1" x14ac:dyDescent="0.2">
      <c r="A39" s="81" t="s">
        <v>29735</v>
      </c>
      <c r="B39" s="81" t="s">
        <v>29617</v>
      </c>
      <c r="C39" s="81" t="s">
        <v>46</v>
      </c>
      <c r="D39" s="81" t="s">
        <v>92</v>
      </c>
      <c r="E39" s="81" t="s">
        <v>25610</v>
      </c>
      <c r="F39" s="81" t="s">
        <v>91</v>
      </c>
      <c r="G39" s="81" t="s">
        <v>29778</v>
      </c>
      <c r="H39" s="81" t="s">
        <v>29779</v>
      </c>
      <c r="I39" s="81" t="s">
        <v>28</v>
      </c>
      <c r="J39" s="84" t="s">
        <v>25993</v>
      </c>
      <c r="K39" s="81" t="s">
        <v>25678</v>
      </c>
      <c r="L39" s="81" t="s">
        <v>25598</v>
      </c>
      <c r="M39" s="81" t="s">
        <v>12</v>
      </c>
      <c r="N39" s="81">
        <v>1352</v>
      </c>
      <c r="O39" s="81" t="s">
        <v>29792</v>
      </c>
      <c r="P39" s="81" t="s">
        <v>25647</v>
      </c>
      <c r="Q39" s="80"/>
      <c r="R39" s="146"/>
      <c r="S39" s="103" t="str">
        <f t="shared" si="0"/>
        <v>88-311-80-</v>
      </c>
      <c r="V39" s="81">
        <v>84</v>
      </c>
    </row>
    <row r="40" spans="1:22" ht="15" customHeight="1" x14ac:dyDescent="0.2">
      <c r="A40" s="81" t="s">
        <v>29736</v>
      </c>
      <c r="B40" s="81" t="s">
        <v>29618</v>
      </c>
      <c r="C40" s="81" t="s">
        <v>46</v>
      </c>
      <c r="D40" s="81" t="s">
        <v>47</v>
      </c>
      <c r="E40" s="81" t="s">
        <v>25611</v>
      </c>
      <c r="F40" s="81" t="s">
        <v>91</v>
      </c>
      <c r="G40" s="81" t="s">
        <v>29778</v>
      </c>
      <c r="H40" s="81" t="s">
        <v>29785</v>
      </c>
      <c r="I40" s="81" t="s">
        <v>1</v>
      </c>
      <c r="J40" s="84" t="s">
        <v>59</v>
      </c>
      <c r="L40" s="81" t="s">
        <v>25598</v>
      </c>
      <c r="M40" s="81" t="s">
        <v>12</v>
      </c>
      <c r="N40" s="81">
        <v>1352</v>
      </c>
      <c r="O40" s="81" t="s">
        <v>29792</v>
      </c>
      <c r="P40" s="81" t="s">
        <v>25649</v>
      </c>
      <c r="Q40" s="80"/>
      <c r="R40" s="146"/>
      <c r="S40" s="103" t="str">
        <f t="shared" si="0"/>
        <v>88-312-09-</v>
      </c>
      <c r="V40" s="81">
        <v>156</v>
      </c>
    </row>
    <row r="41" spans="1:22" ht="15" customHeight="1" x14ac:dyDescent="0.2">
      <c r="A41" s="81" t="s">
        <v>29737</v>
      </c>
      <c r="B41" s="81" t="s">
        <v>29619</v>
      </c>
      <c r="C41" s="81" t="s">
        <v>46</v>
      </c>
      <c r="D41" s="81" t="s">
        <v>92</v>
      </c>
      <c r="E41" s="81" t="s">
        <v>25611</v>
      </c>
      <c r="F41" s="81" t="s">
        <v>91</v>
      </c>
      <c r="G41" s="81" t="s">
        <v>29778</v>
      </c>
      <c r="H41" s="81" t="s">
        <v>29784</v>
      </c>
      <c r="I41" s="81" t="s">
        <v>107</v>
      </c>
      <c r="J41" s="84" t="s">
        <v>26443</v>
      </c>
      <c r="L41" s="81" t="s">
        <v>25598</v>
      </c>
      <c r="M41" s="81" t="s">
        <v>12</v>
      </c>
      <c r="N41" s="81">
        <v>1352</v>
      </c>
      <c r="O41" s="81" t="s">
        <v>29792</v>
      </c>
      <c r="P41" s="81" t="s">
        <v>25649</v>
      </c>
      <c r="Q41" s="80"/>
      <c r="R41" s="146"/>
      <c r="S41" s="103" t="str">
        <f t="shared" si="0"/>
        <v>88-313-48-</v>
      </c>
      <c r="V41" s="81">
        <v>144</v>
      </c>
    </row>
    <row r="42" spans="1:22" ht="15" customHeight="1" x14ac:dyDescent="0.2">
      <c r="A42" s="81" t="s">
        <v>29738</v>
      </c>
      <c r="B42" s="81" t="s">
        <v>29620</v>
      </c>
      <c r="C42" s="81" t="s">
        <v>46</v>
      </c>
      <c r="D42" s="81" t="s">
        <v>92</v>
      </c>
      <c r="E42" s="81" t="s">
        <v>25611</v>
      </c>
      <c r="F42" s="81" t="s">
        <v>91</v>
      </c>
      <c r="G42" s="81" t="s">
        <v>29778</v>
      </c>
      <c r="H42" s="81" t="s">
        <v>29779</v>
      </c>
      <c r="I42" s="81" t="s">
        <v>28</v>
      </c>
      <c r="J42" s="84" t="s">
        <v>25993</v>
      </c>
      <c r="K42" s="81" t="s">
        <v>25678</v>
      </c>
      <c r="L42" s="81" t="s">
        <v>25598</v>
      </c>
      <c r="M42" s="81" t="s">
        <v>12</v>
      </c>
      <c r="N42" s="81">
        <v>1352</v>
      </c>
      <c r="O42" s="81" t="s">
        <v>29792</v>
      </c>
      <c r="P42" s="81" t="s">
        <v>25649</v>
      </c>
      <c r="Q42" s="80"/>
      <c r="R42" s="146"/>
      <c r="S42" s="103" t="str">
        <f t="shared" si="0"/>
        <v>88-314-80-</v>
      </c>
      <c r="V42" s="81">
        <v>144</v>
      </c>
    </row>
    <row r="43" spans="1:22" ht="15" customHeight="1" x14ac:dyDescent="0.2">
      <c r="A43" s="81" t="s">
        <v>29739</v>
      </c>
      <c r="B43" s="81" t="s">
        <v>29621</v>
      </c>
      <c r="C43" s="81" t="s">
        <v>46</v>
      </c>
      <c r="D43" s="81" t="s">
        <v>92</v>
      </c>
      <c r="E43" s="81" t="s">
        <v>25611</v>
      </c>
      <c r="F43" s="81" t="s">
        <v>91</v>
      </c>
      <c r="G43" s="81" t="s">
        <v>29778</v>
      </c>
      <c r="H43" s="81" t="s">
        <v>29785</v>
      </c>
      <c r="I43" s="81" t="s">
        <v>1</v>
      </c>
      <c r="J43" s="84" t="s">
        <v>25993</v>
      </c>
      <c r="K43" s="81" t="s">
        <v>25678</v>
      </c>
      <c r="L43" s="81" t="s">
        <v>25598</v>
      </c>
      <c r="M43" s="81" t="s">
        <v>12</v>
      </c>
      <c r="N43" s="81">
        <v>1352</v>
      </c>
      <c r="O43" s="81" t="s">
        <v>29792</v>
      </c>
      <c r="P43" s="81" t="s">
        <v>25649</v>
      </c>
      <c r="Q43" s="80"/>
      <c r="R43" s="146"/>
      <c r="S43" s="103" t="str">
        <f t="shared" si="0"/>
        <v>88-315-09-</v>
      </c>
      <c r="V43" s="81">
        <v>72</v>
      </c>
    </row>
    <row r="44" spans="1:22" ht="15" customHeight="1" x14ac:dyDescent="0.2">
      <c r="A44" s="81" t="s">
        <v>29740</v>
      </c>
      <c r="B44" s="81" t="s">
        <v>29622</v>
      </c>
      <c r="C44" s="81" t="s">
        <v>46</v>
      </c>
      <c r="D44" s="81" t="s">
        <v>92</v>
      </c>
      <c r="E44" s="81" t="s">
        <v>25611</v>
      </c>
      <c r="F44" s="81" t="s">
        <v>91</v>
      </c>
      <c r="G44" s="81" t="s">
        <v>29778</v>
      </c>
      <c r="H44" s="81" t="s">
        <v>29785</v>
      </c>
      <c r="I44" s="81" t="s">
        <v>171</v>
      </c>
      <c r="J44" s="84" t="s">
        <v>25993</v>
      </c>
      <c r="K44" s="81" t="s">
        <v>25678</v>
      </c>
      <c r="L44" s="81" t="s">
        <v>25598</v>
      </c>
      <c r="M44" s="81" t="s">
        <v>12</v>
      </c>
      <c r="N44" s="81">
        <v>1352</v>
      </c>
      <c r="O44" s="81" t="s">
        <v>29792</v>
      </c>
      <c r="P44" s="81" t="s">
        <v>25649</v>
      </c>
      <c r="Q44" s="80"/>
      <c r="R44" s="146"/>
      <c r="S44" s="103" t="str">
        <f t="shared" si="0"/>
        <v>88-316-72-</v>
      </c>
      <c r="V44" s="81">
        <v>120</v>
      </c>
    </row>
    <row r="45" spans="1:22" ht="15" customHeight="1" x14ac:dyDescent="0.2">
      <c r="A45" s="81" t="s">
        <v>29741</v>
      </c>
      <c r="B45" s="81" t="s">
        <v>29623</v>
      </c>
      <c r="C45" s="81" t="s">
        <v>46</v>
      </c>
      <c r="D45" s="81" t="s">
        <v>92</v>
      </c>
      <c r="E45" s="81" t="s">
        <v>25611</v>
      </c>
      <c r="F45" s="81" t="s">
        <v>91</v>
      </c>
      <c r="G45" s="81" t="s">
        <v>29778</v>
      </c>
      <c r="H45" s="81" t="s">
        <v>29785</v>
      </c>
      <c r="I45" s="81" t="s">
        <v>171</v>
      </c>
      <c r="J45" s="84" t="s">
        <v>25993</v>
      </c>
      <c r="K45" s="81" t="s">
        <v>25678</v>
      </c>
      <c r="L45" s="81" t="s">
        <v>25598</v>
      </c>
      <c r="M45" s="81" t="s">
        <v>12</v>
      </c>
      <c r="N45" s="81">
        <v>1352</v>
      </c>
      <c r="O45" s="81" t="s">
        <v>29792</v>
      </c>
      <c r="P45" s="81" t="s">
        <v>25649</v>
      </c>
      <c r="Q45" s="80"/>
      <c r="R45" s="146"/>
      <c r="S45" s="103" t="str">
        <f t="shared" si="0"/>
        <v>88-317-72-</v>
      </c>
      <c r="V45" s="81">
        <v>120</v>
      </c>
    </row>
    <row r="46" spans="1:22" ht="15" customHeight="1" x14ac:dyDescent="0.2">
      <c r="A46" s="81" t="s">
        <v>29742</v>
      </c>
      <c r="B46" s="81" t="s">
        <v>29624</v>
      </c>
      <c r="C46" s="81" t="s">
        <v>46</v>
      </c>
      <c r="D46" s="81" t="s">
        <v>92</v>
      </c>
      <c r="E46" s="81" t="s">
        <v>25611</v>
      </c>
      <c r="F46" s="81" t="s">
        <v>91</v>
      </c>
      <c r="G46" s="81" t="s">
        <v>29778</v>
      </c>
      <c r="H46" s="81" t="s">
        <v>29785</v>
      </c>
      <c r="I46" s="81" t="s">
        <v>137</v>
      </c>
      <c r="J46" s="84" t="s">
        <v>25993</v>
      </c>
      <c r="K46" s="81" t="s">
        <v>25678</v>
      </c>
      <c r="L46" s="81" t="s">
        <v>25598</v>
      </c>
      <c r="M46" s="81" t="s">
        <v>12</v>
      </c>
      <c r="N46" s="81">
        <v>1352</v>
      </c>
      <c r="O46" s="81" t="s">
        <v>29792</v>
      </c>
      <c r="P46" s="81" t="s">
        <v>25649</v>
      </c>
      <c r="Q46" s="80"/>
      <c r="R46" s="146"/>
      <c r="S46" s="103" t="str">
        <f t="shared" si="0"/>
        <v>88-318-72-</v>
      </c>
      <c r="V46" s="81">
        <v>240</v>
      </c>
    </row>
    <row r="47" spans="1:22" ht="15" customHeight="1" x14ac:dyDescent="0.2">
      <c r="A47" s="81" t="s">
        <v>29743</v>
      </c>
      <c r="B47" s="81" t="s">
        <v>29625</v>
      </c>
      <c r="C47" s="81" t="s">
        <v>46</v>
      </c>
      <c r="D47" s="81" t="s">
        <v>92</v>
      </c>
      <c r="E47" s="81" t="s">
        <v>25611</v>
      </c>
      <c r="F47" s="81" t="s">
        <v>91</v>
      </c>
      <c r="G47" s="81" t="s">
        <v>29778</v>
      </c>
      <c r="H47" s="81" t="s">
        <v>29785</v>
      </c>
      <c r="I47" s="81" t="s">
        <v>25477</v>
      </c>
      <c r="J47" s="84" t="s">
        <v>26146</v>
      </c>
      <c r="L47" s="81" t="s">
        <v>25598</v>
      </c>
      <c r="M47" s="81" t="s">
        <v>12</v>
      </c>
      <c r="N47" s="81">
        <v>1352</v>
      </c>
      <c r="O47" s="81" t="s">
        <v>29792</v>
      </c>
      <c r="P47" s="81" t="s">
        <v>25649</v>
      </c>
      <c r="Q47" s="80"/>
      <c r="R47" s="146"/>
      <c r="S47" s="103" t="str">
        <f t="shared" si="0"/>
        <v>88-319-47-</v>
      </c>
      <c r="V47" s="81">
        <v>144</v>
      </c>
    </row>
    <row r="48" spans="1:22" ht="15" customHeight="1" x14ac:dyDescent="0.2">
      <c r="A48" s="81" t="s">
        <v>29744</v>
      </c>
      <c r="B48" s="81" t="s">
        <v>29626</v>
      </c>
      <c r="C48" s="81" t="s">
        <v>46</v>
      </c>
      <c r="D48" s="81" t="s">
        <v>92</v>
      </c>
      <c r="E48" s="81" t="s">
        <v>25611</v>
      </c>
      <c r="F48" s="81" t="s">
        <v>91</v>
      </c>
      <c r="G48" s="81" t="s">
        <v>29778</v>
      </c>
      <c r="H48" s="81" t="s">
        <v>29785</v>
      </c>
      <c r="I48" s="81" t="s">
        <v>137</v>
      </c>
      <c r="J48" s="84" t="s">
        <v>25993</v>
      </c>
      <c r="K48" s="81" t="s">
        <v>25678</v>
      </c>
      <c r="L48" s="81" t="s">
        <v>25598</v>
      </c>
      <c r="M48" s="81" t="s">
        <v>12</v>
      </c>
      <c r="N48" s="81">
        <v>1352</v>
      </c>
      <c r="O48" s="81" t="s">
        <v>29792</v>
      </c>
      <c r="P48" s="81" t="s">
        <v>25649</v>
      </c>
      <c r="Q48" s="80"/>
      <c r="R48" s="146"/>
      <c r="S48" s="103" t="str">
        <f t="shared" si="0"/>
        <v>88-320-72-</v>
      </c>
      <c r="V48" s="81">
        <v>144</v>
      </c>
    </row>
    <row r="49" spans="1:22" ht="15" customHeight="1" x14ac:dyDescent="0.2">
      <c r="A49" s="81" t="s">
        <v>29745</v>
      </c>
      <c r="B49" s="81" t="s">
        <v>29627</v>
      </c>
      <c r="C49" s="81" t="s">
        <v>46</v>
      </c>
      <c r="D49" s="81" t="s">
        <v>92</v>
      </c>
      <c r="E49" s="81" t="s">
        <v>25611</v>
      </c>
      <c r="F49" s="81" t="s">
        <v>91</v>
      </c>
      <c r="G49" s="81" t="s">
        <v>29778</v>
      </c>
      <c r="H49" s="81" t="s">
        <v>29785</v>
      </c>
      <c r="I49" s="81" t="s">
        <v>25529</v>
      </c>
      <c r="J49" s="84" t="s">
        <v>25993</v>
      </c>
      <c r="K49" s="81" t="s">
        <v>25678</v>
      </c>
      <c r="L49" s="81" t="s">
        <v>25598</v>
      </c>
      <c r="M49" s="81" t="s">
        <v>12</v>
      </c>
      <c r="N49" s="81">
        <v>1352</v>
      </c>
      <c r="O49" s="81" t="s">
        <v>29792</v>
      </c>
      <c r="P49" s="81" t="s">
        <v>25649</v>
      </c>
      <c r="Q49" s="80"/>
      <c r="R49" s="146"/>
      <c r="S49" s="103" t="str">
        <f t="shared" si="0"/>
        <v>88-321-78-</v>
      </c>
      <c r="V49" s="81">
        <v>96</v>
      </c>
    </row>
    <row r="50" spans="1:22" ht="15" customHeight="1" x14ac:dyDescent="0.2">
      <c r="A50" s="81" t="s">
        <v>29746</v>
      </c>
      <c r="B50" s="81" t="s">
        <v>29628</v>
      </c>
      <c r="C50" s="81" t="s">
        <v>46</v>
      </c>
      <c r="D50" s="81" t="s">
        <v>92</v>
      </c>
      <c r="E50" s="81" t="s">
        <v>25611</v>
      </c>
      <c r="F50" s="81" t="s">
        <v>91</v>
      </c>
      <c r="G50" s="81" t="s">
        <v>29778</v>
      </c>
      <c r="H50" s="81" t="s">
        <v>29784</v>
      </c>
      <c r="I50" s="81" t="s">
        <v>25355</v>
      </c>
      <c r="J50" s="84" t="s">
        <v>25993</v>
      </c>
      <c r="K50" s="81" t="s">
        <v>25678</v>
      </c>
      <c r="L50" s="81" t="s">
        <v>25598</v>
      </c>
      <c r="M50" s="81" t="s">
        <v>12</v>
      </c>
      <c r="N50" s="81">
        <v>1352</v>
      </c>
      <c r="O50" s="81" t="s">
        <v>29792</v>
      </c>
      <c r="P50" s="81" t="s">
        <v>25649</v>
      </c>
      <c r="Q50" s="80"/>
      <c r="R50" s="146"/>
      <c r="S50" s="103" t="str">
        <f t="shared" si="0"/>
        <v>88-322-00-</v>
      </c>
      <c r="V50" s="81">
        <v>72</v>
      </c>
    </row>
    <row r="51" spans="1:22" ht="15" customHeight="1" x14ac:dyDescent="0.2">
      <c r="A51" s="81" t="s">
        <v>29747</v>
      </c>
      <c r="B51" s="81" t="s">
        <v>29629</v>
      </c>
      <c r="C51" s="81" t="s">
        <v>46</v>
      </c>
      <c r="D51" s="81" t="s">
        <v>92</v>
      </c>
      <c r="E51" s="81" t="s">
        <v>29774</v>
      </c>
      <c r="F51" s="81" t="s">
        <v>91</v>
      </c>
      <c r="G51" s="81" t="s">
        <v>29778</v>
      </c>
      <c r="H51" s="81" t="s">
        <v>29785</v>
      </c>
      <c r="I51" s="81" t="s">
        <v>1</v>
      </c>
      <c r="J51" s="84" t="s">
        <v>25993</v>
      </c>
      <c r="K51" s="81" t="s">
        <v>25678</v>
      </c>
      <c r="L51" s="81" t="s">
        <v>25598</v>
      </c>
      <c r="M51" s="81" t="s">
        <v>12</v>
      </c>
      <c r="N51" s="81">
        <v>1352</v>
      </c>
      <c r="O51" s="81" t="s">
        <v>29792</v>
      </c>
      <c r="P51" s="81" t="s">
        <v>29794</v>
      </c>
      <c r="Q51" s="80"/>
      <c r="R51" s="146"/>
      <c r="S51" s="103" t="str">
        <f t="shared" si="0"/>
        <v>88-323-09-</v>
      </c>
      <c r="V51" s="81">
        <v>30</v>
      </c>
    </row>
    <row r="52" spans="1:22" ht="15" customHeight="1" x14ac:dyDescent="0.2">
      <c r="A52" s="81" t="s">
        <v>29748</v>
      </c>
      <c r="B52" s="81" t="s">
        <v>29630</v>
      </c>
      <c r="C52" s="81" t="s">
        <v>46</v>
      </c>
      <c r="D52" s="81" t="s">
        <v>92</v>
      </c>
      <c r="E52" s="81" t="s">
        <v>29774</v>
      </c>
      <c r="F52" s="81" t="s">
        <v>91</v>
      </c>
      <c r="G52" s="81" t="s">
        <v>29778</v>
      </c>
      <c r="H52" s="81" t="s">
        <v>29785</v>
      </c>
      <c r="I52" s="81" t="s">
        <v>1</v>
      </c>
      <c r="J52" s="84" t="s">
        <v>25993</v>
      </c>
      <c r="K52" s="81" t="s">
        <v>25678</v>
      </c>
      <c r="L52" s="81" t="s">
        <v>25598</v>
      </c>
      <c r="M52" s="81" t="s">
        <v>12</v>
      </c>
      <c r="N52" s="81">
        <v>1352</v>
      </c>
      <c r="O52" s="81" t="s">
        <v>29792</v>
      </c>
      <c r="P52" s="81" t="s">
        <v>29794</v>
      </c>
      <c r="Q52" s="80"/>
      <c r="R52" s="146"/>
      <c r="S52" s="103" t="str">
        <f t="shared" si="0"/>
        <v>88-324-09-</v>
      </c>
      <c r="V52" s="81">
        <v>18</v>
      </c>
    </row>
    <row r="53" spans="1:22" ht="15" customHeight="1" x14ac:dyDescent="0.2">
      <c r="A53" s="81" t="s">
        <v>29749</v>
      </c>
      <c r="B53" s="81" t="s">
        <v>29631</v>
      </c>
      <c r="C53" s="81" t="s">
        <v>46</v>
      </c>
      <c r="D53" s="81" t="s">
        <v>92</v>
      </c>
      <c r="E53" s="81" t="s">
        <v>29774</v>
      </c>
      <c r="F53" s="81" t="s">
        <v>91</v>
      </c>
      <c r="G53" s="81" t="s">
        <v>29778</v>
      </c>
      <c r="H53" s="81" t="s">
        <v>29785</v>
      </c>
      <c r="I53" s="81" t="s">
        <v>1</v>
      </c>
      <c r="J53" s="84" t="s">
        <v>25993</v>
      </c>
      <c r="K53" s="81" t="s">
        <v>25678</v>
      </c>
      <c r="L53" s="81" t="s">
        <v>25598</v>
      </c>
      <c r="M53" s="81" t="s">
        <v>12</v>
      </c>
      <c r="N53" s="81">
        <v>1352</v>
      </c>
      <c r="O53" s="81" t="s">
        <v>29792</v>
      </c>
      <c r="P53" s="81" t="s">
        <v>29794</v>
      </c>
      <c r="Q53" s="80"/>
      <c r="R53" s="146"/>
      <c r="S53" s="103" t="str">
        <f t="shared" si="0"/>
        <v>88-325-09-</v>
      </c>
      <c r="V53" s="81">
        <v>24</v>
      </c>
    </row>
    <row r="54" spans="1:22" ht="15" customHeight="1" x14ac:dyDescent="0.2">
      <c r="A54" s="81" t="s">
        <v>29750</v>
      </c>
      <c r="B54" s="81" t="s">
        <v>29632</v>
      </c>
      <c r="C54" s="81" t="s">
        <v>46</v>
      </c>
      <c r="D54" s="81" t="s">
        <v>47</v>
      </c>
      <c r="E54" s="81" t="s">
        <v>29775</v>
      </c>
      <c r="F54" s="81" t="s">
        <v>91</v>
      </c>
      <c r="G54" s="81" t="s">
        <v>29778</v>
      </c>
      <c r="H54" s="81" t="s">
        <v>29785</v>
      </c>
      <c r="I54" s="81" t="s">
        <v>1</v>
      </c>
      <c r="J54" s="84" t="s">
        <v>59</v>
      </c>
      <c r="L54" s="81" t="s">
        <v>25598</v>
      </c>
      <c r="M54" s="81" t="s">
        <v>12</v>
      </c>
      <c r="N54" s="81">
        <v>1352</v>
      </c>
      <c r="O54" s="81" t="s">
        <v>29792</v>
      </c>
      <c r="P54" s="81" t="s">
        <v>29795</v>
      </c>
      <c r="Q54" s="80"/>
      <c r="R54" s="146"/>
      <c r="S54" s="103" t="str">
        <f t="shared" si="0"/>
        <v>88-326-09-</v>
      </c>
      <c r="V54" s="81">
        <v>48</v>
      </c>
    </row>
    <row r="55" spans="1:22" ht="15" customHeight="1" x14ac:dyDescent="0.2">
      <c r="A55" s="81" t="s">
        <v>29751</v>
      </c>
      <c r="B55" s="81" t="s">
        <v>29633</v>
      </c>
      <c r="C55" s="81" t="s">
        <v>46</v>
      </c>
      <c r="D55" s="81" t="s">
        <v>47</v>
      </c>
      <c r="E55" s="81" t="s">
        <v>29775</v>
      </c>
      <c r="F55" s="81" t="s">
        <v>91</v>
      </c>
      <c r="G55" s="81" t="s">
        <v>29778</v>
      </c>
      <c r="H55" s="81" t="s">
        <v>29785</v>
      </c>
      <c r="I55" s="81" t="s">
        <v>1</v>
      </c>
      <c r="J55" s="84" t="s">
        <v>59</v>
      </c>
      <c r="L55" s="81" t="s">
        <v>25598</v>
      </c>
      <c r="M55" s="81" t="s">
        <v>12</v>
      </c>
      <c r="N55" s="81">
        <v>1352</v>
      </c>
      <c r="O55" s="81" t="s">
        <v>29792</v>
      </c>
      <c r="P55" s="81" t="s">
        <v>29795</v>
      </c>
      <c r="Q55" s="80"/>
      <c r="R55" s="146"/>
      <c r="S55" s="103" t="str">
        <f t="shared" si="0"/>
        <v>88-327-09-</v>
      </c>
      <c r="V55" s="81">
        <v>24</v>
      </c>
    </row>
    <row r="56" spans="1:22" ht="15" customHeight="1" x14ac:dyDescent="0.2">
      <c r="A56" s="81" t="s">
        <v>29752</v>
      </c>
      <c r="B56" s="81" t="s">
        <v>29634</v>
      </c>
      <c r="C56" s="81" t="s">
        <v>46</v>
      </c>
      <c r="D56" s="81" t="s">
        <v>92</v>
      </c>
      <c r="E56" s="81" t="s">
        <v>29775</v>
      </c>
      <c r="F56" s="81" t="s">
        <v>91</v>
      </c>
      <c r="G56" s="81" t="s">
        <v>29778</v>
      </c>
      <c r="H56" s="81" t="s">
        <v>29779</v>
      </c>
      <c r="I56" s="81" t="s">
        <v>25472</v>
      </c>
      <c r="J56" s="84" t="s">
        <v>26443</v>
      </c>
      <c r="L56" s="81" t="s">
        <v>25598</v>
      </c>
      <c r="M56" s="81" t="s">
        <v>12</v>
      </c>
      <c r="N56" s="81">
        <v>1352</v>
      </c>
      <c r="O56" s="81" t="s">
        <v>29792</v>
      </c>
      <c r="P56" s="81" t="s">
        <v>29795</v>
      </c>
      <c r="Q56" s="80"/>
      <c r="R56" s="146"/>
      <c r="S56" s="103" t="str">
        <f t="shared" si="0"/>
        <v>88-328-08-</v>
      </c>
      <c r="V56" s="81">
        <v>12</v>
      </c>
    </row>
    <row r="57" spans="1:22" ht="15" customHeight="1" x14ac:dyDescent="0.2">
      <c r="A57" s="81" t="s">
        <v>29753</v>
      </c>
      <c r="B57" s="81" t="s">
        <v>29635</v>
      </c>
      <c r="C57" s="81" t="s">
        <v>46</v>
      </c>
      <c r="D57" s="81" t="s">
        <v>92</v>
      </c>
      <c r="E57" s="81" t="s">
        <v>29775</v>
      </c>
      <c r="F57" s="81" t="s">
        <v>91</v>
      </c>
      <c r="G57" s="81" t="s">
        <v>29778</v>
      </c>
      <c r="H57" s="81" t="s">
        <v>29785</v>
      </c>
      <c r="I57" s="81" t="s">
        <v>1</v>
      </c>
      <c r="J57" s="84" t="s">
        <v>25993</v>
      </c>
      <c r="K57" s="81" t="s">
        <v>25678</v>
      </c>
      <c r="L57" s="81" t="s">
        <v>25598</v>
      </c>
      <c r="M57" s="81" t="s">
        <v>12</v>
      </c>
      <c r="N57" s="81">
        <v>1352</v>
      </c>
      <c r="O57" s="81" t="s">
        <v>29792</v>
      </c>
      <c r="P57" s="81" t="s">
        <v>29795</v>
      </c>
      <c r="Q57" s="80"/>
      <c r="R57" s="146"/>
      <c r="S57" s="103" t="str">
        <f t="shared" si="0"/>
        <v>88-329-09-</v>
      </c>
      <c r="V57" s="81">
        <v>18</v>
      </c>
    </row>
    <row r="58" spans="1:22" ht="15" customHeight="1" x14ac:dyDescent="0.2">
      <c r="A58" s="81" t="s">
        <v>29754</v>
      </c>
      <c r="B58" s="81" t="s">
        <v>29636</v>
      </c>
      <c r="C58" s="81" t="s">
        <v>46</v>
      </c>
      <c r="D58" s="81" t="s">
        <v>92</v>
      </c>
      <c r="E58" s="81" t="s">
        <v>29775</v>
      </c>
      <c r="F58" s="81" t="s">
        <v>91</v>
      </c>
      <c r="G58" s="81" t="s">
        <v>29778</v>
      </c>
      <c r="H58" s="81" t="s">
        <v>29779</v>
      </c>
      <c r="I58" s="81" t="s">
        <v>28</v>
      </c>
      <c r="J58" s="84" t="s">
        <v>25993</v>
      </c>
      <c r="K58" s="81" t="s">
        <v>25678</v>
      </c>
      <c r="L58" s="81" t="s">
        <v>25598</v>
      </c>
      <c r="M58" s="81" t="s">
        <v>12</v>
      </c>
      <c r="N58" s="81">
        <v>1352</v>
      </c>
      <c r="O58" s="81" t="s">
        <v>29792</v>
      </c>
      <c r="P58" s="81" t="s">
        <v>29795</v>
      </c>
      <c r="Q58" s="80"/>
      <c r="R58" s="146"/>
      <c r="S58" s="103" t="str">
        <f t="shared" si="0"/>
        <v>88-330-80-</v>
      </c>
      <c r="V58" s="81">
        <v>48</v>
      </c>
    </row>
    <row r="59" spans="1:22" ht="15" customHeight="1" x14ac:dyDescent="0.2">
      <c r="A59" s="81" t="s">
        <v>29755</v>
      </c>
      <c r="B59" s="81" t="s">
        <v>29637</v>
      </c>
      <c r="C59" s="81" t="s">
        <v>46</v>
      </c>
      <c r="D59" s="81" t="s">
        <v>92</v>
      </c>
      <c r="E59" s="81" t="s">
        <v>29775</v>
      </c>
      <c r="F59" s="81" t="s">
        <v>91</v>
      </c>
      <c r="G59" s="81" t="s">
        <v>29778</v>
      </c>
      <c r="H59" s="81" t="s">
        <v>29785</v>
      </c>
      <c r="I59" s="81" t="s">
        <v>1</v>
      </c>
      <c r="J59" s="84" t="s">
        <v>25993</v>
      </c>
      <c r="K59" s="81" t="s">
        <v>25678</v>
      </c>
      <c r="L59" s="81" t="s">
        <v>25598</v>
      </c>
      <c r="M59" s="81" t="s">
        <v>12</v>
      </c>
      <c r="N59" s="81">
        <v>1352</v>
      </c>
      <c r="O59" s="81" t="s">
        <v>29792</v>
      </c>
      <c r="P59" s="81" t="s">
        <v>29795</v>
      </c>
      <c r="Q59" s="80"/>
      <c r="R59" s="146"/>
      <c r="S59" s="103" t="str">
        <f t="shared" si="0"/>
        <v>88-331-09-</v>
      </c>
      <c r="V59" s="81">
        <v>60</v>
      </c>
    </row>
    <row r="60" spans="1:22" ht="15" customHeight="1" x14ac:dyDescent="0.2">
      <c r="A60" s="81" t="s">
        <v>29756</v>
      </c>
      <c r="B60" s="81" t="s">
        <v>29638</v>
      </c>
      <c r="C60" s="81" t="s">
        <v>46</v>
      </c>
      <c r="D60" s="81" t="s">
        <v>92</v>
      </c>
      <c r="E60" s="81" t="s">
        <v>29775</v>
      </c>
      <c r="F60" s="81" t="s">
        <v>91</v>
      </c>
      <c r="G60" s="81" t="s">
        <v>29778</v>
      </c>
      <c r="H60" s="81" t="s">
        <v>29779</v>
      </c>
      <c r="I60" s="81" t="s">
        <v>25477</v>
      </c>
      <c r="J60" s="84" t="s">
        <v>25993</v>
      </c>
      <c r="K60" s="81" t="s">
        <v>25678</v>
      </c>
      <c r="L60" s="81" t="s">
        <v>25598</v>
      </c>
      <c r="M60" s="81" t="s">
        <v>12</v>
      </c>
      <c r="N60" s="81">
        <v>1352</v>
      </c>
      <c r="O60" s="81" t="s">
        <v>29792</v>
      </c>
      <c r="P60" s="81" t="s">
        <v>29795</v>
      </c>
      <c r="Q60" s="80"/>
      <c r="R60" s="146"/>
      <c r="S60" s="103" t="str">
        <f t="shared" si="0"/>
        <v>88-332-47-</v>
      </c>
      <c r="V60" s="81">
        <v>12</v>
      </c>
    </row>
    <row r="61" spans="1:22" ht="15" customHeight="1" x14ac:dyDescent="0.2">
      <c r="A61" s="81" t="s">
        <v>29757</v>
      </c>
      <c r="B61" s="81" t="s">
        <v>29639</v>
      </c>
      <c r="C61" s="81" t="s">
        <v>46</v>
      </c>
      <c r="D61" s="81" t="s">
        <v>92</v>
      </c>
      <c r="E61" s="81" t="s">
        <v>29775</v>
      </c>
      <c r="F61" s="81" t="s">
        <v>91</v>
      </c>
      <c r="G61" s="81" t="s">
        <v>29778</v>
      </c>
      <c r="H61" s="81" t="s">
        <v>29785</v>
      </c>
      <c r="I61" s="81" t="s">
        <v>1</v>
      </c>
      <c r="J61" s="84" t="s">
        <v>25993</v>
      </c>
      <c r="K61" s="81" t="s">
        <v>25678</v>
      </c>
      <c r="L61" s="81" t="s">
        <v>25598</v>
      </c>
      <c r="M61" s="81" t="s">
        <v>12</v>
      </c>
      <c r="N61" s="81">
        <v>1352</v>
      </c>
      <c r="O61" s="81" t="s">
        <v>29792</v>
      </c>
      <c r="P61" s="81" t="s">
        <v>29795</v>
      </c>
      <c r="Q61" s="80"/>
      <c r="R61" s="146"/>
      <c r="S61" s="103" t="str">
        <f t="shared" si="0"/>
        <v>88-333-09-</v>
      </c>
      <c r="V61" s="81">
        <v>12</v>
      </c>
    </row>
    <row r="62" spans="1:22" ht="15" customHeight="1" x14ac:dyDescent="0.2">
      <c r="A62" s="81" t="s">
        <v>29758</v>
      </c>
      <c r="B62" s="81" t="s">
        <v>29640</v>
      </c>
      <c r="C62" s="81" t="s">
        <v>46</v>
      </c>
      <c r="D62" s="81" t="s">
        <v>92</v>
      </c>
      <c r="E62" s="81" t="s">
        <v>25610</v>
      </c>
      <c r="F62" s="81" t="s">
        <v>91</v>
      </c>
      <c r="G62" s="81" t="s">
        <v>29778</v>
      </c>
      <c r="H62" s="81" t="s">
        <v>29781</v>
      </c>
      <c r="I62" s="81" t="s">
        <v>23</v>
      </c>
      <c r="J62" s="84" t="s">
        <v>25993</v>
      </c>
      <c r="K62" s="81" t="s">
        <v>25678</v>
      </c>
      <c r="L62" s="81" t="s">
        <v>25598</v>
      </c>
      <c r="M62" s="81" t="s">
        <v>12</v>
      </c>
      <c r="N62" s="81">
        <v>1352</v>
      </c>
      <c r="O62" s="81" t="s">
        <v>29792</v>
      </c>
      <c r="P62" s="81" t="s">
        <v>25647</v>
      </c>
      <c r="Q62" s="80"/>
      <c r="R62" s="146"/>
      <c r="S62" s="103" t="str">
        <f t="shared" si="0"/>
        <v>88-334-16-</v>
      </c>
      <c r="V62" s="81">
        <v>48</v>
      </c>
    </row>
    <row r="63" spans="1:22" ht="15" customHeight="1" x14ac:dyDescent="0.2">
      <c r="A63" s="81" t="s">
        <v>29759</v>
      </c>
      <c r="B63" s="81" t="s">
        <v>29641</v>
      </c>
      <c r="C63" s="81" t="s">
        <v>46</v>
      </c>
      <c r="D63" s="81" t="s">
        <v>92</v>
      </c>
      <c r="E63" s="81" t="s">
        <v>29776</v>
      </c>
      <c r="F63" s="81" t="s">
        <v>91</v>
      </c>
      <c r="G63" s="81" t="s">
        <v>29778</v>
      </c>
      <c r="H63" s="81" t="s">
        <v>29779</v>
      </c>
      <c r="I63" s="81" t="s">
        <v>28</v>
      </c>
      <c r="J63" s="84" t="s">
        <v>25993</v>
      </c>
      <c r="K63" s="81" t="s">
        <v>25678</v>
      </c>
      <c r="L63" s="81" t="s">
        <v>25598</v>
      </c>
      <c r="M63" s="81" t="s">
        <v>12</v>
      </c>
      <c r="N63" s="81">
        <v>1352</v>
      </c>
      <c r="O63" s="81" t="s">
        <v>29792</v>
      </c>
      <c r="P63" s="81" t="s">
        <v>29796</v>
      </c>
      <c r="Q63" s="80"/>
      <c r="R63" s="146"/>
      <c r="S63" s="103" t="str">
        <f t="shared" si="0"/>
        <v>88-335-80-</v>
      </c>
      <c r="V63" s="81">
        <v>60</v>
      </c>
    </row>
    <row r="64" spans="1:22" ht="15" customHeight="1" x14ac:dyDescent="0.2">
      <c r="A64" s="81" t="s">
        <v>29760</v>
      </c>
      <c r="B64" s="81" t="s">
        <v>29642</v>
      </c>
      <c r="C64" s="81" t="s">
        <v>46</v>
      </c>
      <c r="D64" s="81" t="s">
        <v>47</v>
      </c>
      <c r="E64" s="81" t="s">
        <v>25614</v>
      </c>
      <c r="F64" s="81" t="s">
        <v>91</v>
      </c>
      <c r="G64" s="81" t="s">
        <v>29778</v>
      </c>
      <c r="H64" s="81" t="s">
        <v>29785</v>
      </c>
      <c r="I64" s="81" t="s">
        <v>1</v>
      </c>
      <c r="J64" s="84" t="s">
        <v>59</v>
      </c>
      <c r="L64" s="81" t="s">
        <v>25598</v>
      </c>
      <c r="M64" s="81" t="s">
        <v>12</v>
      </c>
      <c r="N64" s="81">
        <v>1352</v>
      </c>
      <c r="O64" s="81" t="s">
        <v>29792</v>
      </c>
      <c r="P64" s="81" t="s">
        <v>25658</v>
      </c>
      <c r="Q64" s="80"/>
      <c r="R64" s="146"/>
      <c r="S64" s="103" t="str">
        <f t="shared" si="0"/>
        <v>88-336-09-</v>
      </c>
      <c r="V64" s="81">
        <v>12</v>
      </c>
    </row>
    <row r="65" spans="1:22" ht="15" customHeight="1" x14ac:dyDescent="0.2">
      <c r="A65" s="81" t="s">
        <v>29761</v>
      </c>
      <c r="B65" s="81" t="s">
        <v>29643</v>
      </c>
      <c r="C65" s="81" t="s">
        <v>46</v>
      </c>
      <c r="D65" s="81" t="s">
        <v>92</v>
      </c>
      <c r="E65" s="81" t="s">
        <v>25614</v>
      </c>
      <c r="F65" s="81" t="s">
        <v>91</v>
      </c>
      <c r="G65" s="81" t="s">
        <v>29778</v>
      </c>
      <c r="H65" s="81" t="s">
        <v>29785</v>
      </c>
      <c r="I65" s="81" t="s">
        <v>1</v>
      </c>
      <c r="J65" s="84" t="s">
        <v>25993</v>
      </c>
      <c r="K65" s="81" t="s">
        <v>25678</v>
      </c>
      <c r="L65" s="81" t="s">
        <v>25598</v>
      </c>
      <c r="M65" s="81" t="s">
        <v>12</v>
      </c>
      <c r="N65" s="81">
        <v>1352</v>
      </c>
      <c r="O65" s="81" t="s">
        <v>29792</v>
      </c>
      <c r="P65" s="81" t="s">
        <v>25658</v>
      </c>
      <c r="Q65" s="80"/>
      <c r="R65" s="146"/>
      <c r="S65" s="103" t="str">
        <f t="shared" si="0"/>
        <v>88-337-09-</v>
      </c>
      <c r="V65" s="81">
        <v>24</v>
      </c>
    </row>
    <row r="66" spans="1:22" ht="15" customHeight="1" x14ac:dyDescent="0.2">
      <c r="A66" s="81" t="s">
        <v>29762</v>
      </c>
      <c r="B66" s="81" t="s">
        <v>29644</v>
      </c>
      <c r="C66" s="81" t="s">
        <v>46</v>
      </c>
      <c r="D66" s="81" t="s">
        <v>92</v>
      </c>
      <c r="E66" s="81" t="s">
        <v>25614</v>
      </c>
      <c r="F66" s="81" t="s">
        <v>91</v>
      </c>
      <c r="G66" s="81" t="s">
        <v>29778</v>
      </c>
      <c r="H66" s="81" t="s">
        <v>29784</v>
      </c>
      <c r="I66" s="81" t="s">
        <v>107</v>
      </c>
      <c r="J66" s="84" t="s">
        <v>25993</v>
      </c>
      <c r="K66" s="81" t="s">
        <v>25678</v>
      </c>
      <c r="L66" s="81" t="s">
        <v>25598</v>
      </c>
      <c r="M66" s="81" t="s">
        <v>12</v>
      </c>
      <c r="N66" s="81">
        <v>1352</v>
      </c>
      <c r="O66" s="81" t="s">
        <v>29792</v>
      </c>
      <c r="P66" s="81" t="s">
        <v>25658</v>
      </c>
      <c r="Q66" s="80"/>
      <c r="R66" s="146"/>
      <c r="S66" s="103" t="str">
        <f t="shared" si="0"/>
        <v>88-338-48-</v>
      </c>
      <c r="V66" s="81">
        <v>24</v>
      </c>
    </row>
    <row r="67" spans="1:22" ht="15" customHeight="1" x14ac:dyDescent="0.2">
      <c r="A67" s="81" t="s">
        <v>29763</v>
      </c>
      <c r="B67" s="81" t="s">
        <v>29645</v>
      </c>
      <c r="C67" s="81" t="s">
        <v>46</v>
      </c>
      <c r="D67" s="81" t="s">
        <v>47</v>
      </c>
      <c r="E67" s="81" t="s">
        <v>25615</v>
      </c>
      <c r="F67" s="81" t="s">
        <v>91</v>
      </c>
      <c r="G67" s="81" t="s">
        <v>29778</v>
      </c>
      <c r="H67" s="81" t="s">
        <v>29785</v>
      </c>
      <c r="I67" s="81" t="s">
        <v>1</v>
      </c>
      <c r="J67" s="84" t="s">
        <v>59</v>
      </c>
      <c r="L67" s="81" t="s">
        <v>25598</v>
      </c>
      <c r="M67" s="81" t="s">
        <v>12</v>
      </c>
      <c r="N67" s="81">
        <v>1352</v>
      </c>
      <c r="O67" s="81" t="s">
        <v>29792</v>
      </c>
      <c r="P67" s="81" t="s">
        <v>25659</v>
      </c>
      <c r="Q67" s="80"/>
      <c r="R67" s="146"/>
      <c r="S67" s="103" t="str">
        <f t="shared" ref="S67:S119" si="1">A67&amp;"-"&amp;T67</f>
        <v>88-339-09-</v>
      </c>
      <c r="V67" s="81">
        <v>12</v>
      </c>
    </row>
    <row r="68" spans="1:22" ht="15" customHeight="1" x14ac:dyDescent="0.2">
      <c r="A68" s="81" t="s">
        <v>29764</v>
      </c>
      <c r="B68" s="81" t="s">
        <v>29646</v>
      </c>
      <c r="C68" s="81" t="s">
        <v>46</v>
      </c>
      <c r="D68" s="81" t="s">
        <v>92</v>
      </c>
      <c r="E68" s="81" t="s">
        <v>29777</v>
      </c>
      <c r="F68" s="81" t="s">
        <v>91</v>
      </c>
      <c r="G68" s="81" t="s">
        <v>29778</v>
      </c>
      <c r="H68" s="81" t="s">
        <v>29782</v>
      </c>
      <c r="I68" s="81" t="s">
        <v>25365</v>
      </c>
      <c r="J68" s="84" t="s">
        <v>25993</v>
      </c>
      <c r="K68" s="81" t="s">
        <v>25678</v>
      </c>
      <c r="L68" s="81" t="s">
        <v>25598</v>
      </c>
      <c r="M68" s="81" t="s">
        <v>12</v>
      </c>
      <c r="N68" s="81">
        <v>1352</v>
      </c>
      <c r="O68" s="81" t="s">
        <v>29792</v>
      </c>
      <c r="P68" s="81" t="s">
        <v>29797</v>
      </c>
      <c r="Q68" s="80"/>
      <c r="R68" s="146"/>
      <c r="S68" s="103" t="str">
        <f t="shared" si="1"/>
        <v>88-340-01-</v>
      </c>
      <c r="V68" s="81">
        <v>144</v>
      </c>
    </row>
    <row r="69" spans="1:22" ht="15" customHeight="1" x14ac:dyDescent="0.2">
      <c r="A69" s="81" t="s">
        <v>29765</v>
      </c>
      <c r="B69" s="81" t="s">
        <v>29647</v>
      </c>
      <c r="C69" s="81" t="s">
        <v>46</v>
      </c>
      <c r="D69" s="81" t="s">
        <v>92</v>
      </c>
      <c r="E69" s="81" t="s">
        <v>29777</v>
      </c>
      <c r="F69" s="81" t="s">
        <v>91</v>
      </c>
      <c r="G69" s="81" t="s">
        <v>29778</v>
      </c>
      <c r="H69" s="81" t="s">
        <v>29779</v>
      </c>
      <c r="I69" s="81" t="s">
        <v>28</v>
      </c>
      <c r="J69" s="84" t="s">
        <v>25993</v>
      </c>
      <c r="K69" s="81" t="s">
        <v>25678</v>
      </c>
      <c r="L69" s="81" t="s">
        <v>25598</v>
      </c>
      <c r="M69" s="81" t="s">
        <v>12</v>
      </c>
      <c r="N69" s="81">
        <v>1352</v>
      </c>
      <c r="O69" s="81" t="s">
        <v>29792</v>
      </c>
      <c r="P69" s="81" t="s">
        <v>29797</v>
      </c>
      <c r="Q69" s="80"/>
      <c r="R69" s="146"/>
      <c r="S69" s="103" t="str">
        <f t="shared" si="1"/>
        <v>88-341-80-</v>
      </c>
      <c r="V69" s="81">
        <v>168</v>
      </c>
    </row>
    <row r="70" spans="1:22" ht="15" customHeight="1" x14ac:dyDescent="0.2">
      <c r="A70" s="81" t="s">
        <v>29766</v>
      </c>
      <c r="B70" s="81" t="s">
        <v>29648</v>
      </c>
      <c r="C70" s="81" t="s">
        <v>46</v>
      </c>
      <c r="D70" s="81" t="s">
        <v>92</v>
      </c>
      <c r="E70" s="81" t="s">
        <v>29777</v>
      </c>
      <c r="F70" s="81" t="s">
        <v>91</v>
      </c>
      <c r="G70" s="81" t="s">
        <v>29778</v>
      </c>
      <c r="H70" s="81" t="s">
        <v>29781</v>
      </c>
      <c r="I70" s="81" t="s">
        <v>23</v>
      </c>
      <c r="J70" s="84" t="s">
        <v>25993</v>
      </c>
      <c r="K70" s="81" t="s">
        <v>25678</v>
      </c>
      <c r="L70" s="81" t="s">
        <v>25598</v>
      </c>
      <c r="M70" s="81" t="s">
        <v>12</v>
      </c>
      <c r="N70" s="81">
        <v>1352</v>
      </c>
      <c r="O70" s="81" t="s">
        <v>29792</v>
      </c>
      <c r="P70" s="81" t="s">
        <v>29797</v>
      </c>
      <c r="Q70" s="80"/>
      <c r="R70" s="146"/>
      <c r="S70" s="103" t="str">
        <f t="shared" si="1"/>
        <v>88-342-16-</v>
      </c>
      <c r="V70" s="81">
        <v>12</v>
      </c>
    </row>
    <row r="71" spans="1:22" ht="15" customHeight="1" x14ac:dyDescent="0.2">
      <c r="A71" s="81" t="s">
        <v>29767</v>
      </c>
      <c r="B71" s="81" t="s">
        <v>29649</v>
      </c>
      <c r="C71" s="81" t="s">
        <v>46</v>
      </c>
      <c r="D71" s="81" t="s">
        <v>92</v>
      </c>
      <c r="E71" s="81" t="s">
        <v>29777</v>
      </c>
      <c r="F71" s="81" t="s">
        <v>91</v>
      </c>
      <c r="G71" s="81" t="s">
        <v>29778</v>
      </c>
      <c r="H71" s="81" t="s">
        <v>29785</v>
      </c>
      <c r="I71" s="81" t="s">
        <v>25518</v>
      </c>
      <c r="J71" s="84" t="s">
        <v>25993</v>
      </c>
      <c r="K71" s="81" t="s">
        <v>25678</v>
      </c>
      <c r="L71" s="81" t="s">
        <v>25598</v>
      </c>
      <c r="M71" s="81" t="s">
        <v>12</v>
      </c>
      <c r="N71" s="81">
        <v>1352</v>
      </c>
      <c r="O71" s="81" t="s">
        <v>29792</v>
      </c>
      <c r="P71" s="81" t="s">
        <v>29797</v>
      </c>
      <c r="Q71" s="80"/>
      <c r="R71" s="146"/>
      <c r="S71" s="103" t="str">
        <f t="shared" si="1"/>
        <v>88-343-00-</v>
      </c>
      <c r="V71" s="81">
        <v>12</v>
      </c>
    </row>
    <row r="72" spans="1:22" ht="15" customHeight="1" x14ac:dyDescent="0.2">
      <c r="A72" s="81" t="s">
        <v>29768</v>
      </c>
      <c r="B72" s="81" t="s">
        <v>29650</v>
      </c>
      <c r="C72" s="81" t="s">
        <v>46</v>
      </c>
      <c r="D72" s="81" t="s">
        <v>92</v>
      </c>
      <c r="E72" s="81" t="s">
        <v>29777</v>
      </c>
      <c r="F72" s="81" t="s">
        <v>91</v>
      </c>
      <c r="G72" s="81" t="s">
        <v>29778</v>
      </c>
      <c r="H72" s="81" t="s">
        <v>29785</v>
      </c>
      <c r="I72" s="81" t="s">
        <v>137</v>
      </c>
      <c r="J72" s="84" t="s">
        <v>26443</v>
      </c>
      <c r="L72" s="81" t="s">
        <v>25598</v>
      </c>
      <c r="M72" s="81" t="s">
        <v>12</v>
      </c>
      <c r="N72" s="81">
        <v>1352</v>
      </c>
      <c r="O72" s="81" t="s">
        <v>29792</v>
      </c>
      <c r="P72" s="81" t="s">
        <v>29797</v>
      </c>
      <c r="Q72" s="80"/>
      <c r="R72" s="146"/>
      <c r="S72" s="103" t="str">
        <f t="shared" si="1"/>
        <v>88-344-72-</v>
      </c>
      <c r="V72" s="81">
        <v>96</v>
      </c>
    </row>
    <row r="73" spans="1:22" ht="15" customHeight="1" x14ac:dyDescent="0.2">
      <c r="A73" s="81" t="s">
        <v>21967</v>
      </c>
      <c r="B73" s="81" t="s">
        <v>29651</v>
      </c>
      <c r="C73" s="81" t="s">
        <v>46</v>
      </c>
      <c r="D73" s="81" t="s">
        <v>92</v>
      </c>
      <c r="E73" s="81" t="s">
        <v>25609</v>
      </c>
      <c r="F73" s="81" t="s">
        <v>91</v>
      </c>
      <c r="G73" s="81" t="s">
        <v>29778</v>
      </c>
      <c r="H73" s="81" t="s">
        <v>29784</v>
      </c>
      <c r="I73" s="81" t="s">
        <v>25354</v>
      </c>
      <c r="J73" s="84" t="s">
        <v>25993</v>
      </c>
      <c r="K73" s="81" t="s">
        <v>25678</v>
      </c>
      <c r="L73" s="81" t="s">
        <v>25598</v>
      </c>
      <c r="M73" s="81" t="s">
        <v>12</v>
      </c>
      <c r="N73" s="81">
        <v>1352</v>
      </c>
      <c r="O73" s="81" t="s">
        <v>29792</v>
      </c>
      <c r="P73" s="81" t="s">
        <v>25628</v>
      </c>
      <c r="Q73" s="80" t="s">
        <v>100</v>
      </c>
      <c r="R73" s="146"/>
      <c r="S73" s="103" t="str">
        <f t="shared" si="1"/>
        <v>88-028-46-</v>
      </c>
      <c r="V73" s="81">
        <v>24</v>
      </c>
    </row>
    <row r="74" spans="1:22" ht="15" customHeight="1" x14ac:dyDescent="0.2">
      <c r="A74" s="81" t="s">
        <v>21969</v>
      </c>
      <c r="B74" s="81" t="s">
        <v>29652</v>
      </c>
      <c r="C74" s="81" t="s">
        <v>46</v>
      </c>
      <c r="D74" s="81" t="s">
        <v>92</v>
      </c>
      <c r="E74" s="81" t="s">
        <v>25609</v>
      </c>
      <c r="F74" s="81" t="s">
        <v>91</v>
      </c>
      <c r="G74" s="81" t="s">
        <v>29778</v>
      </c>
      <c r="H74" s="81" t="s">
        <v>29782</v>
      </c>
      <c r="I74" s="81" t="s">
        <v>147</v>
      </c>
      <c r="J74" s="84" t="s">
        <v>25993</v>
      </c>
      <c r="K74" s="81" t="s">
        <v>25678</v>
      </c>
      <c r="L74" s="81" t="s">
        <v>25598</v>
      </c>
      <c r="M74" s="81" t="s">
        <v>12</v>
      </c>
      <c r="N74" s="81">
        <v>1352</v>
      </c>
      <c r="O74" s="81" t="s">
        <v>29792</v>
      </c>
      <c r="P74" s="81" t="s">
        <v>25628</v>
      </c>
      <c r="Q74" s="80" t="s">
        <v>147</v>
      </c>
      <c r="R74" s="146"/>
      <c r="S74" s="103" t="str">
        <f t="shared" si="1"/>
        <v>88-029-19-</v>
      </c>
      <c r="V74" s="81">
        <v>24</v>
      </c>
    </row>
    <row r="75" spans="1:22" ht="15" customHeight="1" x14ac:dyDescent="0.2">
      <c r="A75" s="81" t="s">
        <v>22025</v>
      </c>
      <c r="B75" s="81" t="s">
        <v>29653</v>
      </c>
      <c r="C75" s="81" t="s">
        <v>46</v>
      </c>
      <c r="D75" s="81" t="s">
        <v>92</v>
      </c>
      <c r="E75" s="81" t="s">
        <v>25609</v>
      </c>
      <c r="F75" s="81" t="s">
        <v>91</v>
      </c>
      <c r="G75" s="81" t="s">
        <v>29778</v>
      </c>
      <c r="H75" s="81" t="s">
        <v>29785</v>
      </c>
      <c r="I75" s="81" t="s">
        <v>1</v>
      </c>
      <c r="J75" s="84" t="s">
        <v>25993</v>
      </c>
      <c r="K75" s="81" t="s">
        <v>25678</v>
      </c>
      <c r="L75" s="81" t="s">
        <v>25595</v>
      </c>
      <c r="M75" s="81" t="s">
        <v>12</v>
      </c>
      <c r="N75" s="81">
        <v>1352</v>
      </c>
      <c r="O75" s="81" t="s">
        <v>29792</v>
      </c>
      <c r="P75" s="81" t="s">
        <v>25628</v>
      </c>
      <c r="Q75" s="80" t="s">
        <v>1</v>
      </c>
      <c r="R75" s="146"/>
      <c r="S75" s="103" t="str">
        <f t="shared" si="1"/>
        <v>88-057-09-</v>
      </c>
      <c r="V75" s="81">
        <v>12</v>
      </c>
    </row>
    <row r="76" spans="1:22" ht="15" customHeight="1" x14ac:dyDescent="0.2">
      <c r="A76" s="81" t="s">
        <v>22033</v>
      </c>
      <c r="B76" s="81" t="s">
        <v>29654</v>
      </c>
      <c r="C76" s="81" t="s">
        <v>46</v>
      </c>
      <c r="D76" s="81" t="s">
        <v>47</v>
      </c>
      <c r="E76" s="81" t="s">
        <v>25609</v>
      </c>
      <c r="F76" s="81" t="s">
        <v>91</v>
      </c>
      <c r="G76" s="81" t="s">
        <v>29778</v>
      </c>
      <c r="H76" s="81" t="s">
        <v>29785</v>
      </c>
      <c r="I76" s="81" t="s">
        <v>1</v>
      </c>
      <c r="J76" s="84" t="s">
        <v>59</v>
      </c>
      <c r="L76" s="81" t="s">
        <v>25598</v>
      </c>
      <c r="M76" s="81" t="s">
        <v>12</v>
      </c>
      <c r="N76" s="81">
        <v>1352</v>
      </c>
      <c r="O76" s="81" t="s">
        <v>29792</v>
      </c>
      <c r="P76" s="81" t="s">
        <v>25628</v>
      </c>
      <c r="Q76" s="80" t="s">
        <v>1</v>
      </c>
      <c r="R76" s="146"/>
      <c r="S76" s="103" t="str">
        <f t="shared" si="1"/>
        <v>88-061-09-</v>
      </c>
      <c r="V76" s="81">
        <v>12</v>
      </c>
    </row>
    <row r="77" spans="1:22" ht="15" customHeight="1" x14ac:dyDescent="0.2">
      <c r="A77" s="81" t="s">
        <v>22035</v>
      </c>
      <c r="B77" s="81" t="s">
        <v>29655</v>
      </c>
      <c r="C77" s="81" t="s">
        <v>46</v>
      </c>
      <c r="D77" s="81" t="s">
        <v>47</v>
      </c>
      <c r="E77" s="81" t="s">
        <v>25609</v>
      </c>
      <c r="F77" s="81" t="s">
        <v>91</v>
      </c>
      <c r="G77" s="81" t="s">
        <v>29778</v>
      </c>
      <c r="H77" s="81" t="s">
        <v>29785</v>
      </c>
      <c r="I77" s="81" t="s">
        <v>1</v>
      </c>
      <c r="J77" s="84" t="s">
        <v>59</v>
      </c>
      <c r="L77" s="81" t="s">
        <v>25598</v>
      </c>
      <c r="M77" s="81" t="s">
        <v>12</v>
      </c>
      <c r="N77" s="81">
        <v>1352</v>
      </c>
      <c r="O77" s="81" t="s">
        <v>29792</v>
      </c>
      <c r="P77" s="81" t="s">
        <v>25628</v>
      </c>
      <c r="Q77" s="80" t="s">
        <v>1</v>
      </c>
      <c r="R77" s="146"/>
      <c r="S77" s="103" t="str">
        <f t="shared" si="1"/>
        <v>88-062-09-</v>
      </c>
      <c r="V77" s="81">
        <v>6</v>
      </c>
    </row>
    <row r="78" spans="1:22" ht="15" customHeight="1" x14ac:dyDescent="0.2">
      <c r="A78" s="81" t="s">
        <v>22053</v>
      </c>
      <c r="B78" s="81" t="s">
        <v>29656</v>
      </c>
      <c r="C78" s="81" t="s">
        <v>46</v>
      </c>
      <c r="D78" s="81" t="s">
        <v>92</v>
      </c>
      <c r="E78" s="81" t="s">
        <v>25609</v>
      </c>
      <c r="F78" s="81" t="s">
        <v>91</v>
      </c>
      <c r="G78" s="81" t="s">
        <v>29778</v>
      </c>
      <c r="H78" s="81" t="s">
        <v>29784</v>
      </c>
      <c r="I78" s="81" t="s">
        <v>25353</v>
      </c>
      <c r="J78" s="84" t="s">
        <v>25993</v>
      </c>
      <c r="K78" s="81" t="s">
        <v>25678</v>
      </c>
      <c r="L78" s="81" t="s">
        <v>25598</v>
      </c>
      <c r="M78" s="81" t="s">
        <v>12</v>
      </c>
      <c r="N78" s="81">
        <v>1352</v>
      </c>
      <c r="O78" s="81" t="s">
        <v>29792</v>
      </c>
      <c r="P78" s="81" t="s">
        <v>25628</v>
      </c>
      <c r="Q78" s="80" t="s">
        <v>100</v>
      </c>
      <c r="R78" s="146"/>
      <c r="S78" s="103" t="str">
        <f t="shared" si="1"/>
        <v>88-071-17-</v>
      </c>
      <c r="V78" s="81">
        <v>6</v>
      </c>
    </row>
    <row r="79" spans="1:22" ht="15" customHeight="1" x14ac:dyDescent="0.2">
      <c r="A79" s="81" t="s">
        <v>22065</v>
      </c>
      <c r="B79" s="81" t="s">
        <v>29657</v>
      </c>
      <c r="C79" s="81" t="s">
        <v>46</v>
      </c>
      <c r="D79" s="81" t="s">
        <v>92</v>
      </c>
      <c r="E79" s="81" t="s">
        <v>25609</v>
      </c>
      <c r="F79" s="81" t="s">
        <v>91</v>
      </c>
      <c r="G79" s="81" t="s">
        <v>29778</v>
      </c>
      <c r="H79" s="81" t="s">
        <v>29782</v>
      </c>
      <c r="I79" s="81" t="s">
        <v>25466</v>
      </c>
      <c r="J79" s="84" t="s">
        <v>25993</v>
      </c>
      <c r="K79" s="81" t="s">
        <v>25678</v>
      </c>
      <c r="L79" s="81" t="s">
        <v>25598</v>
      </c>
      <c r="M79" s="81" t="s">
        <v>12</v>
      </c>
      <c r="N79" s="81">
        <v>1352</v>
      </c>
      <c r="O79" s="81" t="s">
        <v>29792</v>
      </c>
      <c r="P79" s="81" t="s">
        <v>25628</v>
      </c>
      <c r="Q79" s="80" t="s">
        <v>27</v>
      </c>
      <c r="R79" s="146"/>
      <c r="S79" s="103" t="str">
        <f t="shared" si="1"/>
        <v>88-077-26-</v>
      </c>
      <c r="V79" s="81">
        <v>6</v>
      </c>
    </row>
    <row r="80" spans="1:22" ht="15" customHeight="1" x14ac:dyDescent="0.2">
      <c r="A80" s="81" t="s">
        <v>22131</v>
      </c>
      <c r="B80" s="81" t="s">
        <v>29658</v>
      </c>
      <c r="C80" s="81" t="s">
        <v>46</v>
      </c>
      <c r="D80" s="81" t="s">
        <v>92</v>
      </c>
      <c r="E80" s="81" t="s">
        <v>25609</v>
      </c>
      <c r="F80" s="81" t="s">
        <v>91</v>
      </c>
      <c r="G80" s="81" t="s">
        <v>29778</v>
      </c>
      <c r="H80" s="81" t="s">
        <v>29787</v>
      </c>
      <c r="I80" s="81" t="s">
        <v>58</v>
      </c>
      <c r="J80" s="84" t="s">
        <v>25993</v>
      </c>
      <c r="K80" s="81" t="s">
        <v>25678</v>
      </c>
      <c r="L80" s="81" t="s">
        <v>25598</v>
      </c>
      <c r="M80" s="81" t="s">
        <v>12</v>
      </c>
      <c r="N80" s="81">
        <v>1352</v>
      </c>
      <c r="O80" s="81" t="s">
        <v>29792</v>
      </c>
      <c r="P80" s="81" t="s">
        <v>25628</v>
      </c>
      <c r="Q80" s="80" t="s">
        <v>58</v>
      </c>
      <c r="R80" s="146"/>
      <c r="S80" s="103" t="str">
        <f t="shared" si="1"/>
        <v>88-110-03-</v>
      </c>
      <c r="V80" s="81">
        <v>12</v>
      </c>
    </row>
    <row r="81" spans="1:22" ht="15" customHeight="1" x14ac:dyDescent="0.2">
      <c r="A81" s="81" t="s">
        <v>22125</v>
      </c>
      <c r="B81" s="81" t="s">
        <v>29659</v>
      </c>
      <c r="C81" s="81" t="s">
        <v>46</v>
      </c>
      <c r="D81" s="81" t="s">
        <v>47</v>
      </c>
      <c r="E81" s="81" t="s">
        <v>25609</v>
      </c>
      <c r="F81" s="81" t="s">
        <v>91</v>
      </c>
      <c r="G81" s="81" t="s">
        <v>29778</v>
      </c>
      <c r="H81" s="81" t="s">
        <v>29785</v>
      </c>
      <c r="I81" s="81" t="s">
        <v>1</v>
      </c>
      <c r="J81" s="84" t="s">
        <v>11</v>
      </c>
      <c r="K81" s="81" t="s">
        <v>25678</v>
      </c>
      <c r="L81" s="81" t="s">
        <v>25598</v>
      </c>
      <c r="M81" s="81" t="s">
        <v>12</v>
      </c>
      <c r="N81" s="81">
        <v>1352</v>
      </c>
      <c r="O81" s="81" t="s">
        <v>29792</v>
      </c>
      <c r="P81" s="81" t="s">
        <v>25628</v>
      </c>
      <c r="Q81" s="80" t="s">
        <v>1</v>
      </c>
      <c r="R81" s="146"/>
      <c r="S81" s="103" t="str">
        <f t="shared" si="1"/>
        <v>88-107-09-</v>
      </c>
      <c r="V81" s="81">
        <v>18</v>
      </c>
    </row>
    <row r="82" spans="1:22" ht="15" customHeight="1" x14ac:dyDescent="0.2">
      <c r="A82" s="81" t="s">
        <v>22259</v>
      </c>
      <c r="B82" s="81" t="s">
        <v>29660</v>
      </c>
      <c r="C82" s="81" t="s">
        <v>46</v>
      </c>
      <c r="D82" s="81" t="s">
        <v>92</v>
      </c>
      <c r="E82" s="81" t="s">
        <v>25606</v>
      </c>
      <c r="F82" s="81" t="s">
        <v>91</v>
      </c>
      <c r="G82" s="81" t="s">
        <v>29778</v>
      </c>
      <c r="H82" s="81" t="s">
        <v>29781</v>
      </c>
      <c r="I82" s="81" t="s">
        <v>23</v>
      </c>
      <c r="J82" s="84" t="s">
        <v>25993</v>
      </c>
      <c r="K82" s="81" t="s">
        <v>25678</v>
      </c>
      <c r="L82" s="81" t="s">
        <v>25598</v>
      </c>
      <c r="M82" s="81" t="s">
        <v>12</v>
      </c>
      <c r="N82" s="81">
        <v>1352</v>
      </c>
      <c r="O82" s="81" t="s">
        <v>29792</v>
      </c>
      <c r="P82" s="81" t="s">
        <v>25624</v>
      </c>
      <c r="Q82" s="80" t="s">
        <v>27</v>
      </c>
      <c r="R82" s="146"/>
      <c r="S82" s="103" t="str">
        <f t="shared" si="1"/>
        <v>88-174-16-</v>
      </c>
      <c r="V82" s="81">
        <v>24</v>
      </c>
    </row>
    <row r="83" spans="1:22" ht="15" customHeight="1" x14ac:dyDescent="0.2">
      <c r="A83" s="81" t="s">
        <v>22261</v>
      </c>
      <c r="B83" s="81" t="s">
        <v>29661</v>
      </c>
      <c r="C83" s="81" t="s">
        <v>46</v>
      </c>
      <c r="D83" s="81" t="s">
        <v>92</v>
      </c>
      <c r="E83" s="81" t="s">
        <v>25606</v>
      </c>
      <c r="F83" s="81" t="s">
        <v>91</v>
      </c>
      <c r="G83" s="81" t="s">
        <v>29778</v>
      </c>
      <c r="H83" s="81" t="s">
        <v>29785</v>
      </c>
      <c r="I83" s="81" t="s">
        <v>1</v>
      </c>
      <c r="J83" s="84" t="s">
        <v>25993</v>
      </c>
      <c r="K83" s="81" t="s">
        <v>25678</v>
      </c>
      <c r="L83" s="81" t="s">
        <v>25598</v>
      </c>
      <c r="M83" s="81" t="s">
        <v>12</v>
      </c>
      <c r="N83" s="81">
        <v>1352</v>
      </c>
      <c r="O83" s="81" t="s">
        <v>29792</v>
      </c>
      <c r="P83" s="81" t="s">
        <v>25624</v>
      </c>
      <c r="Q83" s="80" t="s">
        <v>1</v>
      </c>
      <c r="R83" s="146"/>
      <c r="S83" s="103" t="str">
        <f t="shared" si="1"/>
        <v>88-175-09-</v>
      </c>
      <c r="V83" s="81">
        <v>6</v>
      </c>
    </row>
    <row r="84" spans="1:22" ht="15" customHeight="1" x14ac:dyDescent="0.2">
      <c r="A84" s="81" t="s">
        <v>22269</v>
      </c>
      <c r="B84" s="81" t="s">
        <v>29662</v>
      </c>
      <c r="C84" s="81" t="s">
        <v>46</v>
      </c>
      <c r="D84" s="81" t="s">
        <v>92</v>
      </c>
      <c r="E84" s="81" t="s">
        <v>25606</v>
      </c>
      <c r="F84" s="81" t="s">
        <v>91</v>
      </c>
      <c r="G84" s="81" t="s">
        <v>29778</v>
      </c>
      <c r="H84" s="81" t="s">
        <v>29781</v>
      </c>
      <c r="I84" s="81" t="s">
        <v>1</v>
      </c>
      <c r="J84" s="84" t="s">
        <v>25993</v>
      </c>
      <c r="K84" s="81" t="s">
        <v>25678</v>
      </c>
      <c r="L84" s="81" t="s">
        <v>25598</v>
      </c>
      <c r="M84" s="81" t="s">
        <v>12</v>
      </c>
      <c r="N84" s="81">
        <v>1352</v>
      </c>
      <c r="O84" s="81" t="s">
        <v>29792</v>
      </c>
      <c r="P84" s="81" t="s">
        <v>25624</v>
      </c>
      <c r="Q84" s="80" t="s">
        <v>1</v>
      </c>
      <c r="R84" s="146"/>
      <c r="S84" s="103" t="str">
        <f t="shared" si="1"/>
        <v>88-179-16-</v>
      </c>
      <c r="V84" s="81">
        <v>42</v>
      </c>
    </row>
    <row r="85" spans="1:22" ht="15" customHeight="1" x14ac:dyDescent="0.2">
      <c r="A85" s="81" t="s">
        <v>22271</v>
      </c>
      <c r="B85" s="81" t="s">
        <v>29663</v>
      </c>
      <c r="C85" s="81" t="s">
        <v>46</v>
      </c>
      <c r="D85" s="81" t="s">
        <v>92</v>
      </c>
      <c r="E85" s="81" t="s">
        <v>25606</v>
      </c>
      <c r="F85" s="81" t="s">
        <v>91</v>
      </c>
      <c r="G85" s="81" t="s">
        <v>29778</v>
      </c>
      <c r="H85" s="81" t="s">
        <v>29785</v>
      </c>
      <c r="I85" s="81" t="s">
        <v>1</v>
      </c>
      <c r="J85" s="84" t="s">
        <v>25993</v>
      </c>
      <c r="K85" s="81" t="s">
        <v>25678</v>
      </c>
      <c r="L85" s="81" t="s">
        <v>25598</v>
      </c>
      <c r="M85" s="81" t="s">
        <v>12</v>
      </c>
      <c r="N85" s="81">
        <v>1352</v>
      </c>
      <c r="O85" s="81" t="s">
        <v>29792</v>
      </c>
      <c r="P85" s="81" t="s">
        <v>25624</v>
      </c>
      <c r="Q85" s="80" t="s">
        <v>1</v>
      </c>
      <c r="R85" s="146"/>
      <c r="S85" s="103" t="str">
        <f t="shared" si="1"/>
        <v>88-180-09-</v>
      </c>
      <c r="V85" s="81">
        <v>60</v>
      </c>
    </row>
    <row r="86" spans="1:22" ht="15" customHeight="1" x14ac:dyDescent="0.2">
      <c r="A86" s="81" t="s">
        <v>21919</v>
      </c>
      <c r="B86" s="81" t="s">
        <v>29664</v>
      </c>
      <c r="C86" s="81" t="s">
        <v>46</v>
      </c>
      <c r="D86" s="81" t="s">
        <v>92</v>
      </c>
      <c r="E86" s="81" t="s">
        <v>25607</v>
      </c>
      <c r="F86" s="81" t="s">
        <v>91</v>
      </c>
      <c r="G86" s="81" t="s">
        <v>29778</v>
      </c>
      <c r="H86" s="81" t="s">
        <v>29784</v>
      </c>
      <c r="I86" s="81" t="s">
        <v>107</v>
      </c>
      <c r="J86" s="84" t="s">
        <v>25993</v>
      </c>
      <c r="K86" s="81" t="s">
        <v>25678</v>
      </c>
      <c r="L86" s="81" t="s">
        <v>25598</v>
      </c>
      <c r="M86" s="81" t="s">
        <v>12</v>
      </c>
      <c r="N86" s="81">
        <v>1352</v>
      </c>
      <c r="O86" s="81" t="s">
        <v>29792</v>
      </c>
      <c r="P86" s="81" t="s">
        <v>25625</v>
      </c>
      <c r="Q86" s="80" t="s">
        <v>100</v>
      </c>
      <c r="R86" s="146"/>
      <c r="S86" s="103" t="str">
        <f t="shared" si="1"/>
        <v>88-004-48-</v>
      </c>
      <c r="V86" s="81">
        <v>204</v>
      </c>
    </row>
    <row r="87" spans="1:22" ht="15" customHeight="1" x14ac:dyDescent="0.2">
      <c r="A87" s="81" t="s">
        <v>21921</v>
      </c>
      <c r="B87" s="81" t="s">
        <v>29665</v>
      </c>
      <c r="C87" s="81" t="s">
        <v>46</v>
      </c>
      <c r="D87" s="81" t="s">
        <v>92</v>
      </c>
      <c r="E87" s="81" t="s">
        <v>25607</v>
      </c>
      <c r="F87" s="81" t="s">
        <v>91</v>
      </c>
      <c r="G87" s="81" t="s">
        <v>29778</v>
      </c>
      <c r="H87" s="81" t="s">
        <v>29785</v>
      </c>
      <c r="I87" s="81" t="s">
        <v>1</v>
      </c>
      <c r="J87" s="84" t="s">
        <v>25993</v>
      </c>
      <c r="K87" s="81" t="s">
        <v>25678</v>
      </c>
      <c r="L87" s="81" t="s">
        <v>25598</v>
      </c>
      <c r="M87" s="81" t="s">
        <v>12</v>
      </c>
      <c r="N87" s="81">
        <v>1352</v>
      </c>
      <c r="O87" s="81" t="s">
        <v>29792</v>
      </c>
      <c r="P87" s="81" t="s">
        <v>25625</v>
      </c>
      <c r="Q87" s="80" t="s">
        <v>1</v>
      </c>
      <c r="R87" s="146"/>
      <c r="S87" s="103" t="str">
        <f t="shared" si="1"/>
        <v>88-005-09-</v>
      </c>
      <c r="V87" s="81">
        <v>132</v>
      </c>
    </row>
    <row r="88" spans="1:22" ht="15" customHeight="1" x14ac:dyDescent="0.2">
      <c r="A88" s="81" t="s">
        <v>21923</v>
      </c>
      <c r="B88" s="81" t="s">
        <v>29666</v>
      </c>
      <c r="C88" s="81" t="s">
        <v>46</v>
      </c>
      <c r="D88" s="81" t="s">
        <v>92</v>
      </c>
      <c r="E88" s="81" t="s">
        <v>25607</v>
      </c>
      <c r="F88" s="81" t="s">
        <v>91</v>
      </c>
      <c r="G88" s="81" t="s">
        <v>29778</v>
      </c>
      <c r="H88" s="81" t="s">
        <v>29782</v>
      </c>
      <c r="I88" s="81" t="s">
        <v>36</v>
      </c>
      <c r="J88" s="84" t="s">
        <v>25993</v>
      </c>
      <c r="K88" s="81" t="s">
        <v>25678</v>
      </c>
      <c r="L88" s="81" t="s">
        <v>25598</v>
      </c>
      <c r="M88" s="81" t="s">
        <v>12</v>
      </c>
      <c r="N88" s="81">
        <v>1352</v>
      </c>
      <c r="O88" s="81" t="s">
        <v>29792</v>
      </c>
      <c r="P88" s="81" t="s">
        <v>25625</v>
      </c>
      <c r="Q88" s="80" t="s">
        <v>27</v>
      </c>
      <c r="R88" s="146"/>
      <c r="S88" s="103" t="str">
        <f t="shared" si="1"/>
        <v>88-006-06-</v>
      </c>
      <c r="V88" s="81">
        <v>408</v>
      </c>
    </row>
    <row r="89" spans="1:22" ht="15" customHeight="1" x14ac:dyDescent="0.2">
      <c r="A89" s="81" t="s">
        <v>21925</v>
      </c>
      <c r="B89" s="81" t="s">
        <v>29667</v>
      </c>
      <c r="C89" s="81" t="s">
        <v>46</v>
      </c>
      <c r="D89" s="81" t="s">
        <v>92</v>
      </c>
      <c r="E89" s="81" t="s">
        <v>25607</v>
      </c>
      <c r="F89" s="81" t="s">
        <v>91</v>
      </c>
      <c r="G89" s="81" t="s">
        <v>29778</v>
      </c>
      <c r="H89" s="81" t="s">
        <v>29785</v>
      </c>
      <c r="I89" s="81" t="s">
        <v>1</v>
      </c>
      <c r="J89" s="84" t="s">
        <v>25993</v>
      </c>
      <c r="K89" s="81" t="s">
        <v>25678</v>
      </c>
      <c r="L89" s="81" t="s">
        <v>25598</v>
      </c>
      <c r="M89" s="81" t="s">
        <v>12</v>
      </c>
      <c r="N89" s="81">
        <v>1352</v>
      </c>
      <c r="O89" s="81" t="s">
        <v>29792</v>
      </c>
      <c r="P89" s="81" t="s">
        <v>25625</v>
      </c>
      <c r="Q89" s="80" t="s">
        <v>1</v>
      </c>
      <c r="R89" s="146"/>
      <c r="S89" s="103" t="str">
        <f t="shared" si="1"/>
        <v>88-007-09-</v>
      </c>
      <c r="V89" s="81">
        <v>204</v>
      </c>
    </row>
    <row r="90" spans="1:22" ht="15" customHeight="1" x14ac:dyDescent="0.2">
      <c r="A90" s="81" t="s">
        <v>21927</v>
      </c>
      <c r="B90" s="81" t="s">
        <v>29668</v>
      </c>
      <c r="C90" s="81" t="s">
        <v>46</v>
      </c>
      <c r="D90" s="81" t="s">
        <v>47</v>
      </c>
      <c r="E90" s="81" t="s">
        <v>25607</v>
      </c>
      <c r="F90" s="81" t="s">
        <v>91</v>
      </c>
      <c r="G90" s="81" t="s">
        <v>29778</v>
      </c>
      <c r="H90" s="81" t="s">
        <v>29785</v>
      </c>
      <c r="I90" s="81" t="s">
        <v>1</v>
      </c>
      <c r="J90" s="84" t="s">
        <v>11</v>
      </c>
      <c r="K90" s="81" t="s">
        <v>25678</v>
      </c>
      <c r="L90" s="81" t="s">
        <v>25598</v>
      </c>
      <c r="M90" s="81" t="s">
        <v>12</v>
      </c>
      <c r="N90" s="81">
        <v>1352</v>
      </c>
      <c r="O90" s="81" t="s">
        <v>29792</v>
      </c>
      <c r="P90" s="81" t="s">
        <v>25625</v>
      </c>
      <c r="Q90" s="80" t="s">
        <v>1</v>
      </c>
      <c r="R90" s="146"/>
      <c r="S90" s="103" t="str">
        <f t="shared" si="1"/>
        <v>88-008-09-</v>
      </c>
      <c r="V90" s="81">
        <v>144</v>
      </c>
    </row>
    <row r="91" spans="1:22" ht="15" customHeight="1" x14ac:dyDescent="0.2">
      <c r="A91" s="81" t="s">
        <v>21929</v>
      </c>
      <c r="B91" s="81" t="s">
        <v>29669</v>
      </c>
      <c r="C91" s="81" t="s">
        <v>46</v>
      </c>
      <c r="D91" s="81" t="s">
        <v>92</v>
      </c>
      <c r="E91" s="81" t="s">
        <v>25607</v>
      </c>
      <c r="F91" s="81" t="s">
        <v>91</v>
      </c>
      <c r="G91" s="81" t="s">
        <v>29778</v>
      </c>
      <c r="H91" s="81" t="s">
        <v>29784</v>
      </c>
      <c r="I91" s="81" t="s">
        <v>25358</v>
      </c>
      <c r="J91" s="84" t="s">
        <v>25993</v>
      </c>
      <c r="K91" s="81" t="s">
        <v>25678</v>
      </c>
      <c r="L91" s="81" t="s">
        <v>25598</v>
      </c>
      <c r="M91" s="81" t="s">
        <v>12</v>
      </c>
      <c r="N91" s="81">
        <v>1352</v>
      </c>
      <c r="O91" s="81" t="s">
        <v>29792</v>
      </c>
      <c r="P91" s="81" t="s">
        <v>25625</v>
      </c>
      <c r="Q91" s="80" t="s">
        <v>100</v>
      </c>
      <c r="R91" s="146"/>
      <c r="S91" s="103" t="str">
        <f t="shared" si="1"/>
        <v>88-009-17-</v>
      </c>
      <c r="V91" s="81">
        <v>192</v>
      </c>
    </row>
    <row r="92" spans="1:22" ht="15" customHeight="1" x14ac:dyDescent="0.2">
      <c r="A92" s="81" t="s">
        <v>21931</v>
      </c>
      <c r="B92" s="81" t="s">
        <v>29670</v>
      </c>
      <c r="C92" s="81" t="s">
        <v>46</v>
      </c>
      <c r="D92" s="81" t="s">
        <v>92</v>
      </c>
      <c r="E92" s="81" t="s">
        <v>25607</v>
      </c>
      <c r="F92" s="81" t="s">
        <v>91</v>
      </c>
      <c r="G92" s="81" t="s">
        <v>29778</v>
      </c>
      <c r="H92" s="81" t="s">
        <v>29785</v>
      </c>
      <c r="I92" s="81" t="s">
        <v>1</v>
      </c>
      <c r="J92" s="84" t="s">
        <v>25993</v>
      </c>
      <c r="K92" s="81" t="s">
        <v>25678</v>
      </c>
      <c r="L92" s="81" t="s">
        <v>25598</v>
      </c>
      <c r="M92" s="81" t="s">
        <v>12</v>
      </c>
      <c r="N92" s="81">
        <v>1352</v>
      </c>
      <c r="O92" s="81" t="s">
        <v>29792</v>
      </c>
      <c r="P92" s="81" t="s">
        <v>25625</v>
      </c>
      <c r="Q92" s="80" t="s">
        <v>1</v>
      </c>
      <c r="R92" s="146"/>
      <c r="S92" s="103" t="str">
        <f t="shared" si="1"/>
        <v>88-010-09-</v>
      </c>
      <c r="V92" s="81">
        <v>120</v>
      </c>
    </row>
    <row r="93" spans="1:22" ht="15" customHeight="1" x14ac:dyDescent="0.2">
      <c r="A93" s="81" t="s">
        <v>21937</v>
      </c>
      <c r="B93" s="81" t="s">
        <v>29671</v>
      </c>
      <c r="C93" s="81" t="s">
        <v>46</v>
      </c>
      <c r="D93" s="81" t="s">
        <v>92</v>
      </c>
      <c r="E93" s="81" t="s">
        <v>25607</v>
      </c>
      <c r="F93" s="81" t="s">
        <v>91</v>
      </c>
      <c r="G93" s="81" t="s">
        <v>29778</v>
      </c>
      <c r="H93" s="81" t="s">
        <v>29788</v>
      </c>
      <c r="I93" s="81" t="s">
        <v>25438</v>
      </c>
      <c r="J93" s="84" t="s">
        <v>25993</v>
      </c>
      <c r="K93" s="81" t="s">
        <v>25678</v>
      </c>
      <c r="L93" s="81" t="s">
        <v>25598</v>
      </c>
      <c r="M93" s="81" t="s">
        <v>12</v>
      </c>
      <c r="N93" s="81">
        <v>1352</v>
      </c>
      <c r="O93" s="81" t="s">
        <v>29792</v>
      </c>
      <c r="P93" s="81" t="s">
        <v>25625</v>
      </c>
      <c r="Q93" s="80" t="s">
        <v>123</v>
      </c>
      <c r="R93" s="146"/>
      <c r="S93" s="103" t="str">
        <f t="shared" si="1"/>
        <v>88-013-13-</v>
      </c>
      <c r="V93" s="81">
        <v>132</v>
      </c>
    </row>
    <row r="94" spans="1:22" ht="15" customHeight="1" x14ac:dyDescent="0.2">
      <c r="A94" s="81" t="s">
        <v>21941</v>
      </c>
      <c r="B94" s="81" t="s">
        <v>29672</v>
      </c>
      <c r="C94" s="81" t="s">
        <v>46</v>
      </c>
      <c r="D94" s="81" t="s">
        <v>92</v>
      </c>
      <c r="E94" s="81" t="s">
        <v>25607</v>
      </c>
      <c r="F94" s="81" t="s">
        <v>91</v>
      </c>
      <c r="G94" s="81" t="s">
        <v>29778</v>
      </c>
      <c r="H94" s="81" t="s">
        <v>29785</v>
      </c>
      <c r="I94" s="81" t="s">
        <v>1</v>
      </c>
      <c r="J94" s="84" t="s">
        <v>25993</v>
      </c>
      <c r="K94" s="81" t="s">
        <v>25678</v>
      </c>
      <c r="L94" s="81" t="s">
        <v>25598</v>
      </c>
      <c r="M94" s="81" t="s">
        <v>12</v>
      </c>
      <c r="N94" s="81">
        <v>1352</v>
      </c>
      <c r="O94" s="81" t="s">
        <v>29792</v>
      </c>
      <c r="P94" s="81" t="s">
        <v>25625</v>
      </c>
      <c r="Q94" s="80" t="s">
        <v>1</v>
      </c>
      <c r="R94" s="146"/>
      <c r="S94" s="103" t="str">
        <f t="shared" si="1"/>
        <v>88-015-09-</v>
      </c>
      <c r="V94" s="81">
        <v>120</v>
      </c>
    </row>
    <row r="95" spans="1:22" ht="15" customHeight="1" x14ac:dyDescent="0.2">
      <c r="A95" s="81" t="s">
        <v>21947</v>
      </c>
      <c r="B95" s="81" t="s">
        <v>29673</v>
      </c>
      <c r="C95" s="81" t="s">
        <v>46</v>
      </c>
      <c r="D95" s="81" t="s">
        <v>92</v>
      </c>
      <c r="E95" s="81" t="s">
        <v>25607</v>
      </c>
      <c r="F95" s="81" t="s">
        <v>91</v>
      </c>
      <c r="G95" s="81" t="s">
        <v>29778</v>
      </c>
      <c r="H95" s="81" t="s">
        <v>29784</v>
      </c>
      <c r="I95" s="81" t="s">
        <v>25358</v>
      </c>
      <c r="J95" s="84" t="s">
        <v>25993</v>
      </c>
      <c r="K95" s="81" t="s">
        <v>25678</v>
      </c>
      <c r="L95" s="81" t="s">
        <v>25595</v>
      </c>
      <c r="M95" s="81" t="s">
        <v>12</v>
      </c>
      <c r="N95" s="81">
        <v>1352</v>
      </c>
      <c r="O95" s="81" t="s">
        <v>29792</v>
      </c>
      <c r="P95" s="81" t="s">
        <v>25625</v>
      </c>
      <c r="Q95" s="80" t="s">
        <v>100</v>
      </c>
      <c r="R95" s="146"/>
      <c r="S95" s="103" t="str">
        <f t="shared" si="1"/>
        <v>88-018-17-</v>
      </c>
      <c r="V95" s="81">
        <v>60</v>
      </c>
    </row>
    <row r="96" spans="1:22" ht="15" customHeight="1" x14ac:dyDescent="0.2">
      <c r="A96" s="81" t="s">
        <v>21949</v>
      </c>
      <c r="B96" s="81" t="s">
        <v>29674</v>
      </c>
      <c r="C96" s="81" t="s">
        <v>46</v>
      </c>
      <c r="D96" s="81" t="s">
        <v>47</v>
      </c>
      <c r="E96" s="81" t="s">
        <v>25607</v>
      </c>
      <c r="F96" s="81" t="s">
        <v>91</v>
      </c>
      <c r="G96" s="81" t="s">
        <v>29778</v>
      </c>
      <c r="H96" s="81" t="s">
        <v>29785</v>
      </c>
      <c r="I96" s="81" t="s">
        <v>25529</v>
      </c>
      <c r="J96" s="84" t="s">
        <v>59</v>
      </c>
      <c r="K96" s="81" t="s">
        <v>25678</v>
      </c>
      <c r="L96" s="81" t="s">
        <v>25598</v>
      </c>
      <c r="M96" s="81" t="s">
        <v>12</v>
      </c>
      <c r="N96" s="81">
        <v>1352</v>
      </c>
      <c r="O96" s="81" t="s">
        <v>29792</v>
      </c>
      <c r="P96" s="81" t="s">
        <v>25625</v>
      </c>
      <c r="Q96" s="80" t="s">
        <v>1</v>
      </c>
      <c r="R96" s="146"/>
      <c r="S96" s="103" t="str">
        <f t="shared" si="1"/>
        <v>88-019-78-</v>
      </c>
      <c r="V96" s="81">
        <v>6</v>
      </c>
    </row>
    <row r="97" spans="1:22" ht="15" customHeight="1" x14ac:dyDescent="0.2">
      <c r="A97" s="81" t="s">
        <v>28136</v>
      </c>
      <c r="B97" s="81" t="s">
        <v>29675</v>
      </c>
      <c r="C97" s="81" t="s">
        <v>46</v>
      </c>
      <c r="D97" s="81" t="s">
        <v>92</v>
      </c>
      <c r="E97" s="81" t="s">
        <v>25610</v>
      </c>
      <c r="F97" s="81" t="s">
        <v>91</v>
      </c>
      <c r="G97" s="81" t="s">
        <v>29778</v>
      </c>
      <c r="H97" s="81" t="s">
        <v>29781</v>
      </c>
      <c r="I97" s="81" t="s">
        <v>23</v>
      </c>
      <c r="J97" s="84" t="s">
        <v>25993</v>
      </c>
      <c r="K97" s="81" t="s">
        <v>25678</v>
      </c>
      <c r="L97" s="81" t="s">
        <v>25598</v>
      </c>
      <c r="M97" s="81" t="s">
        <v>12</v>
      </c>
      <c r="N97" s="81">
        <v>1352</v>
      </c>
      <c r="O97" s="81" t="s">
        <v>29792</v>
      </c>
      <c r="P97" s="81" t="s">
        <v>25647</v>
      </c>
      <c r="Q97" s="80" t="s">
        <v>27</v>
      </c>
      <c r="R97" s="146"/>
      <c r="S97" s="103" t="str">
        <f t="shared" si="1"/>
        <v>88-239-16-</v>
      </c>
      <c r="V97" s="81">
        <v>24</v>
      </c>
    </row>
    <row r="98" spans="1:22" ht="15" customHeight="1" x14ac:dyDescent="0.2">
      <c r="A98" s="81" t="s">
        <v>22279</v>
      </c>
      <c r="B98" s="81" t="s">
        <v>29676</v>
      </c>
      <c r="C98" s="81" t="s">
        <v>46</v>
      </c>
      <c r="D98" s="81" t="s">
        <v>92</v>
      </c>
      <c r="E98" s="81" t="s">
        <v>25610</v>
      </c>
      <c r="F98" s="81" t="s">
        <v>91</v>
      </c>
      <c r="G98" s="81" t="s">
        <v>29778</v>
      </c>
      <c r="H98" s="81" t="s">
        <v>29783</v>
      </c>
      <c r="I98" s="81" t="s">
        <v>22</v>
      </c>
      <c r="J98" s="84" t="s">
        <v>25993</v>
      </c>
      <c r="K98" s="81" t="s">
        <v>25678</v>
      </c>
      <c r="L98" s="81" t="s">
        <v>25598</v>
      </c>
      <c r="M98" s="81" t="s">
        <v>12</v>
      </c>
      <c r="N98" s="81">
        <v>1352</v>
      </c>
      <c r="O98" s="81" t="s">
        <v>29792</v>
      </c>
      <c r="P98" s="81" t="s">
        <v>25647</v>
      </c>
      <c r="Q98" s="80" t="s">
        <v>22</v>
      </c>
      <c r="R98" s="146"/>
      <c r="S98" s="103" t="str">
        <f t="shared" si="1"/>
        <v>88-184-14-</v>
      </c>
      <c r="V98" s="81">
        <v>72</v>
      </c>
    </row>
    <row r="99" spans="1:22" ht="15" customHeight="1" x14ac:dyDescent="0.2">
      <c r="A99" s="81" t="s">
        <v>28144</v>
      </c>
      <c r="B99" s="81" t="s">
        <v>29677</v>
      </c>
      <c r="C99" s="81" t="s">
        <v>46</v>
      </c>
      <c r="D99" s="81" t="s">
        <v>92</v>
      </c>
      <c r="E99" s="81" t="s">
        <v>25610</v>
      </c>
      <c r="F99" s="81" t="s">
        <v>91</v>
      </c>
      <c r="G99" s="81" t="s">
        <v>29778</v>
      </c>
      <c r="H99" s="81" t="s">
        <v>29789</v>
      </c>
      <c r="I99" s="81" t="s">
        <v>58</v>
      </c>
      <c r="J99" s="84" t="s">
        <v>25993</v>
      </c>
      <c r="K99" s="81" t="s">
        <v>25678</v>
      </c>
      <c r="L99" s="81" t="s">
        <v>25598</v>
      </c>
      <c r="M99" s="81" t="s">
        <v>12</v>
      </c>
      <c r="N99" s="81">
        <v>1352</v>
      </c>
      <c r="O99" s="81" t="s">
        <v>29792</v>
      </c>
      <c r="P99" s="81" t="s">
        <v>25647</v>
      </c>
      <c r="Q99" s="80" t="s">
        <v>58</v>
      </c>
      <c r="R99" s="146"/>
      <c r="S99" s="103" t="str">
        <f t="shared" si="1"/>
        <v>88-243-03-</v>
      </c>
      <c r="V99" s="81">
        <v>96</v>
      </c>
    </row>
    <row r="100" spans="1:22" ht="15" customHeight="1" x14ac:dyDescent="0.2">
      <c r="A100" s="81" t="s">
        <v>28151</v>
      </c>
      <c r="B100" s="81" t="s">
        <v>29678</v>
      </c>
      <c r="C100" s="81" t="s">
        <v>46</v>
      </c>
      <c r="D100" s="81" t="s">
        <v>92</v>
      </c>
      <c r="E100" s="81" t="s">
        <v>25610</v>
      </c>
      <c r="F100" s="81" t="s">
        <v>91</v>
      </c>
      <c r="G100" s="81" t="s">
        <v>29778</v>
      </c>
      <c r="H100" s="81" t="s">
        <v>29783</v>
      </c>
      <c r="I100" s="81" t="s">
        <v>22</v>
      </c>
      <c r="J100" s="84" t="s">
        <v>25993</v>
      </c>
      <c r="K100" s="81" t="s">
        <v>25678</v>
      </c>
      <c r="L100" s="81" t="s">
        <v>25598</v>
      </c>
      <c r="M100" s="81" t="s">
        <v>12</v>
      </c>
      <c r="N100" s="81">
        <v>1352</v>
      </c>
      <c r="O100" s="81" t="s">
        <v>29792</v>
      </c>
      <c r="P100" s="81" t="s">
        <v>25647</v>
      </c>
      <c r="Q100" s="80" t="s">
        <v>22</v>
      </c>
      <c r="R100" s="146"/>
      <c r="S100" s="103" t="str">
        <f t="shared" si="1"/>
        <v>88-247-14-</v>
      </c>
      <c r="V100" s="81">
        <v>18</v>
      </c>
    </row>
    <row r="101" spans="1:22" ht="15" customHeight="1" x14ac:dyDescent="0.2">
      <c r="A101" s="81" t="s">
        <v>22287</v>
      </c>
      <c r="B101" s="81" t="s">
        <v>29679</v>
      </c>
      <c r="C101" s="81" t="s">
        <v>46</v>
      </c>
      <c r="D101" s="81" t="s">
        <v>92</v>
      </c>
      <c r="E101" s="81" t="s">
        <v>25610</v>
      </c>
      <c r="F101" s="81" t="s">
        <v>91</v>
      </c>
      <c r="G101" s="81" t="s">
        <v>29778</v>
      </c>
      <c r="H101" s="81" t="s">
        <v>29781</v>
      </c>
      <c r="I101" s="81" t="s">
        <v>1</v>
      </c>
      <c r="J101" s="84" t="s">
        <v>25993</v>
      </c>
      <c r="K101" s="81" t="s">
        <v>25678</v>
      </c>
      <c r="L101" s="81" t="s">
        <v>25598</v>
      </c>
      <c r="M101" s="81" t="s">
        <v>12</v>
      </c>
      <c r="N101" s="81">
        <v>1352</v>
      </c>
      <c r="O101" s="81" t="s">
        <v>29792</v>
      </c>
      <c r="P101" s="81" t="s">
        <v>25647</v>
      </c>
      <c r="Q101" s="80" t="s">
        <v>1</v>
      </c>
      <c r="R101" s="146"/>
      <c r="S101" s="103" t="str">
        <f t="shared" si="1"/>
        <v>88-188-16-</v>
      </c>
      <c r="V101" s="81">
        <v>120</v>
      </c>
    </row>
    <row r="102" spans="1:22" ht="15" customHeight="1" x14ac:dyDescent="0.2">
      <c r="A102" s="81" t="s">
        <v>22291</v>
      </c>
      <c r="B102" s="81" t="s">
        <v>29680</v>
      </c>
      <c r="C102" s="81" t="s">
        <v>46</v>
      </c>
      <c r="D102" s="81" t="s">
        <v>47</v>
      </c>
      <c r="E102" s="81" t="s">
        <v>25610</v>
      </c>
      <c r="F102" s="81" t="s">
        <v>91</v>
      </c>
      <c r="G102" s="81" t="s">
        <v>29778</v>
      </c>
      <c r="H102" s="81" t="s">
        <v>29785</v>
      </c>
      <c r="I102" s="81" t="s">
        <v>1</v>
      </c>
      <c r="J102" s="84" t="s">
        <v>59</v>
      </c>
      <c r="L102" s="81" t="s">
        <v>25596</v>
      </c>
      <c r="M102" s="81" t="s">
        <v>12</v>
      </c>
      <c r="N102" s="81">
        <v>1352</v>
      </c>
      <c r="O102" s="81" t="s">
        <v>29792</v>
      </c>
      <c r="P102" s="81" t="s">
        <v>25647</v>
      </c>
      <c r="Q102" s="80" t="s">
        <v>1</v>
      </c>
      <c r="R102" s="146"/>
      <c r="S102" s="103" t="str">
        <f t="shared" si="1"/>
        <v>88-190-09-</v>
      </c>
      <c r="V102" s="81">
        <v>48</v>
      </c>
    </row>
    <row r="103" spans="1:22" ht="15" customHeight="1" x14ac:dyDescent="0.2">
      <c r="A103" s="81" t="s">
        <v>22293</v>
      </c>
      <c r="B103" s="81" t="s">
        <v>29681</v>
      </c>
      <c r="C103" s="81" t="s">
        <v>46</v>
      </c>
      <c r="D103" s="81" t="s">
        <v>47</v>
      </c>
      <c r="E103" s="81" t="s">
        <v>25610</v>
      </c>
      <c r="F103" s="81" t="s">
        <v>91</v>
      </c>
      <c r="G103" s="81" t="s">
        <v>29778</v>
      </c>
      <c r="H103" s="81" t="s">
        <v>29785</v>
      </c>
      <c r="I103" s="81" t="s">
        <v>1</v>
      </c>
      <c r="J103" s="84" t="s">
        <v>59</v>
      </c>
      <c r="L103" s="81" t="s">
        <v>25598</v>
      </c>
      <c r="M103" s="81" t="s">
        <v>12</v>
      </c>
      <c r="N103" s="81">
        <v>1352</v>
      </c>
      <c r="O103" s="81" t="s">
        <v>29792</v>
      </c>
      <c r="P103" s="81" t="s">
        <v>25647</v>
      </c>
      <c r="Q103" s="80" t="s">
        <v>1</v>
      </c>
      <c r="R103" s="146"/>
      <c r="S103" s="103" t="str">
        <f t="shared" si="1"/>
        <v>88-191-09-</v>
      </c>
      <c r="V103" s="81">
        <v>36</v>
      </c>
    </row>
    <row r="104" spans="1:22" ht="15" customHeight="1" x14ac:dyDescent="0.2">
      <c r="A104" s="81" t="s">
        <v>22313</v>
      </c>
      <c r="B104" s="81" t="s">
        <v>29682</v>
      </c>
      <c r="C104" s="81" t="s">
        <v>46</v>
      </c>
      <c r="D104" s="81" t="s">
        <v>92</v>
      </c>
      <c r="E104" s="81" t="s">
        <v>25610</v>
      </c>
      <c r="F104" s="81" t="s">
        <v>91</v>
      </c>
      <c r="G104" s="81" t="s">
        <v>29778</v>
      </c>
      <c r="H104" s="81" t="s">
        <v>29780</v>
      </c>
      <c r="I104" s="81" t="s">
        <v>210</v>
      </c>
      <c r="J104" s="84" t="s">
        <v>26146</v>
      </c>
      <c r="K104" s="81" t="s">
        <v>25678</v>
      </c>
      <c r="L104" s="81" t="s">
        <v>25598</v>
      </c>
      <c r="M104" s="81" t="s">
        <v>12</v>
      </c>
      <c r="N104" s="81">
        <v>1352</v>
      </c>
      <c r="O104" s="81" t="s">
        <v>29792</v>
      </c>
      <c r="P104" s="81" t="s">
        <v>25647</v>
      </c>
      <c r="Q104" s="80" t="s">
        <v>141</v>
      </c>
      <c r="R104" s="146"/>
      <c r="S104" s="103" t="str">
        <f t="shared" si="1"/>
        <v>88-201-72-</v>
      </c>
      <c r="V104" s="81">
        <v>60</v>
      </c>
    </row>
    <row r="105" spans="1:22" ht="15" customHeight="1" x14ac:dyDescent="0.2">
      <c r="A105" s="81" t="s">
        <v>22317</v>
      </c>
      <c r="B105" s="81" t="s">
        <v>29683</v>
      </c>
      <c r="C105" s="81" t="s">
        <v>46</v>
      </c>
      <c r="D105" s="81" t="s">
        <v>92</v>
      </c>
      <c r="E105" s="81" t="s">
        <v>25610</v>
      </c>
      <c r="F105" s="81" t="s">
        <v>91</v>
      </c>
      <c r="G105" s="81" t="s">
        <v>29778</v>
      </c>
      <c r="H105" s="81" t="s">
        <v>29785</v>
      </c>
      <c r="I105" s="81" t="s">
        <v>171</v>
      </c>
      <c r="J105" s="84" t="s">
        <v>25993</v>
      </c>
      <c r="K105" s="81" t="s">
        <v>25678</v>
      </c>
      <c r="L105" s="81" t="s">
        <v>25598</v>
      </c>
      <c r="M105" s="81" t="s">
        <v>12</v>
      </c>
      <c r="N105" s="81">
        <v>1352</v>
      </c>
      <c r="O105" s="81" t="s">
        <v>29792</v>
      </c>
      <c r="P105" s="81" t="s">
        <v>25647</v>
      </c>
      <c r="Q105" s="80" t="s">
        <v>1</v>
      </c>
      <c r="R105" s="146"/>
      <c r="S105" s="103" t="str">
        <f t="shared" si="1"/>
        <v>88-203-48-</v>
      </c>
      <c r="V105" s="81">
        <v>6</v>
      </c>
    </row>
    <row r="106" spans="1:22" ht="15" customHeight="1" x14ac:dyDescent="0.2">
      <c r="A106" s="81" t="s">
        <v>22321</v>
      </c>
      <c r="B106" s="81" t="s">
        <v>29684</v>
      </c>
      <c r="C106" s="81" t="s">
        <v>46</v>
      </c>
      <c r="D106" s="81" t="s">
        <v>92</v>
      </c>
      <c r="E106" s="81" t="s">
        <v>25610</v>
      </c>
      <c r="F106" s="81" t="s">
        <v>91</v>
      </c>
      <c r="G106" s="81" t="s">
        <v>29778</v>
      </c>
      <c r="H106" s="81" t="s">
        <v>29784</v>
      </c>
      <c r="I106" s="81" t="s">
        <v>25328</v>
      </c>
      <c r="J106" s="84" t="s">
        <v>26146</v>
      </c>
      <c r="K106" s="81" t="s">
        <v>25678</v>
      </c>
      <c r="L106" s="81" t="s">
        <v>25598</v>
      </c>
      <c r="M106" s="81" t="s">
        <v>12</v>
      </c>
      <c r="N106" s="81">
        <v>1352</v>
      </c>
      <c r="O106" s="81" t="s">
        <v>29792</v>
      </c>
      <c r="P106" s="81" t="s">
        <v>25647</v>
      </c>
      <c r="Q106" s="80" t="s">
        <v>52</v>
      </c>
      <c r="R106" s="146"/>
      <c r="S106" s="103" t="str">
        <f t="shared" si="1"/>
        <v>88-205-08-</v>
      </c>
      <c r="V106" s="81">
        <v>132</v>
      </c>
    </row>
    <row r="107" spans="1:22" ht="15" customHeight="1" x14ac:dyDescent="0.2">
      <c r="A107" s="81" t="s">
        <v>28159</v>
      </c>
      <c r="B107" s="81" t="s">
        <v>29685</v>
      </c>
      <c r="C107" s="81" t="s">
        <v>46</v>
      </c>
      <c r="D107" s="81" t="s">
        <v>92</v>
      </c>
      <c r="E107" s="81" t="s">
        <v>25610</v>
      </c>
      <c r="F107" s="81" t="s">
        <v>91</v>
      </c>
      <c r="G107" s="81" t="s">
        <v>29778</v>
      </c>
      <c r="H107" s="81" t="s">
        <v>29779</v>
      </c>
      <c r="I107" s="81" t="s">
        <v>28</v>
      </c>
      <c r="J107" s="84" t="s">
        <v>25993</v>
      </c>
      <c r="K107" s="81" t="s">
        <v>25678</v>
      </c>
      <c r="L107" s="81" t="s">
        <v>25598</v>
      </c>
      <c r="M107" s="81" t="s">
        <v>12</v>
      </c>
      <c r="N107" s="81">
        <v>1352</v>
      </c>
      <c r="O107" s="81" t="s">
        <v>29792</v>
      </c>
      <c r="P107" s="81" t="s">
        <v>25647</v>
      </c>
      <c r="Q107" s="80" t="s">
        <v>28</v>
      </c>
      <c r="R107" s="146"/>
      <c r="S107" s="103" t="str">
        <f t="shared" si="1"/>
        <v>88-251-08-</v>
      </c>
      <c r="V107" s="81">
        <v>72</v>
      </c>
    </row>
    <row r="108" spans="1:22" ht="15" customHeight="1" x14ac:dyDescent="0.2">
      <c r="A108" s="81" t="s">
        <v>28199</v>
      </c>
      <c r="B108" s="81" t="s">
        <v>29686</v>
      </c>
      <c r="C108" s="81" t="s">
        <v>49</v>
      </c>
      <c r="D108" s="81" t="s">
        <v>212</v>
      </c>
      <c r="E108" s="81" t="s">
        <v>25610</v>
      </c>
      <c r="F108" s="81" t="s">
        <v>26642</v>
      </c>
      <c r="G108" s="81" t="s">
        <v>29778</v>
      </c>
      <c r="H108" s="81" t="s">
        <v>29785</v>
      </c>
      <c r="I108" s="81" t="s">
        <v>1</v>
      </c>
      <c r="J108" s="84" t="s">
        <v>213</v>
      </c>
      <c r="L108" s="81" t="s">
        <v>25598</v>
      </c>
      <c r="M108" s="81" t="s">
        <v>12</v>
      </c>
      <c r="N108" s="81">
        <v>1352</v>
      </c>
      <c r="O108" s="81" t="s">
        <v>29792</v>
      </c>
      <c r="P108" s="81" t="s">
        <v>25647</v>
      </c>
      <c r="Q108" s="80" t="s">
        <v>1</v>
      </c>
      <c r="R108" s="146"/>
      <c r="S108" s="103" t="str">
        <f t="shared" si="1"/>
        <v>88-270-09-</v>
      </c>
      <c r="V108" s="81">
        <v>6</v>
      </c>
    </row>
    <row r="109" spans="1:22" ht="15" customHeight="1" x14ac:dyDescent="0.2">
      <c r="A109" s="81" t="s">
        <v>22364</v>
      </c>
      <c r="B109" s="81" t="s">
        <v>29687</v>
      </c>
      <c r="C109" s="81" t="s">
        <v>46</v>
      </c>
      <c r="D109" s="81" t="s">
        <v>92</v>
      </c>
      <c r="E109" s="81" t="s">
        <v>25614</v>
      </c>
      <c r="F109" s="81" t="s">
        <v>91</v>
      </c>
      <c r="G109" s="81" t="s">
        <v>29778</v>
      </c>
      <c r="H109" s="81" t="s">
        <v>29785</v>
      </c>
      <c r="I109" s="81" t="s">
        <v>127</v>
      </c>
      <c r="J109" s="84" t="s">
        <v>25993</v>
      </c>
      <c r="K109" s="81" t="s">
        <v>25678</v>
      </c>
      <c r="L109" s="81" t="s">
        <v>25595</v>
      </c>
      <c r="M109" s="81" t="s">
        <v>12</v>
      </c>
      <c r="N109" s="81">
        <v>1352</v>
      </c>
      <c r="O109" s="81" t="s">
        <v>29792</v>
      </c>
      <c r="P109" s="81" t="s">
        <v>25658</v>
      </c>
      <c r="Q109" s="80" t="s">
        <v>1</v>
      </c>
      <c r="R109" s="146"/>
      <c r="S109" s="103" t="str">
        <f t="shared" si="1"/>
        <v>88-227-09-</v>
      </c>
      <c r="V109" s="81">
        <v>6</v>
      </c>
    </row>
    <row r="110" spans="1:22" ht="15" customHeight="1" x14ac:dyDescent="0.2">
      <c r="A110" s="81" t="s">
        <v>22366</v>
      </c>
      <c r="B110" s="81" t="s">
        <v>29688</v>
      </c>
      <c r="C110" s="81" t="s">
        <v>46</v>
      </c>
      <c r="D110" s="81" t="s">
        <v>92</v>
      </c>
      <c r="E110" s="81" t="s">
        <v>25615</v>
      </c>
      <c r="F110" s="81" t="s">
        <v>91</v>
      </c>
      <c r="G110" s="81" t="s">
        <v>29778</v>
      </c>
      <c r="H110" s="81" t="s">
        <v>29785</v>
      </c>
      <c r="I110" s="81" t="s">
        <v>1</v>
      </c>
      <c r="J110" s="84" t="s">
        <v>25993</v>
      </c>
      <c r="K110" s="81" t="s">
        <v>25678</v>
      </c>
      <c r="L110" s="81" t="s">
        <v>25598</v>
      </c>
      <c r="M110" s="81" t="s">
        <v>12</v>
      </c>
      <c r="N110" s="81">
        <v>1352</v>
      </c>
      <c r="O110" s="81" t="s">
        <v>29792</v>
      </c>
      <c r="P110" s="81" t="s">
        <v>25659</v>
      </c>
      <c r="Q110" s="80" t="s">
        <v>1</v>
      </c>
      <c r="R110" s="146"/>
      <c r="S110" s="103" t="str">
        <f t="shared" si="1"/>
        <v>88-228-09-</v>
      </c>
      <c r="V110" s="81">
        <v>12</v>
      </c>
    </row>
    <row r="111" spans="1:22" ht="15" customHeight="1" x14ac:dyDescent="0.2">
      <c r="A111" s="81" t="s">
        <v>22368</v>
      </c>
      <c r="B111" s="81" t="s">
        <v>29689</v>
      </c>
      <c r="C111" s="81" t="s">
        <v>46</v>
      </c>
      <c r="D111" s="81" t="s">
        <v>92</v>
      </c>
      <c r="E111" s="81" t="s">
        <v>25615</v>
      </c>
      <c r="F111" s="81" t="s">
        <v>91</v>
      </c>
      <c r="G111" s="81" t="s">
        <v>29778</v>
      </c>
      <c r="H111" s="81" t="s">
        <v>29785</v>
      </c>
      <c r="I111" s="81" t="s">
        <v>1</v>
      </c>
      <c r="J111" s="84" t="s">
        <v>25993</v>
      </c>
      <c r="K111" s="81" t="s">
        <v>25678</v>
      </c>
      <c r="L111" s="81" t="s">
        <v>25598</v>
      </c>
      <c r="M111" s="81" t="s">
        <v>12</v>
      </c>
      <c r="N111" s="81">
        <v>1352</v>
      </c>
      <c r="O111" s="81" t="s">
        <v>29792</v>
      </c>
      <c r="P111" s="81" t="s">
        <v>25659</v>
      </c>
      <c r="Q111" s="80" t="s">
        <v>1</v>
      </c>
      <c r="R111" s="146"/>
      <c r="S111" s="103" t="str">
        <f t="shared" si="1"/>
        <v>88-229-09-</v>
      </c>
      <c r="V111" s="81">
        <v>24</v>
      </c>
    </row>
    <row r="112" spans="1:22" ht="15" customHeight="1" x14ac:dyDescent="0.2">
      <c r="A112" s="81" t="s">
        <v>22370</v>
      </c>
      <c r="B112" s="81" t="s">
        <v>29690</v>
      </c>
      <c r="C112" s="81" t="s">
        <v>46</v>
      </c>
      <c r="D112" s="81" t="s">
        <v>92</v>
      </c>
      <c r="E112" s="81" t="s">
        <v>25615</v>
      </c>
      <c r="F112" s="81" t="s">
        <v>91</v>
      </c>
      <c r="G112" s="81" t="s">
        <v>29778</v>
      </c>
      <c r="H112" s="81" t="s">
        <v>29785</v>
      </c>
      <c r="I112" s="81" t="s">
        <v>1</v>
      </c>
      <c r="J112" s="84" t="s">
        <v>25993</v>
      </c>
      <c r="K112" s="81" t="s">
        <v>25678</v>
      </c>
      <c r="L112" s="81" t="s">
        <v>25598</v>
      </c>
      <c r="M112" s="81" t="s">
        <v>12</v>
      </c>
      <c r="N112" s="81">
        <v>1352</v>
      </c>
      <c r="O112" s="81" t="s">
        <v>29792</v>
      </c>
      <c r="P112" s="81" t="s">
        <v>25659</v>
      </c>
      <c r="Q112" s="80" t="s">
        <v>1</v>
      </c>
      <c r="R112" s="146"/>
      <c r="S112" s="103" t="str">
        <f t="shared" si="1"/>
        <v>88-230-09-</v>
      </c>
      <c r="V112" s="81">
        <v>24</v>
      </c>
    </row>
    <row r="113" spans="1:22" ht="15" customHeight="1" x14ac:dyDescent="0.2">
      <c r="A113" s="81" t="s">
        <v>28176</v>
      </c>
      <c r="B113" s="81" t="s">
        <v>29691</v>
      </c>
      <c r="C113" s="81" t="s">
        <v>46</v>
      </c>
      <c r="D113" s="81" t="s">
        <v>92</v>
      </c>
      <c r="E113" s="81" t="s">
        <v>25615</v>
      </c>
      <c r="F113" s="81" t="s">
        <v>91</v>
      </c>
      <c r="G113" s="81" t="s">
        <v>29778</v>
      </c>
      <c r="H113" s="81" t="s">
        <v>29785</v>
      </c>
      <c r="I113" s="81" t="s">
        <v>27</v>
      </c>
      <c r="J113" s="84" t="s">
        <v>25993</v>
      </c>
      <c r="K113" s="81" t="s">
        <v>25678</v>
      </c>
      <c r="L113" s="81" t="s">
        <v>25598</v>
      </c>
      <c r="M113" s="81" t="s">
        <v>12</v>
      </c>
      <c r="N113" s="81">
        <v>1352</v>
      </c>
      <c r="O113" s="81" t="s">
        <v>29792</v>
      </c>
      <c r="P113" s="81" t="s">
        <v>25659</v>
      </c>
      <c r="Q113" s="80" t="s">
        <v>27</v>
      </c>
      <c r="R113" s="146"/>
      <c r="S113" s="103" t="str">
        <f t="shared" si="1"/>
        <v>88-260-06-</v>
      </c>
      <c r="V113" s="81">
        <v>12</v>
      </c>
    </row>
    <row r="114" spans="1:22" ht="15" customHeight="1" x14ac:dyDescent="0.2">
      <c r="A114" s="81" t="s">
        <v>28180</v>
      </c>
      <c r="B114" s="81" t="s">
        <v>29692</v>
      </c>
      <c r="C114" s="81" t="s">
        <v>46</v>
      </c>
      <c r="D114" s="81" t="s">
        <v>92</v>
      </c>
      <c r="E114" s="81" t="s">
        <v>25615</v>
      </c>
      <c r="F114" s="81" t="s">
        <v>91</v>
      </c>
      <c r="G114" s="81" t="s">
        <v>29778</v>
      </c>
      <c r="H114" s="81" t="s">
        <v>29782</v>
      </c>
      <c r="I114" s="81" t="s">
        <v>27</v>
      </c>
      <c r="J114" s="84" t="s">
        <v>25993</v>
      </c>
      <c r="K114" s="81" t="s">
        <v>25678</v>
      </c>
      <c r="L114" s="81" t="s">
        <v>25598</v>
      </c>
      <c r="M114" s="81" t="s">
        <v>12</v>
      </c>
      <c r="N114" s="81">
        <v>1352</v>
      </c>
      <c r="O114" s="81" t="s">
        <v>29792</v>
      </c>
      <c r="P114" s="81" t="s">
        <v>25659</v>
      </c>
      <c r="Q114" s="80" t="s">
        <v>27</v>
      </c>
      <c r="R114" s="146"/>
      <c r="S114" s="103" t="str">
        <f t="shared" si="1"/>
        <v>88-262-06-</v>
      </c>
      <c r="V114" s="81">
        <v>12</v>
      </c>
    </row>
    <row r="115" spans="1:22" ht="15" customHeight="1" x14ac:dyDescent="0.2">
      <c r="A115" s="81" t="s">
        <v>29769</v>
      </c>
      <c r="B115" s="81" t="s">
        <v>29693</v>
      </c>
      <c r="C115" s="81" t="s">
        <v>46</v>
      </c>
      <c r="D115" s="81" t="s">
        <v>92</v>
      </c>
      <c r="E115" s="81" t="s">
        <v>25609</v>
      </c>
      <c r="F115" s="81" t="s">
        <v>91</v>
      </c>
      <c r="G115" s="81" t="s">
        <v>29778</v>
      </c>
      <c r="H115" s="81" t="s">
        <v>29790</v>
      </c>
      <c r="I115" s="81" t="s">
        <v>25472</v>
      </c>
      <c r="J115" s="84" t="s">
        <v>26443</v>
      </c>
      <c r="L115" s="81" t="s">
        <v>25598</v>
      </c>
      <c r="M115" s="81" t="s">
        <v>12</v>
      </c>
      <c r="N115" s="81">
        <v>1352</v>
      </c>
      <c r="O115" s="81" t="s">
        <v>29792</v>
      </c>
      <c r="P115" s="81" t="s">
        <v>25628</v>
      </c>
      <c r="Q115" s="80"/>
      <c r="R115" s="146"/>
      <c r="S115" s="103" t="str">
        <f t="shared" si="1"/>
        <v>88-345-08-</v>
      </c>
      <c r="V115" s="81">
        <v>48</v>
      </c>
    </row>
    <row r="116" spans="1:22" ht="15" customHeight="1" x14ac:dyDescent="0.2">
      <c r="A116" s="81" t="s">
        <v>29770</v>
      </c>
      <c r="B116" s="81" t="s">
        <v>29694</v>
      </c>
      <c r="C116" s="81" t="s">
        <v>46</v>
      </c>
      <c r="D116" s="81" t="s">
        <v>92</v>
      </c>
      <c r="E116" s="81" t="s">
        <v>25609</v>
      </c>
      <c r="F116" s="81" t="s">
        <v>91</v>
      </c>
      <c r="G116" s="81" t="s">
        <v>29778</v>
      </c>
      <c r="H116" s="81" t="s">
        <v>29779</v>
      </c>
      <c r="I116" s="81" t="s">
        <v>28</v>
      </c>
      <c r="J116" s="84" t="s">
        <v>26443</v>
      </c>
      <c r="L116" s="81" t="s">
        <v>25598</v>
      </c>
      <c r="M116" s="81" t="s">
        <v>12</v>
      </c>
      <c r="N116" s="81">
        <v>1352</v>
      </c>
      <c r="O116" s="81" t="s">
        <v>29792</v>
      </c>
      <c r="P116" s="81" t="s">
        <v>25628</v>
      </c>
      <c r="Q116" s="80"/>
      <c r="R116" s="146"/>
      <c r="S116" s="103" t="str">
        <f t="shared" si="1"/>
        <v>88-346-80-</v>
      </c>
      <c r="V116" s="81">
        <v>12</v>
      </c>
    </row>
    <row r="117" spans="1:22" ht="15" customHeight="1" x14ac:dyDescent="0.2">
      <c r="A117" s="81" t="s">
        <v>29771</v>
      </c>
      <c r="B117" s="81" t="s">
        <v>29695</v>
      </c>
      <c r="C117" s="81" t="s">
        <v>46</v>
      </c>
      <c r="D117" s="81" t="s">
        <v>47</v>
      </c>
      <c r="E117" s="81" t="s">
        <v>25609</v>
      </c>
      <c r="F117" s="81" t="s">
        <v>91</v>
      </c>
      <c r="G117" s="81" t="s">
        <v>29778</v>
      </c>
      <c r="H117" s="81" t="s">
        <v>29785</v>
      </c>
      <c r="I117" s="81" t="s">
        <v>1</v>
      </c>
      <c r="J117" s="84" t="s">
        <v>59</v>
      </c>
      <c r="L117" s="81" t="s">
        <v>25598</v>
      </c>
      <c r="M117" s="81" t="s">
        <v>12</v>
      </c>
      <c r="N117" s="81">
        <v>1808.3</v>
      </c>
      <c r="O117" s="81" t="s">
        <v>29792</v>
      </c>
      <c r="P117" s="81" t="s">
        <v>25628</v>
      </c>
      <c r="Q117" s="80"/>
      <c r="R117" s="146"/>
      <c r="S117" s="103" t="str">
        <f t="shared" si="1"/>
        <v>88-347-09-</v>
      </c>
      <c r="V117" s="81">
        <v>12</v>
      </c>
    </row>
    <row r="118" spans="1:22" ht="15" customHeight="1" x14ac:dyDescent="0.2">
      <c r="A118" s="81" t="s">
        <v>28161</v>
      </c>
      <c r="B118" s="81" t="s">
        <v>29696</v>
      </c>
      <c r="C118" s="81" t="s">
        <v>46</v>
      </c>
      <c r="D118" s="81" t="s">
        <v>92</v>
      </c>
      <c r="E118" s="81" t="s">
        <v>25610</v>
      </c>
      <c r="F118" s="81" t="s">
        <v>91</v>
      </c>
      <c r="G118" s="81" t="s">
        <v>29778</v>
      </c>
      <c r="H118" s="81" t="s">
        <v>29784</v>
      </c>
      <c r="I118" s="81" t="s">
        <v>28</v>
      </c>
      <c r="J118" s="84" t="s">
        <v>25993</v>
      </c>
      <c r="K118" s="81" t="s">
        <v>25678</v>
      </c>
      <c r="L118" s="81" t="s">
        <v>25598</v>
      </c>
      <c r="M118" s="81" t="s">
        <v>12</v>
      </c>
      <c r="N118" s="81">
        <v>1352</v>
      </c>
      <c r="O118" s="81" t="s">
        <v>29792</v>
      </c>
      <c r="P118" s="81" t="s">
        <v>25647</v>
      </c>
      <c r="Q118" s="80" t="s">
        <v>28</v>
      </c>
      <c r="R118" s="146"/>
      <c r="S118" s="103" t="str">
        <f t="shared" si="1"/>
        <v>88-252-08-</v>
      </c>
      <c r="V118" s="81">
        <v>102</v>
      </c>
    </row>
    <row r="119" spans="1:22" ht="15" customHeight="1" x14ac:dyDescent="0.2">
      <c r="A119" s="81" t="s">
        <v>29772</v>
      </c>
      <c r="B119" s="81" t="s">
        <v>29697</v>
      </c>
      <c r="C119" s="81" t="s">
        <v>46</v>
      </c>
      <c r="D119" s="81" t="s">
        <v>92</v>
      </c>
      <c r="E119" s="81" t="s">
        <v>25610</v>
      </c>
      <c r="F119" s="81" t="s">
        <v>91</v>
      </c>
      <c r="G119" s="81" t="s">
        <v>29778</v>
      </c>
      <c r="H119" s="81" t="s">
        <v>29791</v>
      </c>
      <c r="I119" s="81" t="s">
        <v>25424</v>
      </c>
      <c r="J119" s="84" t="s">
        <v>26443</v>
      </c>
      <c r="L119" s="81" t="s">
        <v>25598</v>
      </c>
      <c r="M119" s="81" t="s">
        <v>12</v>
      </c>
      <c r="N119" s="81">
        <v>1352</v>
      </c>
      <c r="O119" s="81" t="s">
        <v>29792</v>
      </c>
      <c r="P119" s="81" t="s">
        <v>25647</v>
      </c>
      <c r="Q119" s="80"/>
      <c r="R119" s="146"/>
      <c r="S119" s="103" t="str">
        <f t="shared" si="1"/>
        <v>88-348-18-</v>
      </c>
      <c r="V119" s="81">
        <v>150</v>
      </c>
    </row>
    <row r="120" spans="1:22" ht="15" customHeight="1" x14ac:dyDescent="0.2">
      <c r="Q120" s="80"/>
      <c r="R120" s="146"/>
    </row>
    <row r="121" spans="1:22" ht="15" customHeight="1" x14ac:dyDescent="0.2">
      <c r="Q121" s="80"/>
      <c r="R121" s="146"/>
    </row>
    <row r="122" spans="1:22" ht="15" customHeight="1" x14ac:dyDescent="0.2">
      <c r="Q122" s="80"/>
      <c r="R122" s="146"/>
    </row>
    <row r="123" spans="1:22" ht="15" customHeight="1" x14ac:dyDescent="0.2">
      <c r="Q123" s="80"/>
      <c r="R123" s="146"/>
    </row>
    <row r="124" spans="1:22" ht="15" customHeight="1" x14ac:dyDescent="0.2">
      <c r="Q124" s="80"/>
      <c r="R124" s="146"/>
    </row>
    <row r="125" spans="1:22" ht="15" customHeight="1" x14ac:dyDescent="0.2">
      <c r="Q125" s="80"/>
      <c r="R125" s="146"/>
    </row>
    <row r="126" spans="1:22" ht="15" customHeight="1" x14ac:dyDescent="0.2">
      <c r="Q126" s="80"/>
      <c r="R126" s="146"/>
    </row>
    <row r="127" spans="1:22" ht="15" customHeight="1" x14ac:dyDescent="0.2">
      <c r="Q127" s="80"/>
      <c r="R127" s="146"/>
    </row>
    <row r="128" spans="1:22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19"/>
  <sheetViews>
    <sheetView workbookViewId="0">
      <pane ySplit="1" topLeftCell="A2" activePane="bottomLeft" state="frozen"/>
      <selection activeCell="C1" sqref="C1"/>
      <selection pane="bottomLeft" activeCell="A2810" sqref="A2810:S2833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29698</v>
      </c>
      <c r="B2" s="102" t="s">
        <v>29580</v>
      </c>
      <c r="C2" s="102" t="s">
        <v>46</v>
      </c>
      <c r="D2" s="102" t="s">
        <v>92</v>
      </c>
      <c r="E2" s="102" t="s">
        <v>25609</v>
      </c>
      <c r="F2" s="102" t="s">
        <v>91</v>
      </c>
      <c r="G2" s="102" t="s">
        <v>29778</v>
      </c>
      <c r="H2" s="102" t="s">
        <v>29779</v>
      </c>
      <c r="I2" s="102" t="s">
        <v>28</v>
      </c>
      <c r="J2" s="102" t="s">
        <v>25993</v>
      </c>
      <c r="K2" s="102" t="s">
        <v>25678</v>
      </c>
      <c r="L2" s="102" t="s">
        <v>25598</v>
      </c>
      <c r="M2" s="102" t="s">
        <v>12</v>
      </c>
      <c r="N2" s="102">
        <v>1352</v>
      </c>
      <c r="O2" s="102" t="s">
        <v>29792</v>
      </c>
      <c r="P2" t="s">
        <v>25628</v>
      </c>
      <c r="S2" t="str">
        <f>A2&amp;"-"&amp;T2</f>
        <v>88-274-80-00</v>
      </c>
      <c r="T2" s="129" t="s">
        <v>25299</v>
      </c>
      <c r="U2" s="112">
        <v>12</v>
      </c>
    </row>
    <row r="3" spans="1:21" x14ac:dyDescent="0.2">
      <c r="A3" s="102" t="s">
        <v>29699</v>
      </c>
      <c r="B3" s="102" t="s">
        <v>29581</v>
      </c>
      <c r="C3" s="102" t="s">
        <v>46</v>
      </c>
      <c r="D3" s="102" t="s">
        <v>92</v>
      </c>
      <c r="E3" s="102" t="s">
        <v>25609</v>
      </c>
      <c r="F3" s="102" t="s">
        <v>91</v>
      </c>
      <c r="G3" s="102" t="s">
        <v>29778</v>
      </c>
      <c r="H3" s="102" t="s">
        <v>29780</v>
      </c>
      <c r="I3" s="102" t="s">
        <v>96</v>
      </c>
      <c r="J3" s="102" t="s">
        <v>25993</v>
      </c>
      <c r="K3" s="102" t="s">
        <v>25678</v>
      </c>
      <c r="L3" s="102" t="s">
        <v>25598</v>
      </c>
      <c r="M3" s="102" t="s">
        <v>12</v>
      </c>
      <c r="N3" s="102">
        <v>1352</v>
      </c>
      <c r="O3" s="102" t="s">
        <v>29792</v>
      </c>
      <c r="P3" t="s">
        <v>25628</v>
      </c>
      <c r="S3" t="str">
        <f t="shared" ref="S3:S5" si="0">A3&amp;"-"&amp;T3</f>
        <v>88-275-12-00</v>
      </c>
      <c r="T3" s="129" t="s">
        <v>25299</v>
      </c>
      <c r="U3" s="112">
        <v>12</v>
      </c>
    </row>
    <row r="4" spans="1:21" x14ac:dyDescent="0.2">
      <c r="A4" s="102" t="s">
        <v>29700</v>
      </c>
      <c r="B4" s="102" t="s">
        <v>29582</v>
      </c>
      <c r="C4" s="102" t="s">
        <v>46</v>
      </c>
      <c r="D4" s="102" t="s">
        <v>92</v>
      </c>
      <c r="E4" s="102" t="s">
        <v>25609</v>
      </c>
      <c r="F4" s="102" t="s">
        <v>91</v>
      </c>
      <c r="G4" s="102" t="s">
        <v>29778</v>
      </c>
      <c r="H4" s="102" t="s">
        <v>29780</v>
      </c>
      <c r="I4" s="102" t="s">
        <v>96</v>
      </c>
      <c r="J4" s="102" t="s">
        <v>26443</v>
      </c>
      <c r="L4" s="102" t="s">
        <v>25598</v>
      </c>
      <c r="M4" s="102" t="s">
        <v>12</v>
      </c>
      <c r="N4" s="102">
        <v>1352</v>
      </c>
      <c r="O4" s="102" t="s">
        <v>29792</v>
      </c>
      <c r="P4" t="s">
        <v>25628</v>
      </c>
      <c r="S4" t="str">
        <f t="shared" si="0"/>
        <v>88-276-12-00</v>
      </c>
      <c r="T4" s="129" t="s">
        <v>25299</v>
      </c>
      <c r="U4" s="112">
        <v>12</v>
      </c>
    </row>
    <row r="5" spans="1:21" x14ac:dyDescent="0.2">
      <c r="A5" s="102" t="s">
        <v>29701</v>
      </c>
      <c r="B5" s="102" t="s">
        <v>29583</v>
      </c>
      <c r="C5" s="102" t="s">
        <v>46</v>
      </c>
      <c r="D5" s="102" t="s">
        <v>92</v>
      </c>
      <c r="E5" s="102" t="s">
        <v>25609</v>
      </c>
      <c r="F5" s="102" t="s">
        <v>91</v>
      </c>
      <c r="G5" s="102" t="s">
        <v>29778</v>
      </c>
      <c r="H5" s="102" t="s">
        <v>29781</v>
      </c>
      <c r="I5" s="102" t="s">
        <v>23</v>
      </c>
      <c r="J5" s="102" t="s">
        <v>25993</v>
      </c>
      <c r="K5" s="102" t="s">
        <v>25678</v>
      </c>
      <c r="L5" s="102" t="s">
        <v>25598</v>
      </c>
      <c r="M5" s="102" t="s">
        <v>12</v>
      </c>
      <c r="N5" s="102">
        <v>1352</v>
      </c>
      <c r="O5" s="102" t="s">
        <v>29792</v>
      </c>
      <c r="P5" t="s">
        <v>25628</v>
      </c>
      <c r="S5" t="str">
        <f t="shared" si="0"/>
        <v>88-277-16-00</v>
      </c>
      <c r="T5" s="129" t="s">
        <v>25299</v>
      </c>
      <c r="U5" s="112">
        <v>18</v>
      </c>
    </row>
    <row r="6" spans="1:21" x14ac:dyDescent="0.2">
      <c r="A6" s="102" t="s">
        <v>29702</v>
      </c>
      <c r="B6" s="102" t="s">
        <v>29584</v>
      </c>
      <c r="C6" s="102" t="s">
        <v>46</v>
      </c>
      <c r="D6" s="102" t="s">
        <v>92</v>
      </c>
      <c r="E6" s="102" t="s">
        <v>25609</v>
      </c>
      <c r="F6" s="102" t="s">
        <v>91</v>
      </c>
      <c r="G6" s="102" t="s">
        <v>29778</v>
      </c>
      <c r="H6" s="102" t="s">
        <v>29782</v>
      </c>
      <c r="I6" s="102" t="s">
        <v>147</v>
      </c>
      <c r="J6" s="102" t="s">
        <v>25993</v>
      </c>
      <c r="K6" s="102" t="s">
        <v>25678</v>
      </c>
      <c r="L6" s="102" t="s">
        <v>25598</v>
      </c>
      <c r="M6" s="102" t="s">
        <v>12</v>
      </c>
      <c r="N6" s="102">
        <v>1352</v>
      </c>
      <c r="O6" s="102" t="s">
        <v>29792</v>
      </c>
      <c r="P6" t="s">
        <v>25628</v>
      </c>
      <c r="S6" t="str">
        <f t="shared" ref="S6:S8" si="1">A6&amp;"-"&amp;T6</f>
        <v>88-278-19-00</v>
      </c>
      <c r="T6" s="129" t="s">
        <v>25299</v>
      </c>
      <c r="U6" s="112">
        <v>18</v>
      </c>
    </row>
    <row r="7" spans="1:21" x14ac:dyDescent="0.2">
      <c r="A7" s="102" t="s">
        <v>29703</v>
      </c>
      <c r="B7" s="102" t="s">
        <v>29585</v>
      </c>
      <c r="C7" s="102" t="s">
        <v>46</v>
      </c>
      <c r="D7" s="102" t="s">
        <v>92</v>
      </c>
      <c r="E7" s="102" t="s">
        <v>25609</v>
      </c>
      <c r="F7" s="102" t="s">
        <v>91</v>
      </c>
      <c r="G7" s="102" t="s">
        <v>29778</v>
      </c>
      <c r="H7" s="102" t="s">
        <v>29783</v>
      </c>
      <c r="I7" s="102" t="s">
        <v>22</v>
      </c>
      <c r="J7" s="102" t="s">
        <v>25993</v>
      </c>
      <c r="K7" s="102" t="s">
        <v>25678</v>
      </c>
      <c r="L7" s="102" t="s">
        <v>25598</v>
      </c>
      <c r="M7" s="102" t="s">
        <v>12</v>
      </c>
      <c r="N7" s="102">
        <v>1352</v>
      </c>
      <c r="O7" s="102" t="s">
        <v>29792</v>
      </c>
      <c r="P7" t="s">
        <v>25628</v>
      </c>
      <c r="S7" t="str">
        <f t="shared" si="1"/>
        <v>88-279-14-00</v>
      </c>
      <c r="T7" s="129" t="s">
        <v>25299</v>
      </c>
      <c r="U7" s="112">
        <v>36</v>
      </c>
    </row>
    <row r="8" spans="1:21" x14ac:dyDescent="0.2">
      <c r="A8" s="102" t="s">
        <v>29704</v>
      </c>
      <c r="B8" s="102" t="s">
        <v>29586</v>
      </c>
      <c r="C8" s="102" t="s">
        <v>46</v>
      </c>
      <c r="D8" s="102" t="s">
        <v>92</v>
      </c>
      <c r="E8" s="102" t="s">
        <v>25609</v>
      </c>
      <c r="F8" s="102" t="s">
        <v>91</v>
      </c>
      <c r="G8" s="102" t="s">
        <v>29778</v>
      </c>
      <c r="H8" s="102" t="s">
        <v>29784</v>
      </c>
      <c r="I8" s="102" t="s">
        <v>25360</v>
      </c>
      <c r="J8" s="102" t="s">
        <v>25993</v>
      </c>
      <c r="K8" s="102" t="s">
        <v>25678</v>
      </c>
      <c r="L8" s="102" t="s">
        <v>25598</v>
      </c>
      <c r="M8" s="102" t="s">
        <v>12</v>
      </c>
      <c r="N8" s="102">
        <v>1352</v>
      </c>
      <c r="O8" s="102" t="s">
        <v>29792</v>
      </c>
      <c r="P8" t="s">
        <v>25628</v>
      </c>
      <c r="S8" t="str">
        <f t="shared" si="1"/>
        <v>88-280-59-00</v>
      </c>
      <c r="T8" s="129" t="s">
        <v>25299</v>
      </c>
      <c r="U8" s="112">
        <v>6</v>
      </c>
    </row>
    <row r="9" spans="1:21" x14ac:dyDescent="0.2">
      <c r="A9" s="102" t="s">
        <v>29705</v>
      </c>
      <c r="B9" s="102" t="s">
        <v>29587</v>
      </c>
      <c r="C9" s="102" t="s">
        <v>46</v>
      </c>
      <c r="D9" s="102" t="s">
        <v>92</v>
      </c>
      <c r="E9" s="102" t="s">
        <v>29773</v>
      </c>
      <c r="F9" s="102" t="s">
        <v>91</v>
      </c>
      <c r="G9" s="102" t="s">
        <v>29778</v>
      </c>
      <c r="H9" s="102" t="s">
        <v>29785</v>
      </c>
      <c r="I9" s="102" t="s">
        <v>1</v>
      </c>
      <c r="J9" s="102" t="s">
        <v>25993</v>
      </c>
      <c r="K9" s="102" t="s">
        <v>25678</v>
      </c>
      <c r="L9" s="102" t="s">
        <v>25598</v>
      </c>
      <c r="M9" s="102" t="s">
        <v>12</v>
      </c>
      <c r="N9" s="102">
        <v>1352</v>
      </c>
      <c r="O9" s="102" t="s">
        <v>29792</v>
      </c>
      <c r="P9" t="s">
        <v>29793</v>
      </c>
      <c r="S9" t="str">
        <f t="shared" ref="S9:S10" si="2">A9&amp;"-"&amp;T9</f>
        <v>88-281-09-00</v>
      </c>
      <c r="T9" s="129" t="s">
        <v>25299</v>
      </c>
      <c r="U9" s="112">
        <v>36</v>
      </c>
    </row>
    <row r="10" spans="1:21" x14ac:dyDescent="0.2">
      <c r="A10" s="102" t="s">
        <v>29706</v>
      </c>
      <c r="B10" s="102" t="s">
        <v>29588</v>
      </c>
      <c r="C10" s="102" t="s">
        <v>46</v>
      </c>
      <c r="D10" s="102" t="s">
        <v>92</v>
      </c>
      <c r="E10" s="102" t="s">
        <v>25609</v>
      </c>
      <c r="F10" s="102" t="s">
        <v>91</v>
      </c>
      <c r="G10" s="102" t="s">
        <v>29778</v>
      </c>
      <c r="H10" s="102" t="s">
        <v>29784</v>
      </c>
      <c r="I10" s="102" t="s">
        <v>107</v>
      </c>
      <c r="J10" s="102" t="s">
        <v>25993</v>
      </c>
      <c r="K10" s="102" t="s">
        <v>25678</v>
      </c>
      <c r="L10" s="102" t="s">
        <v>25598</v>
      </c>
      <c r="M10" s="102" t="s">
        <v>12</v>
      </c>
      <c r="N10" s="102">
        <v>1352</v>
      </c>
      <c r="O10" s="102" t="s">
        <v>29792</v>
      </c>
      <c r="P10" t="s">
        <v>25628</v>
      </c>
      <c r="S10" t="str">
        <f t="shared" si="2"/>
        <v>88-282-48-00</v>
      </c>
      <c r="T10" s="129" t="s">
        <v>25299</v>
      </c>
      <c r="U10" s="112">
        <v>18</v>
      </c>
    </row>
    <row r="11" spans="1:21" x14ac:dyDescent="0.2">
      <c r="A11" s="102" t="s">
        <v>29707</v>
      </c>
      <c r="B11" s="102" t="s">
        <v>29589</v>
      </c>
      <c r="C11" s="102" t="s">
        <v>46</v>
      </c>
      <c r="D11" s="102" t="s">
        <v>92</v>
      </c>
      <c r="E11" s="102" t="s">
        <v>25609</v>
      </c>
      <c r="F11" s="102" t="s">
        <v>91</v>
      </c>
      <c r="G11" s="102" t="s">
        <v>29778</v>
      </c>
      <c r="H11" s="102" t="s">
        <v>29779</v>
      </c>
      <c r="I11" s="102" t="s">
        <v>28</v>
      </c>
      <c r="J11" s="102" t="s">
        <v>25993</v>
      </c>
      <c r="K11" s="102" t="s">
        <v>25678</v>
      </c>
      <c r="L11" s="102" t="s">
        <v>25598</v>
      </c>
      <c r="M11" s="102" t="s">
        <v>12</v>
      </c>
      <c r="N11" s="102">
        <v>1352</v>
      </c>
      <c r="O11" s="102" t="s">
        <v>29792</v>
      </c>
      <c r="P11" t="s">
        <v>25628</v>
      </c>
      <c r="S11" t="str">
        <f t="shared" ref="S11:S13" si="3">A11&amp;"-"&amp;T11</f>
        <v>88-283-80-00</v>
      </c>
      <c r="T11" s="129" t="s">
        <v>25299</v>
      </c>
      <c r="U11" s="112">
        <v>12</v>
      </c>
    </row>
    <row r="12" spans="1:21" x14ac:dyDescent="0.2">
      <c r="A12" s="102" t="s">
        <v>29708</v>
      </c>
      <c r="B12" s="102" t="s">
        <v>29590</v>
      </c>
      <c r="C12" s="102" t="s">
        <v>46</v>
      </c>
      <c r="D12" s="102" t="s">
        <v>92</v>
      </c>
      <c r="E12" s="102" t="s">
        <v>25609</v>
      </c>
      <c r="F12" s="102" t="s">
        <v>91</v>
      </c>
      <c r="G12" s="102" t="s">
        <v>29778</v>
      </c>
      <c r="H12" s="102" t="s">
        <v>29785</v>
      </c>
      <c r="I12" s="102" t="s">
        <v>1</v>
      </c>
      <c r="J12" s="102" t="s">
        <v>26443</v>
      </c>
      <c r="L12" s="102" t="s">
        <v>25598</v>
      </c>
      <c r="M12" s="102" t="s">
        <v>12</v>
      </c>
      <c r="N12" s="102">
        <v>1352</v>
      </c>
      <c r="O12" s="102" t="s">
        <v>29792</v>
      </c>
      <c r="P12" t="s">
        <v>25628</v>
      </c>
      <c r="S12" t="str">
        <f t="shared" si="3"/>
        <v>88-284-09-00</v>
      </c>
      <c r="T12" s="129" t="s">
        <v>25299</v>
      </c>
      <c r="U12" s="112">
        <v>18</v>
      </c>
    </row>
    <row r="13" spans="1:21" x14ac:dyDescent="0.2">
      <c r="A13" s="102" t="s">
        <v>29709</v>
      </c>
      <c r="B13" s="102" t="s">
        <v>29591</v>
      </c>
      <c r="C13" s="102" t="s">
        <v>46</v>
      </c>
      <c r="D13" s="102" t="s">
        <v>92</v>
      </c>
      <c r="E13" s="102" t="s">
        <v>25609</v>
      </c>
      <c r="F13" s="102" t="s">
        <v>91</v>
      </c>
      <c r="G13" s="102" t="s">
        <v>29778</v>
      </c>
      <c r="H13" s="102" t="s">
        <v>29786</v>
      </c>
      <c r="I13" s="102" t="s">
        <v>104</v>
      </c>
      <c r="J13" s="102" t="s">
        <v>26443</v>
      </c>
      <c r="L13" s="102" t="s">
        <v>25598</v>
      </c>
      <c r="M13" s="102" t="s">
        <v>12</v>
      </c>
      <c r="N13" s="102">
        <v>1352</v>
      </c>
      <c r="O13" s="102" t="s">
        <v>29792</v>
      </c>
      <c r="P13" t="s">
        <v>25628</v>
      </c>
      <c r="S13" t="str">
        <f t="shared" si="3"/>
        <v>88-285-00-00</v>
      </c>
      <c r="T13" s="129" t="s">
        <v>25299</v>
      </c>
      <c r="U13" s="112">
        <v>18</v>
      </c>
    </row>
    <row r="14" spans="1:21" x14ac:dyDescent="0.2">
      <c r="A14" s="102" t="s">
        <v>29710</v>
      </c>
      <c r="B14" s="102" t="s">
        <v>29592</v>
      </c>
      <c r="C14" s="102" t="s">
        <v>46</v>
      </c>
      <c r="D14" s="102" t="s">
        <v>92</v>
      </c>
      <c r="E14" s="102" t="s">
        <v>25609</v>
      </c>
      <c r="F14" s="102" t="s">
        <v>91</v>
      </c>
      <c r="G14" s="102" t="s">
        <v>29778</v>
      </c>
      <c r="H14" s="102" t="s">
        <v>29786</v>
      </c>
      <c r="I14" s="102" t="s">
        <v>104</v>
      </c>
      <c r="J14" s="102" t="s">
        <v>26443</v>
      </c>
      <c r="L14" s="102" t="s">
        <v>25598</v>
      </c>
      <c r="M14" s="102" t="s">
        <v>12</v>
      </c>
      <c r="N14" s="102">
        <v>1352</v>
      </c>
      <c r="O14" s="102" t="s">
        <v>29792</v>
      </c>
      <c r="P14" t="s">
        <v>25628</v>
      </c>
      <c r="S14" t="str">
        <f t="shared" ref="S14:S16" si="4">A14&amp;"-"&amp;T14</f>
        <v>88-286-00-00</v>
      </c>
      <c r="T14" s="129" t="s">
        <v>25299</v>
      </c>
      <c r="U14" s="112">
        <v>18</v>
      </c>
    </row>
    <row r="15" spans="1:21" x14ac:dyDescent="0.2">
      <c r="A15" s="102" t="s">
        <v>29711</v>
      </c>
      <c r="B15" s="102" t="s">
        <v>29593</v>
      </c>
      <c r="C15" s="102" t="s">
        <v>46</v>
      </c>
      <c r="D15" s="102" t="s">
        <v>47</v>
      </c>
      <c r="E15" s="102" t="s">
        <v>25606</v>
      </c>
      <c r="F15" s="102" t="s">
        <v>91</v>
      </c>
      <c r="G15" s="102" t="s">
        <v>29778</v>
      </c>
      <c r="H15" s="102" t="s">
        <v>29785</v>
      </c>
      <c r="I15" s="102" t="s">
        <v>1</v>
      </c>
      <c r="J15" s="102" t="s">
        <v>59</v>
      </c>
      <c r="L15" s="102" t="s">
        <v>25598</v>
      </c>
      <c r="M15" s="102" t="s">
        <v>12</v>
      </c>
      <c r="N15" s="102">
        <v>1352</v>
      </c>
      <c r="O15" s="102" t="s">
        <v>29792</v>
      </c>
      <c r="P15" t="s">
        <v>25624</v>
      </c>
      <c r="S15" t="str">
        <f t="shared" si="4"/>
        <v>88-287-09-00</v>
      </c>
      <c r="T15" s="129" t="s">
        <v>25299</v>
      </c>
      <c r="U15" s="112">
        <v>54</v>
      </c>
    </row>
    <row r="16" spans="1:21" x14ac:dyDescent="0.2">
      <c r="A16" s="102" t="s">
        <v>29712</v>
      </c>
      <c r="B16" s="102" t="s">
        <v>29594</v>
      </c>
      <c r="C16" s="102" t="s">
        <v>46</v>
      </c>
      <c r="D16" s="102" t="s">
        <v>47</v>
      </c>
      <c r="E16" s="102" t="s">
        <v>25606</v>
      </c>
      <c r="F16" s="102" t="s">
        <v>91</v>
      </c>
      <c r="G16" s="102" t="s">
        <v>29778</v>
      </c>
      <c r="H16" s="102" t="s">
        <v>29785</v>
      </c>
      <c r="I16" s="102" t="s">
        <v>1</v>
      </c>
      <c r="J16" s="102" t="s">
        <v>59</v>
      </c>
      <c r="L16" s="102" t="s">
        <v>25598</v>
      </c>
      <c r="M16" s="102" t="s">
        <v>12</v>
      </c>
      <c r="N16" s="102">
        <v>1352</v>
      </c>
      <c r="O16" s="102" t="s">
        <v>29792</v>
      </c>
      <c r="P16" t="s">
        <v>25624</v>
      </c>
      <c r="S16" t="str">
        <f t="shared" si="4"/>
        <v>88-288-09-00</v>
      </c>
      <c r="T16" s="129" t="s">
        <v>25299</v>
      </c>
      <c r="U16" s="112">
        <v>54</v>
      </c>
    </row>
    <row r="17" spans="1:21" x14ac:dyDescent="0.2">
      <c r="A17" s="102" t="s">
        <v>29713</v>
      </c>
      <c r="B17" s="102" t="s">
        <v>29595</v>
      </c>
      <c r="C17" s="102" t="s">
        <v>46</v>
      </c>
      <c r="D17" s="102" t="s">
        <v>47</v>
      </c>
      <c r="E17" s="102" t="s">
        <v>25606</v>
      </c>
      <c r="F17" s="102" t="s">
        <v>91</v>
      </c>
      <c r="G17" s="102" t="s">
        <v>29778</v>
      </c>
      <c r="H17" s="102" t="s">
        <v>29785</v>
      </c>
      <c r="I17" s="102" t="s">
        <v>1</v>
      </c>
      <c r="J17" s="102" t="s">
        <v>59</v>
      </c>
      <c r="L17" s="102" t="s">
        <v>25598</v>
      </c>
      <c r="M17" s="102" t="s">
        <v>12</v>
      </c>
      <c r="N17" s="102">
        <v>1352</v>
      </c>
      <c r="O17" s="102" t="s">
        <v>29792</v>
      </c>
      <c r="P17" t="s">
        <v>25624</v>
      </c>
      <c r="S17" t="str">
        <f t="shared" ref="S17:S18" si="5">A17&amp;"-"&amp;T17</f>
        <v>88-289-09-00</v>
      </c>
      <c r="T17" s="129" t="s">
        <v>25299</v>
      </c>
      <c r="U17" s="112">
        <v>54</v>
      </c>
    </row>
    <row r="18" spans="1:21" x14ac:dyDescent="0.2">
      <c r="A18" s="102" t="s">
        <v>29714</v>
      </c>
      <c r="B18" s="102" t="s">
        <v>29596</v>
      </c>
      <c r="C18" s="102" t="s">
        <v>46</v>
      </c>
      <c r="D18" s="102" t="s">
        <v>92</v>
      </c>
      <c r="E18" s="102" t="s">
        <v>25606</v>
      </c>
      <c r="F18" s="102" t="s">
        <v>91</v>
      </c>
      <c r="G18" s="102" t="s">
        <v>29778</v>
      </c>
      <c r="H18" s="102" t="s">
        <v>29785</v>
      </c>
      <c r="I18" s="102" t="s">
        <v>1</v>
      </c>
      <c r="J18" s="102" t="s">
        <v>29798</v>
      </c>
      <c r="K18" s="102" t="s">
        <v>25678</v>
      </c>
      <c r="L18" s="102" t="s">
        <v>25598</v>
      </c>
      <c r="M18" s="102" t="s">
        <v>12</v>
      </c>
      <c r="N18" s="102">
        <v>1352</v>
      </c>
      <c r="O18" s="102" t="s">
        <v>29792</v>
      </c>
      <c r="P18" t="s">
        <v>25624</v>
      </c>
      <c r="S18" t="str">
        <f t="shared" si="5"/>
        <v>88-290-09-00</v>
      </c>
      <c r="T18" s="129" t="s">
        <v>25299</v>
      </c>
      <c r="U18" s="112">
        <v>48</v>
      </c>
    </row>
    <row r="19" spans="1:21" x14ac:dyDescent="0.2">
      <c r="A19" s="102" t="s">
        <v>29715</v>
      </c>
      <c r="B19" s="102" t="s">
        <v>29597</v>
      </c>
      <c r="C19" s="102" t="s">
        <v>46</v>
      </c>
      <c r="D19" s="102" t="s">
        <v>92</v>
      </c>
      <c r="E19" s="102" t="s">
        <v>25607</v>
      </c>
      <c r="F19" s="102" t="s">
        <v>91</v>
      </c>
      <c r="G19" s="102" t="s">
        <v>29778</v>
      </c>
      <c r="H19" s="102" t="s">
        <v>29782</v>
      </c>
      <c r="I19" s="102" t="s">
        <v>25488</v>
      </c>
      <c r="J19" s="102" t="s">
        <v>29798</v>
      </c>
      <c r="K19" s="102" t="s">
        <v>25678</v>
      </c>
      <c r="L19" s="102" t="s">
        <v>25598</v>
      </c>
      <c r="M19" s="102" t="s">
        <v>12</v>
      </c>
      <c r="N19" s="102">
        <v>1352</v>
      </c>
      <c r="O19" s="102" t="s">
        <v>29792</v>
      </c>
      <c r="P19" t="s">
        <v>25625</v>
      </c>
      <c r="S19" t="str">
        <f t="shared" ref="S19:S21" si="6">A19&amp;"-"&amp;T19</f>
        <v>88-291-78-00</v>
      </c>
      <c r="T19" s="129" t="s">
        <v>25299</v>
      </c>
      <c r="U19" s="112">
        <v>30</v>
      </c>
    </row>
    <row r="20" spans="1:21" x14ac:dyDescent="0.2">
      <c r="A20" s="102" t="s">
        <v>29716</v>
      </c>
      <c r="B20" s="102" t="s">
        <v>29598</v>
      </c>
      <c r="C20" s="102" t="s">
        <v>46</v>
      </c>
      <c r="D20" s="102" t="s">
        <v>92</v>
      </c>
      <c r="E20" s="102" t="s">
        <v>25606</v>
      </c>
      <c r="F20" s="102" t="s">
        <v>91</v>
      </c>
      <c r="G20" s="102" t="s">
        <v>29778</v>
      </c>
      <c r="H20" s="102" t="s">
        <v>29785</v>
      </c>
      <c r="I20" s="102" t="s">
        <v>1</v>
      </c>
      <c r="J20" s="102" t="s">
        <v>29798</v>
      </c>
      <c r="K20" s="102" t="s">
        <v>25678</v>
      </c>
      <c r="L20" s="102" t="s">
        <v>25598</v>
      </c>
      <c r="M20" s="102" t="s">
        <v>12</v>
      </c>
      <c r="N20" s="102">
        <v>1352</v>
      </c>
      <c r="O20" s="102" t="s">
        <v>29792</v>
      </c>
      <c r="P20" t="s">
        <v>25624</v>
      </c>
      <c r="S20" t="str">
        <f t="shared" si="6"/>
        <v>88-292-09-00</v>
      </c>
      <c r="T20" s="129" t="s">
        <v>25299</v>
      </c>
      <c r="U20" s="112">
        <v>102</v>
      </c>
    </row>
    <row r="21" spans="1:21" x14ac:dyDescent="0.2">
      <c r="A21" s="102" t="s">
        <v>29717</v>
      </c>
      <c r="B21" s="102" t="s">
        <v>29599</v>
      </c>
      <c r="C21" s="102" t="s">
        <v>46</v>
      </c>
      <c r="D21" s="102" t="s">
        <v>92</v>
      </c>
      <c r="E21" s="102" t="s">
        <v>25607</v>
      </c>
      <c r="F21" s="102" t="s">
        <v>91</v>
      </c>
      <c r="G21" s="102" t="s">
        <v>29778</v>
      </c>
      <c r="H21" s="102" t="s">
        <v>29785</v>
      </c>
      <c r="I21" s="102" t="s">
        <v>1</v>
      </c>
      <c r="J21" s="102" t="s">
        <v>29798</v>
      </c>
      <c r="K21" s="102" t="s">
        <v>25678</v>
      </c>
      <c r="L21" s="102" t="s">
        <v>25598</v>
      </c>
      <c r="M21" s="102" t="s">
        <v>12</v>
      </c>
      <c r="N21" s="102">
        <v>1352</v>
      </c>
      <c r="O21" s="102" t="s">
        <v>29792</v>
      </c>
      <c r="P21" t="s">
        <v>25625</v>
      </c>
      <c r="S21" t="str">
        <f t="shared" si="6"/>
        <v>88-293-09-00</v>
      </c>
      <c r="T21" s="129" t="s">
        <v>25299</v>
      </c>
      <c r="U21" s="112">
        <v>120</v>
      </c>
    </row>
    <row r="22" spans="1:21" x14ac:dyDescent="0.2">
      <c r="A22" s="102" t="s">
        <v>29718</v>
      </c>
      <c r="B22" s="102" t="s">
        <v>29600</v>
      </c>
      <c r="C22" s="102" t="s">
        <v>46</v>
      </c>
      <c r="D22" s="102" t="s">
        <v>92</v>
      </c>
      <c r="E22" s="102" t="s">
        <v>25607</v>
      </c>
      <c r="F22" s="102" t="s">
        <v>91</v>
      </c>
      <c r="G22" s="102" t="s">
        <v>29778</v>
      </c>
      <c r="H22" s="102" t="s">
        <v>29784</v>
      </c>
      <c r="I22" s="102" t="s">
        <v>201</v>
      </c>
      <c r="J22" s="102" t="s">
        <v>29798</v>
      </c>
      <c r="K22" s="102" t="s">
        <v>25678</v>
      </c>
      <c r="L22" s="102" t="s">
        <v>25598</v>
      </c>
      <c r="M22" s="102" t="s">
        <v>12</v>
      </c>
      <c r="N22" s="102">
        <v>1352</v>
      </c>
      <c r="O22" s="102" t="s">
        <v>29792</v>
      </c>
      <c r="P22" t="s">
        <v>25625</v>
      </c>
      <c r="S22" t="str">
        <f t="shared" ref="S22:S24" si="7">A22&amp;"-"&amp;T22</f>
        <v>88-294-38-00</v>
      </c>
      <c r="T22" s="129" t="s">
        <v>25299</v>
      </c>
      <c r="U22" s="112">
        <v>144</v>
      </c>
    </row>
    <row r="23" spans="1:21" x14ac:dyDescent="0.2">
      <c r="A23" s="102" t="s">
        <v>29719</v>
      </c>
      <c r="B23" s="102" t="s">
        <v>29601</v>
      </c>
      <c r="C23" s="102" t="s">
        <v>46</v>
      </c>
      <c r="D23" s="102" t="s">
        <v>47</v>
      </c>
      <c r="E23" s="102" t="s">
        <v>25607</v>
      </c>
      <c r="F23" s="102" t="s">
        <v>91</v>
      </c>
      <c r="G23" s="102" t="s">
        <v>29778</v>
      </c>
      <c r="H23" s="102" t="s">
        <v>29785</v>
      </c>
      <c r="I23" s="102" t="s">
        <v>1</v>
      </c>
      <c r="J23" s="102" t="s">
        <v>11</v>
      </c>
      <c r="K23" s="102" t="s">
        <v>25678</v>
      </c>
      <c r="L23" s="102" t="s">
        <v>25598</v>
      </c>
      <c r="M23" s="102" t="s">
        <v>12</v>
      </c>
      <c r="N23" s="102">
        <v>1352</v>
      </c>
      <c r="O23" s="102" t="s">
        <v>29792</v>
      </c>
      <c r="P23" t="s">
        <v>25625</v>
      </c>
      <c r="S23" t="str">
        <f t="shared" si="7"/>
        <v>88-295-09-00</v>
      </c>
      <c r="T23" s="129" t="s">
        <v>25299</v>
      </c>
      <c r="U23" s="112">
        <v>120</v>
      </c>
    </row>
    <row r="24" spans="1:21" x14ac:dyDescent="0.2">
      <c r="A24" s="102" t="s">
        <v>29720</v>
      </c>
      <c r="B24" s="102" t="s">
        <v>29602</v>
      </c>
      <c r="C24" s="102" t="s">
        <v>46</v>
      </c>
      <c r="D24" s="102" t="s">
        <v>47</v>
      </c>
      <c r="E24" s="102" t="s">
        <v>25607</v>
      </c>
      <c r="F24" s="102" t="s">
        <v>91</v>
      </c>
      <c r="G24" s="102" t="s">
        <v>29778</v>
      </c>
      <c r="H24" s="102" t="s">
        <v>29785</v>
      </c>
      <c r="I24" s="102" t="s">
        <v>1</v>
      </c>
      <c r="J24" s="102" t="s">
        <v>59</v>
      </c>
      <c r="L24" s="102" t="s">
        <v>25598</v>
      </c>
      <c r="M24" s="102" t="s">
        <v>12</v>
      </c>
      <c r="N24" s="102">
        <v>1352</v>
      </c>
      <c r="O24" s="102" t="s">
        <v>29792</v>
      </c>
      <c r="P24" t="s">
        <v>25625</v>
      </c>
      <c r="S24" t="str">
        <f t="shared" si="7"/>
        <v>88-296-09-00</v>
      </c>
      <c r="T24" s="129" t="s">
        <v>25299</v>
      </c>
      <c r="U24" s="112">
        <v>42</v>
      </c>
    </row>
    <row r="25" spans="1:21" x14ac:dyDescent="0.2">
      <c r="A25" s="102" t="s">
        <v>29721</v>
      </c>
      <c r="B25" s="102" t="s">
        <v>29603</v>
      </c>
      <c r="C25" s="102" t="s">
        <v>46</v>
      </c>
      <c r="D25" s="102" t="s">
        <v>47</v>
      </c>
      <c r="E25" s="102" t="s">
        <v>25607</v>
      </c>
      <c r="F25" s="102" t="s">
        <v>91</v>
      </c>
      <c r="G25" s="102" t="s">
        <v>29778</v>
      </c>
      <c r="H25" s="102" t="s">
        <v>29785</v>
      </c>
      <c r="I25" s="102" t="s">
        <v>1</v>
      </c>
      <c r="J25" s="102" t="s">
        <v>59</v>
      </c>
      <c r="L25" s="102" t="s">
        <v>25598</v>
      </c>
      <c r="M25" s="102" t="s">
        <v>12</v>
      </c>
      <c r="N25" s="102">
        <v>1352</v>
      </c>
      <c r="O25" s="102" t="s">
        <v>29792</v>
      </c>
      <c r="P25" t="s">
        <v>25625</v>
      </c>
      <c r="S25" t="str">
        <f t="shared" ref="S25:S26" si="8">A25&amp;"-"&amp;T25</f>
        <v>88-297-09-00</v>
      </c>
      <c r="T25" s="129" t="s">
        <v>25299</v>
      </c>
      <c r="U25" s="112">
        <v>42</v>
      </c>
    </row>
    <row r="26" spans="1:21" x14ac:dyDescent="0.2">
      <c r="A26" s="102" t="s">
        <v>29722</v>
      </c>
      <c r="B26" s="102" t="s">
        <v>29604</v>
      </c>
      <c r="C26" s="102" t="s">
        <v>46</v>
      </c>
      <c r="D26" s="102" t="s">
        <v>47</v>
      </c>
      <c r="E26" s="102" t="s">
        <v>25607</v>
      </c>
      <c r="F26" s="102" t="s">
        <v>91</v>
      </c>
      <c r="G26" s="102" t="s">
        <v>29778</v>
      </c>
      <c r="H26" s="102" t="s">
        <v>29785</v>
      </c>
      <c r="I26" s="102" t="s">
        <v>1</v>
      </c>
      <c r="J26" s="102" t="s">
        <v>59</v>
      </c>
      <c r="L26" s="102" t="s">
        <v>25598</v>
      </c>
      <c r="M26" s="102" t="s">
        <v>12</v>
      </c>
      <c r="N26" s="102">
        <v>1352</v>
      </c>
      <c r="O26" s="102" t="s">
        <v>29792</v>
      </c>
      <c r="P26" t="s">
        <v>25625</v>
      </c>
      <c r="S26" t="str">
        <f t="shared" si="8"/>
        <v>88-298-09-00</v>
      </c>
      <c r="T26" s="129" t="s">
        <v>25299</v>
      </c>
      <c r="U26" s="112">
        <v>60</v>
      </c>
    </row>
    <row r="27" spans="1:21" x14ac:dyDescent="0.2">
      <c r="A27" s="102" t="s">
        <v>29723</v>
      </c>
      <c r="B27" s="102" t="s">
        <v>29605</v>
      </c>
      <c r="C27" s="102" t="s">
        <v>46</v>
      </c>
      <c r="D27" s="102" t="s">
        <v>92</v>
      </c>
      <c r="E27" s="102" t="s">
        <v>25607</v>
      </c>
      <c r="F27" s="102" t="s">
        <v>91</v>
      </c>
      <c r="G27" s="102" t="s">
        <v>29778</v>
      </c>
      <c r="H27" s="102" t="s">
        <v>29785</v>
      </c>
      <c r="I27" s="102" t="s">
        <v>1</v>
      </c>
      <c r="J27" s="102" t="s">
        <v>26146</v>
      </c>
      <c r="L27" s="102" t="s">
        <v>25598</v>
      </c>
      <c r="M27" s="102" t="s">
        <v>12</v>
      </c>
      <c r="N27" s="102">
        <v>1352</v>
      </c>
      <c r="O27" s="102" t="s">
        <v>29792</v>
      </c>
      <c r="P27" t="s">
        <v>25625</v>
      </c>
      <c r="S27" t="str">
        <f t="shared" ref="S27:S29" si="9">A27&amp;"-"&amp;T27</f>
        <v>88-299-09-00</v>
      </c>
      <c r="T27" s="129" t="s">
        <v>25299</v>
      </c>
      <c r="U27" s="112">
        <v>120</v>
      </c>
    </row>
    <row r="28" spans="1:21" x14ac:dyDescent="0.2">
      <c r="A28" s="102" t="s">
        <v>29724</v>
      </c>
      <c r="B28" s="102" t="s">
        <v>29606</v>
      </c>
      <c r="C28" s="102" t="s">
        <v>46</v>
      </c>
      <c r="D28" s="102" t="s">
        <v>92</v>
      </c>
      <c r="E28" s="102" t="s">
        <v>25607</v>
      </c>
      <c r="F28" s="102" t="s">
        <v>91</v>
      </c>
      <c r="G28" s="102" t="s">
        <v>29778</v>
      </c>
      <c r="H28" s="102" t="s">
        <v>29785</v>
      </c>
      <c r="I28" s="102" t="s">
        <v>1</v>
      </c>
      <c r="J28" s="102" t="s">
        <v>26146</v>
      </c>
      <c r="L28" s="102" t="s">
        <v>25598</v>
      </c>
      <c r="M28" s="102" t="s">
        <v>12</v>
      </c>
      <c r="N28" s="102">
        <v>1352</v>
      </c>
      <c r="O28" s="102" t="s">
        <v>29792</v>
      </c>
      <c r="P28" t="s">
        <v>25625</v>
      </c>
      <c r="S28" t="str">
        <f t="shared" si="9"/>
        <v>88-300-09-00</v>
      </c>
      <c r="T28" s="129" t="s">
        <v>25299</v>
      </c>
      <c r="U28" s="112">
        <v>96</v>
      </c>
    </row>
    <row r="29" spans="1:21" x14ac:dyDescent="0.2">
      <c r="A29" s="102" t="s">
        <v>29725</v>
      </c>
      <c r="B29" s="102" t="s">
        <v>29607</v>
      </c>
      <c r="C29" s="102" t="s">
        <v>46</v>
      </c>
      <c r="D29" s="102" t="s">
        <v>47</v>
      </c>
      <c r="E29" s="102" t="s">
        <v>25607</v>
      </c>
      <c r="F29" s="102" t="s">
        <v>91</v>
      </c>
      <c r="G29" s="102" t="s">
        <v>29778</v>
      </c>
      <c r="H29" s="102" t="s">
        <v>29785</v>
      </c>
      <c r="I29" s="102" t="s">
        <v>1</v>
      </c>
      <c r="J29" s="102" t="s">
        <v>59</v>
      </c>
      <c r="L29" s="102" t="s">
        <v>25598</v>
      </c>
      <c r="M29" s="102" t="s">
        <v>12</v>
      </c>
      <c r="N29" s="102">
        <v>1352</v>
      </c>
      <c r="O29" s="102" t="s">
        <v>29792</v>
      </c>
      <c r="P29" t="s">
        <v>25625</v>
      </c>
      <c r="S29" t="str">
        <f t="shared" si="9"/>
        <v>88-301-09-00</v>
      </c>
      <c r="T29" s="129" t="s">
        <v>25299</v>
      </c>
      <c r="U29" s="112">
        <v>60</v>
      </c>
    </row>
    <row r="30" spans="1:21" x14ac:dyDescent="0.2">
      <c r="A30" s="102" t="s">
        <v>29726</v>
      </c>
      <c r="B30" s="102" t="s">
        <v>29608</v>
      </c>
      <c r="C30" s="102" t="s">
        <v>46</v>
      </c>
      <c r="D30" s="102" t="s">
        <v>92</v>
      </c>
      <c r="E30" s="102" t="s">
        <v>25610</v>
      </c>
      <c r="F30" s="102" t="s">
        <v>91</v>
      </c>
      <c r="G30" s="102" t="s">
        <v>29778</v>
      </c>
      <c r="H30" s="102" t="s">
        <v>29785</v>
      </c>
      <c r="I30" s="102" t="s">
        <v>1</v>
      </c>
      <c r="J30" s="102" t="s">
        <v>29798</v>
      </c>
      <c r="K30" s="102" t="s">
        <v>25678</v>
      </c>
      <c r="L30" s="102" t="s">
        <v>25598</v>
      </c>
      <c r="M30" s="102" t="s">
        <v>12</v>
      </c>
      <c r="N30" s="102">
        <v>1352</v>
      </c>
      <c r="O30" s="102" t="s">
        <v>29792</v>
      </c>
      <c r="P30" t="s">
        <v>25647</v>
      </c>
      <c r="S30" t="str">
        <f t="shared" ref="S30:S32" si="10">A30&amp;"-"&amp;T30</f>
        <v>88-302-09-00</v>
      </c>
      <c r="T30" s="129" t="s">
        <v>25299</v>
      </c>
      <c r="U30" s="112">
        <v>84</v>
      </c>
    </row>
    <row r="31" spans="1:21" x14ac:dyDescent="0.2">
      <c r="A31" s="102" t="s">
        <v>29727</v>
      </c>
      <c r="B31" s="102" t="s">
        <v>29609</v>
      </c>
      <c r="C31" s="102" t="s">
        <v>46</v>
      </c>
      <c r="D31" s="102" t="s">
        <v>92</v>
      </c>
      <c r="E31" s="102" t="s">
        <v>25610</v>
      </c>
      <c r="F31" s="102" t="s">
        <v>91</v>
      </c>
      <c r="G31" s="102" t="s">
        <v>29778</v>
      </c>
      <c r="H31" s="102" t="s">
        <v>29783</v>
      </c>
      <c r="I31" s="102" t="s">
        <v>25407</v>
      </c>
      <c r="J31" s="102" t="s">
        <v>29798</v>
      </c>
      <c r="K31" s="102" t="s">
        <v>25678</v>
      </c>
      <c r="L31" s="102" t="s">
        <v>25598</v>
      </c>
      <c r="M31" s="102" t="s">
        <v>12</v>
      </c>
      <c r="N31" s="102">
        <v>1352</v>
      </c>
      <c r="O31" s="102" t="s">
        <v>29792</v>
      </c>
      <c r="P31" t="s">
        <v>25647</v>
      </c>
      <c r="S31" t="str">
        <f t="shared" si="10"/>
        <v>88-303-66-00</v>
      </c>
      <c r="T31" s="129" t="s">
        <v>25299</v>
      </c>
      <c r="U31" s="112">
        <v>30</v>
      </c>
    </row>
    <row r="32" spans="1:21" x14ac:dyDescent="0.2">
      <c r="A32" s="102" t="s">
        <v>29728</v>
      </c>
      <c r="B32" s="102" t="s">
        <v>29610</v>
      </c>
      <c r="C32" s="102" t="s">
        <v>46</v>
      </c>
      <c r="D32" s="102" t="s">
        <v>92</v>
      </c>
      <c r="E32" s="102" t="s">
        <v>25610</v>
      </c>
      <c r="F32" s="102" t="s">
        <v>91</v>
      </c>
      <c r="G32" s="102" t="s">
        <v>29778</v>
      </c>
      <c r="H32" s="102" t="s">
        <v>29780</v>
      </c>
      <c r="I32" s="102" t="s">
        <v>210</v>
      </c>
      <c r="J32" s="102" t="s">
        <v>26146</v>
      </c>
      <c r="L32" s="102" t="s">
        <v>25598</v>
      </c>
      <c r="M32" s="102" t="s">
        <v>12</v>
      </c>
      <c r="N32" s="102">
        <v>1352</v>
      </c>
      <c r="O32" s="102" t="s">
        <v>29792</v>
      </c>
      <c r="P32" t="s">
        <v>25647</v>
      </c>
      <c r="S32" t="str">
        <f t="shared" si="10"/>
        <v>88-304-72-00</v>
      </c>
      <c r="T32" s="129" t="s">
        <v>25299</v>
      </c>
      <c r="U32" s="112">
        <v>48</v>
      </c>
    </row>
    <row r="33" spans="1:21" x14ac:dyDescent="0.2">
      <c r="A33" s="102" t="s">
        <v>29729</v>
      </c>
      <c r="B33" s="102" t="s">
        <v>29611</v>
      </c>
      <c r="C33" s="102" t="s">
        <v>46</v>
      </c>
      <c r="D33" s="102" t="s">
        <v>92</v>
      </c>
      <c r="E33" s="102" t="s">
        <v>25610</v>
      </c>
      <c r="F33" s="102" t="s">
        <v>91</v>
      </c>
      <c r="G33" s="102" t="s">
        <v>29778</v>
      </c>
      <c r="H33" s="102" t="s">
        <v>29785</v>
      </c>
      <c r="I33" s="102" t="s">
        <v>1</v>
      </c>
      <c r="J33" s="102" t="s">
        <v>26146</v>
      </c>
      <c r="K33" s="102" t="s">
        <v>25678</v>
      </c>
      <c r="L33" s="102" t="s">
        <v>25598</v>
      </c>
      <c r="M33" s="102" t="s">
        <v>12</v>
      </c>
      <c r="N33" s="102">
        <v>1352</v>
      </c>
      <c r="O33" s="102" t="s">
        <v>29792</v>
      </c>
      <c r="P33" t="s">
        <v>25647</v>
      </c>
      <c r="S33" t="str">
        <f t="shared" ref="S33:S34" si="11">A33&amp;"-"&amp;T33</f>
        <v>88-305-09-00</v>
      </c>
      <c r="T33" s="129" t="s">
        <v>25299</v>
      </c>
      <c r="U33" s="112">
        <v>144</v>
      </c>
    </row>
    <row r="34" spans="1:21" x14ac:dyDescent="0.2">
      <c r="A34" s="102" t="s">
        <v>29730</v>
      </c>
      <c r="B34" s="102" t="s">
        <v>29612</v>
      </c>
      <c r="C34" s="102" t="s">
        <v>46</v>
      </c>
      <c r="D34" s="102" t="s">
        <v>92</v>
      </c>
      <c r="E34" s="102" t="s">
        <v>25610</v>
      </c>
      <c r="F34" s="102" t="s">
        <v>91</v>
      </c>
      <c r="G34" s="102" t="s">
        <v>29778</v>
      </c>
      <c r="H34" s="102" t="s">
        <v>29785</v>
      </c>
      <c r="I34" s="102" t="s">
        <v>1</v>
      </c>
      <c r="J34" s="102" t="s">
        <v>25993</v>
      </c>
      <c r="K34" s="102" t="s">
        <v>25678</v>
      </c>
      <c r="L34" s="102" t="s">
        <v>25598</v>
      </c>
      <c r="M34" s="102" t="s">
        <v>12</v>
      </c>
      <c r="N34" s="102">
        <v>1352</v>
      </c>
      <c r="O34" s="102" t="s">
        <v>29792</v>
      </c>
      <c r="P34" t="s">
        <v>25647</v>
      </c>
      <c r="S34" t="str">
        <f t="shared" si="11"/>
        <v>88-306-09-00</v>
      </c>
      <c r="T34" s="129" t="s">
        <v>25299</v>
      </c>
      <c r="U34" s="112">
        <v>96</v>
      </c>
    </row>
    <row r="35" spans="1:21" x14ac:dyDescent="0.2">
      <c r="A35" s="102" t="s">
        <v>29731</v>
      </c>
      <c r="B35" s="102" t="s">
        <v>29613</v>
      </c>
      <c r="C35" s="102" t="s">
        <v>46</v>
      </c>
      <c r="D35" s="102" t="s">
        <v>92</v>
      </c>
      <c r="E35" s="102" t="s">
        <v>25610</v>
      </c>
      <c r="F35" s="102" t="s">
        <v>91</v>
      </c>
      <c r="G35" s="102" t="s">
        <v>29778</v>
      </c>
      <c r="H35" s="102" t="s">
        <v>29780</v>
      </c>
      <c r="I35" s="102" t="s">
        <v>96</v>
      </c>
      <c r="J35" s="102" t="s">
        <v>25993</v>
      </c>
      <c r="K35" s="102" t="s">
        <v>25678</v>
      </c>
      <c r="L35" s="102" t="s">
        <v>25598</v>
      </c>
      <c r="M35" s="102" t="s">
        <v>12</v>
      </c>
      <c r="N35" s="102">
        <v>1352</v>
      </c>
      <c r="O35" s="102" t="s">
        <v>29792</v>
      </c>
      <c r="P35" t="s">
        <v>25647</v>
      </c>
      <c r="S35" t="str">
        <f t="shared" ref="S35:S37" si="12">A35&amp;"-"&amp;T35</f>
        <v>88-307-12-00</v>
      </c>
      <c r="T35" s="129" t="s">
        <v>25299</v>
      </c>
      <c r="U35" s="112">
        <v>108</v>
      </c>
    </row>
    <row r="36" spans="1:21" x14ac:dyDescent="0.2">
      <c r="A36" s="102" t="s">
        <v>29732</v>
      </c>
      <c r="B36" s="102" t="s">
        <v>29614</v>
      </c>
      <c r="C36" s="102" t="s">
        <v>46</v>
      </c>
      <c r="D36" s="102" t="s">
        <v>92</v>
      </c>
      <c r="E36" s="102" t="s">
        <v>25610</v>
      </c>
      <c r="F36" s="102" t="s">
        <v>91</v>
      </c>
      <c r="G36" s="102" t="s">
        <v>29778</v>
      </c>
      <c r="H36" s="102" t="s">
        <v>29785</v>
      </c>
      <c r="I36" s="102" t="s">
        <v>1</v>
      </c>
      <c r="J36" s="102" t="s">
        <v>26443</v>
      </c>
      <c r="L36" s="102" t="s">
        <v>25598</v>
      </c>
      <c r="M36" s="102" t="s">
        <v>12</v>
      </c>
      <c r="N36" s="102">
        <v>1352</v>
      </c>
      <c r="O36" s="102" t="s">
        <v>29792</v>
      </c>
      <c r="P36" t="s">
        <v>25647</v>
      </c>
      <c r="S36" t="str">
        <f t="shared" si="12"/>
        <v>88-308-09-00</v>
      </c>
      <c r="T36" s="129" t="s">
        <v>25299</v>
      </c>
      <c r="U36" s="112">
        <v>96</v>
      </c>
    </row>
    <row r="37" spans="1:21" x14ac:dyDescent="0.2">
      <c r="A37" s="102" t="s">
        <v>29733</v>
      </c>
      <c r="B37" s="102" t="s">
        <v>29615</v>
      </c>
      <c r="C37" s="102" t="s">
        <v>46</v>
      </c>
      <c r="D37" s="102" t="s">
        <v>92</v>
      </c>
      <c r="E37" s="102" t="s">
        <v>25610</v>
      </c>
      <c r="F37" s="102" t="s">
        <v>91</v>
      </c>
      <c r="G37" s="102" t="s">
        <v>29778</v>
      </c>
      <c r="H37" s="102" t="s">
        <v>29784</v>
      </c>
      <c r="I37" s="102" t="s">
        <v>25358</v>
      </c>
      <c r="J37" s="102" t="s">
        <v>25993</v>
      </c>
      <c r="K37" s="102" t="s">
        <v>25678</v>
      </c>
      <c r="L37" s="102" t="s">
        <v>25598</v>
      </c>
      <c r="M37" s="102" t="s">
        <v>12</v>
      </c>
      <c r="N37" s="102">
        <v>1352</v>
      </c>
      <c r="O37" s="102" t="s">
        <v>29792</v>
      </c>
      <c r="P37" t="s">
        <v>25647</v>
      </c>
      <c r="S37" t="str">
        <f t="shared" si="12"/>
        <v>88-309-45-00</v>
      </c>
      <c r="T37" s="129" t="s">
        <v>25299</v>
      </c>
      <c r="U37" s="112">
        <v>48</v>
      </c>
    </row>
    <row r="38" spans="1:21" x14ac:dyDescent="0.2">
      <c r="A38" s="102" t="s">
        <v>29734</v>
      </c>
      <c r="B38" s="102" t="s">
        <v>29616</v>
      </c>
      <c r="C38" s="102" t="s">
        <v>46</v>
      </c>
      <c r="D38" s="102" t="s">
        <v>92</v>
      </c>
      <c r="E38" s="102" t="s">
        <v>25610</v>
      </c>
      <c r="F38" s="102" t="s">
        <v>91</v>
      </c>
      <c r="G38" s="102" t="s">
        <v>29778</v>
      </c>
      <c r="H38" s="102" t="s">
        <v>29781</v>
      </c>
      <c r="I38" s="102" t="s">
        <v>23</v>
      </c>
      <c r="J38" s="102" t="s">
        <v>26146</v>
      </c>
      <c r="L38" s="102" t="s">
        <v>25598</v>
      </c>
      <c r="M38" s="102" t="s">
        <v>12</v>
      </c>
      <c r="N38" s="102">
        <v>1352</v>
      </c>
      <c r="O38" s="102" t="s">
        <v>29792</v>
      </c>
      <c r="P38" t="s">
        <v>25647</v>
      </c>
      <c r="S38" t="str">
        <f t="shared" ref="S38:S40" si="13">A38&amp;"-"&amp;T38</f>
        <v>88-310-16-00</v>
      </c>
      <c r="T38" s="129" t="s">
        <v>25299</v>
      </c>
      <c r="U38" s="112">
        <v>84</v>
      </c>
    </row>
    <row r="39" spans="1:21" x14ac:dyDescent="0.2">
      <c r="A39" s="102" t="s">
        <v>29735</v>
      </c>
      <c r="B39" s="102" t="s">
        <v>29617</v>
      </c>
      <c r="C39" s="102" t="s">
        <v>46</v>
      </c>
      <c r="D39" s="102" t="s">
        <v>92</v>
      </c>
      <c r="E39" s="102" t="s">
        <v>25610</v>
      </c>
      <c r="F39" s="102" t="s">
        <v>91</v>
      </c>
      <c r="G39" s="102" t="s">
        <v>29778</v>
      </c>
      <c r="H39" s="102" t="s">
        <v>29779</v>
      </c>
      <c r="I39" s="102" t="s">
        <v>28</v>
      </c>
      <c r="J39" s="102" t="s">
        <v>25993</v>
      </c>
      <c r="K39" s="102" t="s">
        <v>25678</v>
      </c>
      <c r="L39" s="102" t="s">
        <v>25598</v>
      </c>
      <c r="M39" s="102" t="s">
        <v>12</v>
      </c>
      <c r="N39" s="102">
        <v>1352</v>
      </c>
      <c r="O39" s="102" t="s">
        <v>29792</v>
      </c>
      <c r="P39" t="s">
        <v>25647</v>
      </c>
      <c r="S39" t="str">
        <f t="shared" si="13"/>
        <v>88-311-80-00</v>
      </c>
      <c r="T39" s="129" t="s">
        <v>25299</v>
      </c>
      <c r="U39" s="112">
        <v>84</v>
      </c>
    </row>
    <row r="40" spans="1:21" x14ac:dyDescent="0.2">
      <c r="A40" s="102" t="s">
        <v>29736</v>
      </c>
      <c r="B40" s="102" t="s">
        <v>29618</v>
      </c>
      <c r="C40" s="102" t="s">
        <v>46</v>
      </c>
      <c r="D40" s="102" t="s">
        <v>47</v>
      </c>
      <c r="E40" s="102" t="s">
        <v>25611</v>
      </c>
      <c r="F40" s="102" t="s">
        <v>91</v>
      </c>
      <c r="G40" s="102" t="s">
        <v>29778</v>
      </c>
      <c r="H40" s="102" t="s">
        <v>29785</v>
      </c>
      <c r="I40" s="102" t="s">
        <v>1</v>
      </c>
      <c r="J40" s="102" t="s">
        <v>59</v>
      </c>
      <c r="L40" s="102" t="s">
        <v>25598</v>
      </c>
      <c r="M40" s="102" t="s">
        <v>12</v>
      </c>
      <c r="N40" s="102">
        <v>1352</v>
      </c>
      <c r="O40" s="102" t="s">
        <v>29792</v>
      </c>
      <c r="P40" t="s">
        <v>25649</v>
      </c>
      <c r="S40" t="str">
        <f t="shared" si="13"/>
        <v>88-312-09-00</v>
      </c>
      <c r="T40" s="129" t="s">
        <v>25299</v>
      </c>
      <c r="U40" s="112">
        <v>156</v>
      </c>
    </row>
    <row r="41" spans="1:21" x14ac:dyDescent="0.2">
      <c r="A41" s="102" t="s">
        <v>29737</v>
      </c>
      <c r="B41" s="102" t="s">
        <v>29619</v>
      </c>
      <c r="C41" s="102" t="s">
        <v>46</v>
      </c>
      <c r="D41" s="102" t="s">
        <v>92</v>
      </c>
      <c r="E41" s="102" t="s">
        <v>25611</v>
      </c>
      <c r="F41" s="102" t="s">
        <v>91</v>
      </c>
      <c r="G41" s="102" t="s">
        <v>29778</v>
      </c>
      <c r="H41" s="102" t="s">
        <v>29784</v>
      </c>
      <c r="I41" s="102" t="s">
        <v>107</v>
      </c>
      <c r="J41" s="102" t="s">
        <v>26443</v>
      </c>
      <c r="L41" s="102" t="s">
        <v>25598</v>
      </c>
      <c r="M41" s="102" t="s">
        <v>12</v>
      </c>
      <c r="N41" s="102">
        <v>1352</v>
      </c>
      <c r="O41" s="102" t="s">
        <v>29792</v>
      </c>
      <c r="P41" t="s">
        <v>25649</v>
      </c>
      <c r="S41" t="str">
        <f t="shared" ref="S41:S42" si="14">A41&amp;"-"&amp;T41</f>
        <v>88-313-48-00</v>
      </c>
      <c r="T41" s="129" t="s">
        <v>25299</v>
      </c>
      <c r="U41" s="112">
        <v>144</v>
      </c>
    </row>
    <row r="42" spans="1:21" x14ac:dyDescent="0.2">
      <c r="A42" s="102" t="s">
        <v>29738</v>
      </c>
      <c r="B42" s="102" t="s">
        <v>29620</v>
      </c>
      <c r="C42" s="102" t="s">
        <v>46</v>
      </c>
      <c r="D42" s="102" t="s">
        <v>92</v>
      </c>
      <c r="E42" s="102" t="s">
        <v>25611</v>
      </c>
      <c r="F42" s="102" t="s">
        <v>91</v>
      </c>
      <c r="G42" s="102" t="s">
        <v>29778</v>
      </c>
      <c r="H42" s="102" t="s">
        <v>29779</v>
      </c>
      <c r="I42" s="102" t="s">
        <v>28</v>
      </c>
      <c r="J42" s="102" t="s">
        <v>25993</v>
      </c>
      <c r="K42" s="102" t="s">
        <v>25678</v>
      </c>
      <c r="L42" s="102" t="s">
        <v>25598</v>
      </c>
      <c r="M42" s="102" t="s">
        <v>12</v>
      </c>
      <c r="N42" s="102">
        <v>1352</v>
      </c>
      <c r="O42" s="102" t="s">
        <v>29792</v>
      </c>
      <c r="P42" t="s">
        <v>25649</v>
      </c>
      <c r="S42" t="str">
        <f t="shared" si="14"/>
        <v>88-314-80-00</v>
      </c>
      <c r="T42" s="129" t="s">
        <v>25299</v>
      </c>
      <c r="U42" s="112">
        <v>144</v>
      </c>
    </row>
    <row r="43" spans="1:21" x14ac:dyDescent="0.2">
      <c r="A43" s="102" t="s">
        <v>29739</v>
      </c>
      <c r="B43" s="102" t="s">
        <v>29621</v>
      </c>
      <c r="C43" s="102" t="s">
        <v>46</v>
      </c>
      <c r="D43" s="102" t="s">
        <v>92</v>
      </c>
      <c r="E43" s="102" t="s">
        <v>25611</v>
      </c>
      <c r="F43" s="102" t="s">
        <v>91</v>
      </c>
      <c r="G43" s="102" t="s">
        <v>29778</v>
      </c>
      <c r="H43" s="102" t="s">
        <v>29785</v>
      </c>
      <c r="I43" s="102" t="s">
        <v>1</v>
      </c>
      <c r="J43" s="102" t="s">
        <v>25993</v>
      </c>
      <c r="K43" s="102" t="s">
        <v>25678</v>
      </c>
      <c r="L43" s="102" t="s">
        <v>25598</v>
      </c>
      <c r="M43" s="102" t="s">
        <v>12</v>
      </c>
      <c r="N43" s="102">
        <v>1352</v>
      </c>
      <c r="O43" s="102" t="s">
        <v>29792</v>
      </c>
      <c r="P43" t="s">
        <v>25649</v>
      </c>
      <c r="S43" t="str">
        <f t="shared" ref="S43:S45" si="15">A43&amp;"-"&amp;T43</f>
        <v>88-315-09-00</v>
      </c>
      <c r="T43" s="129" t="s">
        <v>25299</v>
      </c>
      <c r="U43" s="112">
        <v>72</v>
      </c>
    </row>
    <row r="44" spans="1:21" x14ac:dyDescent="0.2">
      <c r="A44" s="102" t="s">
        <v>29740</v>
      </c>
      <c r="B44" s="102" t="s">
        <v>29622</v>
      </c>
      <c r="C44" s="102" t="s">
        <v>46</v>
      </c>
      <c r="D44" s="102" t="s">
        <v>92</v>
      </c>
      <c r="E44" s="102" t="s">
        <v>25611</v>
      </c>
      <c r="F44" s="102" t="s">
        <v>91</v>
      </c>
      <c r="G44" s="102" t="s">
        <v>29778</v>
      </c>
      <c r="H44" s="102" t="s">
        <v>29785</v>
      </c>
      <c r="I44" s="102" t="s">
        <v>171</v>
      </c>
      <c r="J44" s="102" t="s">
        <v>25993</v>
      </c>
      <c r="K44" s="102" t="s">
        <v>25678</v>
      </c>
      <c r="L44" s="102" t="s">
        <v>25598</v>
      </c>
      <c r="M44" s="102" t="s">
        <v>12</v>
      </c>
      <c r="N44" s="102">
        <v>1352</v>
      </c>
      <c r="O44" s="102" t="s">
        <v>29792</v>
      </c>
      <c r="P44" t="s">
        <v>25649</v>
      </c>
      <c r="S44" t="str">
        <f t="shared" si="15"/>
        <v>88-316-72-00</v>
      </c>
      <c r="T44" s="129" t="s">
        <v>25299</v>
      </c>
      <c r="U44" s="112">
        <v>120</v>
      </c>
    </row>
    <row r="45" spans="1:21" x14ac:dyDescent="0.2">
      <c r="A45" s="102" t="s">
        <v>29741</v>
      </c>
      <c r="B45" s="102" t="s">
        <v>29623</v>
      </c>
      <c r="C45" s="102" t="s">
        <v>46</v>
      </c>
      <c r="D45" s="102" t="s">
        <v>92</v>
      </c>
      <c r="E45" s="102" t="s">
        <v>25611</v>
      </c>
      <c r="F45" s="102" t="s">
        <v>91</v>
      </c>
      <c r="G45" s="102" t="s">
        <v>29778</v>
      </c>
      <c r="H45" s="102" t="s">
        <v>29785</v>
      </c>
      <c r="I45" s="102" t="s">
        <v>171</v>
      </c>
      <c r="J45" s="102" t="s">
        <v>25993</v>
      </c>
      <c r="K45" s="102" t="s">
        <v>25678</v>
      </c>
      <c r="L45" s="102" t="s">
        <v>25598</v>
      </c>
      <c r="M45" s="102" t="s">
        <v>12</v>
      </c>
      <c r="N45" s="102">
        <v>1352</v>
      </c>
      <c r="O45" s="102" t="s">
        <v>29792</v>
      </c>
      <c r="P45" t="s">
        <v>25649</v>
      </c>
      <c r="S45" t="str">
        <f t="shared" si="15"/>
        <v>88-317-72-00</v>
      </c>
      <c r="T45" s="129" t="s">
        <v>25299</v>
      </c>
      <c r="U45" s="112">
        <v>120</v>
      </c>
    </row>
    <row r="46" spans="1:21" x14ac:dyDescent="0.2">
      <c r="A46" s="102" t="s">
        <v>29742</v>
      </c>
      <c r="B46" s="102" t="s">
        <v>29624</v>
      </c>
      <c r="C46" s="102" t="s">
        <v>46</v>
      </c>
      <c r="D46" s="102" t="s">
        <v>92</v>
      </c>
      <c r="E46" s="102" t="s">
        <v>25611</v>
      </c>
      <c r="F46" s="102" t="s">
        <v>91</v>
      </c>
      <c r="G46" s="102" t="s">
        <v>29778</v>
      </c>
      <c r="H46" s="102" t="s">
        <v>29785</v>
      </c>
      <c r="I46" s="102" t="s">
        <v>137</v>
      </c>
      <c r="J46" s="102" t="s">
        <v>25993</v>
      </c>
      <c r="K46" s="102" t="s">
        <v>25678</v>
      </c>
      <c r="L46" s="102" t="s">
        <v>25598</v>
      </c>
      <c r="M46" s="102" t="s">
        <v>12</v>
      </c>
      <c r="N46" s="102">
        <v>1352</v>
      </c>
      <c r="O46" s="102" t="s">
        <v>29792</v>
      </c>
      <c r="P46" t="s">
        <v>25649</v>
      </c>
      <c r="S46" t="str">
        <f t="shared" ref="S46:S48" si="16">A46&amp;"-"&amp;T46</f>
        <v>88-318-72-00</v>
      </c>
      <c r="T46" s="129" t="s">
        <v>25299</v>
      </c>
      <c r="U46" s="112">
        <v>240</v>
      </c>
    </row>
    <row r="47" spans="1:21" x14ac:dyDescent="0.2">
      <c r="A47" s="102" t="s">
        <v>29743</v>
      </c>
      <c r="B47" s="102" t="s">
        <v>29625</v>
      </c>
      <c r="C47" s="102" t="s">
        <v>46</v>
      </c>
      <c r="D47" s="102" t="s">
        <v>92</v>
      </c>
      <c r="E47" s="102" t="s">
        <v>25611</v>
      </c>
      <c r="F47" s="102" t="s">
        <v>91</v>
      </c>
      <c r="G47" s="102" t="s">
        <v>29778</v>
      </c>
      <c r="H47" s="102" t="s">
        <v>29785</v>
      </c>
      <c r="I47" s="102" t="s">
        <v>25477</v>
      </c>
      <c r="J47" s="102" t="s">
        <v>26146</v>
      </c>
      <c r="L47" s="102" t="s">
        <v>25598</v>
      </c>
      <c r="M47" s="102" t="s">
        <v>12</v>
      </c>
      <c r="N47" s="102">
        <v>1352</v>
      </c>
      <c r="O47" s="102" t="s">
        <v>29792</v>
      </c>
      <c r="P47" t="s">
        <v>25649</v>
      </c>
      <c r="S47" t="str">
        <f t="shared" si="16"/>
        <v>88-319-47-00</v>
      </c>
      <c r="T47" s="129" t="s">
        <v>25299</v>
      </c>
      <c r="U47" s="112">
        <v>144</v>
      </c>
    </row>
    <row r="48" spans="1:21" x14ac:dyDescent="0.2">
      <c r="A48" s="102" t="s">
        <v>29744</v>
      </c>
      <c r="B48" s="102" t="s">
        <v>29626</v>
      </c>
      <c r="C48" s="102" t="s">
        <v>46</v>
      </c>
      <c r="D48" s="102" t="s">
        <v>92</v>
      </c>
      <c r="E48" s="102" t="s">
        <v>25611</v>
      </c>
      <c r="F48" s="102" t="s">
        <v>91</v>
      </c>
      <c r="G48" s="102" t="s">
        <v>29778</v>
      </c>
      <c r="H48" s="102" t="s">
        <v>29785</v>
      </c>
      <c r="I48" s="102" t="s">
        <v>137</v>
      </c>
      <c r="J48" s="102" t="s">
        <v>25993</v>
      </c>
      <c r="K48" s="102" t="s">
        <v>25678</v>
      </c>
      <c r="L48" s="102" t="s">
        <v>25598</v>
      </c>
      <c r="M48" s="102" t="s">
        <v>12</v>
      </c>
      <c r="N48" s="102">
        <v>1352</v>
      </c>
      <c r="O48" s="102" t="s">
        <v>29792</v>
      </c>
      <c r="P48" t="s">
        <v>25649</v>
      </c>
      <c r="S48" t="str">
        <f t="shared" si="16"/>
        <v>88-320-72-00</v>
      </c>
      <c r="T48" s="129" t="s">
        <v>25299</v>
      </c>
      <c r="U48" s="112">
        <v>144</v>
      </c>
    </row>
    <row r="49" spans="1:21" x14ac:dyDescent="0.2">
      <c r="A49" s="102" t="s">
        <v>29745</v>
      </c>
      <c r="B49" s="102" t="s">
        <v>29627</v>
      </c>
      <c r="C49" s="102" t="s">
        <v>46</v>
      </c>
      <c r="D49" s="102" t="s">
        <v>92</v>
      </c>
      <c r="E49" s="102" t="s">
        <v>25611</v>
      </c>
      <c r="F49" s="102" t="s">
        <v>91</v>
      </c>
      <c r="G49" s="102" t="s">
        <v>29778</v>
      </c>
      <c r="H49" s="102" t="s">
        <v>29785</v>
      </c>
      <c r="I49" s="102" t="s">
        <v>25529</v>
      </c>
      <c r="J49" s="102" t="s">
        <v>25993</v>
      </c>
      <c r="K49" s="102" t="s">
        <v>25678</v>
      </c>
      <c r="L49" s="102" t="s">
        <v>25598</v>
      </c>
      <c r="M49" s="102" t="s">
        <v>12</v>
      </c>
      <c r="N49" s="102">
        <v>1352</v>
      </c>
      <c r="O49" s="102" t="s">
        <v>29792</v>
      </c>
      <c r="P49" t="s">
        <v>25649</v>
      </c>
      <c r="S49" t="str">
        <f t="shared" ref="S49:S50" si="17">A49&amp;"-"&amp;T49</f>
        <v>88-321-78-00</v>
      </c>
      <c r="T49" s="129" t="s">
        <v>25299</v>
      </c>
      <c r="U49" s="112">
        <v>96</v>
      </c>
    </row>
    <row r="50" spans="1:21" x14ac:dyDescent="0.2">
      <c r="A50" s="102" t="s">
        <v>29746</v>
      </c>
      <c r="B50" s="102" t="s">
        <v>29628</v>
      </c>
      <c r="C50" s="102" t="s">
        <v>46</v>
      </c>
      <c r="D50" s="102" t="s">
        <v>92</v>
      </c>
      <c r="E50" s="102" t="s">
        <v>25611</v>
      </c>
      <c r="F50" s="102" t="s">
        <v>91</v>
      </c>
      <c r="G50" s="102" t="s">
        <v>29778</v>
      </c>
      <c r="H50" s="102" t="s">
        <v>29784</v>
      </c>
      <c r="I50" s="102" t="s">
        <v>25355</v>
      </c>
      <c r="J50" s="102" t="s">
        <v>25993</v>
      </c>
      <c r="K50" s="102" t="s">
        <v>25678</v>
      </c>
      <c r="L50" s="102" t="s">
        <v>25598</v>
      </c>
      <c r="M50" s="102" t="s">
        <v>12</v>
      </c>
      <c r="N50" s="102">
        <v>1352</v>
      </c>
      <c r="O50" s="102" t="s">
        <v>29792</v>
      </c>
      <c r="P50" t="s">
        <v>25649</v>
      </c>
      <c r="S50" t="str">
        <f t="shared" si="17"/>
        <v>88-322-00-00</v>
      </c>
      <c r="T50" s="129" t="s">
        <v>25299</v>
      </c>
      <c r="U50" s="112">
        <v>72</v>
      </c>
    </row>
    <row r="51" spans="1:21" x14ac:dyDescent="0.2">
      <c r="A51" s="102" t="s">
        <v>29747</v>
      </c>
      <c r="B51" s="102" t="s">
        <v>29629</v>
      </c>
      <c r="C51" s="102" t="s">
        <v>46</v>
      </c>
      <c r="D51" s="102" t="s">
        <v>92</v>
      </c>
      <c r="E51" s="102" t="s">
        <v>29774</v>
      </c>
      <c r="F51" s="102" t="s">
        <v>91</v>
      </c>
      <c r="G51" s="102" t="s">
        <v>29778</v>
      </c>
      <c r="H51" s="102" t="s">
        <v>29785</v>
      </c>
      <c r="I51" s="102" t="s">
        <v>1</v>
      </c>
      <c r="J51" s="102" t="s">
        <v>25993</v>
      </c>
      <c r="K51" s="102" t="s">
        <v>25678</v>
      </c>
      <c r="L51" s="102" t="s">
        <v>25598</v>
      </c>
      <c r="M51" s="102" t="s">
        <v>12</v>
      </c>
      <c r="N51" s="102">
        <v>1352</v>
      </c>
      <c r="O51" s="102" t="s">
        <v>29792</v>
      </c>
      <c r="P51" t="s">
        <v>29794</v>
      </c>
      <c r="S51" t="str">
        <f t="shared" ref="S51:S53" si="18">A51&amp;"-"&amp;T51</f>
        <v>88-323-09-00</v>
      </c>
      <c r="T51" s="129" t="s">
        <v>25299</v>
      </c>
      <c r="U51" s="112">
        <v>30</v>
      </c>
    </row>
    <row r="52" spans="1:21" x14ac:dyDescent="0.2">
      <c r="A52" s="102" t="s">
        <v>29748</v>
      </c>
      <c r="B52" s="102" t="s">
        <v>29630</v>
      </c>
      <c r="C52" s="102" t="s">
        <v>46</v>
      </c>
      <c r="D52" s="102" t="s">
        <v>92</v>
      </c>
      <c r="E52" s="102" t="s">
        <v>29774</v>
      </c>
      <c r="F52" s="102" t="s">
        <v>91</v>
      </c>
      <c r="G52" s="102" t="s">
        <v>29778</v>
      </c>
      <c r="H52" s="102" t="s">
        <v>29785</v>
      </c>
      <c r="I52" s="102" t="s">
        <v>1</v>
      </c>
      <c r="J52" s="102" t="s">
        <v>25993</v>
      </c>
      <c r="K52" s="102" t="s">
        <v>25678</v>
      </c>
      <c r="L52" s="102" t="s">
        <v>25598</v>
      </c>
      <c r="M52" s="102" t="s">
        <v>12</v>
      </c>
      <c r="N52" s="102">
        <v>1352</v>
      </c>
      <c r="O52" s="102" t="s">
        <v>29792</v>
      </c>
      <c r="P52" t="s">
        <v>29794</v>
      </c>
      <c r="S52" t="str">
        <f t="shared" si="18"/>
        <v>88-324-09-00</v>
      </c>
      <c r="T52" s="129" t="s">
        <v>25299</v>
      </c>
      <c r="U52" s="112">
        <v>18</v>
      </c>
    </row>
    <row r="53" spans="1:21" x14ac:dyDescent="0.2">
      <c r="A53" s="102" t="s">
        <v>29749</v>
      </c>
      <c r="B53" s="102" t="s">
        <v>29631</v>
      </c>
      <c r="C53" s="102" t="s">
        <v>46</v>
      </c>
      <c r="D53" s="102" t="s">
        <v>92</v>
      </c>
      <c r="E53" s="102" t="s">
        <v>29774</v>
      </c>
      <c r="F53" s="102" t="s">
        <v>91</v>
      </c>
      <c r="G53" s="102" t="s">
        <v>29778</v>
      </c>
      <c r="H53" s="102" t="s">
        <v>29785</v>
      </c>
      <c r="I53" s="102" t="s">
        <v>1</v>
      </c>
      <c r="J53" s="102" t="s">
        <v>25993</v>
      </c>
      <c r="K53" s="102" t="s">
        <v>25678</v>
      </c>
      <c r="L53" s="102" t="s">
        <v>25598</v>
      </c>
      <c r="M53" s="102" t="s">
        <v>12</v>
      </c>
      <c r="N53" s="102">
        <v>1352</v>
      </c>
      <c r="O53" s="102" t="s">
        <v>29792</v>
      </c>
      <c r="P53" t="s">
        <v>29794</v>
      </c>
      <c r="S53" t="str">
        <f t="shared" si="18"/>
        <v>88-325-09-00</v>
      </c>
      <c r="T53" s="129" t="s">
        <v>25299</v>
      </c>
      <c r="U53" s="112">
        <v>24</v>
      </c>
    </row>
    <row r="54" spans="1:21" x14ac:dyDescent="0.2">
      <c r="A54" s="102" t="s">
        <v>29750</v>
      </c>
      <c r="B54" s="102" t="s">
        <v>29632</v>
      </c>
      <c r="C54" s="102" t="s">
        <v>46</v>
      </c>
      <c r="D54" s="102" t="s">
        <v>47</v>
      </c>
      <c r="E54" s="102" t="s">
        <v>29775</v>
      </c>
      <c r="F54" s="102" t="s">
        <v>91</v>
      </c>
      <c r="G54" s="102" t="s">
        <v>29778</v>
      </c>
      <c r="H54" s="102" t="s">
        <v>29785</v>
      </c>
      <c r="I54" s="102" t="s">
        <v>1</v>
      </c>
      <c r="J54" s="102" t="s">
        <v>59</v>
      </c>
      <c r="L54" s="102" t="s">
        <v>25598</v>
      </c>
      <c r="M54" s="102" t="s">
        <v>12</v>
      </c>
      <c r="N54" s="102">
        <v>1352</v>
      </c>
      <c r="O54" s="102" t="s">
        <v>29792</v>
      </c>
      <c r="P54" t="s">
        <v>29795</v>
      </c>
      <c r="S54" t="str">
        <f t="shared" ref="S54:S56" si="19">A54&amp;"-"&amp;T54</f>
        <v>88-326-09-00</v>
      </c>
      <c r="T54" s="129" t="s">
        <v>25299</v>
      </c>
      <c r="U54" s="112">
        <v>48</v>
      </c>
    </row>
    <row r="55" spans="1:21" x14ac:dyDescent="0.2">
      <c r="A55" s="102" t="s">
        <v>29751</v>
      </c>
      <c r="B55" s="102" t="s">
        <v>29633</v>
      </c>
      <c r="C55" s="102" t="s">
        <v>46</v>
      </c>
      <c r="D55" s="102" t="s">
        <v>47</v>
      </c>
      <c r="E55" s="102" t="s">
        <v>29775</v>
      </c>
      <c r="F55" s="102" t="s">
        <v>91</v>
      </c>
      <c r="G55" s="102" t="s">
        <v>29778</v>
      </c>
      <c r="H55" s="102" t="s">
        <v>29785</v>
      </c>
      <c r="I55" s="102" t="s">
        <v>1</v>
      </c>
      <c r="J55" s="102" t="s">
        <v>59</v>
      </c>
      <c r="L55" s="102" t="s">
        <v>25598</v>
      </c>
      <c r="M55" s="102" t="s">
        <v>12</v>
      </c>
      <c r="N55" s="102">
        <v>1352</v>
      </c>
      <c r="O55" s="102" t="s">
        <v>29792</v>
      </c>
      <c r="P55" t="s">
        <v>29795</v>
      </c>
      <c r="S55" t="str">
        <f t="shared" si="19"/>
        <v>88-327-09-00</v>
      </c>
      <c r="T55" s="129" t="s">
        <v>25299</v>
      </c>
      <c r="U55" s="112">
        <v>24</v>
      </c>
    </row>
    <row r="56" spans="1:21" x14ac:dyDescent="0.2">
      <c r="A56" s="102" t="s">
        <v>29752</v>
      </c>
      <c r="B56" s="102" t="s">
        <v>29634</v>
      </c>
      <c r="C56" s="102" t="s">
        <v>46</v>
      </c>
      <c r="D56" s="102" t="s">
        <v>92</v>
      </c>
      <c r="E56" s="102" t="s">
        <v>29775</v>
      </c>
      <c r="F56" s="102" t="s">
        <v>91</v>
      </c>
      <c r="G56" s="102" t="s">
        <v>29778</v>
      </c>
      <c r="H56" s="102" t="s">
        <v>29779</v>
      </c>
      <c r="I56" s="102" t="s">
        <v>25472</v>
      </c>
      <c r="J56" s="102" t="s">
        <v>26443</v>
      </c>
      <c r="L56" s="102" t="s">
        <v>25598</v>
      </c>
      <c r="M56" s="102" t="s">
        <v>12</v>
      </c>
      <c r="N56" s="102">
        <v>1352</v>
      </c>
      <c r="O56" s="102" t="s">
        <v>29792</v>
      </c>
      <c r="P56" t="s">
        <v>29795</v>
      </c>
      <c r="S56" t="str">
        <f t="shared" si="19"/>
        <v>88-328-08-00</v>
      </c>
      <c r="T56" s="129" t="s">
        <v>25299</v>
      </c>
      <c r="U56" s="112">
        <v>12</v>
      </c>
    </row>
    <row r="57" spans="1:21" x14ac:dyDescent="0.2">
      <c r="A57" s="102" t="s">
        <v>29753</v>
      </c>
      <c r="B57" s="102" t="s">
        <v>29635</v>
      </c>
      <c r="C57" s="102" t="s">
        <v>46</v>
      </c>
      <c r="D57" s="102" t="s">
        <v>92</v>
      </c>
      <c r="E57" s="102" t="s">
        <v>29775</v>
      </c>
      <c r="F57" s="102" t="s">
        <v>91</v>
      </c>
      <c r="G57" s="102" t="s">
        <v>29778</v>
      </c>
      <c r="H57" s="102" t="s">
        <v>29785</v>
      </c>
      <c r="I57" s="102" t="s">
        <v>1</v>
      </c>
      <c r="J57" s="102" t="s">
        <v>25993</v>
      </c>
      <c r="K57" s="102" t="s">
        <v>25678</v>
      </c>
      <c r="L57" s="102" t="s">
        <v>25598</v>
      </c>
      <c r="M57" s="102" t="s">
        <v>12</v>
      </c>
      <c r="N57" s="102">
        <v>1352</v>
      </c>
      <c r="O57" s="102" t="s">
        <v>29792</v>
      </c>
      <c r="P57" t="s">
        <v>29795</v>
      </c>
      <c r="S57" t="str">
        <f t="shared" ref="S57:S58" si="20">A57&amp;"-"&amp;T57</f>
        <v>88-329-09-00</v>
      </c>
      <c r="T57" s="129" t="s">
        <v>25299</v>
      </c>
      <c r="U57" s="112">
        <v>18</v>
      </c>
    </row>
    <row r="58" spans="1:21" x14ac:dyDescent="0.2">
      <c r="A58" s="102" t="s">
        <v>29754</v>
      </c>
      <c r="B58" s="102" t="s">
        <v>29636</v>
      </c>
      <c r="C58" s="102" t="s">
        <v>46</v>
      </c>
      <c r="D58" s="102" t="s">
        <v>92</v>
      </c>
      <c r="E58" s="102" t="s">
        <v>29775</v>
      </c>
      <c r="F58" s="102" t="s">
        <v>91</v>
      </c>
      <c r="G58" s="102" t="s">
        <v>29778</v>
      </c>
      <c r="H58" s="102" t="s">
        <v>29779</v>
      </c>
      <c r="I58" s="102" t="s">
        <v>28</v>
      </c>
      <c r="J58" s="102" t="s">
        <v>25993</v>
      </c>
      <c r="K58" s="102" t="s">
        <v>25678</v>
      </c>
      <c r="L58" s="102" t="s">
        <v>25598</v>
      </c>
      <c r="M58" s="102" t="s">
        <v>12</v>
      </c>
      <c r="N58" s="102">
        <v>1352</v>
      </c>
      <c r="O58" s="102" t="s">
        <v>29792</v>
      </c>
      <c r="P58" t="s">
        <v>29795</v>
      </c>
      <c r="S58" t="str">
        <f t="shared" si="20"/>
        <v>88-330-80-00</v>
      </c>
      <c r="T58" s="129" t="s">
        <v>25299</v>
      </c>
      <c r="U58" s="112">
        <v>48</v>
      </c>
    </row>
    <row r="59" spans="1:21" x14ac:dyDescent="0.2">
      <c r="A59" s="102" t="s">
        <v>29755</v>
      </c>
      <c r="B59" s="102" t="s">
        <v>29637</v>
      </c>
      <c r="C59" s="102" t="s">
        <v>46</v>
      </c>
      <c r="D59" s="102" t="s">
        <v>92</v>
      </c>
      <c r="E59" s="102" t="s">
        <v>29775</v>
      </c>
      <c r="F59" s="102" t="s">
        <v>91</v>
      </c>
      <c r="G59" s="102" t="s">
        <v>29778</v>
      </c>
      <c r="H59" s="102" t="s">
        <v>29785</v>
      </c>
      <c r="I59" s="102" t="s">
        <v>1</v>
      </c>
      <c r="J59" s="102" t="s">
        <v>25993</v>
      </c>
      <c r="K59" s="102" t="s">
        <v>25678</v>
      </c>
      <c r="L59" s="102" t="s">
        <v>25598</v>
      </c>
      <c r="M59" s="102" t="s">
        <v>12</v>
      </c>
      <c r="N59" s="102">
        <v>1352</v>
      </c>
      <c r="O59" s="102" t="s">
        <v>29792</v>
      </c>
      <c r="P59" t="s">
        <v>29795</v>
      </c>
      <c r="S59" t="str">
        <f t="shared" ref="S59:S61" si="21">A59&amp;"-"&amp;T59</f>
        <v>88-331-09-00</v>
      </c>
      <c r="T59" s="129" t="s">
        <v>25299</v>
      </c>
      <c r="U59" s="112">
        <v>60</v>
      </c>
    </row>
    <row r="60" spans="1:21" x14ac:dyDescent="0.2">
      <c r="A60" s="102" t="s">
        <v>29756</v>
      </c>
      <c r="B60" s="102" t="s">
        <v>29638</v>
      </c>
      <c r="C60" s="102" t="s">
        <v>46</v>
      </c>
      <c r="D60" s="102" t="s">
        <v>92</v>
      </c>
      <c r="E60" s="102" t="s">
        <v>29775</v>
      </c>
      <c r="F60" s="102" t="s">
        <v>91</v>
      </c>
      <c r="G60" s="102" t="s">
        <v>29778</v>
      </c>
      <c r="H60" s="102" t="s">
        <v>29779</v>
      </c>
      <c r="I60" s="102" t="s">
        <v>25477</v>
      </c>
      <c r="J60" s="102" t="s">
        <v>25993</v>
      </c>
      <c r="K60" s="102" t="s">
        <v>25678</v>
      </c>
      <c r="L60" s="102" t="s">
        <v>25598</v>
      </c>
      <c r="M60" s="102" t="s">
        <v>12</v>
      </c>
      <c r="N60" s="102">
        <v>1352</v>
      </c>
      <c r="O60" s="102" t="s">
        <v>29792</v>
      </c>
      <c r="P60" t="s">
        <v>29795</v>
      </c>
      <c r="S60" t="str">
        <f t="shared" si="21"/>
        <v>88-332-47-00</v>
      </c>
      <c r="T60" s="129" t="s">
        <v>25299</v>
      </c>
      <c r="U60" s="112">
        <v>12</v>
      </c>
    </row>
    <row r="61" spans="1:21" x14ac:dyDescent="0.2">
      <c r="A61" s="102" t="s">
        <v>29757</v>
      </c>
      <c r="B61" s="102" t="s">
        <v>29639</v>
      </c>
      <c r="C61" s="102" t="s">
        <v>46</v>
      </c>
      <c r="D61" s="102" t="s">
        <v>92</v>
      </c>
      <c r="E61" s="102" t="s">
        <v>29775</v>
      </c>
      <c r="F61" s="102" t="s">
        <v>91</v>
      </c>
      <c r="G61" s="102" t="s">
        <v>29778</v>
      </c>
      <c r="H61" s="102" t="s">
        <v>29785</v>
      </c>
      <c r="I61" s="102" t="s">
        <v>1</v>
      </c>
      <c r="J61" s="102" t="s">
        <v>25993</v>
      </c>
      <c r="K61" s="102" t="s">
        <v>25678</v>
      </c>
      <c r="L61" s="102" t="s">
        <v>25598</v>
      </c>
      <c r="M61" s="102" t="s">
        <v>12</v>
      </c>
      <c r="N61" s="102">
        <v>1352</v>
      </c>
      <c r="O61" s="102" t="s">
        <v>29792</v>
      </c>
      <c r="P61" t="s">
        <v>29795</v>
      </c>
      <c r="S61" t="str">
        <f t="shared" si="21"/>
        <v>88-333-09-00</v>
      </c>
      <c r="T61" s="129" t="s">
        <v>25299</v>
      </c>
      <c r="U61" s="112">
        <v>12</v>
      </c>
    </row>
    <row r="62" spans="1:21" x14ac:dyDescent="0.2">
      <c r="A62" s="102" t="s">
        <v>29758</v>
      </c>
      <c r="B62" s="102" t="s">
        <v>29640</v>
      </c>
      <c r="C62" s="102" t="s">
        <v>46</v>
      </c>
      <c r="D62" s="102" t="s">
        <v>92</v>
      </c>
      <c r="E62" s="102" t="s">
        <v>25610</v>
      </c>
      <c r="F62" s="102" t="s">
        <v>91</v>
      </c>
      <c r="G62" s="102" t="s">
        <v>29778</v>
      </c>
      <c r="H62" s="102" t="s">
        <v>29781</v>
      </c>
      <c r="I62" s="102" t="s">
        <v>23</v>
      </c>
      <c r="J62" s="102" t="s">
        <v>25993</v>
      </c>
      <c r="K62" s="102" t="s">
        <v>25678</v>
      </c>
      <c r="L62" s="102" t="s">
        <v>25598</v>
      </c>
      <c r="M62" s="102" t="s">
        <v>12</v>
      </c>
      <c r="N62" s="102">
        <v>1352</v>
      </c>
      <c r="O62" s="102" t="s">
        <v>29792</v>
      </c>
      <c r="P62" t="s">
        <v>25647</v>
      </c>
      <c r="S62" t="str">
        <f t="shared" ref="S62:S64" si="22">A62&amp;"-"&amp;T62</f>
        <v>88-334-16-00</v>
      </c>
      <c r="T62" s="129" t="s">
        <v>25299</v>
      </c>
      <c r="U62" s="112">
        <v>48</v>
      </c>
    </row>
    <row r="63" spans="1:21" x14ac:dyDescent="0.2">
      <c r="A63" s="102" t="s">
        <v>29759</v>
      </c>
      <c r="B63" s="102" t="s">
        <v>29641</v>
      </c>
      <c r="C63" s="102" t="s">
        <v>46</v>
      </c>
      <c r="D63" s="102" t="s">
        <v>92</v>
      </c>
      <c r="E63" s="102" t="s">
        <v>29776</v>
      </c>
      <c r="F63" s="102" t="s">
        <v>91</v>
      </c>
      <c r="G63" s="102" t="s">
        <v>29778</v>
      </c>
      <c r="H63" s="102" t="s">
        <v>29779</v>
      </c>
      <c r="I63" s="102" t="s">
        <v>28</v>
      </c>
      <c r="J63" s="102" t="s">
        <v>25993</v>
      </c>
      <c r="K63" s="102" t="s">
        <v>25678</v>
      </c>
      <c r="L63" s="102" t="s">
        <v>25598</v>
      </c>
      <c r="M63" s="102" t="s">
        <v>12</v>
      </c>
      <c r="N63" s="102">
        <v>1352</v>
      </c>
      <c r="O63" s="102" t="s">
        <v>29792</v>
      </c>
      <c r="P63" t="s">
        <v>29796</v>
      </c>
      <c r="S63" t="str">
        <f t="shared" si="22"/>
        <v>88-335-80-00</v>
      </c>
      <c r="T63" s="129" t="s">
        <v>25299</v>
      </c>
      <c r="U63" s="112">
        <v>60</v>
      </c>
    </row>
    <row r="64" spans="1:21" x14ac:dyDescent="0.2">
      <c r="A64" s="102" t="s">
        <v>29760</v>
      </c>
      <c r="B64" s="102" t="s">
        <v>29642</v>
      </c>
      <c r="C64" s="102" t="s">
        <v>46</v>
      </c>
      <c r="D64" s="102" t="s">
        <v>47</v>
      </c>
      <c r="E64" s="102" t="s">
        <v>25614</v>
      </c>
      <c r="F64" s="102" t="s">
        <v>91</v>
      </c>
      <c r="G64" s="102" t="s">
        <v>29778</v>
      </c>
      <c r="H64" s="102" t="s">
        <v>29785</v>
      </c>
      <c r="I64" s="102" t="s">
        <v>1</v>
      </c>
      <c r="J64" s="102" t="s">
        <v>59</v>
      </c>
      <c r="L64" s="102" t="s">
        <v>25598</v>
      </c>
      <c r="M64" s="102" t="s">
        <v>12</v>
      </c>
      <c r="N64" s="102">
        <v>1352</v>
      </c>
      <c r="O64" s="102" t="s">
        <v>29792</v>
      </c>
      <c r="P64" t="s">
        <v>25658</v>
      </c>
      <c r="S64" t="str">
        <f t="shared" si="22"/>
        <v>88-336-09-00</v>
      </c>
      <c r="T64" s="129" t="s">
        <v>25299</v>
      </c>
      <c r="U64" s="112">
        <v>12</v>
      </c>
    </row>
    <row r="65" spans="1:21" x14ac:dyDescent="0.2">
      <c r="A65" s="102" t="s">
        <v>29761</v>
      </c>
      <c r="B65" s="102" t="s">
        <v>29643</v>
      </c>
      <c r="C65" s="102" t="s">
        <v>46</v>
      </c>
      <c r="D65" s="102" t="s">
        <v>92</v>
      </c>
      <c r="E65" s="102" t="s">
        <v>25614</v>
      </c>
      <c r="F65" s="102" t="s">
        <v>91</v>
      </c>
      <c r="G65" s="102" t="s">
        <v>29778</v>
      </c>
      <c r="H65" s="102" t="s">
        <v>29785</v>
      </c>
      <c r="I65" s="102" t="s">
        <v>1</v>
      </c>
      <c r="J65" s="102" t="s">
        <v>25993</v>
      </c>
      <c r="K65" s="102" t="s">
        <v>25678</v>
      </c>
      <c r="L65" s="102" t="s">
        <v>25598</v>
      </c>
      <c r="M65" s="102" t="s">
        <v>12</v>
      </c>
      <c r="N65" s="102">
        <v>1352</v>
      </c>
      <c r="O65" s="102" t="s">
        <v>29792</v>
      </c>
      <c r="P65" t="s">
        <v>25658</v>
      </c>
      <c r="S65" t="str">
        <f t="shared" ref="S65:S66" si="23">A65&amp;"-"&amp;T65</f>
        <v>88-337-09-00</v>
      </c>
      <c r="T65" s="129" t="s">
        <v>25299</v>
      </c>
      <c r="U65" s="112">
        <v>24</v>
      </c>
    </row>
    <row r="66" spans="1:21" x14ac:dyDescent="0.2">
      <c r="A66" s="102" t="s">
        <v>29762</v>
      </c>
      <c r="B66" s="102" t="s">
        <v>29644</v>
      </c>
      <c r="C66" s="102" t="s">
        <v>46</v>
      </c>
      <c r="D66" s="102" t="s">
        <v>92</v>
      </c>
      <c r="E66" s="102" t="s">
        <v>25614</v>
      </c>
      <c r="F66" s="102" t="s">
        <v>91</v>
      </c>
      <c r="G66" s="102" t="s">
        <v>29778</v>
      </c>
      <c r="H66" s="102" t="s">
        <v>29784</v>
      </c>
      <c r="I66" s="102" t="s">
        <v>107</v>
      </c>
      <c r="J66" s="102" t="s">
        <v>25993</v>
      </c>
      <c r="K66" s="102" t="s">
        <v>25678</v>
      </c>
      <c r="L66" s="102" t="s">
        <v>25598</v>
      </c>
      <c r="M66" s="102" t="s">
        <v>12</v>
      </c>
      <c r="N66" s="102">
        <v>1352</v>
      </c>
      <c r="O66" s="102" t="s">
        <v>29792</v>
      </c>
      <c r="P66" t="s">
        <v>25658</v>
      </c>
      <c r="S66" t="str">
        <f t="shared" si="23"/>
        <v>88-338-48-00</v>
      </c>
      <c r="T66" s="129" t="s">
        <v>25299</v>
      </c>
      <c r="U66" s="112">
        <v>24</v>
      </c>
    </row>
    <row r="67" spans="1:21" x14ac:dyDescent="0.2">
      <c r="A67" s="102" t="s">
        <v>29763</v>
      </c>
      <c r="B67" s="102" t="s">
        <v>29645</v>
      </c>
      <c r="C67" s="102" t="s">
        <v>46</v>
      </c>
      <c r="D67" s="102" t="s">
        <v>47</v>
      </c>
      <c r="E67" s="102" t="s">
        <v>25615</v>
      </c>
      <c r="F67" s="102" t="s">
        <v>91</v>
      </c>
      <c r="G67" s="102" t="s">
        <v>29778</v>
      </c>
      <c r="H67" s="102" t="s">
        <v>29785</v>
      </c>
      <c r="I67" s="102" t="s">
        <v>1</v>
      </c>
      <c r="J67" s="102" t="s">
        <v>59</v>
      </c>
      <c r="L67" s="102" t="s">
        <v>25598</v>
      </c>
      <c r="M67" s="102" t="s">
        <v>12</v>
      </c>
      <c r="N67" s="102">
        <v>1352</v>
      </c>
      <c r="O67" s="102" t="s">
        <v>29792</v>
      </c>
      <c r="P67" t="s">
        <v>25659</v>
      </c>
      <c r="S67" t="str">
        <f t="shared" ref="S67:S69" si="24">A67&amp;"-"&amp;T67</f>
        <v>88-339-09-00</v>
      </c>
      <c r="T67" s="129" t="s">
        <v>25299</v>
      </c>
      <c r="U67" s="112">
        <v>12</v>
      </c>
    </row>
    <row r="68" spans="1:21" x14ac:dyDescent="0.2">
      <c r="A68" s="102" t="s">
        <v>29764</v>
      </c>
      <c r="B68" s="102" t="s">
        <v>29646</v>
      </c>
      <c r="C68" s="102" t="s">
        <v>46</v>
      </c>
      <c r="D68" s="102" t="s">
        <v>92</v>
      </c>
      <c r="E68" s="102" t="s">
        <v>29777</v>
      </c>
      <c r="F68" s="102" t="s">
        <v>91</v>
      </c>
      <c r="G68" s="102" t="s">
        <v>29778</v>
      </c>
      <c r="H68" s="102" t="s">
        <v>29782</v>
      </c>
      <c r="I68" s="102" t="s">
        <v>25365</v>
      </c>
      <c r="J68" s="102" t="s">
        <v>25993</v>
      </c>
      <c r="K68" s="102" t="s">
        <v>25678</v>
      </c>
      <c r="L68" s="102" t="s">
        <v>25598</v>
      </c>
      <c r="M68" s="102" t="s">
        <v>12</v>
      </c>
      <c r="N68" s="102">
        <v>1352</v>
      </c>
      <c r="O68" s="102" t="s">
        <v>29792</v>
      </c>
      <c r="P68" t="s">
        <v>29797</v>
      </c>
      <c r="S68" t="str">
        <f t="shared" si="24"/>
        <v>88-340-01-00</v>
      </c>
      <c r="T68" s="129" t="s">
        <v>25299</v>
      </c>
      <c r="U68" s="112">
        <v>144</v>
      </c>
    </row>
    <row r="69" spans="1:21" x14ac:dyDescent="0.2">
      <c r="A69" s="102" t="s">
        <v>29765</v>
      </c>
      <c r="B69" s="102" t="s">
        <v>29647</v>
      </c>
      <c r="C69" s="102" t="s">
        <v>46</v>
      </c>
      <c r="D69" s="102" t="s">
        <v>92</v>
      </c>
      <c r="E69" s="102" t="s">
        <v>29777</v>
      </c>
      <c r="F69" s="102" t="s">
        <v>91</v>
      </c>
      <c r="G69" s="102" t="s">
        <v>29778</v>
      </c>
      <c r="H69" s="102" t="s">
        <v>29779</v>
      </c>
      <c r="I69" s="102" t="s">
        <v>28</v>
      </c>
      <c r="J69" s="102" t="s">
        <v>25993</v>
      </c>
      <c r="K69" s="102" t="s">
        <v>25678</v>
      </c>
      <c r="L69" s="102" t="s">
        <v>25598</v>
      </c>
      <c r="M69" s="102" t="s">
        <v>12</v>
      </c>
      <c r="N69" s="102">
        <v>1352</v>
      </c>
      <c r="O69" s="102" t="s">
        <v>29792</v>
      </c>
      <c r="P69" t="s">
        <v>29797</v>
      </c>
      <c r="S69" t="str">
        <f t="shared" si="24"/>
        <v>88-341-80-00</v>
      </c>
      <c r="T69" s="129" t="s">
        <v>25299</v>
      </c>
      <c r="U69" s="112">
        <v>168</v>
      </c>
    </row>
    <row r="70" spans="1:21" x14ac:dyDescent="0.2">
      <c r="A70" s="102" t="s">
        <v>29766</v>
      </c>
      <c r="B70" s="102" t="s">
        <v>29648</v>
      </c>
      <c r="C70" s="102" t="s">
        <v>46</v>
      </c>
      <c r="D70" s="102" t="s">
        <v>92</v>
      </c>
      <c r="E70" s="102" t="s">
        <v>29777</v>
      </c>
      <c r="F70" s="102" t="s">
        <v>91</v>
      </c>
      <c r="G70" s="102" t="s">
        <v>29778</v>
      </c>
      <c r="H70" s="102" t="s">
        <v>29781</v>
      </c>
      <c r="I70" s="102" t="s">
        <v>23</v>
      </c>
      <c r="J70" s="102" t="s">
        <v>25993</v>
      </c>
      <c r="K70" s="102" t="s">
        <v>25678</v>
      </c>
      <c r="L70" s="102" t="s">
        <v>25598</v>
      </c>
      <c r="M70" s="102" t="s">
        <v>12</v>
      </c>
      <c r="N70" s="102">
        <v>1352</v>
      </c>
      <c r="O70" s="102" t="s">
        <v>29792</v>
      </c>
      <c r="P70" t="s">
        <v>29797</v>
      </c>
      <c r="S70" t="str">
        <f t="shared" ref="S70:S72" si="25">A70&amp;"-"&amp;T70</f>
        <v>88-342-16-00</v>
      </c>
      <c r="T70" s="129" t="s">
        <v>25299</v>
      </c>
      <c r="U70" s="112">
        <v>12</v>
      </c>
    </row>
    <row r="71" spans="1:21" x14ac:dyDescent="0.2">
      <c r="A71" s="102" t="s">
        <v>29767</v>
      </c>
      <c r="B71" s="102" t="s">
        <v>29649</v>
      </c>
      <c r="C71" s="102" t="s">
        <v>46</v>
      </c>
      <c r="D71" s="102" t="s">
        <v>92</v>
      </c>
      <c r="E71" s="102" t="s">
        <v>29777</v>
      </c>
      <c r="F71" s="102" t="s">
        <v>91</v>
      </c>
      <c r="G71" s="102" t="s">
        <v>29778</v>
      </c>
      <c r="H71" s="102" t="s">
        <v>29785</v>
      </c>
      <c r="I71" s="102" t="s">
        <v>25518</v>
      </c>
      <c r="J71" s="102" t="s">
        <v>25993</v>
      </c>
      <c r="K71" s="102" t="s">
        <v>25678</v>
      </c>
      <c r="L71" s="102" t="s">
        <v>25598</v>
      </c>
      <c r="M71" s="102" t="s">
        <v>12</v>
      </c>
      <c r="N71" s="102">
        <v>1352</v>
      </c>
      <c r="O71" s="102" t="s">
        <v>29792</v>
      </c>
      <c r="P71" t="s">
        <v>29797</v>
      </c>
      <c r="S71" t="str">
        <f t="shared" si="25"/>
        <v>88-343-00-00</v>
      </c>
      <c r="T71" s="129" t="s">
        <v>25299</v>
      </c>
      <c r="U71" s="112">
        <v>12</v>
      </c>
    </row>
    <row r="72" spans="1:21" x14ac:dyDescent="0.2">
      <c r="A72" s="102" t="s">
        <v>29768</v>
      </c>
      <c r="B72" s="102" t="s">
        <v>29650</v>
      </c>
      <c r="C72" s="102" t="s">
        <v>46</v>
      </c>
      <c r="D72" s="102" t="s">
        <v>92</v>
      </c>
      <c r="E72" s="102" t="s">
        <v>29777</v>
      </c>
      <c r="F72" s="102" t="s">
        <v>91</v>
      </c>
      <c r="G72" s="102" t="s">
        <v>29778</v>
      </c>
      <c r="H72" s="102" t="s">
        <v>29785</v>
      </c>
      <c r="I72" s="102" t="s">
        <v>137</v>
      </c>
      <c r="J72" s="102" t="s">
        <v>26443</v>
      </c>
      <c r="L72" s="102" t="s">
        <v>25598</v>
      </c>
      <c r="M72" s="102" t="s">
        <v>12</v>
      </c>
      <c r="N72" s="102">
        <v>1352</v>
      </c>
      <c r="O72" s="102" t="s">
        <v>29792</v>
      </c>
      <c r="P72" t="s">
        <v>29797</v>
      </c>
      <c r="S72" t="str">
        <f t="shared" si="25"/>
        <v>88-344-72-00</v>
      </c>
      <c r="T72" s="129" t="s">
        <v>25299</v>
      </c>
      <c r="U72" s="112">
        <v>96</v>
      </c>
    </row>
    <row r="73" spans="1:21" x14ac:dyDescent="0.2">
      <c r="A73" s="102" t="s">
        <v>21967</v>
      </c>
      <c r="B73" s="102" t="s">
        <v>29651</v>
      </c>
      <c r="C73" s="102" t="s">
        <v>46</v>
      </c>
      <c r="D73" s="102" t="s">
        <v>92</v>
      </c>
      <c r="E73" s="102" t="s">
        <v>25609</v>
      </c>
      <c r="F73" s="102" t="s">
        <v>91</v>
      </c>
      <c r="G73" s="102" t="s">
        <v>29778</v>
      </c>
      <c r="H73" s="102" t="s">
        <v>29784</v>
      </c>
      <c r="I73" s="102" t="s">
        <v>25354</v>
      </c>
      <c r="J73" s="102" t="s">
        <v>25993</v>
      </c>
      <c r="K73" s="102" t="s">
        <v>25678</v>
      </c>
      <c r="L73" s="102" t="s">
        <v>25598</v>
      </c>
      <c r="M73" s="102" t="s">
        <v>12</v>
      </c>
      <c r="N73" s="102">
        <v>1352</v>
      </c>
      <c r="O73" s="102" t="s">
        <v>29792</v>
      </c>
      <c r="P73" t="s">
        <v>25628</v>
      </c>
      <c r="Q73" t="s">
        <v>100</v>
      </c>
      <c r="S73" t="str">
        <f t="shared" ref="S73:S74" si="26">A73&amp;"-"&amp;T73</f>
        <v>88-028-46-00</v>
      </c>
      <c r="T73" s="129" t="s">
        <v>25299</v>
      </c>
      <c r="U73" s="112">
        <v>24</v>
      </c>
    </row>
    <row r="74" spans="1:21" x14ac:dyDescent="0.2">
      <c r="A74" s="102" t="s">
        <v>21969</v>
      </c>
      <c r="B74" s="102" t="s">
        <v>29652</v>
      </c>
      <c r="C74" s="102" t="s">
        <v>46</v>
      </c>
      <c r="D74" s="102" t="s">
        <v>92</v>
      </c>
      <c r="E74" s="102" t="s">
        <v>25609</v>
      </c>
      <c r="F74" s="102" t="s">
        <v>91</v>
      </c>
      <c r="G74" s="102" t="s">
        <v>29778</v>
      </c>
      <c r="H74" s="102" t="s">
        <v>29782</v>
      </c>
      <c r="I74" s="102" t="s">
        <v>147</v>
      </c>
      <c r="J74" s="102" t="s">
        <v>25993</v>
      </c>
      <c r="K74" s="102" t="s">
        <v>25678</v>
      </c>
      <c r="L74" s="102" t="s">
        <v>25598</v>
      </c>
      <c r="M74" s="102" t="s">
        <v>12</v>
      </c>
      <c r="N74" s="102">
        <v>1352</v>
      </c>
      <c r="O74" s="102" t="s">
        <v>29792</v>
      </c>
      <c r="P74" t="s">
        <v>25628</v>
      </c>
      <c r="Q74" t="s">
        <v>147</v>
      </c>
      <c r="S74" t="str">
        <f t="shared" si="26"/>
        <v>88-029-19-00</v>
      </c>
      <c r="T74" s="129" t="s">
        <v>25299</v>
      </c>
      <c r="U74" s="112">
        <v>24</v>
      </c>
    </row>
    <row r="75" spans="1:21" x14ac:dyDescent="0.2">
      <c r="A75" s="102" t="s">
        <v>22025</v>
      </c>
      <c r="B75" s="102" t="s">
        <v>29653</v>
      </c>
      <c r="C75" s="102" t="s">
        <v>46</v>
      </c>
      <c r="D75" s="102" t="s">
        <v>92</v>
      </c>
      <c r="E75" s="102" t="s">
        <v>25609</v>
      </c>
      <c r="F75" s="102" t="s">
        <v>91</v>
      </c>
      <c r="G75" s="102" t="s">
        <v>29778</v>
      </c>
      <c r="H75" s="102" t="s">
        <v>29785</v>
      </c>
      <c r="I75" s="102" t="s">
        <v>1</v>
      </c>
      <c r="J75" s="102" t="s">
        <v>25993</v>
      </c>
      <c r="K75" s="102" t="s">
        <v>25678</v>
      </c>
      <c r="L75" s="102" t="s">
        <v>25595</v>
      </c>
      <c r="M75" s="102" t="s">
        <v>12</v>
      </c>
      <c r="N75" s="102">
        <v>1352</v>
      </c>
      <c r="O75" s="102" t="s">
        <v>29792</v>
      </c>
      <c r="P75" t="s">
        <v>25628</v>
      </c>
      <c r="Q75" t="s">
        <v>1</v>
      </c>
      <c r="S75" t="str">
        <f t="shared" ref="S75:S77" si="27">A75&amp;"-"&amp;T75</f>
        <v>88-057-09-00</v>
      </c>
      <c r="T75" s="129" t="s">
        <v>25299</v>
      </c>
      <c r="U75" s="112">
        <v>12</v>
      </c>
    </row>
    <row r="76" spans="1:21" x14ac:dyDescent="0.2">
      <c r="A76" s="102" t="s">
        <v>22033</v>
      </c>
      <c r="B76" s="102" t="s">
        <v>29654</v>
      </c>
      <c r="C76" s="102" t="s">
        <v>46</v>
      </c>
      <c r="D76" s="102" t="s">
        <v>47</v>
      </c>
      <c r="E76" s="102" t="s">
        <v>25609</v>
      </c>
      <c r="F76" s="102" t="s">
        <v>91</v>
      </c>
      <c r="G76" s="102" t="s">
        <v>29778</v>
      </c>
      <c r="H76" s="102" t="s">
        <v>29785</v>
      </c>
      <c r="I76" s="102" t="s">
        <v>1</v>
      </c>
      <c r="J76" s="102" t="s">
        <v>59</v>
      </c>
      <c r="L76" s="102" t="s">
        <v>25598</v>
      </c>
      <c r="M76" s="102" t="s">
        <v>12</v>
      </c>
      <c r="N76" s="102">
        <v>1352</v>
      </c>
      <c r="O76" s="102" t="s">
        <v>29792</v>
      </c>
      <c r="P76" t="s">
        <v>25628</v>
      </c>
      <c r="Q76" t="s">
        <v>1</v>
      </c>
      <c r="S76" t="str">
        <f t="shared" si="27"/>
        <v>88-061-09-00</v>
      </c>
      <c r="T76" s="129" t="s">
        <v>25299</v>
      </c>
      <c r="U76" s="112">
        <v>12</v>
      </c>
    </row>
    <row r="77" spans="1:21" x14ac:dyDescent="0.2">
      <c r="A77" s="102" t="s">
        <v>22035</v>
      </c>
      <c r="B77" s="102" t="s">
        <v>29655</v>
      </c>
      <c r="C77" s="102" t="s">
        <v>46</v>
      </c>
      <c r="D77" s="102" t="s">
        <v>47</v>
      </c>
      <c r="E77" s="102" t="s">
        <v>25609</v>
      </c>
      <c r="F77" s="102" t="s">
        <v>91</v>
      </c>
      <c r="G77" s="102" t="s">
        <v>29778</v>
      </c>
      <c r="H77" s="102" t="s">
        <v>29785</v>
      </c>
      <c r="I77" s="102" t="s">
        <v>1</v>
      </c>
      <c r="J77" s="102" t="s">
        <v>59</v>
      </c>
      <c r="L77" s="102" t="s">
        <v>25598</v>
      </c>
      <c r="M77" s="102" t="s">
        <v>12</v>
      </c>
      <c r="N77" s="102">
        <v>1352</v>
      </c>
      <c r="O77" s="102" t="s">
        <v>29792</v>
      </c>
      <c r="P77" t="s">
        <v>25628</v>
      </c>
      <c r="Q77" t="s">
        <v>1</v>
      </c>
      <c r="S77" t="str">
        <f t="shared" si="27"/>
        <v>88-062-09-00</v>
      </c>
      <c r="T77" s="129" t="s">
        <v>25299</v>
      </c>
      <c r="U77" s="112">
        <v>6</v>
      </c>
    </row>
    <row r="78" spans="1:21" x14ac:dyDescent="0.2">
      <c r="A78" s="102" t="s">
        <v>22053</v>
      </c>
      <c r="B78" s="102" t="s">
        <v>29656</v>
      </c>
      <c r="C78" s="102" t="s">
        <v>46</v>
      </c>
      <c r="D78" s="102" t="s">
        <v>92</v>
      </c>
      <c r="E78" s="102" t="s">
        <v>25609</v>
      </c>
      <c r="F78" s="102" t="s">
        <v>91</v>
      </c>
      <c r="G78" s="102" t="s">
        <v>29778</v>
      </c>
      <c r="H78" s="102" t="s">
        <v>29784</v>
      </c>
      <c r="I78" s="102" t="s">
        <v>25353</v>
      </c>
      <c r="J78" s="102" t="s">
        <v>25993</v>
      </c>
      <c r="K78" s="102" t="s">
        <v>25678</v>
      </c>
      <c r="L78" s="102" t="s">
        <v>25598</v>
      </c>
      <c r="M78" s="102" t="s">
        <v>12</v>
      </c>
      <c r="N78" s="102">
        <v>1352</v>
      </c>
      <c r="O78" s="102" t="s">
        <v>29792</v>
      </c>
      <c r="P78" t="s">
        <v>25628</v>
      </c>
      <c r="Q78" t="s">
        <v>100</v>
      </c>
      <c r="S78" t="str">
        <f t="shared" ref="S78:S80" si="28">A78&amp;"-"&amp;T78</f>
        <v>88-071-17-00</v>
      </c>
      <c r="T78" s="129" t="s">
        <v>25299</v>
      </c>
      <c r="U78" s="112">
        <v>6</v>
      </c>
    </row>
    <row r="79" spans="1:21" x14ac:dyDescent="0.2">
      <c r="A79" s="102" t="s">
        <v>22065</v>
      </c>
      <c r="B79" s="102" t="s">
        <v>29657</v>
      </c>
      <c r="C79" s="102" t="s">
        <v>46</v>
      </c>
      <c r="D79" s="102" t="s">
        <v>92</v>
      </c>
      <c r="E79" s="102" t="s">
        <v>25609</v>
      </c>
      <c r="F79" s="102" t="s">
        <v>91</v>
      </c>
      <c r="G79" s="102" t="s">
        <v>29778</v>
      </c>
      <c r="H79" s="102" t="s">
        <v>29782</v>
      </c>
      <c r="I79" s="102" t="s">
        <v>25466</v>
      </c>
      <c r="J79" s="102" t="s">
        <v>25993</v>
      </c>
      <c r="K79" s="102" t="s">
        <v>25678</v>
      </c>
      <c r="L79" s="102" t="s">
        <v>25598</v>
      </c>
      <c r="M79" s="102" t="s">
        <v>12</v>
      </c>
      <c r="N79" s="102">
        <v>1352</v>
      </c>
      <c r="O79" s="102" t="s">
        <v>29792</v>
      </c>
      <c r="P79" t="s">
        <v>25628</v>
      </c>
      <c r="Q79" t="s">
        <v>27</v>
      </c>
      <c r="S79" t="str">
        <f t="shared" si="28"/>
        <v>88-077-26-00</v>
      </c>
      <c r="T79" s="129" t="s">
        <v>25299</v>
      </c>
      <c r="U79" s="112">
        <v>6</v>
      </c>
    </row>
    <row r="80" spans="1:21" x14ac:dyDescent="0.2">
      <c r="A80" s="102" t="s">
        <v>22131</v>
      </c>
      <c r="B80" s="102" t="s">
        <v>29658</v>
      </c>
      <c r="C80" s="102" t="s">
        <v>46</v>
      </c>
      <c r="D80" s="102" t="s">
        <v>92</v>
      </c>
      <c r="E80" s="102" t="s">
        <v>25609</v>
      </c>
      <c r="F80" s="102" t="s">
        <v>91</v>
      </c>
      <c r="G80" s="102" t="s">
        <v>29778</v>
      </c>
      <c r="H80" s="102" t="s">
        <v>29787</v>
      </c>
      <c r="I80" s="102" t="s">
        <v>58</v>
      </c>
      <c r="J80" s="102" t="s">
        <v>25993</v>
      </c>
      <c r="K80" s="102" t="s">
        <v>25678</v>
      </c>
      <c r="L80" s="102" t="s">
        <v>25598</v>
      </c>
      <c r="M80" s="102" t="s">
        <v>12</v>
      </c>
      <c r="N80" s="102">
        <v>1352</v>
      </c>
      <c r="O80" s="102" t="s">
        <v>29792</v>
      </c>
      <c r="P80" t="s">
        <v>25628</v>
      </c>
      <c r="Q80" t="s">
        <v>58</v>
      </c>
      <c r="S80" t="str">
        <f t="shared" si="28"/>
        <v>88-110-03-00</v>
      </c>
      <c r="T80" s="129" t="s">
        <v>25299</v>
      </c>
      <c r="U80" s="112">
        <v>12</v>
      </c>
    </row>
    <row r="81" spans="1:21" x14ac:dyDescent="0.2">
      <c r="A81" s="102" t="s">
        <v>22125</v>
      </c>
      <c r="B81" s="102" t="s">
        <v>29659</v>
      </c>
      <c r="C81" s="102" t="s">
        <v>46</v>
      </c>
      <c r="D81" s="102" t="s">
        <v>47</v>
      </c>
      <c r="E81" s="102" t="s">
        <v>25609</v>
      </c>
      <c r="F81" s="102" t="s">
        <v>91</v>
      </c>
      <c r="G81" s="102" t="s">
        <v>29778</v>
      </c>
      <c r="H81" s="102" t="s">
        <v>29785</v>
      </c>
      <c r="I81" s="102" t="s">
        <v>1</v>
      </c>
      <c r="J81" s="102" t="s">
        <v>11</v>
      </c>
      <c r="K81" s="102" t="s">
        <v>25678</v>
      </c>
      <c r="L81" s="102" t="s">
        <v>25598</v>
      </c>
      <c r="M81" s="102" t="s">
        <v>12</v>
      </c>
      <c r="N81" s="102">
        <v>1352</v>
      </c>
      <c r="O81" s="102" t="s">
        <v>29792</v>
      </c>
      <c r="P81" t="s">
        <v>25628</v>
      </c>
      <c r="Q81" t="s">
        <v>1</v>
      </c>
      <c r="S81" t="str">
        <f t="shared" ref="S81:S82" si="29">A81&amp;"-"&amp;T81</f>
        <v>88-107-09-00</v>
      </c>
      <c r="T81" s="129" t="s">
        <v>25299</v>
      </c>
      <c r="U81" s="112">
        <v>18</v>
      </c>
    </row>
    <row r="82" spans="1:21" x14ac:dyDescent="0.2">
      <c r="A82" s="102" t="s">
        <v>22259</v>
      </c>
      <c r="B82" s="102" t="s">
        <v>29660</v>
      </c>
      <c r="C82" s="102" t="s">
        <v>46</v>
      </c>
      <c r="D82" s="102" t="s">
        <v>92</v>
      </c>
      <c r="E82" s="102" t="s">
        <v>25606</v>
      </c>
      <c r="F82" s="102" t="s">
        <v>91</v>
      </c>
      <c r="G82" s="102" t="s">
        <v>29778</v>
      </c>
      <c r="H82" s="102" t="s">
        <v>29781</v>
      </c>
      <c r="I82" s="102" t="s">
        <v>23</v>
      </c>
      <c r="J82" s="102" t="s">
        <v>25993</v>
      </c>
      <c r="K82" s="102" t="s">
        <v>25678</v>
      </c>
      <c r="L82" s="102" t="s">
        <v>25598</v>
      </c>
      <c r="M82" s="102" t="s">
        <v>12</v>
      </c>
      <c r="N82" s="102">
        <v>1352</v>
      </c>
      <c r="O82" s="102" t="s">
        <v>29792</v>
      </c>
      <c r="P82" t="s">
        <v>25624</v>
      </c>
      <c r="Q82" t="s">
        <v>27</v>
      </c>
      <c r="S82" t="str">
        <f t="shared" si="29"/>
        <v>88-174-16-00</v>
      </c>
      <c r="T82" s="129" t="s">
        <v>25299</v>
      </c>
      <c r="U82" s="112">
        <v>24</v>
      </c>
    </row>
    <row r="83" spans="1:21" x14ac:dyDescent="0.2">
      <c r="A83" s="102" t="s">
        <v>22261</v>
      </c>
      <c r="B83" s="102" t="s">
        <v>29661</v>
      </c>
      <c r="C83" s="102" t="s">
        <v>46</v>
      </c>
      <c r="D83" s="102" t="s">
        <v>92</v>
      </c>
      <c r="E83" s="102" t="s">
        <v>25606</v>
      </c>
      <c r="F83" s="102" t="s">
        <v>91</v>
      </c>
      <c r="G83" s="102" t="s">
        <v>29778</v>
      </c>
      <c r="H83" s="102" t="s">
        <v>29785</v>
      </c>
      <c r="I83" s="102" t="s">
        <v>1</v>
      </c>
      <c r="J83" s="102" t="s">
        <v>25993</v>
      </c>
      <c r="K83" s="102" t="s">
        <v>25678</v>
      </c>
      <c r="L83" s="102" t="s">
        <v>25598</v>
      </c>
      <c r="M83" s="102" t="s">
        <v>12</v>
      </c>
      <c r="N83" s="102">
        <v>1352</v>
      </c>
      <c r="O83" s="102" t="s">
        <v>29792</v>
      </c>
      <c r="P83" t="s">
        <v>25624</v>
      </c>
      <c r="Q83" t="s">
        <v>1</v>
      </c>
      <c r="S83" t="str">
        <f t="shared" ref="S83:S85" si="30">A83&amp;"-"&amp;T83</f>
        <v>88-175-09-00</v>
      </c>
      <c r="T83" s="129" t="s">
        <v>25299</v>
      </c>
      <c r="U83" s="112">
        <v>6</v>
      </c>
    </row>
    <row r="84" spans="1:21" x14ac:dyDescent="0.2">
      <c r="A84" s="102" t="s">
        <v>22269</v>
      </c>
      <c r="B84" s="102" t="s">
        <v>29662</v>
      </c>
      <c r="C84" s="102" t="s">
        <v>46</v>
      </c>
      <c r="D84" s="102" t="s">
        <v>92</v>
      </c>
      <c r="E84" s="102" t="s">
        <v>25606</v>
      </c>
      <c r="F84" s="102" t="s">
        <v>91</v>
      </c>
      <c r="G84" s="102" t="s">
        <v>29778</v>
      </c>
      <c r="H84" s="102" t="s">
        <v>29781</v>
      </c>
      <c r="I84" s="102" t="s">
        <v>1</v>
      </c>
      <c r="J84" s="102" t="s">
        <v>25993</v>
      </c>
      <c r="K84" s="102" t="s">
        <v>25678</v>
      </c>
      <c r="L84" s="102" t="s">
        <v>25598</v>
      </c>
      <c r="M84" s="102" t="s">
        <v>12</v>
      </c>
      <c r="N84" s="102">
        <v>1352</v>
      </c>
      <c r="O84" s="102" t="s">
        <v>29792</v>
      </c>
      <c r="P84" t="s">
        <v>25624</v>
      </c>
      <c r="Q84" t="s">
        <v>1</v>
      </c>
      <c r="S84" t="str">
        <f t="shared" si="30"/>
        <v>88-179-16-00</v>
      </c>
      <c r="T84" s="129" t="s">
        <v>25299</v>
      </c>
      <c r="U84" s="112">
        <v>42</v>
      </c>
    </row>
    <row r="85" spans="1:21" x14ac:dyDescent="0.2">
      <c r="A85" s="102" t="s">
        <v>22271</v>
      </c>
      <c r="B85" s="102" t="s">
        <v>29663</v>
      </c>
      <c r="C85" s="102" t="s">
        <v>46</v>
      </c>
      <c r="D85" s="102" t="s">
        <v>92</v>
      </c>
      <c r="E85" s="102" t="s">
        <v>25606</v>
      </c>
      <c r="F85" s="102" t="s">
        <v>91</v>
      </c>
      <c r="G85" s="102" t="s">
        <v>29778</v>
      </c>
      <c r="H85" s="102" t="s">
        <v>29785</v>
      </c>
      <c r="I85" s="102" t="s">
        <v>1</v>
      </c>
      <c r="J85" s="102" t="s">
        <v>25993</v>
      </c>
      <c r="K85" s="102" t="s">
        <v>25678</v>
      </c>
      <c r="L85" s="102" t="s">
        <v>25598</v>
      </c>
      <c r="M85" s="102" t="s">
        <v>12</v>
      </c>
      <c r="N85" s="102">
        <v>1352</v>
      </c>
      <c r="O85" s="102" t="s">
        <v>29792</v>
      </c>
      <c r="P85" t="s">
        <v>25624</v>
      </c>
      <c r="Q85" t="s">
        <v>1</v>
      </c>
      <c r="S85" t="str">
        <f t="shared" si="30"/>
        <v>88-180-09-00</v>
      </c>
      <c r="T85" s="129" t="s">
        <v>25299</v>
      </c>
      <c r="U85" s="112">
        <v>60</v>
      </c>
    </row>
    <row r="86" spans="1:21" x14ac:dyDescent="0.2">
      <c r="A86" s="102" t="s">
        <v>21919</v>
      </c>
      <c r="B86" s="102" t="s">
        <v>29664</v>
      </c>
      <c r="C86" s="102" t="s">
        <v>46</v>
      </c>
      <c r="D86" s="102" t="s">
        <v>92</v>
      </c>
      <c r="E86" s="102" t="s">
        <v>25607</v>
      </c>
      <c r="F86" s="102" t="s">
        <v>91</v>
      </c>
      <c r="G86" s="102" t="s">
        <v>29778</v>
      </c>
      <c r="H86" s="102" t="s">
        <v>29784</v>
      </c>
      <c r="I86" s="102" t="s">
        <v>107</v>
      </c>
      <c r="J86" s="102" t="s">
        <v>25993</v>
      </c>
      <c r="K86" s="102" t="s">
        <v>25678</v>
      </c>
      <c r="L86" s="102" t="s">
        <v>25598</v>
      </c>
      <c r="M86" s="102" t="s">
        <v>12</v>
      </c>
      <c r="N86" s="102">
        <v>1352</v>
      </c>
      <c r="O86" s="102" t="s">
        <v>29792</v>
      </c>
      <c r="P86" t="s">
        <v>25625</v>
      </c>
      <c r="Q86" t="s">
        <v>100</v>
      </c>
      <c r="S86" t="str">
        <f t="shared" ref="S86:S88" si="31">A86&amp;"-"&amp;T86</f>
        <v>88-004-48-00</v>
      </c>
      <c r="T86" s="129" t="s">
        <v>25299</v>
      </c>
      <c r="U86" s="112">
        <v>204</v>
      </c>
    </row>
    <row r="87" spans="1:21" x14ac:dyDescent="0.2">
      <c r="A87" s="102" t="s">
        <v>21921</v>
      </c>
      <c r="B87" s="102" t="s">
        <v>29665</v>
      </c>
      <c r="C87" s="102" t="s">
        <v>46</v>
      </c>
      <c r="D87" s="102" t="s">
        <v>92</v>
      </c>
      <c r="E87" s="102" t="s">
        <v>25607</v>
      </c>
      <c r="F87" s="102" t="s">
        <v>91</v>
      </c>
      <c r="G87" s="102" t="s">
        <v>29778</v>
      </c>
      <c r="H87" s="102" t="s">
        <v>29785</v>
      </c>
      <c r="I87" s="102" t="s">
        <v>1</v>
      </c>
      <c r="J87" s="102" t="s">
        <v>25993</v>
      </c>
      <c r="K87" s="102" t="s">
        <v>25678</v>
      </c>
      <c r="L87" s="102" t="s">
        <v>25598</v>
      </c>
      <c r="M87" s="102" t="s">
        <v>12</v>
      </c>
      <c r="N87" s="102">
        <v>1352</v>
      </c>
      <c r="O87" s="102" t="s">
        <v>29792</v>
      </c>
      <c r="P87" t="s">
        <v>25625</v>
      </c>
      <c r="Q87" t="s">
        <v>1</v>
      </c>
      <c r="S87" t="str">
        <f t="shared" si="31"/>
        <v>88-005-09-00</v>
      </c>
      <c r="T87" s="129" t="s">
        <v>25299</v>
      </c>
      <c r="U87" s="112">
        <v>132</v>
      </c>
    </row>
    <row r="88" spans="1:21" x14ac:dyDescent="0.2">
      <c r="A88" s="102" t="s">
        <v>21923</v>
      </c>
      <c r="B88" s="102" t="s">
        <v>29666</v>
      </c>
      <c r="C88" s="102" t="s">
        <v>46</v>
      </c>
      <c r="D88" s="102" t="s">
        <v>92</v>
      </c>
      <c r="E88" s="102" t="s">
        <v>25607</v>
      </c>
      <c r="F88" s="102" t="s">
        <v>91</v>
      </c>
      <c r="G88" s="102" t="s">
        <v>29778</v>
      </c>
      <c r="H88" s="102" t="s">
        <v>29782</v>
      </c>
      <c r="I88" s="102" t="s">
        <v>36</v>
      </c>
      <c r="J88" s="102" t="s">
        <v>25993</v>
      </c>
      <c r="K88" s="102" t="s">
        <v>25678</v>
      </c>
      <c r="L88" s="102" t="s">
        <v>25598</v>
      </c>
      <c r="M88" s="102" t="s">
        <v>12</v>
      </c>
      <c r="N88" s="102">
        <v>1352</v>
      </c>
      <c r="O88" s="102" t="s">
        <v>29792</v>
      </c>
      <c r="P88" t="s">
        <v>25625</v>
      </c>
      <c r="Q88" t="s">
        <v>27</v>
      </c>
      <c r="S88" t="str">
        <f t="shared" si="31"/>
        <v>88-006-06-00</v>
      </c>
      <c r="T88" s="129" t="s">
        <v>25299</v>
      </c>
      <c r="U88" s="112">
        <v>408</v>
      </c>
    </row>
    <row r="89" spans="1:21" x14ac:dyDescent="0.2">
      <c r="A89" s="102" t="s">
        <v>21925</v>
      </c>
      <c r="B89" s="102" t="s">
        <v>29667</v>
      </c>
      <c r="C89" s="102" t="s">
        <v>46</v>
      </c>
      <c r="D89" s="102" t="s">
        <v>92</v>
      </c>
      <c r="E89" s="102" t="s">
        <v>25607</v>
      </c>
      <c r="F89" s="102" t="s">
        <v>91</v>
      </c>
      <c r="G89" s="102" t="s">
        <v>29778</v>
      </c>
      <c r="H89" s="102" t="s">
        <v>29785</v>
      </c>
      <c r="I89" s="102" t="s">
        <v>1</v>
      </c>
      <c r="J89" s="102" t="s">
        <v>25993</v>
      </c>
      <c r="K89" s="102" t="s">
        <v>25678</v>
      </c>
      <c r="L89" s="102" t="s">
        <v>25598</v>
      </c>
      <c r="M89" s="102" t="s">
        <v>12</v>
      </c>
      <c r="N89" s="102">
        <v>1352</v>
      </c>
      <c r="O89" s="102" t="s">
        <v>29792</v>
      </c>
      <c r="P89" t="s">
        <v>25625</v>
      </c>
      <c r="Q89" t="s">
        <v>1</v>
      </c>
      <c r="S89" t="str">
        <f t="shared" ref="S89:S90" si="32">A89&amp;"-"&amp;T89</f>
        <v>88-007-09-00</v>
      </c>
      <c r="T89" s="129" t="s">
        <v>25299</v>
      </c>
      <c r="U89" s="112">
        <v>204</v>
      </c>
    </row>
    <row r="90" spans="1:21" x14ac:dyDescent="0.2">
      <c r="A90" s="102" t="s">
        <v>21927</v>
      </c>
      <c r="B90" s="102" t="s">
        <v>29668</v>
      </c>
      <c r="C90" s="102" t="s">
        <v>46</v>
      </c>
      <c r="D90" s="102" t="s">
        <v>47</v>
      </c>
      <c r="E90" s="102" t="s">
        <v>25607</v>
      </c>
      <c r="F90" s="102" t="s">
        <v>91</v>
      </c>
      <c r="G90" s="102" t="s">
        <v>29778</v>
      </c>
      <c r="H90" s="102" t="s">
        <v>29785</v>
      </c>
      <c r="I90" s="102" t="s">
        <v>1</v>
      </c>
      <c r="J90" s="102" t="s">
        <v>11</v>
      </c>
      <c r="K90" s="102" t="s">
        <v>25678</v>
      </c>
      <c r="L90" s="102" t="s">
        <v>25598</v>
      </c>
      <c r="M90" s="102" t="s">
        <v>12</v>
      </c>
      <c r="N90" s="102">
        <v>1352</v>
      </c>
      <c r="O90" s="102" t="s">
        <v>29792</v>
      </c>
      <c r="P90" t="s">
        <v>25625</v>
      </c>
      <c r="Q90" t="s">
        <v>1</v>
      </c>
      <c r="S90" t="str">
        <f t="shared" si="32"/>
        <v>88-008-09-00</v>
      </c>
      <c r="T90" s="129" t="s">
        <v>25299</v>
      </c>
      <c r="U90" s="112">
        <v>144</v>
      </c>
    </row>
    <row r="91" spans="1:21" x14ac:dyDescent="0.2">
      <c r="A91" s="102" t="s">
        <v>21929</v>
      </c>
      <c r="B91" s="102" t="s">
        <v>29669</v>
      </c>
      <c r="C91" s="102" t="s">
        <v>46</v>
      </c>
      <c r="D91" s="102" t="s">
        <v>92</v>
      </c>
      <c r="E91" s="102" t="s">
        <v>25607</v>
      </c>
      <c r="F91" s="102" t="s">
        <v>91</v>
      </c>
      <c r="G91" s="102" t="s">
        <v>29778</v>
      </c>
      <c r="H91" s="102" t="s">
        <v>29784</v>
      </c>
      <c r="I91" s="102" t="s">
        <v>25358</v>
      </c>
      <c r="J91" s="102" t="s">
        <v>25993</v>
      </c>
      <c r="K91" s="102" t="s">
        <v>25678</v>
      </c>
      <c r="L91" s="102" t="s">
        <v>25598</v>
      </c>
      <c r="M91" s="102" t="s">
        <v>12</v>
      </c>
      <c r="N91" s="102">
        <v>1352</v>
      </c>
      <c r="O91" s="102" t="s">
        <v>29792</v>
      </c>
      <c r="P91" t="s">
        <v>25625</v>
      </c>
      <c r="Q91" t="s">
        <v>100</v>
      </c>
      <c r="S91" t="str">
        <f t="shared" ref="S91:S93" si="33">A91&amp;"-"&amp;T91</f>
        <v>88-009-17-00</v>
      </c>
      <c r="T91" s="129" t="s">
        <v>25299</v>
      </c>
      <c r="U91" s="112">
        <v>192</v>
      </c>
    </row>
    <row r="92" spans="1:21" x14ac:dyDescent="0.2">
      <c r="A92" s="102" t="s">
        <v>21931</v>
      </c>
      <c r="B92" s="102" t="s">
        <v>29670</v>
      </c>
      <c r="C92" s="102" t="s">
        <v>46</v>
      </c>
      <c r="D92" s="102" t="s">
        <v>92</v>
      </c>
      <c r="E92" s="102" t="s">
        <v>25607</v>
      </c>
      <c r="F92" s="102" t="s">
        <v>91</v>
      </c>
      <c r="G92" s="102" t="s">
        <v>29778</v>
      </c>
      <c r="H92" s="102" t="s">
        <v>29785</v>
      </c>
      <c r="I92" s="102" t="s">
        <v>1</v>
      </c>
      <c r="J92" s="102" t="s">
        <v>25993</v>
      </c>
      <c r="K92" s="102" t="s">
        <v>25678</v>
      </c>
      <c r="L92" s="102" t="s">
        <v>25598</v>
      </c>
      <c r="M92" s="102" t="s">
        <v>12</v>
      </c>
      <c r="N92" s="102">
        <v>1352</v>
      </c>
      <c r="O92" s="102" t="s">
        <v>29792</v>
      </c>
      <c r="P92" t="s">
        <v>25625</v>
      </c>
      <c r="Q92" t="s">
        <v>1</v>
      </c>
      <c r="S92" t="str">
        <f t="shared" si="33"/>
        <v>88-010-09-00</v>
      </c>
      <c r="T92" s="129" t="s">
        <v>25299</v>
      </c>
      <c r="U92" s="112">
        <v>120</v>
      </c>
    </row>
    <row r="93" spans="1:21" x14ac:dyDescent="0.2">
      <c r="A93" s="102" t="s">
        <v>21937</v>
      </c>
      <c r="B93" s="102" t="s">
        <v>29671</v>
      </c>
      <c r="C93" s="102" t="s">
        <v>46</v>
      </c>
      <c r="D93" s="102" t="s">
        <v>92</v>
      </c>
      <c r="E93" s="102" t="s">
        <v>25607</v>
      </c>
      <c r="F93" s="102" t="s">
        <v>91</v>
      </c>
      <c r="G93" s="102" t="s">
        <v>29778</v>
      </c>
      <c r="H93" s="102" t="s">
        <v>29788</v>
      </c>
      <c r="I93" s="102" t="s">
        <v>25438</v>
      </c>
      <c r="J93" s="102" t="s">
        <v>25993</v>
      </c>
      <c r="K93" s="102" t="s">
        <v>25678</v>
      </c>
      <c r="L93" s="102" t="s">
        <v>25598</v>
      </c>
      <c r="M93" s="102" t="s">
        <v>12</v>
      </c>
      <c r="N93" s="102">
        <v>1352</v>
      </c>
      <c r="O93" s="102" t="s">
        <v>29792</v>
      </c>
      <c r="P93" t="s">
        <v>25625</v>
      </c>
      <c r="Q93" t="s">
        <v>123</v>
      </c>
      <c r="S93" t="str">
        <f t="shared" si="33"/>
        <v>88-013-13-00</v>
      </c>
      <c r="T93" s="129" t="s">
        <v>25299</v>
      </c>
      <c r="U93" s="112">
        <v>132</v>
      </c>
    </row>
    <row r="94" spans="1:21" x14ac:dyDescent="0.2">
      <c r="A94" s="102" t="s">
        <v>21941</v>
      </c>
      <c r="B94" s="102" t="s">
        <v>29672</v>
      </c>
      <c r="C94" s="102" t="s">
        <v>46</v>
      </c>
      <c r="D94" s="102" t="s">
        <v>92</v>
      </c>
      <c r="E94" s="102" t="s">
        <v>25607</v>
      </c>
      <c r="F94" s="102" t="s">
        <v>91</v>
      </c>
      <c r="G94" s="102" t="s">
        <v>29778</v>
      </c>
      <c r="H94" s="102" t="s">
        <v>29785</v>
      </c>
      <c r="I94" s="102" t="s">
        <v>1</v>
      </c>
      <c r="J94" s="102" t="s">
        <v>25993</v>
      </c>
      <c r="K94" s="102" t="s">
        <v>25678</v>
      </c>
      <c r="L94" s="102" t="s">
        <v>25598</v>
      </c>
      <c r="M94" s="102" t="s">
        <v>12</v>
      </c>
      <c r="N94" s="102">
        <v>1352</v>
      </c>
      <c r="O94" s="102" t="s">
        <v>29792</v>
      </c>
      <c r="P94" t="s">
        <v>25625</v>
      </c>
      <c r="Q94" t="s">
        <v>1</v>
      </c>
      <c r="S94" t="str">
        <f t="shared" ref="S94:S96" si="34">A94&amp;"-"&amp;T94</f>
        <v>88-015-09-00</v>
      </c>
      <c r="T94" s="129" t="s">
        <v>25299</v>
      </c>
      <c r="U94" s="112">
        <v>120</v>
      </c>
    </row>
    <row r="95" spans="1:21" x14ac:dyDescent="0.2">
      <c r="A95" s="102" t="s">
        <v>21947</v>
      </c>
      <c r="B95" s="102" t="s">
        <v>29673</v>
      </c>
      <c r="C95" s="102" t="s">
        <v>46</v>
      </c>
      <c r="D95" s="102" t="s">
        <v>92</v>
      </c>
      <c r="E95" s="102" t="s">
        <v>25607</v>
      </c>
      <c r="F95" s="102" t="s">
        <v>91</v>
      </c>
      <c r="G95" s="102" t="s">
        <v>29778</v>
      </c>
      <c r="H95" s="102" t="s">
        <v>29784</v>
      </c>
      <c r="I95" s="102" t="s">
        <v>25358</v>
      </c>
      <c r="J95" s="102" t="s">
        <v>25993</v>
      </c>
      <c r="K95" s="102" t="s">
        <v>25678</v>
      </c>
      <c r="L95" s="102" t="s">
        <v>25595</v>
      </c>
      <c r="M95" s="102" t="s">
        <v>12</v>
      </c>
      <c r="N95" s="102">
        <v>1352</v>
      </c>
      <c r="O95" s="102" t="s">
        <v>29792</v>
      </c>
      <c r="P95" t="s">
        <v>25625</v>
      </c>
      <c r="Q95" t="s">
        <v>100</v>
      </c>
      <c r="S95" t="str">
        <f t="shared" si="34"/>
        <v>88-018-17-00</v>
      </c>
      <c r="T95" s="129" t="s">
        <v>25299</v>
      </c>
      <c r="U95" s="112">
        <v>60</v>
      </c>
    </row>
    <row r="96" spans="1:21" x14ac:dyDescent="0.2">
      <c r="A96" s="102" t="s">
        <v>21949</v>
      </c>
      <c r="B96" s="102" t="s">
        <v>29674</v>
      </c>
      <c r="C96" s="102" t="s">
        <v>46</v>
      </c>
      <c r="D96" s="102" t="s">
        <v>47</v>
      </c>
      <c r="E96" s="102" t="s">
        <v>25607</v>
      </c>
      <c r="F96" s="102" t="s">
        <v>91</v>
      </c>
      <c r="G96" s="102" t="s">
        <v>29778</v>
      </c>
      <c r="H96" s="102" t="s">
        <v>29785</v>
      </c>
      <c r="I96" s="102" t="s">
        <v>25529</v>
      </c>
      <c r="J96" s="102" t="s">
        <v>59</v>
      </c>
      <c r="K96" s="102" t="s">
        <v>25678</v>
      </c>
      <c r="L96" s="102" t="s">
        <v>25598</v>
      </c>
      <c r="M96" s="102" t="s">
        <v>12</v>
      </c>
      <c r="N96" s="102">
        <v>1352</v>
      </c>
      <c r="O96" s="102" t="s">
        <v>29792</v>
      </c>
      <c r="P96" t="s">
        <v>25625</v>
      </c>
      <c r="Q96" t="s">
        <v>1</v>
      </c>
      <c r="S96" t="str">
        <f t="shared" si="34"/>
        <v>88-019-78-00</v>
      </c>
      <c r="T96" s="129" t="s">
        <v>25299</v>
      </c>
      <c r="U96" s="112">
        <v>6</v>
      </c>
    </row>
    <row r="97" spans="1:21" x14ac:dyDescent="0.2">
      <c r="A97" s="102" t="s">
        <v>28136</v>
      </c>
      <c r="B97" s="102" t="s">
        <v>29675</v>
      </c>
      <c r="C97" s="102" t="s">
        <v>46</v>
      </c>
      <c r="D97" s="102" t="s">
        <v>92</v>
      </c>
      <c r="E97" s="102" t="s">
        <v>25610</v>
      </c>
      <c r="F97" s="102" t="s">
        <v>91</v>
      </c>
      <c r="G97" s="102" t="s">
        <v>29778</v>
      </c>
      <c r="H97" s="102" t="s">
        <v>29781</v>
      </c>
      <c r="I97" s="102" t="s">
        <v>23</v>
      </c>
      <c r="J97" s="102" t="s">
        <v>25993</v>
      </c>
      <c r="K97" s="102" t="s">
        <v>25678</v>
      </c>
      <c r="L97" s="102" t="s">
        <v>25598</v>
      </c>
      <c r="M97" s="102" t="s">
        <v>12</v>
      </c>
      <c r="N97" s="102">
        <v>1352</v>
      </c>
      <c r="O97" s="102" t="s">
        <v>29792</v>
      </c>
      <c r="P97" t="s">
        <v>25647</v>
      </c>
      <c r="Q97" t="s">
        <v>27</v>
      </c>
      <c r="S97" t="str">
        <f t="shared" ref="S97:S98" si="35">A97&amp;"-"&amp;T97</f>
        <v>88-239-16-00</v>
      </c>
      <c r="T97" s="129" t="s">
        <v>25299</v>
      </c>
      <c r="U97" s="112">
        <v>24</v>
      </c>
    </row>
    <row r="98" spans="1:21" x14ac:dyDescent="0.2">
      <c r="A98" s="102" t="s">
        <v>22279</v>
      </c>
      <c r="B98" s="102" t="s">
        <v>29676</v>
      </c>
      <c r="C98" s="102" t="s">
        <v>46</v>
      </c>
      <c r="D98" s="102" t="s">
        <v>92</v>
      </c>
      <c r="E98" s="102" t="s">
        <v>25610</v>
      </c>
      <c r="F98" s="102" t="s">
        <v>91</v>
      </c>
      <c r="G98" s="102" t="s">
        <v>29778</v>
      </c>
      <c r="H98" s="102" t="s">
        <v>29783</v>
      </c>
      <c r="I98" s="102" t="s">
        <v>22</v>
      </c>
      <c r="J98" s="102" t="s">
        <v>25993</v>
      </c>
      <c r="K98" s="102" t="s">
        <v>25678</v>
      </c>
      <c r="L98" s="102" t="s">
        <v>25598</v>
      </c>
      <c r="M98" s="102" t="s">
        <v>12</v>
      </c>
      <c r="N98" s="102">
        <v>1352</v>
      </c>
      <c r="O98" s="102" t="s">
        <v>29792</v>
      </c>
      <c r="P98" t="s">
        <v>25647</v>
      </c>
      <c r="Q98" t="s">
        <v>22</v>
      </c>
      <c r="S98" t="str">
        <f t="shared" si="35"/>
        <v>88-184-14-00</v>
      </c>
      <c r="T98" s="129" t="s">
        <v>25299</v>
      </c>
      <c r="U98" s="112">
        <v>72</v>
      </c>
    </row>
    <row r="99" spans="1:21" x14ac:dyDescent="0.2">
      <c r="A99" s="102" t="s">
        <v>28144</v>
      </c>
      <c r="B99" s="102" t="s">
        <v>29677</v>
      </c>
      <c r="C99" s="102" t="s">
        <v>46</v>
      </c>
      <c r="D99" s="102" t="s">
        <v>92</v>
      </c>
      <c r="E99" s="102" t="s">
        <v>25610</v>
      </c>
      <c r="F99" s="102" t="s">
        <v>91</v>
      </c>
      <c r="G99" s="102" t="s">
        <v>29778</v>
      </c>
      <c r="H99" s="102" t="s">
        <v>29789</v>
      </c>
      <c r="I99" s="102" t="s">
        <v>58</v>
      </c>
      <c r="J99" s="102" t="s">
        <v>25993</v>
      </c>
      <c r="K99" s="102" t="s">
        <v>25678</v>
      </c>
      <c r="L99" s="102" t="s">
        <v>25598</v>
      </c>
      <c r="M99" s="102" t="s">
        <v>12</v>
      </c>
      <c r="N99" s="102">
        <v>1352</v>
      </c>
      <c r="O99" s="102" t="s">
        <v>29792</v>
      </c>
      <c r="P99" t="s">
        <v>25647</v>
      </c>
      <c r="Q99" t="s">
        <v>58</v>
      </c>
      <c r="S99" t="str">
        <f t="shared" ref="S99:S101" si="36">A99&amp;"-"&amp;T99</f>
        <v>88-243-03-00</v>
      </c>
      <c r="T99" s="129" t="s">
        <v>25299</v>
      </c>
      <c r="U99" s="112">
        <v>96</v>
      </c>
    </row>
    <row r="100" spans="1:21" x14ac:dyDescent="0.2">
      <c r="A100" s="102" t="s">
        <v>28151</v>
      </c>
      <c r="B100" s="102" t="s">
        <v>29678</v>
      </c>
      <c r="C100" s="102" t="s">
        <v>46</v>
      </c>
      <c r="D100" s="102" t="s">
        <v>92</v>
      </c>
      <c r="E100" s="102" t="s">
        <v>25610</v>
      </c>
      <c r="F100" s="102" t="s">
        <v>91</v>
      </c>
      <c r="G100" s="102" t="s">
        <v>29778</v>
      </c>
      <c r="H100" s="102" t="s">
        <v>29783</v>
      </c>
      <c r="I100" s="102" t="s">
        <v>22</v>
      </c>
      <c r="J100" s="102" t="s">
        <v>25993</v>
      </c>
      <c r="K100" s="102" t="s">
        <v>25678</v>
      </c>
      <c r="L100" s="102" t="s">
        <v>25598</v>
      </c>
      <c r="M100" s="102" t="s">
        <v>12</v>
      </c>
      <c r="N100" s="102">
        <v>1352</v>
      </c>
      <c r="O100" s="102" t="s">
        <v>29792</v>
      </c>
      <c r="P100" t="s">
        <v>25647</v>
      </c>
      <c r="Q100" t="s">
        <v>22</v>
      </c>
      <c r="S100" t="str">
        <f t="shared" si="36"/>
        <v>88-247-14-00</v>
      </c>
      <c r="T100" s="129" t="s">
        <v>25299</v>
      </c>
      <c r="U100" s="112">
        <v>18</v>
      </c>
    </row>
    <row r="101" spans="1:21" x14ac:dyDescent="0.2">
      <c r="A101" s="102" t="s">
        <v>22287</v>
      </c>
      <c r="B101" s="102" t="s">
        <v>29679</v>
      </c>
      <c r="C101" s="102" t="s">
        <v>46</v>
      </c>
      <c r="D101" s="102" t="s">
        <v>92</v>
      </c>
      <c r="E101" s="102" t="s">
        <v>25610</v>
      </c>
      <c r="F101" s="102" t="s">
        <v>91</v>
      </c>
      <c r="G101" s="102" t="s">
        <v>29778</v>
      </c>
      <c r="H101" s="102" t="s">
        <v>29781</v>
      </c>
      <c r="I101" s="102" t="s">
        <v>1</v>
      </c>
      <c r="J101" s="102" t="s">
        <v>25993</v>
      </c>
      <c r="K101" s="102" t="s">
        <v>25678</v>
      </c>
      <c r="L101" s="102" t="s">
        <v>25598</v>
      </c>
      <c r="M101" s="102" t="s">
        <v>12</v>
      </c>
      <c r="N101" s="102">
        <v>1352</v>
      </c>
      <c r="O101" s="102" t="s">
        <v>29792</v>
      </c>
      <c r="P101" t="s">
        <v>25647</v>
      </c>
      <c r="Q101" t="s">
        <v>1</v>
      </c>
      <c r="S101" t="str">
        <f t="shared" si="36"/>
        <v>88-188-16-00</v>
      </c>
      <c r="T101" s="129" t="s">
        <v>25299</v>
      </c>
      <c r="U101" s="112">
        <v>120</v>
      </c>
    </row>
    <row r="102" spans="1:21" x14ac:dyDescent="0.2">
      <c r="A102" s="102" t="s">
        <v>22291</v>
      </c>
      <c r="B102" s="102" t="s">
        <v>29680</v>
      </c>
      <c r="C102" s="102" t="s">
        <v>46</v>
      </c>
      <c r="D102" s="102" t="s">
        <v>47</v>
      </c>
      <c r="E102" s="102" t="s">
        <v>25610</v>
      </c>
      <c r="F102" s="102" t="s">
        <v>91</v>
      </c>
      <c r="G102" s="102" t="s">
        <v>29778</v>
      </c>
      <c r="H102" s="102" t="s">
        <v>29785</v>
      </c>
      <c r="I102" s="102" t="s">
        <v>1</v>
      </c>
      <c r="J102" s="102" t="s">
        <v>59</v>
      </c>
      <c r="L102" s="102" t="s">
        <v>25596</v>
      </c>
      <c r="M102" s="102" t="s">
        <v>12</v>
      </c>
      <c r="N102" s="102">
        <v>1352</v>
      </c>
      <c r="O102" s="102" t="s">
        <v>29792</v>
      </c>
      <c r="P102" t="s">
        <v>25647</v>
      </c>
      <c r="Q102" t="s">
        <v>1</v>
      </c>
      <c r="S102" t="str">
        <f t="shared" ref="S102:S104" si="37">A102&amp;"-"&amp;T102</f>
        <v>88-190-09-00</v>
      </c>
      <c r="T102" s="129" t="s">
        <v>25299</v>
      </c>
      <c r="U102" s="112">
        <v>48</v>
      </c>
    </row>
    <row r="103" spans="1:21" x14ac:dyDescent="0.2">
      <c r="A103" s="102" t="s">
        <v>22293</v>
      </c>
      <c r="B103" s="102" t="s">
        <v>29681</v>
      </c>
      <c r="C103" s="102" t="s">
        <v>46</v>
      </c>
      <c r="D103" s="102" t="s">
        <v>47</v>
      </c>
      <c r="E103" s="102" t="s">
        <v>25610</v>
      </c>
      <c r="F103" s="102" t="s">
        <v>91</v>
      </c>
      <c r="G103" s="102" t="s">
        <v>29778</v>
      </c>
      <c r="H103" s="102" t="s">
        <v>29785</v>
      </c>
      <c r="I103" s="102" t="s">
        <v>1</v>
      </c>
      <c r="J103" s="102" t="s">
        <v>59</v>
      </c>
      <c r="L103" s="102" t="s">
        <v>25598</v>
      </c>
      <c r="M103" s="102" t="s">
        <v>12</v>
      </c>
      <c r="N103" s="102">
        <v>1352</v>
      </c>
      <c r="O103" s="102" t="s">
        <v>29792</v>
      </c>
      <c r="P103" t="s">
        <v>25647</v>
      </c>
      <c r="Q103" t="s">
        <v>1</v>
      </c>
      <c r="S103" t="str">
        <f t="shared" si="37"/>
        <v>88-191-09-00</v>
      </c>
      <c r="T103" s="129" t="s">
        <v>25299</v>
      </c>
      <c r="U103" s="112">
        <v>36</v>
      </c>
    </row>
    <row r="104" spans="1:21" x14ac:dyDescent="0.2">
      <c r="A104" s="102" t="s">
        <v>22313</v>
      </c>
      <c r="B104" s="102" t="s">
        <v>29682</v>
      </c>
      <c r="C104" s="102" t="s">
        <v>46</v>
      </c>
      <c r="D104" s="102" t="s">
        <v>92</v>
      </c>
      <c r="E104" s="102" t="s">
        <v>25610</v>
      </c>
      <c r="F104" s="102" t="s">
        <v>91</v>
      </c>
      <c r="G104" s="102" t="s">
        <v>29778</v>
      </c>
      <c r="H104" s="102" t="s">
        <v>29780</v>
      </c>
      <c r="I104" s="102" t="s">
        <v>210</v>
      </c>
      <c r="J104" s="102" t="s">
        <v>26146</v>
      </c>
      <c r="K104" s="102" t="s">
        <v>25678</v>
      </c>
      <c r="L104" s="102" t="s">
        <v>25598</v>
      </c>
      <c r="M104" s="102" t="s">
        <v>12</v>
      </c>
      <c r="N104" s="102">
        <v>1352</v>
      </c>
      <c r="O104" s="102" t="s">
        <v>29792</v>
      </c>
      <c r="P104" t="s">
        <v>25647</v>
      </c>
      <c r="Q104" t="s">
        <v>141</v>
      </c>
      <c r="S104" t="str">
        <f t="shared" si="37"/>
        <v>88-201-72-00</v>
      </c>
      <c r="T104" s="129" t="s">
        <v>25299</v>
      </c>
      <c r="U104" s="112">
        <v>60</v>
      </c>
    </row>
    <row r="105" spans="1:21" x14ac:dyDescent="0.2">
      <c r="A105" s="102" t="s">
        <v>22317</v>
      </c>
      <c r="B105" s="102" t="s">
        <v>29683</v>
      </c>
      <c r="C105" s="102" t="s">
        <v>46</v>
      </c>
      <c r="D105" s="102" t="s">
        <v>92</v>
      </c>
      <c r="E105" s="102" t="s">
        <v>25610</v>
      </c>
      <c r="F105" s="102" t="s">
        <v>91</v>
      </c>
      <c r="G105" s="102" t="s">
        <v>29778</v>
      </c>
      <c r="H105" s="102" t="s">
        <v>29785</v>
      </c>
      <c r="I105" s="102" t="s">
        <v>171</v>
      </c>
      <c r="J105" s="102" t="s">
        <v>25993</v>
      </c>
      <c r="K105" s="102" t="s">
        <v>25678</v>
      </c>
      <c r="L105" s="102" t="s">
        <v>25598</v>
      </c>
      <c r="M105" s="102" t="s">
        <v>12</v>
      </c>
      <c r="N105" s="102">
        <v>1352</v>
      </c>
      <c r="O105" s="102" t="s">
        <v>29792</v>
      </c>
      <c r="P105" t="s">
        <v>25647</v>
      </c>
      <c r="Q105" t="s">
        <v>1</v>
      </c>
      <c r="S105" t="str">
        <f t="shared" ref="S105:S106" si="38">A105&amp;"-"&amp;T105</f>
        <v>88-203-48-00</v>
      </c>
      <c r="T105" s="129" t="s">
        <v>25299</v>
      </c>
      <c r="U105" s="112">
        <v>6</v>
      </c>
    </row>
    <row r="106" spans="1:21" x14ac:dyDescent="0.2">
      <c r="A106" s="102" t="s">
        <v>22321</v>
      </c>
      <c r="B106" s="102" t="s">
        <v>29684</v>
      </c>
      <c r="C106" s="102" t="s">
        <v>46</v>
      </c>
      <c r="D106" s="102" t="s">
        <v>92</v>
      </c>
      <c r="E106" s="102" t="s">
        <v>25610</v>
      </c>
      <c r="F106" s="102" t="s">
        <v>91</v>
      </c>
      <c r="G106" s="102" t="s">
        <v>29778</v>
      </c>
      <c r="H106" s="102" t="s">
        <v>29784</v>
      </c>
      <c r="I106" s="102" t="s">
        <v>25328</v>
      </c>
      <c r="J106" s="102" t="s">
        <v>26146</v>
      </c>
      <c r="K106" s="102" t="s">
        <v>25678</v>
      </c>
      <c r="L106" s="102" t="s">
        <v>25598</v>
      </c>
      <c r="M106" s="102" t="s">
        <v>12</v>
      </c>
      <c r="N106" s="102">
        <v>1352</v>
      </c>
      <c r="O106" s="102" t="s">
        <v>29792</v>
      </c>
      <c r="P106" t="s">
        <v>25647</v>
      </c>
      <c r="Q106" t="s">
        <v>52</v>
      </c>
      <c r="S106" t="str">
        <f t="shared" si="38"/>
        <v>88-205-08-00</v>
      </c>
      <c r="T106" s="129" t="s">
        <v>25299</v>
      </c>
      <c r="U106" s="112">
        <v>132</v>
      </c>
    </row>
    <row r="107" spans="1:21" x14ac:dyDescent="0.2">
      <c r="A107" s="102" t="s">
        <v>28159</v>
      </c>
      <c r="B107" s="102" t="s">
        <v>29685</v>
      </c>
      <c r="C107" s="102" t="s">
        <v>46</v>
      </c>
      <c r="D107" s="102" t="s">
        <v>92</v>
      </c>
      <c r="E107" s="102" t="s">
        <v>25610</v>
      </c>
      <c r="F107" s="102" t="s">
        <v>91</v>
      </c>
      <c r="G107" s="102" t="s">
        <v>29778</v>
      </c>
      <c r="H107" s="102" t="s">
        <v>29779</v>
      </c>
      <c r="I107" s="102" t="s">
        <v>28</v>
      </c>
      <c r="J107" s="102" t="s">
        <v>25993</v>
      </c>
      <c r="K107" s="102" t="s">
        <v>25678</v>
      </c>
      <c r="L107" s="102" t="s">
        <v>25598</v>
      </c>
      <c r="M107" s="102" t="s">
        <v>12</v>
      </c>
      <c r="N107" s="102">
        <v>1352</v>
      </c>
      <c r="O107" s="102" t="s">
        <v>29792</v>
      </c>
      <c r="P107" t="s">
        <v>25647</v>
      </c>
      <c r="Q107" t="s">
        <v>28</v>
      </c>
      <c r="S107" t="str">
        <f t="shared" ref="S107:S109" si="39">A107&amp;"-"&amp;T107</f>
        <v>88-251-08-00</v>
      </c>
      <c r="T107" s="129" t="s">
        <v>25299</v>
      </c>
      <c r="U107" s="112">
        <v>72</v>
      </c>
    </row>
    <row r="108" spans="1:21" x14ac:dyDescent="0.2">
      <c r="A108" s="102" t="s">
        <v>28199</v>
      </c>
      <c r="B108" s="102" t="s">
        <v>29686</v>
      </c>
      <c r="C108" s="102" t="s">
        <v>49</v>
      </c>
      <c r="D108" s="102" t="s">
        <v>212</v>
      </c>
      <c r="E108" s="102" t="s">
        <v>25610</v>
      </c>
      <c r="F108" s="102" t="s">
        <v>26642</v>
      </c>
      <c r="G108" s="102" t="s">
        <v>29778</v>
      </c>
      <c r="H108" s="102" t="s">
        <v>29785</v>
      </c>
      <c r="I108" s="102" t="s">
        <v>1</v>
      </c>
      <c r="J108" s="102" t="s">
        <v>213</v>
      </c>
      <c r="L108" s="102" t="s">
        <v>25598</v>
      </c>
      <c r="M108" s="102" t="s">
        <v>12</v>
      </c>
      <c r="N108" s="102">
        <v>1352</v>
      </c>
      <c r="O108" s="102" t="s">
        <v>29792</v>
      </c>
      <c r="P108" t="s">
        <v>25647</v>
      </c>
      <c r="Q108" t="s">
        <v>1</v>
      </c>
      <c r="S108" t="str">
        <f t="shared" si="39"/>
        <v>88-270-09-00</v>
      </c>
      <c r="T108" s="129" t="s">
        <v>25299</v>
      </c>
      <c r="U108" s="112">
        <v>6</v>
      </c>
    </row>
    <row r="109" spans="1:21" x14ac:dyDescent="0.2">
      <c r="A109" s="102" t="s">
        <v>22364</v>
      </c>
      <c r="B109" s="102" t="s">
        <v>29687</v>
      </c>
      <c r="C109" s="102" t="s">
        <v>46</v>
      </c>
      <c r="D109" s="102" t="s">
        <v>92</v>
      </c>
      <c r="E109" s="102" t="s">
        <v>25614</v>
      </c>
      <c r="F109" s="102" t="s">
        <v>91</v>
      </c>
      <c r="G109" s="102" t="s">
        <v>29778</v>
      </c>
      <c r="H109" s="102" t="s">
        <v>29785</v>
      </c>
      <c r="I109" s="102" t="s">
        <v>127</v>
      </c>
      <c r="J109" s="102" t="s">
        <v>25993</v>
      </c>
      <c r="K109" s="102" t="s">
        <v>25678</v>
      </c>
      <c r="L109" s="102" t="s">
        <v>25595</v>
      </c>
      <c r="M109" s="102" t="s">
        <v>12</v>
      </c>
      <c r="N109" s="102">
        <v>1352</v>
      </c>
      <c r="O109" s="102" t="s">
        <v>29792</v>
      </c>
      <c r="P109" t="s">
        <v>25658</v>
      </c>
      <c r="Q109" t="s">
        <v>1</v>
      </c>
      <c r="S109" t="str">
        <f t="shared" si="39"/>
        <v>88-227-09-00</v>
      </c>
      <c r="T109" s="129" t="s">
        <v>25299</v>
      </c>
      <c r="U109" s="112">
        <v>6</v>
      </c>
    </row>
    <row r="110" spans="1:21" x14ac:dyDescent="0.2">
      <c r="A110" s="102" t="s">
        <v>22366</v>
      </c>
      <c r="B110" s="102" t="s">
        <v>29688</v>
      </c>
      <c r="C110" s="102" t="s">
        <v>46</v>
      </c>
      <c r="D110" s="102" t="s">
        <v>92</v>
      </c>
      <c r="E110" s="102" t="s">
        <v>25615</v>
      </c>
      <c r="F110" s="102" t="s">
        <v>91</v>
      </c>
      <c r="G110" s="102" t="s">
        <v>29778</v>
      </c>
      <c r="H110" s="102" t="s">
        <v>29785</v>
      </c>
      <c r="I110" s="102" t="s">
        <v>1</v>
      </c>
      <c r="J110" s="102" t="s">
        <v>25993</v>
      </c>
      <c r="K110" s="102" t="s">
        <v>25678</v>
      </c>
      <c r="L110" s="102" t="s">
        <v>25598</v>
      </c>
      <c r="M110" s="102" t="s">
        <v>12</v>
      </c>
      <c r="N110" s="102">
        <v>1352</v>
      </c>
      <c r="O110" s="102" t="s">
        <v>29792</v>
      </c>
      <c r="P110" t="s">
        <v>25659</v>
      </c>
      <c r="Q110" t="s">
        <v>1</v>
      </c>
      <c r="S110" t="str">
        <f t="shared" ref="S110:S112" si="40">A110&amp;"-"&amp;T110</f>
        <v>88-228-09-00</v>
      </c>
      <c r="T110" s="129" t="s">
        <v>25299</v>
      </c>
      <c r="U110" s="112">
        <v>12</v>
      </c>
    </row>
    <row r="111" spans="1:21" x14ac:dyDescent="0.2">
      <c r="A111" s="102" t="s">
        <v>22368</v>
      </c>
      <c r="B111" s="102" t="s">
        <v>29689</v>
      </c>
      <c r="C111" s="102" t="s">
        <v>46</v>
      </c>
      <c r="D111" s="102" t="s">
        <v>92</v>
      </c>
      <c r="E111" s="102" t="s">
        <v>25615</v>
      </c>
      <c r="F111" s="102" t="s">
        <v>91</v>
      </c>
      <c r="G111" s="102" t="s">
        <v>29778</v>
      </c>
      <c r="H111" s="102" t="s">
        <v>29785</v>
      </c>
      <c r="I111" s="102" t="s">
        <v>1</v>
      </c>
      <c r="J111" s="102" t="s">
        <v>25993</v>
      </c>
      <c r="K111" s="102" t="s">
        <v>25678</v>
      </c>
      <c r="L111" s="102" t="s">
        <v>25598</v>
      </c>
      <c r="M111" s="102" t="s">
        <v>12</v>
      </c>
      <c r="N111" s="102">
        <v>1352</v>
      </c>
      <c r="O111" s="102" t="s">
        <v>29792</v>
      </c>
      <c r="P111" t="s">
        <v>25659</v>
      </c>
      <c r="Q111" t="s">
        <v>1</v>
      </c>
      <c r="S111" t="str">
        <f t="shared" si="40"/>
        <v>88-229-09-00</v>
      </c>
      <c r="T111" s="129" t="s">
        <v>25299</v>
      </c>
      <c r="U111" s="112">
        <v>24</v>
      </c>
    </row>
    <row r="112" spans="1:21" x14ac:dyDescent="0.2">
      <c r="A112" s="102" t="s">
        <v>22370</v>
      </c>
      <c r="B112" s="102" t="s">
        <v>29690</v>
      </c>
      <c r="C112" s="102" t="s">
        <v>46</v>
      </c>
      <c r="D112" s="102" t="s">
        <v>92</v>
      </c>
      <c r="E112" s="102" t="s">
        <v>25615</v>
      </c>
      <c r="F112" s="102" t="s">
        <v>91</v>
      </c>
      <c r="G112" s="102" t="s">
        <v>29778</v>
      </c>
      <c r="H112" s="102" t="s">
        <v>29785</v>
      </c>
      <c r="I112" s="102" t="s">
        <v>1</v>
      </c>
      <c r="J112" s="102" t="s">
        <v>25993</v>
      </c>
      <c r="K112" s="102" t="s">
        <v>25678</v>
      </c>
      <c r="L112" s="102" t="s">
        <v>25598</v>
      </c>
      <c r="M112" s="102" t="s">
        <v>12</v>
      </c>
      <c r="N112" s="102">
        <v>1352</v>
      </c>
      <c r="O112" s="102" t="s">
        <v>29792</v>
      </c>
      <c r="P112" t="s">
        <v>25659</v>
      </c>
      <c r="Q112" t="s">
        <v>1</v>
      </c>
      <c r="S112" t="str">
        <f t="shared" si="40"/>
        <v>88-230-09-00</v>
      </c>
      <c r="T112" s="129" t="s">
        <v>25299</v>
      </c>
      <c r="U112" s="112">
        <v>24</v>
      </c>
    </row>
    <row r="113" spans="1:21" x14ac:dyDescent="0.2">
      <c r="A113" s="102" t="s">
        <v>28176</v>
      </c>
      <c r="B113" s="102" t="s">
        <v>29691</v>
      </c>
      <c r="C113" s="102" t="s">
        <v>46</v>
      </c>
      <c r="D113" s="102" t="s">
        <v>92</v>
      </c>
      <c r="E113" s="102" t="s">
        <v>25615</v>
      </c>
      <c r="F113" s="102" t="s">
        <v>91</v>
      </c>
      <c r="G113" s="102" t="s">
        <v>29778</v>
      </c>
      <c r="H113" s="102" t="s">
        <v>29785</v>
      </c>
      <c r="I113" s="102" t="s">
        <v>27</v>
      </c>
      <c r="J113" s="102" t="s">
        <v>25993</v>
      </c>
      <c r="K113" s="102" t="s">
        <v>25678</v>
      </c>
      <c r="L113" s="102" t="s">
        <v>25598</v>
      </c>
      <c r="M113" s="102" t="s">
        <v>12</v>
      </c>
      <c r="N113" s="102">
        <v>1352</v>
      </c>
      <c r="O113" s="102" t="s">
        <v>29792</v>
      </c>
      <c r="P113" t="s">
        <v>25659</v>
      </c>
      <c r="Q113" t="s">
        <v>27</v>
      </c>
      <c r="S113" t="str">
        <f t="shared" ref="S113:S114" si="41">A113&amp;"-"&amp;T113</f>
        <v>88-260-06-00</v>
      </c>
      <c r="T113" s="129" t="s">
        <v>25299</v>
      </c>
      <c r="U113" s="112">
        <v>12</v>
      </c>
    </row>
    <row r="114" spans="1:21" x14ac:dyDescent="0.2">
      <c r="A114" s="102" t="s">
        <v>28180</v>
      </c>
      <c r="B114" s="102" t="s">
        <v>29692</v>
      </c>
      <c r="C114" s="102" t="s">
        <v>46</v>
      </c>
      <c r="D114" s="102" t="s">
        <v>92</v>
      </c>
      <c r="E114" s="102" t="s">
        <v>25615</v>
      </c>
      <c r="F114" s="102" t="s">
        <v>91</v>
      </c>
      <c r="G114" s="102" t="s">
        <v>29778</v>
      </c>
      <c r="H114" s="102" t="s">
        <v>29782</v>
      </c>
      <c r="I114" s="102" t="s">
        <v>27</v>
      </c>
      <c r="J114" s="102" t="s">
        <v>25993</v>
      </c>
      <c r="K114" s="102" t="s">
        <v>25678</v>
      </c>
      <c r="L114" s="102" t="s">
        <v>25598</v>
      </c>
      <c r="M114" s="102" t="s">
        <v>12</v>
      </c>
      <c r="N114" s="102">
        <v>1352</v>
      </c>
      <c r="O114" s="102" t="s">
        <v>29792</v>
      </c>
      <c r="P114" t="s">
        <v>25659</v>
      </c>
      <c r="Q114" t="s">
        <v>27</v>
      </c>
      <c r="S114" t="str">
        <f t="shared" si="41"/>
        <v>88-262-06-00</v>
      </c>
      <c r="T114" s="129" t="s">
        <v>25299</v>
      </c>
      <c r="U114" s="112">
        <v>12</v>
      </c>
    </row>
    <row r="115" spans="1:21" x14ac:dyDescent="0.2">
      <c r="A115" s="102" t="s">
        <v>29769</v>
      </c>
      <c r="B115" s="102" t="s">
        <v>29693</v>
      </c>
      <c r="C115" s="102" t="s">
        <v>46</v>
      </c>
      <c r="D115" s="102" t="s">
        <v>92</v>
      </c>
      <c r="E115" s="102" t="s">
        <v>25609</v>
      </c>
      <c r="F115" s="102" t="s">
        <v>91</v>
      </c>
      <c r="G115" s="102" t="s">
        <v>29778</v>
      </c>
      <c r="H115" s="102" t="s">
        <v>29790</v>
      </c>
      <c r="I115" s="102" t="s">
        <v>25472</v>
      </c>
      <c r="J115" s="102" t="s">
        <v>26443</v>
      </c>
      <c r="L115" s="102" t="s">
        <v>25598</v>
      </c>
      <c r="M115" s="102" t="s">
        <v>12</v>
      </c>
      <c r="N115" s="102">
        <v>1352</v>
      </c>
      <c r="O115" s="102" t="s">
        <v>29792</v>
      </c>
      <c r="P115" t="s">
        <v>25628</v>
      </c>
      <c r="S115" t="str">
        <f t="shared" ref="S115:S117" si="42">A115&amp;"-"&amp;T115</f>
        <v>88-345-08-00</v>
      </c>
      <c r="T115" s="129" t="s">
        <v>25299</v>
      </c>
      <c r="U115" s="112">
        <v>48</v>
      </c>
    </row>
    <row r="116" spans="1:21" x14ac:dyDescent="0.2">
      <c r="A116" s="102" t="s">
        <v>29770</v>
      </c>
      <c r="B116" s="102" t="s">
        <v>29694</v>
      </c>
      <c r="C116" s="102" t="s">
        <v>46</v>
      </c>
      <c r="D116" s="102" t="s">
        <v>92</v>
      </c>
      <c r="E116" s="102" t="s">
        <v>25609</v>
      </c>
      <c r="F116" s="102" t="s">
        <v>91</v>
      </c>
      <c r="G116" s="102" t="s">
        <v>29778</v>
      </c>
      <c r="H116" s="102" t="s">
        <v>29779</v>
      </c>
      <c r="I116" s="102" t="s">
        <v>28</v>
      </c>
      <c r="J116" s="102" t="s">
        <v>26443</v>
      </c>
      <c r="L116" s="102" t="s">
        <v>25598</v>
      </c>
      <c r="M116" s="102" t="s">
        <v>12</v>
      </c>
      <c r="N116" s="102">
        <v>1352</v>
      </c>
      <c r="O116" s="102" t="s">
        <v>29792</v>
      </c>
      <c r="P116" t="s">
        <v>25628</v>
      </c>
      <c r="S116" t="str">
        <f t="shared" si="42"/>
        <v>88-346-80-00</v>
      </c>
      <c r="T116" s="129" t="s">
        <v>25299</v>
      </c>
      <c r="U116" s="112">
        <v>12</v>
      </c>
    </row>
    <row r="117" spans="1:21" x14ac:dyDescent="0.2">
      <c r="A117" s="102" t="s">
        <v>29771</v>
      </c>
      <c r="B117" s="102" t="s">
        <v>29695</v>
      </c>
      <c r="C117" s="102" t="s">
        <v>46</v>
      </c>
      <c r="D117" s="102" t="s">
        <v>47</v>
      </c>
      <c r="E117" s="102" t="s">
        <v>25609</v>
      </c>
      <c r="F117" s="102" t="s">
        <v>91</v>
      </c>
      <c r="G117" s="102" t="s">
        <v>29778</v>
      </c>
      <c r="H117" s="102" t="s">
        <v>29785</v>
      </c>
      <c r="I117" s="102" t="s">
        <v>1</v>
      </c>
      <c r="J117" s="102" t="s">
        <v>59</v>
      </c>
      <c r="L117" s="102" t="s">
        <v>25598</v>
      </c>
      <c r="M117" s="102" t="s">
        <v>12</v>
      </c>
      <c r="N117" s="102">
        <v>1808.3</v>
      </c>
      <c r="O117" s="102" t="s">
        <v>29792</v>
      </c>
      <c r="P117" t="s">
        <v>25628</v>
      </c>
      <c r="S117" t="str">
        <f t="shared" si="42"/>
        <v>88-347-09-00</v>
      </c>
      <c r="T117" s="129" t="s">
        <v>25299</v>
      </c>
      <c r="U117" s="112">
        <v>12</v>
      </c>
    </row>
    <row r="118" spans="1:21" x14ac:dyDescent="0.2">
      <c r="A118" s="102" t="s">
        <v>28161</v>
      </c>
      <c r="B118" s="102" t="s">
        <v>29696</v>
      </c>
      <c r="C118" s="102" t="s">
        <v>46</v>
      </c>
      <c r="D118" s="102" t="s">
        <v>92</v>
      </c>
      <c r="E118" s="102" t="s">
        <v>25610</v>
      </c>
      <c r="F118" s="102" t="s">
        <v>91</v>
      </c>
      <c r="G118" s="102" t="s">
        <v>29778</v>
      </c>
      <c r="H118" s="102" t="s">
        <v>29784</v>
      </c>
      <c r="I118" s="102" t="s">
        <v>28</v>
      </c>
      <c r="J118" s="102" t="s">
        <v>25993</v>
      </c>
      <c r="K118" s="102" t="s">
        <v>25678</v>
      </c>
      <c r="L118" s="102" t="s">
        <v>25598</v>
      </c>
      <c r="M118" s="102" t="s">
        <v>12</v>
      </c>
      <c r="N118" s="102">
        <v>1352</v>
      </c>
      <c r="O118" s="102" t="s">
        <v>29792</v>
      </c>
      <c r="P118" t="s">
        <v>25647</v>
      </c>
      <c r="Q118" t="s">
        <v>28</v>
      </c>
      <c r="S118" t="str">
        <f t="shared" ref="S118:S119" si="43">A118&amp;"-"&amp;T118</f>
        <v>88-252-08-00</v>
      </c>
      <c r="T118" s="129" t="s">
        <v>25299</v>
      </c>
      <c r="U118" s="112">
        <v>102</v>
      </c>
    </row>
    <row r="119" spans="1:21" x14ac:dyDescent="0.2">
      <c r="A119" s="102" t="s">
        <v>29772</v>
      </c>
      <c r="B119" s="102" t="s">
        <v>29697</v>
      </c>
      <c r="C119" s="102" t="s">
        <v>46</v>
      </c>
      <c r="D119" s="102" t="s">
        <v>92</v>
      </c>
      <c r="E119" s="102" t="s">
        <v>25610</v>
      </c>
      <c r="F119" s="102" t="s">
        <v>91</v>
      </c>
      <c r="G119" s="102" t="s">
        <v>29778</v>
      </c>
      <c r="H119" s="102" t="s">
        <v>29791</v>
      </c>
      <c r="I119" s="102" t="s">
        <v>25424</v>
      </c>
      <c r="J119" s="102" t="s">
        <v>26443</v>
      </c>
      <c r="L119" s="102" t="s">
        <v>25598</v>
      </c>
      <c r="M119" s="102" t="s">
        <v>12</v>
      </c>
      <c r="N119" s="102">
        <v>1352</v>
      </c>
      <c r="O119" s="102" t="s">
        <v>29792</v>
      </c>
      <c r="P119" t="s">
        <v>25647</v>
      </c>
      <c r="S119" t="str">
        <f t="shared" si="43"/>
        <v>88-348-18-00</v>
      </c>
      <c r="T119" s="129" t="s">
        <v>25299</v>
      </c>
      <c r="U119" s="112">
        <v>150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CAPSLAB</v>
      </c>
      <c r="C2" s="67" t="str">
        <f>_xlfn.LET(_xlpm.Letter,LEFT(ADDRESS(1,COLUMN(Строчный!S1),4,1,)),"Строчный!"&amp;_xlpm.Letter&amp;"1:"&amp;_xlpm.Letter&amp;COUNTA(Строчный!S:S))</f>
        <v>Строчный!S1:S119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2022-05-13T13:05:27Z</dcterms:modified>
</cp:coreProperties>
</file>