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C348B40F-CF3B-43DF-99D6-EE99BDE5DAA9}" xr6:coauthVersionLast="47" xr6:coauthVersionMax="47" xr10:uidLastSave="{00000000-0000-0000-0000-000000000000}"/>
  <bookViews>
    <workbookView xWindow="-120" yWindow="-120" windowWidth="29040" windowHeight="15840" tabRatio="812" activeTab="15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6" i="9" l="1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C1" i="43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C2" i="43" s="1"/>
  <c r="AA1" i="39" a="1"/>
  <c r="AA1" i="39" l="1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E3" i="39" s="1"/>
  <c r="T3" i="39"/>
  <c r="T5" i="39"/>
  <c r="T7" i="39"/>
  <c r="T9" i="39"/>
  <c r="T11" i="39"/>
  <c r="T13" i="39"/>
  <c r="S4" i="39"/>
  <c r="AE4" i="39" s="1"/>
  <c r="S6" i="39"/>
  <c r="S8" i="39"/>
  <c r="S10" i="39"/>
  <c r="AE10" i="39" s="1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AE5" i="39" s="1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6" i="39"/>
  <c r="AE7" i="39"/>
  <c r="AE8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P3" i="39" s="1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U103" i="39" s="1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AC3" i="39"/>
  <c r="AU69" i="39"/>
  <c r="A17" i="43"/>
  <c r="Q2" i="39" l="1"/>
  <c r="Z116" i="39"/>
  <c r="P116" i="39"/>
  <c r="AU96" i="39"/>
  <c r="P96" i="39"/>
  <c r="Z108" i="39"/>
  <c r="P108" i="39"/>
  <c r="Z109" i="39"/>
  <c r="P109" i="39"/>
  <c r="AU92" i="39"/>
  <c r="P92" i="39"/>
  <c r="AU81" i="39"/>
  <c r="P81" i="39"/>
  <c r="Z105" i="39"/>
  <c r="P105" i="39"/>
  <c r="AU117" i="39"/>
  <c r="P117" i="39"/>
  <c r="AU100" i="39"/>
  <c r="P100" i="39"/>
  <c r="AU113" i="39"/>
  <c r="P113" i="39"/>
  <c r="AU89" i="39"/>
  <c r="P89" i="39"/>
  <c r="Z103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Z104" i="39"/>
  <c r="AP104" i="39" s="1"/>
  <c r="AU93" i="39"/>
  <c r="AU99" i="39"/>
  <c r="AU112" i="39"/>
  <c r="AU63" i="39"/>
  <c r="AU70" i="39"/>
  <c r="AU61" i="39"/>
  <c r="AU97" i="39"/>
  <c r="AU67" i="39"/>
  <c r="AU114" i="39"/>
  <c r="Z114" i="39"/>
  <c r="AU53" i="39"/>
  <c r="AU65" i="39"/>
  <c r="AU59" i="39"/>
  <c r="AU106" i="39"/>
  <c r="Z106" i="39"/>
  <c r="AU56" i="39"/>
  <c r="AU77" i="39"/>
  <c r="AU111" i="39"/>
  <c r="Z111" i="39"/>
  <c r="AU54" i="39"/>
  <c r="AU73" i="39"/>
  <c r="AU115" i="39"/>
  <c r="Z115" i="39"/>
  <c r="AU98" i="39"/>
  <c r="AU57" i="39"/>
  <c r="AU110" i="39"/>
  <c r="Z110" i="39"/>
  <c r="AU101" i="39"/>
  <c r="AU84" i="39"/>
  <c r="AU107" i="39"/>
  <c r="Z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AB117" i="39" s="1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AH76" i="39" s="1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AB90" i="39" s="1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AH80" i="39" s="1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AF74" i="39" s="1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K63" i="39"/>
  <c r="AK63" i="39" s="1"/>
  <c r="G63" i="39"/>
  <c r="R63" i="39" s="1"/>
  <c r="O63" i="39"/>
  <c r="H63" i="39"/>
  <c r="Q63" i="39"/>
  <c r="B63" i="39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Z38" i="39" s="1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K93" i="39"/>
  <c r="AK93" i="39" s="1"/>
  <c r="L93" i="39"/>
  <c r="AQ93" i="39" s="1"/>
  <c r="B93" i="39"/>
  <c r="M93" i="39"/>
  <c r="AS93" i="39" s="1"/>
  <c r="C93" i="39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AP116" i="39" s="1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AH66" i="39" s="1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AB94" i="39" s="1"/>
  <c r="Q94" i="39"/>
  <c r="F94" i="39"/>
  <c r="AM94" i="39" s="1"/>
  <c r="G94" i="39"/>
  <c r="R94" i="39" s="1"/>
  <c r="H94" i="39"/>
  <c r="I94" i="39"/>
  <c r="X94" i="39" s="1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Z85" i="39" s="1"/>
  <c r="AP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E86" i="39"/>
  <c r="H86" i="39"/>
  <c r="I86" i="39"/>
  <c r="X86" i="39" s="1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Z113" i="39" s="1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H105" i="39"/>
  <c r="Q105" i="39"/>
  <c r="I105" i="39"/>
  <c r="AO105" i="39" s="1"/>
  <c r="G105" i="39"/>
  <c r="R105" i="39" s="1"/>
  <c r="K105" i="39"/>
  <c r="AK105" i="39" s="1"/>
  <c r="B105" i="39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AF96" i="39" s="1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AP106" i="39" s="1"/>
  <c r="K106" i="39"/>
  <c r="AK106" i="39" s="1"/>
  <c r="B106" i="39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AF112" i="39" s="1"/>
  <c r="Q112" i="39"/>
  <c r="C112" i="39"/>
  <c r="AH112" i="39" s="1"/>
  <c r="F95" i="39"/>
  <c r="AM95" i="39" s="1"/>
  <c r="N95" i="39"/>
  <c r="H95" i="39"/>
  <c r="Q95" i="39"/>
  <c r="I95" i="39"/>
  <c r="X95" i="39" s="1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AH95" i="39" s="1"/>
  <c r="O95" i="39"/>
  <c r="D95" i="39"/>
  <c r="AJ95" i="39" s="1"/>
  <c r="E95" i="39"/>
  <c r="G95" i="39"/>
  <c r="R95" i="39" s="1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Y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AF73" i="39" s="1"/>
  <c r="M73" i="39"/>
  <c r="AS73" i="39" s="1"/>
  <c r="N73" i="39"/>
  <c r="C61" i="39"/>
  <c r="AH61" i="39" s="1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AF97" i="39" s="1"/>
  <c r="M97" i="39"/>
  <c r="AS97" i="39" s="1"/>
  <c r="C97" i="39"/>
  <c r="AH97" i="39" s="1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AJ47" i="39" s="1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Y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N41" i="39"/>
  <c r="G41" i="39"/>
  <c r="R41" i="39" s="1"/>
  <c r="O41" i="39"/>
  <c r="H41" i="39"/>
  <c r="Q41" i="39"/>
  <c r="B41" i="39"/>
  <c r="J41" i="39"/>
  <c r="AN41" i="39" s="1"/>
  <c r="D41" i="39"/>
  <c r="AJ41" i="39" s="1"/>
  <c r="I41" i="39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AS32" i="39" s="1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Z34" i="39" s="1"/>
  <c r="O34" i="39"/>
  <c r="F34" i="39"/>
  <c r="H34" i="39"/>
  <c r="AQ108" i="39"/>
  <c r="AU108" i="39"/>
  <c r="AJ83" i="39"/>
  <c r="AU83" i="39"/>
  <c r="AU58" i="39"/>
  <c r="AP108" i="39"/>
  <c r="AU85" i="39"/>
  <c r="AU94" i="39"/>
  <c r="AU55" i="39"/>
  <c r="AP114" i="39"/>
  <c r="AP103" i="39"/>
  <c r="Z117" i="39"/>
  <c r="AP117" i="39" s="1"/>
  <c r="AO31" i="39"/>
  <c r="Y2" i="39"/>
  <c r="AO2" i="39"/>
  <c r="AO23" i="39"/>
  <c r="AO104" i="39"/>
  <c r="AO93" i="39"/>
  <c r="AO40" i="39"/>
  <c r="AO19" i="39"/>
  <c r="AO26" i="39"/>
  <c r="AO63" i="39"/>
  <c r="AO51" i="39"/>
  <c r="AO16" i="39"/>
  <c r="AO33" i="39"/>
  <c r="AO17" i="39"/>
  <c r="AO87" i="39"/>
  <c r="AO76" i="39"/>
  <c r="AO43" i="39"/>
  <c r="AO12" i="39"/>
  <c r="AP107" i="39"/>
  <c r="AO107" i="39"/>
  <c r="AP109" i="39"/>
  <c r="AO109" i="39"/>
  <c r="AO79" i="39"/>
  <c r="AP115" i="39"/>
  <c r="AO115" i="39"/>
  <c r="AO108" i="39"/>
  <c r="AO68" i="39"/>
  <c r="AO89" i="39"/>
  <c r="AO81" i="39"/>
  <c r="AO53" i="39"/>
  <c r="AF87" i="39"/>
  <c r="AF52" i="39"/>
  <c r="AH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AF105" i="39"/>
  <c r="AR88" i="39"/>
  <c r="X66" i="39"/>
  <c r="AD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E87" i="39"/>
  <c r="AC87" i="39"/>
  <c r="AL87" i="39"/>
  <c r="AF83" i="39"/>
  <c r="AB66" i="39"/>
  <c r="AR54" i="39"/>
  <c r="AH63" i="39"/>
  <c r="AB63" i="39"/>
  <c r="AC59" i="39"/>
  <c r="AL59" i="39"/>
  <c r="AE59" i="39"/>
  <c r="AE77" i="39"/>
  <c r="AC77" i="39"/>
  <c r="AL77" i="39"/>
  <c r="AF63" i="39"/>
  <c r="Y53" i="39"/>
  <c r="X53" i="39"/>
  <c r="AD53" i="39"/>
  <c r="AB65" i="39"/>
  <c r="AH65" i="39"/>
  <c r="AC68" i="39"/>
  <c r="AL68" i="39"/>
  <c r="AE68" i="39"/>
  <c r="Y65" i="39"/>
  <c r="X65" i="39"/>
  <c r="AE114" i="39"/>
  <c r="AL114" i="39"/>
  <c r="AC114" i="39"/>
  <c r="AD114" i="39"/>
  <c r="AE111" i="39"/>
  <c r="AL111" i="39"/>
  <c r="AC111" i="39"/>
  <c r="X108" i="39"/>
  <c r="Y108" i="39"/>
  <c r="AD108" i="39"/>
  <c r="AR110" i="39"/>
  <c r="AD94" i="39"/>
  <c r="Y94" i="39"/>
  <c r="AC80" i="39"/>
  <c r="AL80" i="39"/>
  <c r="AE80" i="39"/>
  <c r="AB97" i="39"/>
  <c r="AR100" i="39"/>
  <c r="AL98" i="39"/>
  <c r="AC98" i="39"/>
  <c r="AE98" i="39"/>
  <c r="X91" i="39"/>
  <c r="AR80" i="39"/>
  <c r="AD86" i="39"/>
  <c r="AB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C57" i="39"/>
  <c r="AL57" i="39"/>
  <c r="AE57" i="39"/>
  <c r="AE74" i="39"/>
  <c r="AL74" i="39"/>
  <c r="AC74" i="39"/>
  <c r="Y71" i="39"/>
  <c r="AR66" i="39"/>
  <c r="AC55" i="39"/>
  <c r="AL55" i="39"/>
  <c r="AE55" i="39"/>
  <c r="AF54" i="39"/>
  <c r="AF56" i="39"/>
  <c r="AR52" i="39"/>
  <c r="AL52" i="39"/>
  <c r="AC52" i="39"/>
  <c r="AE52" i="39"/>
  <c r="AE90" i="39"/>
  <c r="AC90" i="39"/>
  <c r="AL90" i="39"/>
  <c r="AB106" i="39"/>
  <c r="AF111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C71" i="39"/>
  <c r="AL71" i="39"/>
  <c r="AE71" i="39"/>
  <c r="AR74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AD52" i="39"/>
  <c r="X52" i="39"/>
  <c r="Y52" i="39"/>
  <c r="AH52" i="39"/>
  <c r="AB52" i="39"/>
  <c r="AR117" i="39"/>
  <c r="AR109" i="39"/>
  <c r="AH103" i="39"/>
  <c r="AB103" i="39"/>
  <c r="AF106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AB105" i="39"/>
  <c r="AH105" i="39"/>
  <c r="AC103" i="39"/>
  <c r="AL103" i="39"/>
  <c r="AE103" i="39"/>
  <c r="Y100" i="39"/>
  <c r="AR93" i="39"/>
  <c r="AC100" i="39"/>
  <c r="AL100" i="39"/>
  <c r="AE100" i="39"/>
  <c r="AH89" i="39"/>
  <c r="AB89" i="39"/>
  <c r="AH101" i="39"/>
  <c r="AB101" i="39"/>
  <c r="AF101" i="39"/>
  <c r="X54" i="39"/>
  <c r="Y54" i="39"/>
  <c r="AC92" i="39"/>
  <c r="AL92" i="39"/>
  <c r="AE92" i="39"/>
  <c r="Y89" i="39"/>
  <c r="AD89" i="39"/>
  <c r="X89" i="39"/>
  <c r="AF90" i="39"/>
  <c r="AH86" i="39"/>
  <c r="AB86" i="39"/>
  <c r="AD81" i="39"/>
  <c r="X81" i="39"/>
  <c r="AF78" i="39"/>
  <c r="AD56" i="39"/>
  <c r="X56" i="39"/>
  <c r="Y56" i="39"/>
  <c r="AB60" i="39"/>
  <c r="AH60" i="39"/>
  <c r="AC64" i="39"/>
  <c r="AL64" i="39"/>
  <c r="AE64" i="39"/>
  <c r="AR53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E104" i="39"/>
  <c r="AC104" i="39"/>
  <c r="AL104" i="39"/>
  <c r="AR115" i="39"/>
  <c r="AR99" i="39"/>
  <c r="AR101" i="39"/>
  <c r="AC97" i="39"/>
  <c r="AL97" i="39"/>
  <c r="AE97" i="39"/>
  <c r="AR92" i="39"/>
  <c r="AC69" i="39"/>
  <c r="AL69" i="39"/>
  <c r="AE69" i="39"/>
  <c r="AF86" i="39"/>
  <c r="AC76" i="39"/>
  <c r="AE76" i="39"/>
  <c r="AL76" i="39"/>
  <c r="AB99" i="39"/>
  <c r="AH99" i="39"/>
  <c r="AH93" i="39"/>
  <c r="AB93" i="39"/>
  <c r="AF89" i="39"/>
  <c r="AD93" i="39"/>
  <c r="Y93" i="39"/>
  <c r="X93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Y69" i="39"/>
  <c r="AD62" i="39"/>
  <c r="X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X113" i="39"/>
  <c r="AR116" i="39"/>
  <c r="AE115" i="39"/>
  <c r="AL115" i="39"/>
  <c r="AC115" i="39"/>
  <c r="AB111" i="39"/>
  <c r="AD90" i="39"/>
  <c r="X90" i="39"/>
  <c r="Y90" i="39"/>
  <c r="AR103" i="39"/>
  <c r="AE105" i="39"/>
  <c r="AC105" i="39"/>
  <c r="AL105" i="39"/>
  <c r="AD102" i="39"/>
  <c r="X102" i="39"/>
  <c r="Y102" i="39"/>
  <c r="Y95" i="39"/>
  <c r="AD95" i="39"/>
  <c r="AB88" i="39"/>
  <c r="AH88" i="39"/>
  <c r="AF104" i="39"/>
  <c r="AH84" i="39"/>
  <c r="AB84" i="39"/>
  <c r="AR77" i="39"/>
  <c r="AR95" i="39"/>
  <c r="AR89" i="39"/>
  <c r="AH90" i="39"/>
  <c r="AC79" i="39"/>
  <c r="AL79" i="39"/>
  <c r="AE79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B61" i="39"/>
  <c r="AF57" i="39"/>
  <c r="AH108" i="39"/>
  <c r="AB108" i="39"/>
  <c r="AC117" i="39"/>
  <c r="AL117" i="39"/>
  <c r="X111" i="39"/>
  <c r="Y111" i="39"/>
  <c r="AD111" i="39"/>
  <c r="AD101" i="39"/>
  <c r="X101" i="39"/>
  <c r="Y101" i="39"/>
  <c r="AF113" i="39"/>
  <c r="AP110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R75" i="39"/>
  <c r="AR68" i="39"/>
  <c r="AH55" i="39"/>
  <c r="AB55" i="39"/>
  <c r="AR55" i="39"/>
  <c r="AR57" i="39"/>
  <c r="AH116" i="39"/>
  <c r="AB116" i="39"/>
  <c r="AD107" i="39"/>
  <c r="X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P111" i="39"/>
  <c r="AR108" i="39"/>
  <c r="AE107" i="39"/>
  <c r="AL107" i="39"/>
  <c r="AC107" i="39"/>
  <c r="AH100" i="39"/>
  <c r="AB100" i="39"/>
  <c r="AF114" i="39"/>
  <c r="AB58" i="39"/>
  <c r="AH58" i="39"/>
  <c r="AF100" i="39"/>
  <c r="AD85" i="39"/>
  <c r="X85" i="39"/>
  <c r="Y85" i="39"/>
  <c r="AH83" i="39"/>
  <c r="AB83" i="39"/>
  <c r="AF102" i="39"/>
  <c r="AE94" i="39"/>
  <c r="AL94" i="39"/>
  <c r="AC94" i="39"/>
  <c r="AR82" i="39"/>
  <c r="AB70" i="39"/>
  <c r="AH70" i="39"/>
  <c r="AH78" i="39"/>
  <c r="AB78" i="39"/>
  <c r="AB95" i="39"/>
  <c r="AF91" i="39"/>
  <c r="AR73" i="39"/>
  <c r="AF61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X29" i="39"/>
  <c r="Y13" i="39"/>
  <c r="X4" i="39"/>
  <c r="Y18" i="39"/>
  <c r="Y40" i="39"/>
  <c r="Y10" i="39"/>
  <c r="Y36" i="39"/>
  <c r="X7" i="39"/>
  <c r="Y27" i="39"/>
  <c r="Y17" i="39"/>
  <c r="X37" i="39"/>
  <c r="Y51" i="39"/>
  <c r="Y5" i="39"/>
  <c r="Y44" i="39"/>
  <c r="X49" i="39"/>
  <c r="Y41" i="39"/>
  <c r="Y30" i="39"/>
  <c r="X6" i="39"/>
  <c r="Y23" i="39"/>
  <c r="X32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34" i="39"/>
  <c r="X41" i="39"/>
  <c r="X26" i="39"/>
  <c r="Y6" i="39"/>
  <c r="X13" i="39"/>
  <c r="X44" i="39"/>
  <c r="X51" i="39"/>
  <c r="X24" i="39"/>
  <c r="Y8" i="39"/>
  <c r="X22" i="39"/>
  <c r="X50" i="39"/>
  <c r="X18" i="39"/>
  <c r="Y37" i="39"/>
  <c r="Y45" i="39"/>
  <c r="X2" i="39"/>
  <c r="X8" i="39"/>
  <c r="Y19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H47" i="39"/>
  <c r="AE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D42" i="39"/>
  <c r="AC42" i="39"/>
  <c r="AF42" i="39" s="1"/>
  <c r="AS41" i="39"/>
  <c r="AR41" i="39"/>
  <c r="AM41" i="39"/>
  <c r="AL41" i="39"/>
  <c r="AK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X9" i="39" l="1"/>
  <c r="Y9" i="39"/>
  <c r="AR58" i="39"/>
  <c r="AD54" i="39"/>
  <c r="AO82" i="39"/>
  <c r="Y86" i="39"/>
  <c r="AB75" i="39"/>
  <c r="AH94" i="39"/>
  <c r="AO85" i="39"/>
  <c r="AD98" i="39"/>
  <c r="AB72" i="39"/>
  <c r="AR87" i="39"/>
  <c r="Y81" i="39"/>
  <c r="AD65" i="39"/>
  <c r="X84" i="39"/>
  <c r="AR112" i="39"/>
  <c r="AB112" i="39"/>
  <c r="W112" i="39" s="1"/>
  <c r="X98" i="39"/>
  <c r="Y58" i="39"/>
  <c r="X77" i="39"/>
  <c r="AD71" i="39"/>
  <c r="X70" i="39"/>
  <c r="X114" i="39"/>
  <c r="X47" i="39"/>
  <c r="AD47" i="39"/>
  <c r="Y47" i="39"/>
  <c r="AR94" i="39"/>
  <c r="AR105" i="39"/>
  <c r="Y98" i="39"/>
  <c r="AF9" i="39"/>
  <c r="AD58" i="39"/>
  <c r="X83" i="39"/>
  <c r="AR91" i="39"/>
  <c r="Y66" i="39"/>
  <c r="AD77" i="39"/>
  <c r="X106" i="39"/>
  <c r="AD59" i="39"/>
  <c r="Y59" i="39"/>
  <c r="AR78" i="39"/>
  <c r="X58" i="39"/>
  <c r="Y83" i="39"/>
  <c r="X105" i="39"/>
  <c r="AO46" i="39"/>
  <c r="AO4" i="39"/>
  <c r="AD105" i="39"/>
  <c r="AO37" i="39"/>
  <c r="AR61" i="39"/>
  <c r="AD91" i="39"/>
  <c r="Y114" i="39"/>
  <c r="AO116" i="39"/>
  <c r="AO73" i="39"/>
  <c r="AD113" i="39"/>
  <c r="Y91" i="39"/>
  <c r="AO58" i="39"/>
  <c r="AO18" i="39"/>
  <c r="Y106" i="39"/>
  <c r="AR70" i="39"/>
  <c r="AD83" i="39"/>
  <c r="AO80" i="39"/>
  <c r="AO45" i="39"/>
  <c r="AH67" i="39"/>
  <c r="AH96" i="39"/>
  <c r="AR113" i="39"/>
  <c r="Y105" i="39"/>
  <c r="AB98" i="39"/>
  <c r="V98" i="39" s="1"/>
  <c r="AD106" i="39"/>
  <c r="AR106" i="39"/>
  <c r="Z56" i="39"/>
  <c r="AP56" i="39" s="1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25" i="39" s="1"/>
  <c r="AP91" i="39"/>
  <c r="Z84" i="39"/>
  <c r="AP84" i="39" s="1"/>
  <c r="Z59" i="39"/>
  <c r="AP59" i="39" s="1"/>
  <c r="Z67" i="39"/>
  <c r="AP67" i="39" s="1"/>
  <c r="Z64" i="39"/>
  <c r="AP64" i="39" s="1"/>
  <c r="Z94" i="39"/>
  <c r="AP94" i="39" s="1"/>
  <c r="AP11" i="39"/>
  <c r="AP15" i="39"/>
  <c r="AP46" i="39"/>
  <c r="AP98" i="39"/>
  <c r="AP97" i="39"/>
  <c r="AP113" i="39"/>
  <c r="AP71" i="39"/>
  <c r="Z62" i="39"/>
  <c r="AP62" i="39" s="1"/>
  <c r="Z6" i="39"/>
  <c r="AP6" i="39" s="1"/>
  <c r="Z49" i="39"/>
  <c r="AP49" i="39" s="1"/>
  <c r="AP73" i="39"/>
  <c r="AP99" i="39"/>
  <c r="Z57" i="39"/>
  <c r="AP57" i="39" s="1"/>
  <c r="Z70" i="39"/>
  <c r="AP70" i="39" s="1"/>
  <c r="Z66" i="39"/>
  <c r="AP66" i="39" s="1"/>
  <c r="AP47" i="39"/>
  <c r="AO36" i="39"/>
  <c r="AP55" i="39"/>
  <c r="AP52" i="39"/>
  <c r="AP93" i="39"/>
  <c r="Z7" i="39"/>
  <c r="AP7" i="39" s="1"/>
  <c r="Z44" i="39"/>
  <c r="AP44" i="39" s="1"/>
  <c r="Z69" i="39"/>
  <c r="AP69" i="39" s="1"/>
  <c r="Z72" i="39"/>
  <c r="AP72" i="39" s="1"/>
  <c r="Z102" i="39"/>
  <c r="AP102" i="39" s="1"/>
  <c r="Y67" i="39"/>
  <c r="X72" i="39"/>
  <c r="AO5" i="39"/>
  <c r="AB69" i="39"/>
  <c r="AI69" i="39" s="1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O55" i="39"/>
  <c r="AO94" i="39"/>
  <c r="AO9" i="39"/>
  <c r="AO96" i="39"/>
  <c r="AO92" i="39"/>
  <c r="AO27" i="39"/>
  <c r="AO11" i="39"/>
  <c r="AO84" i="39"/>
  <c r="AO52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P105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V112" i="39"/>
  <c r="V108" i="39"/>
  <c r="W108" i="39"/>
  <c r="V79" i="39"/>
  <c r="W79" i="39"/>
  <c r="V111" i="39"/>
  <c r="W111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V72" i="39"/>
  <c r="W72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75" i="39"/>
  <c r="W75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08" i="39"/>
  <c r="AI54" i="39"/>
  <c r="AI93" i="39"/>
  <c r="AI107" i="39"/>
  <c r="AI106" i="39"/>
  <c r="AI63" i="39"/>
  <c r="AI66" i="39"/>
  <c r="AI110" i="39"/>
  <c r="AI57" i="39"/>
  <c r="AI72" i="39"/>
  <c r="AI113" i="39"/>
  <c r="AI58" i="39"/>
  <c r="AI55" i="39"/>
  <c r="AI61" i="39"/>
  <c r="AI101" i="39"/>
  <c r="AI85" i="39"/>
  <c r="AI92" i="39"/>
  <c r="AI53" i="39"/>
  <c r="AI111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75" i="39"/>
  <c r="AI80" i="39"/>
  <c r="AI94" i="39"/>
  <c r="AI87" i="39"/>
  <c r="AP23" i="39"/>
  <c r="AP50" i="39"/>
  <c r="AP12" i="39"/>
  <c r="AP22" i="39"/>
  <c r="AP38" i="39"/>
  <c r="AP28" i="39"/>
  <c r="AP36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U5" i="39"/>
  <c r="AI46" i="39"/>
  <c r="AU4" i="39"/>
  <c r="AI48" i="39"/>
  <c r="AI29" i="39"/>
  <c r="AI13" i="39"/>
  <c r="AI31" i="39"/>
  <c r="AI41" i="39"/>
  <c r="AI10" i="39"/>
  <c r="AI2" i="39"/>
  <c r="AI7" i="39"/>
  <c r="AI14" i="39"/>
  <c r="AI16" i="39"/>
  <c r="AW25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I112" i="39" l="1"/>
  <c r="AV25" i="39"/>
  <c r="AV41" i="39"/>
  <c r="AT10" i="39"/>
  <c r="AV10" i="39"/>
  <c r="AT46" i="39"/>
  <c r="AW33" i="39"/>
  <c r="W69" i="39"/>
  <c r="AW69" i="39" s="1"/>
  <c r="AV44" i="39"/>
  <c r="V69" i="39"/>
  <c r="W98" i="39"/>
  <c r="AI98" i="39"/>
  <c r="AW41" i="39"/>
  <c r="AV45" i="39"/>
  <c r="AW2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V98" i="39"/>
  <c r="AW98" i="39"/>
  <c r="AT98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111" i="39"/>
  <c r="AW111" i="39"/>
  <c r="AT111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T69" i="39" l="1"/>
  <c r="AV69" i="39"/>
  <c r="AU6" i="39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<sst xmlns="http://schemas.openxmlformats.org/spreadsheetml/2006/main" count="35932" uniqueCount="28747">
  <si>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</si>
  <si>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</si>
  <si>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</si>
  <si>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</si>
  <si>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</si>
  <si>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</si>
  <si>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</si>
  <si>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</si>
  <si>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</si>
  <si>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</si>
  <si>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</si>
  <si>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</si>
  <si>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</si>
  <si>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</si>
  <si>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</si>
  <si>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</si>
  <si>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</si>
  <si>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</si>
  <si>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</si>
  <si>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</si>
  <si>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</si>
  <si>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</si>
  <si>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</si>
  <si>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</si>
  <si>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</si>
  <si>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</si>
  <si>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</si>
  <si>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</si>
  <si>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</si>
  <si>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</si>
  <si>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</si>
  <si>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</si>
  <si>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</si>
  <si>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</si>
  <si>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</si>
  <si>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</si>
  <si>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</si>
  <si>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</si>
  <si>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</si>
  <si>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</si>
  <si>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</si>
  <si>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</si>
  <si>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</si>
  <si>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</si>
  <si>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</si>
  <si>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</si>
  <si>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</si>
  <si>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</si>
  <si>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</si>
  <si>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</si>
  <si>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</si>
  <si>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</si>
  <si>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</si>
  <si>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</si>
  <si>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</si>
  <si>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</si>
  <si>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</si>
  <si>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</si>
  <si>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</si>
  <si>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</si>
  <si>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</si>
  <si>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</si>
  <si>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</si>
  <si>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</si>
  <si>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</si>
  <si>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</si>
  <si>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</si>
  <si>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</si>
  <si>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</si>
  <si>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</si>
  <si>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</si>
  <si>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</si>
  <si>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</si>
  <si>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</si>
  <si>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</si>
  <si>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</si>
  <si>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</si>
  <si>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</si>
  <si>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</si>
  <si>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</si>
  <si>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</si>
  <si>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</si>
  <si>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</si>
  <si>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</si>
  <si>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</si>
  <si>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</si>
  <si>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</si>
  <si>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</si>
  <si>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</si>
  <si>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</si>
  <si>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</si>
  <si>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</si>
  <si>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</si>
  <si>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</si>
  <si>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</si>
  <si>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</si>
  <si>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</si>
  <si>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</si>
  <si>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</si>
  <si>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</si>
  <si>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</si>
  <si>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</si>
  <si>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</si>
  <si>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</si>
  <si>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</si>
  <si>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</si>
  <si>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</si>
  <si>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</si>
  <si>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</si>
  <si>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</si>
  <si>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</si>
  <si>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</si>
  <si>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</si>
  <si>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</si>
  <si>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</si>
  <si>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</si>
  <si>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</si>
  <si>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</si>
  <si>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</si>
  <si>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</si>
  <si>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</si>
  <si>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</si>
  <si>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</si>
  <si>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</si>
  <si>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</si>
  <si>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</si>
  <si>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</si>
  <si>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</si>
  <si>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</si>
  <si>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</si>
  <si>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</si>
  <si>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</si>
  <si>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</si>
  <si>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</si>
  <si>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</si>
  <si>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</si>
  <si>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</si>
  <si>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</si>
  <si>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</si>
  <si>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</si>
  <si>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</si>
  <si>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</si>
  <si>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</si>
  <si>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</si>
  <si>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</si>
  <si>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</si>
  <si>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</si>
  <si>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</si>
  <si>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</si>
  <si>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</si>
  <si>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</si>
  <si>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</si>
  <si>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</si>
  <si>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</si>
  <si>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</si>
  <si>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</si>
  <si>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</si>
  <si>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</si>
  <si>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</si>
  <si>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</si>
  <si>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</si>
  <si>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</si>
  <si>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</si>
  <si>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</si>
  <si>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</si>
  <si>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</si>
  <si>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</si>
  <si>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</si>
  <si>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</si>
  <si>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</si>
  <si>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</si>
  <si>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</si>
  <si>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</si>
  <si>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</si>
  <si>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</si>
  <si>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</si>
  <si>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</si>
  <si>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</si>
  <si>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</si>
  <si>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</si>
  <si>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</si>
  <si>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</si>
  <si>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</si>
  <si>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</si>
  <si>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</si>
  <si>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</si>
  <si>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</si>
  <si>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</si>
  <si>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</si>
  <si>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</si>
  <si>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</si>
  <si>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</si>
  <si>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</si>
  <si>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</si>
  <si>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</si>
  <si>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</si>
  <si>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</si>
  <si>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</si>
  <si>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</si>
  <si>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</si>
  <si>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</si>
  <si>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</si>
  <si>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</si>
  <si>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</si>
  <si>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</si>
  <si>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</si>
  <si>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</si>
  <si>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</si>
  <si>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</si>
  <si>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</si>
  <si>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</si>
  <si>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</si>
  <si>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</si>
  <si>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</si>
  <si>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</si>
  <si>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</si>
  <si>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</si>
  <si>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</si>
  <si>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</si>
  <si>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</si>
  <si>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</si>
  <si>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</si>
  <si>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</si>
  <si>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</si>
  <si>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</si>
  <si>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</si>
  <si>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</si>
  <si>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</si>
  <si>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</si>
  <si>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</si>
  <si>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</si>
  <si>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</si>
  <si>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</si>
  <si>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</si>
  <si>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</si>
  <si>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</si>
  <si>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</si>
  <si>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</si>
  <si>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</si>
  <si>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</si>
  <si>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</si>
  <si>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</si>
  <si>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</si>
  <si>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</si>
  <si>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</si>
  <si>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</si>
  <si>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</si>
  <si>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</si>
  <si>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</si>
  <si>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</si>
  <si>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</si>
  <si>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</si>
  <si>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</si>
  <si>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</si>
  <si>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</si>
  <si>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</si>
  <si>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</si>
  <si>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</si>
  <si>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</si>
  <si>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</si>
  <si>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</si>
  <si>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</si>
  <si>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</si>
  <si>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</si>
  <si>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</si>
  <si>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</si>
  <si>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</si>
  <si>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</si>
  <si>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</si>
  <si>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</si>
  <si>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</si>
  <si>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</si>
  <si>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</si>
  <si>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</si>
  <si>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</si>
  <si>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</si>
  <si>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</si>
  <si>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</si>
  <si>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</si>
  <si>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</si>
  <si>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</si>
  <si>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</si>
  <si>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</si>
  <si>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</si>
  <si>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</si>
  <si>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</si>
  <si>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</si>
  <si>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</si>
  <si>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</si>
  <si>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</si>
  <si>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</si>
  <si>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</si>
  <si>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</si>
  <si>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</si>
  <si>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</si>
  <si>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</si>
  <si>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</si>
  <si>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</si>
  <si>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</si>
  <si>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</si>
  <si>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</si>
  <si>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</si>
  <si>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</si>
  <si>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</si>
  <si>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</si>
  <si>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</si>
  <si>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</si>
  <si>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</si>
  <si>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</si>
  <si>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</si>
  <si>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</si>
  <si>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</si>
  <si>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</si>
  <si>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</si>
  <si>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</si>
  <si>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</si>
  <si>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</si>
  <si>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</si>
  <si>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</si>
  <si>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</si>
  <si>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</si>
  <si>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</si>
  <si>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</si>
  <si>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</si>
  <si>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</si>
  <si>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</si>
  <si>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</si>
  <si>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</si>
  <si>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</si>
  <si>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</si>
  <si>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</si>
  <si>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</si>
  <si>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</si>
  <si>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</si>
  <si>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</si>
  <si>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</si>
  <si>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</si>
  <si>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</si>
  <si>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</si>
  <si>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</si>
  <si>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</si>
  <si>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</si>
  <si>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</si>
  <si>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</si>
  <si>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</si>
  <si>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</si>
  <si>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</si>
  <si>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</si>
  <si>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</si>
  <si>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</si>
  <si>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</si>
  <si>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</si>
  <si>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</si>
  <si>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</si>
  <si>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</si>
  <si>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</si>
  <si>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</si>
  <si>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</si>
  <si>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</si>
  <si>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</si>
  <si>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</si>
  <si>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</si>
  <si>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</si>
  <si>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</si>
  <si>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</si>
  <si>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</si>
  <si>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</si>
  <si>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</si>
  <si>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</si>
  <si>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</si>
  <si>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</si>
  <si>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</si>
  <si>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</si>
  <si>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</si>
  <si>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</si>
  <si>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</si>
  <si>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</si>
  <si>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</si>
  <si>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</si>
  <si>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</si>
  <si>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</si>
  <si>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</si>
  <si>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</si>
  <si>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</si>
  <si>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</si>
  <si>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</si>
  <si>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</si>
  <si>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</si>
  <si>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</si>
  <si>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</si>
  <si>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</si>
  <si>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</si>
  <si>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</si>
  <si>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</si>
  <si>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</si>
  <si>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</si>
  <si>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</si>
  <si>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</si>
  <si>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</si>
  <si>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</si>
  <si>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</si>
  <si>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</si>
  <si>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</si>
  <si>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</si>
  <si>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</si>
  <si>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</si>
  <si>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</si>
  <si>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</si>
  <si>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</si>
  <si>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</si>
  <si>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</si>
  <si>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</si>
  <si>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</si>
  <si>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</si>
  <si>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</si>
  <si>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</si>
  <si>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</si>
  <si>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</si>
  <si>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</si>
  <si>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</si>
  <si>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</si>
  <si>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</si>
  <si>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</si>
  <si>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</si>
  <si>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</si>
  <si>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</si>
  <si>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</si>
  <si>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</si>
  <si>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</si>
  <si>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</si>
  <si>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</si>
  <si>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</si>
  <si>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</si>
  <si>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</si>
  <si>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</si>
  <si>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</si>
  <si>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</si>
  <si>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</si>
  <si>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</si>
  <si>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</si>
  <si>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</si>
  <si>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</si>
  <si>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</si>
  <si>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</si>
  <si>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</si>
  <si>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</si>
  <si>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</si>
  <si>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</si>
  <si>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</si>
  <si>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</si>
  <si>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</si>
  <si>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</si>
  <si>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</si>
  <si>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</si>
  <si>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</si>
  <si>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</si>
  <si>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</si>
  <si>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</si>
  <si>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</si>
  <si>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</si>
  <si>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</si>
  <si>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</si>
  <si>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</si>
  <si>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</si>
  <si>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</si>
  <si>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</si>
  <si>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</si>
  <si>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</si>
  <si>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</si>
  <si>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</si>
  <si>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</si>
  <si>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</si>
  <si>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</si>
  <si>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</si>
  <si>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</si>
  <si>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</si>
  <si>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</si>
  <si>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</si>
  <si>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</si>
  <si>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</si>
  <si>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</si>
  <si>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</si>
  <si>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</si>
  <si>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</si>
  <si>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</si>
  <si>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</si>
  <si>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</si>
  <si>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</si>
  <si>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</si>
  <si>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</si>
  <si>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</si>
  <si>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</si>
  <si>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</si>
  <si>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</si>
  <si>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</si>
  <si>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</si>
  <si>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</si>
  <si>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</si>
  <si>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</si>
  <si>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</si>
  <si>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</si>
  <si>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</si>
  <si>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</si>
  <si>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</si>
  <si>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</si>
  <si>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</si>
  <si>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</si>
  <si>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</si>
  <si>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</si>
  <si>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</si>
  <si>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</si>
  <si>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</si>
  <si>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</si>
  <si>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</si>
  <si>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</si>
  <si>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</si>
  <si>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</si>
  <si>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</si>
  <si>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</si>
  <si>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</si>
  <si>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</si>
  <si>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</si>
  <si>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</si>
  <si>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</si>
  <si>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</si>
  <si>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</si>
  <si>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</si>
  <si>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</si>
  <si>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</si>
  <si>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</si>
  <si>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</si>
  <si>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</si>
  <si>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</si>
  <si>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</si>
  <si>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</si>
  <si>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</si>
  <si>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</si>
  <si>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</si>
  <si>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</si>
  <si>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</si>
  <si>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</si>
  <si>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</si>
  <si>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</si>
  <si>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</si>
  <si>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</si>
  <si>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</si>
  <si>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</si>
  <si>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</si>
  <si>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</si>
  <si>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</si>
  <si>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</si>
  <si>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</si>
  <si>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</si>
  <si>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</si>
  <si>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</si>
  <si>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</si>
  <si>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</si>
  <si>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</si>
  <si>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</si>
  <si>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</si>
  <si>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</si>
  <si>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</si>
  <si>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</si>
  <si>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</si>
  <si>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</si>
  <si>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</si>
  <si>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</si>
  <si>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</si>
  <si>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</si>
  <si>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</si>
  <si>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</si>
  <si>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</si>
  <si>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</si>
  <si>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</si>
  <si>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</si>
  <si>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</si>
  <si>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</si>
  <si>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</si>
  <si>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</si>
  <si>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</si>
  <si>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</si>
  <si>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</si>
  <si>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</si>
  <si>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</si>
  <si>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</si>
  <si>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</si>
  <si>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</si>
  <si>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</si>
  <si>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</si>
  <si>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</si>
  <si>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</si>
  <si>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</si>
  <si>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</si>
  <si>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</si>
  <si>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</si>
  <si>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</si>
  <si>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</si>
  <si>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</si>
  <si>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</si>
  <si>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</si>
  <si>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</si>
  <si>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</si>
  <si>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</si>
  <si>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</si>
  <si>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</si>
  <si>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</si>
  <si>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</si>
  <si>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</si>
  <si>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</si>
  <si>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</si>
  <si>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</si>
  <si>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</si>
  <si>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</si>
  <si>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</si>
  <si>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</si>
  <si>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</si>
  <si>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</si>
  <si>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</si>
  <si>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</si>
  <si>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</si>
  <si>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</si>
  <si>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</si>
  <si>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</si>
  <si>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</si>
  <si>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</si>
  <si>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</si>
  <si>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</si>
  <si>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</si>
  <si>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</si>
  <si>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</si>
  <si>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</si>
  <si>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</si>
  <si>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</si>
  <si>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</si>
  <si>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</si>
  <si>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</si>
  <si>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</si>
  <si>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</si>
  <si>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</si>
  <si>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</si>
  <si>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</si>
  <si>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</si>
  <si>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</si>
  <si>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</si>
  <si>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</si>
  <si>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</si>
  <si>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</si>
  <si>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</si>
  <si>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</si>
  <si>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</si>
  <si>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</si>
  <si>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</si>
  <si>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</si>
  <si>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</si>
  <si>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</si>
  <si>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</si>
  <si>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</si>
  <si>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</si>
  <si>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</si>
  <si>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</si>
  <si>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</si>
  <si>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</si>
  <si>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</si>
  <si>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</si>
  <si>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</si>
  <si>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</si>
  <si>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</si>
  <si>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</si>
  <si>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</si>
  <si>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</si>
  <si>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</si>
  <si>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</si>
  <si>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</si>
  <si>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</si>
  <si>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</si>
  <si>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</si>
  <si>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</si>
  <si>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</si>
  <si>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</si>
  <si>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</si>
  <si>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</si>
  <si>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</si>
  <si>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</si>
  <si>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</si>
  <si>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</si>
  <si>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</si>
  <si>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</si>
  <si>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</si>
  <si>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</si>
  <si>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</si>
  <si>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</si>
  <si>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</si>
  <si>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</si>
  <si>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</si>
  <si>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</si>
  <si>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</si>
  <si>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</si>
  <si>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</si>
  <si>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</si>
  <si>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</si>
  <si>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</si>
  <si>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</si>
  <si>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</si>
  <si>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</si>
  <si>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</si>
  <si>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</si>
  <si>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</si>
  <si>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</si>
  <si>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</si>
  <si>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</si>
  <si>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</si>
  <si>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</si>
  <si>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</si>
  <si>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</si>
  <si>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</si>
  <si>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</si>
  <si>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</si>
  <si>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</si>
  <si>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</si>
  <si>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</si>
  <si>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</si>
  <si>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</si>
  <si>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</si>
  <si>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</si>
  <si>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</si>
  <si>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</si>
  <si>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</si>
  <si>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</si>
  <si>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</si>
  <si>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</si>
  <si>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</si>
  <si>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</si>
  <si>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</si>
  <si>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</si>
  <si>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</si>
  <si>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</si>
  <si>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</si>
  <si>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</si>
  <si>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</si>
  <si>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</si>
  <si>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</si>
  <si>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</si>
  <si>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</si>
  <si>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</si>
  <si>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</si>
  <si>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</si>
  <si>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</si>
  <si>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</si>
  <si>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</si>
  <si>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</si>
  <si>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</si>
  <si>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</si>
  <si>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</si>
  <si>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</si>
  <si>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</si>
  <si>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</si>
  <si>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</si>
  <si>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</si>
  <si>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</si>
  <si>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</si>
  <si>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</si>
  <si>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</si>
  <si>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</si>
  <si>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</si>
  <si>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</si>
  <si>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</si>
  <si>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</si>
  <si>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</si>
  <si>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</si>
  <si>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</si>
  <si>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</si>
  <si>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</si>
  <si>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</si>
  <si>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</si>
  <si>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</si>
  <si>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</si>
  <si>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</si>
  <si>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</si>
  <si>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</si>
  <si>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</si>
  <si>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</si>
  <si>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</si>
  <si>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</si>
  <si>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</si>
  <si>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</si>
  <si>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</si>
  <si>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</si>
  <si>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</si>
  <si>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</si>
  <si>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</si>
  <si>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</si>
  <si>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</si>
  <si>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</si>
  <si>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</si>
  <si>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</si>
  <si>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</si>
  <si>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</si>
  <si>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</si>
  <si>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</si>
  <si>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</si>
  <si>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</si>
  <si>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</si>
  <si>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</si>
  <si>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</si>
  <si>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</si>
  <si>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</si>
  <si>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</si>
  <si>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</si>
  <si>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</si>
  <si>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</si>
  <si>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</si>
  <si>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</si>
  <si>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</si>
  <si>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</si>
  <si>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</si>
  <si>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</si>
  <si>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</si>
  <si>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</si>
  <si>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</si>
  <si>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</si>
  <si>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</si>
  <si>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</si>
  <si>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</si>
  <si>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</si>
  <si>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</si>
  <si>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</si>
  <si>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</si>
  <si>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</si>
  <si>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</si>
  <si>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</si>
  <si>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</si>
  <si>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</si>
  <si>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</si>
  <si>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</si>
  <si>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</si>
  <si>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</si>
  <si>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</si>
  <si>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</si>
  <si>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</si>
  <si>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</si>
  <si>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</si>
  <si>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</si>
  <si>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</si>
  <si>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</si>
  <si>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</si>
  <si>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</si>
  <si>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</si>
  <si>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</si>
  <si>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</si>
  <si>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</si>
  <si>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</si>
  <si>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</si>
  <si>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</si>
  <si>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</si>
  <si>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</si>
  <si>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</si>
  <si>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</si>
  <si>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</si>
  <si>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</si>
  <si>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</si>
  <si>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</si>
  <si>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</si>
  <si>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</si>
  <si>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</si>
  <si>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</si>
  <si>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</si>
  <si>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</si>
  <si>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</si>
  <si>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</si>
  <si>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</si>
  <si>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</si>
  <si>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</si>
  <si>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</si>
  <si>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</si>
  <si>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</si>
  <si>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</si>
  <si>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</si>
  <si>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</si>
  <si>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</si>
  <si>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</si>
  <si>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</si>
  <si>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</si>
  <si>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</si>
  <si>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</si>
  <si>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</si>
  <si>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</si>
  <si>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</si>
  <si>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</si>
  <si>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</si>
  <si>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</si>
  <si>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</si>
  <si>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</si>
  <si>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</si>
  <si>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</si>
  <si>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</si>
  <si>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</si>
  <si>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</si>
  <si>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</si>
  <si>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</si>
  <si>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</si>
  <si>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</si>
  <si>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</si>
  <si>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</si>
  <si>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</si>
  <si>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</si>
  <si>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</si>
  <si>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</si>
  <si>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</si>
  <si>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</si>
  <si>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</si>
  <si>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</si>
  <si>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</si>
  <si>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</si>
  <si>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</si>
  <si>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</si>
  <si>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</si>
  <si>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</si>
  <si>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</si>
  <si>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</si>
  <si>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</si>
  <si>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</si>
  <si>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</si>
  <si>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</si>
  <si>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</si>
  <si>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</si>
  <si>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</si>
  <si>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</si>
  <si>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</si>
  <si>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</si>
  <si>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</si>
  <si>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</si>
  <si>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</si>
  <si>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</si>
  <si>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</si>
  <si>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</si>
  <si>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</si>
  <si>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</si>
  <si>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</si>
  <si>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</si>
  <si>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</si>
  <si>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</si>
  <si>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</si>
  <si>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</si>
  <si>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</si>
  <si>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</si>
  <si>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</si>
  <si>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</si>
  <si>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</si>
  <si>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</si>
  <si>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</si>
  <si>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</si>
  <si>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</si>
  <si>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</si>
  <si>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</si>
  <si>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</si>
  <si>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</si>
  <si>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</si>
  <si>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</si>
  <si>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</si>
  <si>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</si>
  <si>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</si>
  <si>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</si>
  <si>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</si>
  <si>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</si>
  <si>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</si>
  <si>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</si>
  <si>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</si>
  <si>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</si>
  <si>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</si>
  <si>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</si>
  <si>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</si>
  <si>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</si>
  <si>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</si>
  <si>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</si>
  <si>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</si>
  <si>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</si>
  <si>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</si>
  <si>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</si>
  <si>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</si>
  <si>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</si>
  <si>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</si>
  <si>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</si>
  <si>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</si>
  <si>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</si>
  <si>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</si>
  <si>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</si>
  <si>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</si>
  <si>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</si>
  <si>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</si>
  <si>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</si>
  <si>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</si>
  <si>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</si>
  <si>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</si>
  <si>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</si>
  <si>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</si>
  <si>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</si>
  <si>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</si>
  <si>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</si>
  <si>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</si>
  <si>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</si>
  <si>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</si>
  <si>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</si>
  <si>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</si>
  <si>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</si>
  <si>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</si>
  <si>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</si>
  <si>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</si>
  <si>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</si>
  <si>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</si>
  <si>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</si>
  <si>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</si>
  <si>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</si>
  <si>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</si>
  <si>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</si>
  <si>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</si>
  <si>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</si>
  <si>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</si>
  <si>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</si>
  <si>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</si>
  <si>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</si>
  <si>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</si>
  <si>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</si>
  <si>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</si>
  <si>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</si>
  <si>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</si>
  <si>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</si>
  <si>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</si>
  <si>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</si>
  <si>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</si>
  <si>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</si>
  <si>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</si>
  <si>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</si>
  <si>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</si>
  <si>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</si>
  <si>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</si>
  <si>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</si>
  <si>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</si>
  <si>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</si>
  <si>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</si>
  <si>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</si>
  <si>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</si>
  <si>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</si>
  <si>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</si>
  <si>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</si>
  <si>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</si>
  <si>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</si>
  <si>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</si>
  <si>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</si>
  <si>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</si>
  <si>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</si>
  <si>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</si>
  <si>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</si>
  <si>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</si>
  <si>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</si>
  <si>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</si>
  <si>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</si>
  <si>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</si>
  <si>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</si>
  <si>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</si>
  <si>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</si>
  <si>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</si>
  <si>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</si>
  <si>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</si>
  <si>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</si>
  <si>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</si>
  <si>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</si>
  <si>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</si>
  <si>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</si>
  <si>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</si>
  <si>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</si>
  <si>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</si>
  <si>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</si>
  <si>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</si>
  <si>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</si>
  <si>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</si>
  <si>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</si>
  <si>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</si>
  <si>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</si>
  <si>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</si>
  <si>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</si>
  <si>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</si>
  <si>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</si>
  <si>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</si>
  <si>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</si>
  <si>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</si>
  <si>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</si>
  <si>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</si>
  <si>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</si>
  <si>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</si>
  <si>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</si>
  <si>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</si>
  <si>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</si>
  <si>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</si>
  <si>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</si>
  <si>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</si>
  <si>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</si>
  <si>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</si>
  <si>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</si>
  <si>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</si>
  <si>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</si>
  <si>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</si>
  <si>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</si>
  <si>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</si>
  <si>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</si>
  <si>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</si>
  <si>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</si>
  <si>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</si>
  <si>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</si>
  <si>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</si>
  <si>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</si>
  <si>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</si>
  <si>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</si>
  <si>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</si>
  <si>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</si>
  <si>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</si>
  <si>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</si>
  <si>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</si>
  <si>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</si>
  <si>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</si>
  <si>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</si>
  <si>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</si>
  <si>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</si>
  <si>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</si>
  <si>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</si>
  <si>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</si>
  <si>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</si>
  <si>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</si>
  <si>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</si>
  <si>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</si>
  <si>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</si>
  <si>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</si>
  <si>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</si>
  <si>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</si>
  <si>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</si>
  <si>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</si>
  <si>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</si>
  <si>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</si>
  <si>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</si>
  <si>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</si>
  <si>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</si>
  <si>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</si>
  <si>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</si>
  <si>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</si>
  <si>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</si>
  <si>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</si>
  <si>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</si>
  <si>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</si>
  <si>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</si>
  <si>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</si>
  <si>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</si>
  <si>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</si>
  <si>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</si>
  <si>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</si>
  <si>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</si>
  <si>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</si>
  <si>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</si>
  <si>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</si>
  <si>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</si>
  <si>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</si>
  <si>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</si>
  <si>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</si>
  <si>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</si>
  <si>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</si>
  <si>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</si>
  <si>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</si>
  <si>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</si>
  <si>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</si>
  <si>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</si>
  <si>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</si>
  <si>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</si>
  <si>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</si>
  <si>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</si>
  <si>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</si>
  <si>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</si>
  <si>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</si>
  <si>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</si>
  <si>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</si>
  <si>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</si>
  <si>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</si>
  <si>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</si>
  <si>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</si>
  <si>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</si>
  <si>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</si>
  <si>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</si>
  <si>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</si>
  <si>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</si>
  <si>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</si>
  <si>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</si>
  <si>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</si>
  <si>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</si>
  <si>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</si>
  <si>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</si>
  <si>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</si>
  <si>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</si>
  <si>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</si>
  <si>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</si>
  <si>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</si>
  <si>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</si>
  <si>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</si>
  <si>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</si>
  <si>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</si>
  <si>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</si>
  <si>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</si>
  <si>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</si>
  <si>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</si>
  <si>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</si>
  <si>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</si>
  <si>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</si>
  <si>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</si>
  <si>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</si>
  <si>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</si>
  <si>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</si>
  <si>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</si>
  <si>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</si>
  <si>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</si>
  <si>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</si>
  <si>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</si>
  <si>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</si>
  <si>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</si>
  <si>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</si>
  <si>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</si>
  <si>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</si>
  <si>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</si>
  <si>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</si>
  <si>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</si>
  <si>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</si>
  <si>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</si>
  <si>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</si>
  <si>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</si>
  <si>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</si>
  <si>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</si>
  <si>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</si>
  <si>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</si>
  <si>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</si>
  <si>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</si>
  <si>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</si>
  <si>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</si>
  <si>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</si>
  <si>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</si>
  <si>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</si>
  <si>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</si>
  <si>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</si>
  <si>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</si>
  <si>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</si>
  <si>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</si>
  <si>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</si>
  <si>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</si>
  <si>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</si>
  <si>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</si>
  <si>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</si>
  <si>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</si>
  <si>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</si>
  <si>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</si>
  <si>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</si>
  <si>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</si>
  <si>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</si>
  <si>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</si>
  <si>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</si>
  <si>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</si>
  <si>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</si>
  <si>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</si>
  <si>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</si>
  <si>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</si>
  <si>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</si>
  <si>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</si>
  <si>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</si>
  <si>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</si>
  <si>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</si>
  <si>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</si>
  <si>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</si>
  <si>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</si>
  <si>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</si>
  <si>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</si>
  <si>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</si>
  <si>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</si>
  <si>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</si>
  <si>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</si>
  <si>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</si>
  <si>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</si>
  <si>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</si>
  <si>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</si>
  <si>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</si>
  <si>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</si>
  <si>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</si>
  <si>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</si>
  <si>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</si>
  <si>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</si>
  <si>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</si>
  <si>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</si>
  <si>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</si>
  <si>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</si>
  <si>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</si>
  <si>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</si>
  <si>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</si>
  <si>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</si>
  <si>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</si>
  <si>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</si>
  <si>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</si>
  <si>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</si>
  <si>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</si>
  <si>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</si>
  <si>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</si>
  <si>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</si>
  <si>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</si>
  <si>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</si>
  <si>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</si>
  <si>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</si>
  <si>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</si>
  <si>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</si>
  <si>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</si>
  <si>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</si>
  <si>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</si>
  <si>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</si>
  <si>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</si>
  <si>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</si>
  <si>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</si>
  <si>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</si>
  <si>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</si>
  <si>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</si>
  <si>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</si>
  <si>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</si>
  <si>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</si>
  <si>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</si>
  <si>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</si>
  <si>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</si>
  <si>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</si>
  <si>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</si>
  <si>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</si>
  <si>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</si>
  <si>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</si>
  <si>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</si>
  <si>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</si>
  <si>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</si>
  <si>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</si>
  <si>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</si>
  <si>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</si>
  <si>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</si>
  <si>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</si>
  <si>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</si>
  <si>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</si>
  <si>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</si>
  <si>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</si>
  <si>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</si>
  <si>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</si>
  <si>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</si>
  <si>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</si>
  <si>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</si>
  <si>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</si>
  <si>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</si>
  <si>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</si>
  <si>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</si>
  <si>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</si>
  <si>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</si>
  <si>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</si>
  <si>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</si>
  <si>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</si>
  <si>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</si>
  <si>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</si>
  <si>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</si>
  <si>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</si>
  <si>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</si>
  <si>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</si>
  <si>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</si>
  <si>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</si>
  <si>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</si>
  <si>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</si>
  <si>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</si>
  <si>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</si>
  <si>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</si>
  <si>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</si>
  <si>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</si>
  <si>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</si>
  <si>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</si>
  <si>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</si>
  <si>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</si>
  <si>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</si>
  <si>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</si>
  <si>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</si>
  <si>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</si>
  <si>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</si>
  <si>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</si>
  <si>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</si>
  <si>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</si>
  <si>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</si>
  <si>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</si>
  <si>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</si>
  <si>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</si>
  <si>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</si>
  <si>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</si>
  <si>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</si>
  <si>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</si>
  <si>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</si>
  <si>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</si>
  <si>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</si>
  <si>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</si>
  <si>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</si>
  <si>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</si>
  <si>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</si>
  <si>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</si>
  <si>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</si>
  <si>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</si>
  <si>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</si>
  <si>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</si>
  <si>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</si>
  <si>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</si>
  <si>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</si>
  <si>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</si>
  <si>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</si>
  <si>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</si>
  <si>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</si>
  <si>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</si>
  <si>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</si>
  <si>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</si>
  <si>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</si>
  <si>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</si>
  <si>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</si>
  <si>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</si>
  <si>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</si>
  <si>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</si>
  <si>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</si>
  <si>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</si>
  <si>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</si>
  <si>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</si>
  <si>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</si>
  <si>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</si>
  <si>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</si>
  <si>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</si>
  <si>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</si>
  <si>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</si>
  <si>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</si>
  <si>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</si>
  <si>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</si>
  <si>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</si>
  <si>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</si>
  <si>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</si>
  <si>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</si>
  <si>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</si>
  <si>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</si>
  <si>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</si>
  <si>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</si>
  <si>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</si>
  <si>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</si>
  <si>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</si>
  <si>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</si>
  <si>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</si>
  <si>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</si>
  <si>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</si>
  <si>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</si>
  <si>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</si>
  <si>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</si>
  <si>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</si>
  <si>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</si>
  <si>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</si>
  <si>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</si>
  <si>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</si>
  <si>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</si>
  <si>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</si>
  <si>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</si>
  <si>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</si>
  <si>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</si>
  <si>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</si>
  <si>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</si>
  <si>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</si>
  <si>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</si>
  <si>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</si>
  <si>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</si>
  <si>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</si>
  <si>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</si>
  <si>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</si>
  <si>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</si>
  <si>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</si>
  <si>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</si>
  <si>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</si>
  <si>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</si>
  <si>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</si>
  <si>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</si>
  <si>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</si>
  <si>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</si>
  <si>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</si>
  <si>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</si>
  <si>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</si>
  <si>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</si>
  <si>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</si>
  <si>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</si>
  <si>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</si>
  <si>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</si>
  <si>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</si>
  <si>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</si>
  <si>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</si>
  <si>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</si>
  <si>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</si>
  <si>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</si>
  <si>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</si>
  <si>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</si>
  <si>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</si>
  <si>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</si>
  <si>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</si>
  <si>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</si>
  <si>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</si>
  <si>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</si>
  <si>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</si>
  <si>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</si>
  <si>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</si>
  <si>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</si>
  <si>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</si>
  <si>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</si>
  <si>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</si>
  <si>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</si>
  <si>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</si>
  <si>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</si>
  <si>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</si>
  <si>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</si>
  <si>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</si>
  <si>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</si>
  <si>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</si>
  <si>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</si>
  <si>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</si>
  <si>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</si>
  <si>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</si>
  <si>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</si>
  <si>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</si>
  <si>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</si>
  <si>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</si>
  <si>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</si>
  <si>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</si>
  <si>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</si>
  <si>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</si>
  <si>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</si>
  <si>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</si>
  <si>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</si>
  <si>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</si>
  <si>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</si>
  <si>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</si>
  <si>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</si>
  <si>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</si>
  <si>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</si>
  <si>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</si>
  <si>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</si>
  <si>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</si>
  <si>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</si>
  <si>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</si>
  <si>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</si>
  <si>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</si>
  <si>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</si>
  <si>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</si>
  <si>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</si>
  <si>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</si>
  <si>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</si>
  <si>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</si>
  <si>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</si>
  <si>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</si>
  <si>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</si>
  <si>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</si>
  <si>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</si>
  <si>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</si>
  <si>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</si>
  <si>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</si>
  <si>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</si>
  <si>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</si>
  <si>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</si>
  <si>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</si>
  <si>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</si>
  <si>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</si>
  <si>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</si>
  <si>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</si>
  <si>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</si>
  <si>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</si>
  <si>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</si>
  <si>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</si>
  <si>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</si>
  <si>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</si>
  <si>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</si>
  <si>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</si>
  <si>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</si>
  <si>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</si>
  <si>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</si>
  <si>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</si>
  <si>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</si>
  <si>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</si>
  <si>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</si>
  <si>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</si>
  <si>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</si>
  <si>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</si>
  <si>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</si>
  <si>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</si>
  <si>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</si>
  <si>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</si>
  <si>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</si>
  <si>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</si>
  <si>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</si>
  <si>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</si>
  <si>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</si>
  <si>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</si>
  <si>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</si>
  <si>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</si>
  <si>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</si>
  <si>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</si>
  <si>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</si>
  <si>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</si>
  <si>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</si>
  <si>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</si>
  <si>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</si>
  <si>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</si>
  <si>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</si>
  <si>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</si>
  <si>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</si>
  <si>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</si>
  <si>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</si>
  <si>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</si>
  <si>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</si>
  <si>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</si>
  <si>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</si>
  <si>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</si>
  <si>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</si>
  <si>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</si>
  <si>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</si>
  <si>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</si>
  <si>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</si>
  <si>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</si>
  <si>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</si>
  <si>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</si>
  <si>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</si>
  <si>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</si>
  <si>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</si>
  <si>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</si>
  <si>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</si>
  <si>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</si>
  <si>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</si>
  <si>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</si>
  <si>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</si>
  <si>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</si>
  <si>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</si>
  <si>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</si>
  <si>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</si>
  <si>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</si>
  <si>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</si>
  <si>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</si>
  <si>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</si>
  <si>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</si>
  <si>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</si>
  <si>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</si>
  <si>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</si>
  <si>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</si>
  <si>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</si>
  <si>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</si>
  <si>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</si>
  <si>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</si>
  <si>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</si>
  <si>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</si>
  <si>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</si>
  <si>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</si>
  <si>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</si>
  <si>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</si>
  <si>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</si>
  <si>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</si>
  <si>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</si>
  <si>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</si>
  <si>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</si>
  <si>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</si>
  <si>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</si>
  <si>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</si>
  <si>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</si>
  <si>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</si>
  <si>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</si>
  <si>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</si>
  <si>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</si>
  <si>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</si>
  <si>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</si>
  <si>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</si>
  <si>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</si>
  <si>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</si>
  <si>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</si>
  <si>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</si>
  <si>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</si>
  <si>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</si>
  <si>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</si>
  <si>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</si>
  <si>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</si>
  <si>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</si>
  <si>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</si>
  <si>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</si>
  <si>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</si>
  <si>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</si>
  <si>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</si>
  <si>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</si>
  <si>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</si>
  <si>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</si>
  <si>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</si>
  <si>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</si>
  <si>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</si>
  <si>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</si>
  <si>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</si>
  <si>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</si>
  <si>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</si>
  <si>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</si>
  <si>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</si>
  <si>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</si>
  <si>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</si>
  <si>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</si>
  <si>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</si>
  <si>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</si>
  <si>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</si>
  <si>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</si>
  <si>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</si>
  <si>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</si>
  <si>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</si>
  <si>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</si>
  <si>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</si>
  <si>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</si>
  <si>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</si>
  <si>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</si>
  <si>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</si>
  <si>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</si>
  <si>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</si>
  <si>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</si>
  <si>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</si>
  <si>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</si>
  <si>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</si>
  <si>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</si>
  <si>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</si>
  <si>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</si>
  <si>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</si>
  <si>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</si>
  <si>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</si>
  <si>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</si>
  <si>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</si>
  <si>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</si>
  <si>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</si>
  <si>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</si>
  <si>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</si>
  <si>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</si>
  <si>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</si>
  <si>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</si>
  <si>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</si>
  <si>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</si>
  <si>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</si>
  <si>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</si>
  <si>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</si>
  <si>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</si>
  <si>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</si>
  <si>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</si>
  <si>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</si>
  <si>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</si>
  <si>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</si>
  <si>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</si>
  <si>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</si>
  <si>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</si>
  <si>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</si>
  <si>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</si>
  <si>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</si>
  <si>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</si>
  <si>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</si>
  <si>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</si>
  <si>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</si>
  <si>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</si>
  <si>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</si>
  <si>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</si>
  <si>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</si>
  <si>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</si>
  <si>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</si>
  <si>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</si>
  <si>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</si>
  <si>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</si>
  <si>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</si>
  <si>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</si>
  <si>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</si>
  <si>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</si>
  <si>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</si>
  <si>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</si>
  <si>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</si>
  <si>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</si>
  <si>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</si>
  <si>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</si>
  <si>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</si>
  <si>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</si>
  <si>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</si>
  <si>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</si>
  <si>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</si>
  <si>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</si>
  <si>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</si>
  <si>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</si>
  <si>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</si>
  <si>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</si>
  <si>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</si>
  <si>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</si>
  <si>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</si>
  <si>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</si>
  <si>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</si>
  <si>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</si>
  <si>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</si>
  <si>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</si>
  <si>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</si>
  <si>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</si>
  <si>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</si>
  <si>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</si>
  <si>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</si>
  <si>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</si>
  <si>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</si>
  <si>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</si>
  <si>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</si>
  <si>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</si>
  <si>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</si>
  <si>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</si>
  <si>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</si>
  <si>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</si>
  <si>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</si>
  <si>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</si>
  <si>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</si>
  <si>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</si>
  <si>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</si>
  <si>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</si>
  <si>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</si>
  <si>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</si>
  <si>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</si>
  <si>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</si>
  <si>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</si>
  <si>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</si>
  <si>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</si>
  <si>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</si>
  <si>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</si>
  <si>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</si>
  <si>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</si>
  <si>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</si>
  <si>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</si>
  <si>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</si>
  <si>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</si>
  <si>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</si>
  <si>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</si>
  <si>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</si>
  <si>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</si>
  <si>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</si>
  <si>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</si>
  <si>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</si>
  <si>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</si>
  <si>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</si>
  <si>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</si>
  <si>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</si>
  <si>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</si>
  <si>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</si>
  <si>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</si>
  <si>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</si>
  <si>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</si>
  <si>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</si>
  <si>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</si>
  <si>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</si>
  <si>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</si>
  <si>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</si>
  <si>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</si>
  <si>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</si>
  <si>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</si>
  <si>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</si>
  <si>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</si>
  <si>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</si>
  <si>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</si>
  <si>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</si>
  <si>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</si>
  <si>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</si>
  <si>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</si>
  <si>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</si>
  <si>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</si>
  <si>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</si>
  <si>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</si>
  <si>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</si>
  <si>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</si>
  <si>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</si>
  <si>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</si>
  <si>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</si>
  <si>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</si>
  <si>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</si>
  <si>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</si>
  <si>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</si>
  <si>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</si>
  <si>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</si>
  <si>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</si>
  <si>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</si>
  <si>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</si>
  <si>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</si>
  <si>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</si>
  <si>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</si>
  <si>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</si>
  <si>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</si>
  <si>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</si>
  <si>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</si>
  <si>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</si>
  <si>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</si>
  <si>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</si>
  <si>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</si>
  <si>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</si>
  <si>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</si>
  <si>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</si>
  <si>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</si>
  <si>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</si>
  <si>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</si>
  <si>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</si>
  <si>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</si>
  <si>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</si>
  <si>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</si>
  <si>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</si>
  <si>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</si>
  <si>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</si>
  <si>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</si>
  <si>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</si>
  <si>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</si>
  <si>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</si>
  <si>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</si>
  <si>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</si>
  <si>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</si>
  <si>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</si>
  <si>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</si>
  <si>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</si>
  <si>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</si>
  <si>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</si>
  <si>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</si>
  <si>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</si>
  <si>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</si>
  <si>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</si>
  <si>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</si>
  <si>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</si>
  <si>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</si>
  <si>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</si>
  <si>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</si>
  <si>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</si>
  <si>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</si>
  <si>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</si>
  <si>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</si>
  <si>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</si>
  <si>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</si>
  <si>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</si>
  <si>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</si>
  <si>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</si>
  <si>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</si>
  <si>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</si>
  <si>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</si>
  <si>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</si>
  <si>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</si>
  <si>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</si>
  <si>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</si>
  <si>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</si>
  <si>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</si>
  <si>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</si>
  <si>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</si>
  <si>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</si>
  <si>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</si>
  <si>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</si>
  <si>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</si>
  <si>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</si>
  <si>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</si>
  <si>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</si>
  <si>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</si>
  <si>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</si>
  <si>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</si>
  <si>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</si>
  <si>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</si>
  <si>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</si>
  <si>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</si>
  <si>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</si>
  <si>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</si>
  <si>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</si>
  <si>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</si>
  <si>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</si>
  <si>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</si>
  <si>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</si>
  <si>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</si>
  <si>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</si>
  <si>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</si>
  <si>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</si>
  <si>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</si>
  <si>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</si>
  <si>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</si>
  <si>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</si>
  <si>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</si>
  <si>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</si>
  <si>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</si>
  <si>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</si>
  <si>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</si>
  <si>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</si>
  <si>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</si>
  <si>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</si>
  <si>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</si>
  <si>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</si>
  <si>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</si>
  <si>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</si>
  <si>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</si>
  <si>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</si>
  <si>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</si>
  <si>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</si>
  <si>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</si>
  <si>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</si>
  <si>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</si>
  <si>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</si>
  <si>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</si>
  <si>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</si>
  <si>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</si>
  <si>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</si>
  <si>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</si>
  <si>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</si>
  <si>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</si>
  <si>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</si>
  <si>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</si>
  <si>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</si>
  <si>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</si>
  <si>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</si>
  <si>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</si>
  <si>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</si>
  <si>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</si>
  <si>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</si>
  <si>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</si>
  <si>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</si>
  <si>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</si>
  <si>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</si>
  <si>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</si>
  <si>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</si>
  <si>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</si>
  <si>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</si>
  <si>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</si>
  <si>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</si>
  <si>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</si>
  <si>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</si>
  <si>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</si>
  <si>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</si>
  <si>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</si>
  <si>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</si>
  <si>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</si>
  <si>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</si>
  <si>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</si>
  <si>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</si>
  <si>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</si>
  <si>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</si>
  <si>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</si>
  <si>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</si>
  <si>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</si>
  <si>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</si>
  <si>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</si>
  <si>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</si>
  <si>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</si>
  <si>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</si>
  <si>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</si>
  <si>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</si>
  <si>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</si>
  <si>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</si>
  <si>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</si>
  <si>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</si>
  <si>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</si>
  <si>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</si>
  <si>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</si>
  <si>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</si>
  <si>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</si>
  <si>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</si>
  <si>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</si>
  <si>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</si>
  <si>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</si>
  <si>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</si>
  <si>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</si>
  <si>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</si>
  <si>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</si>
  <si>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</si>
  <si>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</si>
  <si>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</si>
  <si>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</si>
  <si>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</si>
  <si>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</si>
  <si>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</si>
  <si>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</si>
  <si>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</si>
  <si>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</si>
  <si>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</si>
  <si>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</si>
  <si>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</si>
  <si>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</si>
  <si>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</si>
  <si>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</si>
  <si>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</si>
  <si>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</si>
  <si>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</si>
  <si>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</si>
  <si>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</si>
  <si>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</si>
  <si>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</si>
  <si>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</si>
  <si>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</si>
  <si>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</si>
  <si>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</si>
  <si>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</si>
  <si>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</si>
  <si>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</si>
  <si>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</si>
  <si>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</si>
  <si>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</si>
  <si>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</si>
  <si>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</si>
  <si>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</si>
  <si>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</si>
  <si>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</si>
  <si>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</si>
  <si>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</si>
  <si>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</si>
  <si>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</si>
  <si>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</si>
  <si>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</si>
  <si>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</si>
  <si>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</si>
  <si>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</si>
  <si>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</si>
  <si>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</si>
  <si>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</si>
  <si>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</si>
  <si>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</si>
  <si>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</si>
  <si>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</si>
  <si>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</si>
  <si>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</si>
  <si>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</si>
  <si>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</si>
  <si>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</si>
  <si>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</si>
  <si>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</si>
  <si>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</si>
  <si>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</si>
  <si>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</si>
  <si>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</si>
  <si>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</si>
  <si>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</si>
  <si>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</si>
  <si>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</si>
  <si>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</si>
  <si>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</si>
  <si>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</si>
  <si>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</si>
  <si>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</si>
  <si>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</si>
  <si>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</si>
  <si>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</si>
  <si>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</si>
  <si>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</si>
  <si>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</si>
  <si>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</si>
  <si>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</si>
  <si>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</si>
  <si>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</si>
  <si>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</si>
  <si>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</si>
  <si>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</si>
  <si>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</si>
  <si>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</si>
  <si>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</si>
  <si>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</si>
  <si>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</si>
  <si>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</si>
  <si>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</si>
  <si>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</si>
  <si>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</si>
  <si>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</si>
  <si>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</si>
  <si>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</si>
  <si>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</si>
  <si>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</si>
  <si>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</si>
  <si>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</si>
  <si>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</si>
  <si>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</si>
  <si>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</si>
  <si>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</si>
  <si>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</si>
  <si>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</si>
  <si>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</si>
  <si>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</si>
  <si>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</si>
  <si>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</si>
  <si>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</si>
  <si>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</si>
  <si>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</si>
  <si>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</si>
  <si>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</si>
  <si>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</si>
  <si>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</si>
  <si>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</si>
  <si>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</si>
  <si>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</si>
  <si>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</si>
  <si>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</si>
  <si>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</si>
  <si>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</si>
  <si>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</si>
  <si>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</si>
  <si>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</si>
  <si>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</si>
  <si>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</si>
  <si>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</si>
  <si>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</si>
  <si>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</si>
  <si>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</si>
  <si>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</si>
  <si>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</si>
  <si>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</si>
  <si>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</si>
  <si>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</si>
  <si>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</si>
  <si>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</si>
  <si>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</si>
  <si>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</si>
  <si>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</si>
  <si>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</si>
  <si>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</si>
  <si>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</si>
  <si>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</si>
  <si>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</si>
  <si>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</si>
  <si>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</si>
  <si>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</si>
  <si>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</si>
  <si>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</si>
  <si>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</si>
  <si>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</si>
  <si>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</si>
  <si>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</si>
  <si>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</si>
  <si>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</si>
  <si>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</si>
  <si>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</si>
  <si>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</si>
  <si>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</si>
  <si>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</si>
  <si>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</si>
  <si>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</si>
  <si>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</si>
  <si>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</si>
  <si>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</si>
  <si>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</si>
  <si>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</si>
  <si>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</si>
  <si>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</si>
  <si>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</si>
  <si>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</si>
  <si>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</si>
  <si>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</si>
  <si>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</si>
  <si>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</si>
  <si>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</si>
  <si>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</si>
  <si>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</si>
  <si>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</si>
  <si>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</si>
  <si>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</si>
  <si>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</si>
  <si>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</si>
  <si>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</si>
  <si>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</si>
  <si>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</si>
  <si>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</si>
  <si>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</si>
  <si>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</si>
  <si>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</si>
  <si>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</si>
  <si>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</si>
  <si>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</si>
  <si>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</si>
  <si>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</si>
  <si>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</si>
  <si>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</si>
  <si>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</si>
  <si>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</si>
  <si>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</si>
  <si>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</si>
  <si>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</si>
  <si>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</si>
  <si>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</si>
  <si>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</si>
  <si>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</si>
  <si>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</si>
  <si>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</si>
  <si>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</si>
  <si>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</si>
  <si>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</si>
  <si>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</si>
  <si>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</si>
  <si>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</si>
  <si>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</si>
  <si>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</si>
  <si>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</si>
  <si>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</si>
  <si>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</si>
  <si>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</si>
  <si>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</si>
  <si>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</si>
  <si>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</si>
  <si>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</si>
  <si>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</si>
  <si>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</si>
  <si>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</si>
  <si>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</si>
  <si>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</si>
  <si>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</si>
  <si>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</si>
  <si>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</si>
  <si>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</si>
  <si>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</si>
  <si>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</si>
  <si>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</si>
  <si>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</si>
  <si>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</si>
  <si>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</si>
  <si>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</si>
  <si>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</si>
  <si>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</si>
  <si>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</si>
  <si>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</si>
  <si>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</si>
  <si>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</si>
  <si>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</si>
  <si>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</si>
  <si>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</si>
  <si>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</si>
  <si>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</si>
  <si>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</si>
  <si>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</si>
  <si>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</si>
  <si>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</si>
  <si>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</si>
  <si>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</si>
  <si>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</si>
  <si>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</si>
  <si>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</si>
  <si>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</si>
  <si>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</si>
  <si>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</si>
  <si>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</si>
  <si>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</si>
  <si>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</si>
  <si>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</si>
  <si>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</si>
  <si>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</si>
  <si>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</si>
  <si>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</si>
  <si>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</si>
  <si>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</si>
  <si>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</si>
  <si>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</si>
  <si>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</si>
  <si>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</si>
  <si>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</si>
  <si>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</si>
  <si>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</si>
  <si>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</si>
  <si>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</si>
  <si>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</si>
  <si>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</si>
  <si>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</si>
  <si>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</si>
  <si>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</si>
  <si>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</si>
  <si>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</si>
  <si>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</si>
  <si>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</si>
  <si>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</si>
  <si>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</si>
  <si>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</si>
  <si>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</si>
  <si>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</si>
  <si>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</si>
  <si>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</si>
  <si>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</si>
  <si>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</si>
  <si>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</si>
  <si>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</si>
  <si>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</si>
  <si>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</si>
  <si>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</si>
  <si>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</si>
  <si>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</si>
  <si>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</si>
  <si>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</si>
  <si>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</si>
  <si>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</si>
  <si>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</si>
  <si>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</si>
  <si>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</si>
  <si>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</si>
  <si>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</si>
  <si>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</si>
  <si>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</si>
  <si>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</si>
  <si>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</si>
  <si>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</si>
  <si>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</si>
  <si>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</si>
  <si>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</si>
  <si>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</si>
  <si>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</si>
  <si>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</si>
  <si>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</si>
  <si>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</si>
  <si>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</si>
  <si>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</si>
  <si>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</si>
  <si>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</si>
  <si>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</si>
  <si>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</si>
  <si>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</si>
  <si>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</si>
  <si>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</si>
  <si>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</si>
  <si>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</si>
  <si>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</si>
  <si>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</si>
  <si>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</si>
  <si>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</si>
  <si>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</si>
  <si>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</si>
  <si>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</si>
  <si>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</si>
  <si>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</si>
  <si>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</si>
  <si>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</si>
  <si>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</si>
  <si>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</si>
  <si>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</si>
  <si>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</si>
  <si>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</si>
  <si>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</si>
  <si>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</si>
  <si>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</si>
  <si>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</si>
  <si>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</si>
  <si>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</si>
  <si>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</si>
  <si>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</si>
  <si>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</si>
  <si>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</si>
  <si>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</si>
  <si>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</si>
  <si>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</si>
  <si>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</si>
  <si>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</si>
  <si>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</si>
  <si>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</si>
  <si>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</si>
  <si>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</si>
  <si>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</si>
  <si>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</si>
  <si>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</si>
  <si>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</si>
  <si>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</si>
  <si>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</si>
  <si>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</si>
  <si>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</si>
  <si>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</si>
  <si>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</si>
  <si>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</si>
  <si>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</si>
  <si>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</si>
  <si>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</si>
  <si>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</si>
  <si>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</si>
  <si>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</si>
  <si>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</si>
  <si>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</si>
  <si>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</si>
  <si>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</si>
  <si>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</si>
  <si>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</si>
  <si>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</si>
  <si>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</si>
  <si>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</si>
  <si>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</si>
  <si>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</si>
  <si>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</si>
  <si>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</si>
  <si>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</si>
  <si>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</si>
  <si>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</si>
  <si>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</si>
  <si>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</si>
  <si>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</si>
  <si>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</si>
  <si>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</si>
  <si>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</si>
  <si>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</si>
  <si>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</si>
  <si>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</si>
  <si>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</si>
  <si>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</si>
  <si>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</si>
  <si>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</si>
  <si>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</si>
  <si>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</si>
  <si>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</si>
  <si>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</si>
  <si>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</si>
  <si>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</si>
  <si>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</si>
  <si>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</si>
  <si>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</si>
  <si>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</si>
  <si>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</si>
  <si>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</si>
  <si>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</si>
  <si>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</si>
  <si>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</si>
  <si>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</si>
  <si>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</si>
  <si>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</si>
  <si>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</si>
  <si>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</si>
  <si>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</si>
  <si>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</si>
  <si>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</si>
  <si>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</si>
  <si>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</si>
  <si>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</si>
  <si>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</si>
  <si>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</si>
  <si>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</si>
  <si>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</si>
  <si>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</si>
  <si>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</si>
  <si>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</si>
  <si>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</si>
  <si>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</si>
  <si>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</si>
  <si>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</si>
  <si>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</si>
  <si>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</si>
  <si>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</si>
  <si>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</si>
  <si>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</si>
  <si>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</si>
  <si>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</si>
  <si>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</si>
  <si>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</si>
  <si>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</si>
  <si>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</si>
  <si>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</si>
  <si>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</si>
  <si>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</si>
  <si>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</si>
  <si>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</si>
  <si>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</si>
  <si>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</si>
  <si>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</si>
  <si>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</si>
  <si>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</si>
  <si>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</si>
  <si>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</si>
  <si>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</si>
  <si>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</si>
  <si>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</si>
  <si>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</si>
  <si>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</si>
  <si>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</si>
  <si>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</si>
  <si>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</si>
  <si>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</si>
  <si>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</si>
  <si>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</si>
  <si>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</si>
  <si>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</si>
  <si>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</si>
  <si>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</si>
  <si>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</si>
  <si>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</si>
  <si>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</si>
  <si>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</si>
  <si>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</si>
  <si>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</si>
  <si>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</si>
  <si>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</si>
  <si>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</si>
  <si>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</si>
  <si>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</si>
  <si>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</si>
  <si>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</si>
  <si>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</si>
  <si>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</si>
  <si>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</si>
  <si>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</si>
  <si>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</si>
  <si>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</si>
  <si>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</si>
  <si>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</si>
  <si>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</si>
  <si>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</si>
  <si>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</si>
  <si>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</si>
  <si>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</si>
  <si>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</si>
  <si>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</si>
  <si>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</si>
  <si>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</si>
  <si>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</si>
  <si>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</si>
  <si>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</si>
  <si>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</si>
  <si>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</si>
  <si>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</si>
  <si>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</si>
  <si>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</si>
  <si>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</si>
  <si>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</si>
  <si>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</si>
  <si>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</si>
  <si>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</si>
  <si>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</si>
  <si>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</si>
  <si>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</si>
  <si>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</si>
  <si>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</si>
  <si>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</si>
  <si>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</si>
  <si>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</si>
  <si>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</si>
  <si>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</si>
  <si>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</si>
  <si>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</si>
  <si>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</si>
  <si>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</si>
  <si>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</si>
  <si>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</si>
  <si>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</si>
  <si>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</si>
  <si>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</si>
  <si>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</si>
  <si>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</si>
  <si>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</si>
  <si>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</si>
  <si>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</si>
  <si>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</si>
  <si>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</si>
  <si>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</si>
  <si>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</si>
  <si>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</si>
  <si>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</si>
  <si>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</si>
  <si>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</si>
  <si>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</si>
  <si>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</si>
  <si>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</si>
  <si>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</si>
  <si>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</si>
  <si>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</si>
  <si>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</si>
  <si>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</si>
  <si>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</si>
  <si>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</si>
  <si>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</si>
  <si>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</si>
  <si>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</si>
  <si>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</si>
  <si>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</si>
  <si>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</si>
  <si>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</si>
  <si>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</si>
  <si>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</si>
  <si>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</si>
  <si>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</si>
  <si>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</si>
  <si>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</si>
  <si>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</si>
  <si>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</si>
  <si>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</si>
  <si>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</si>
  <si>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</si>
  <si>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</si>
  <si>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</si>
  <si>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</si>
  <si>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</si>
  <si>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</si>
  <si>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</si>
  <si>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</si>
  <si>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</si>
  <si>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</si>
  <si>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</si>
  <si>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</si>
  <si>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</si>
  <si>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</si>
  <si>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</si>
  <si>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</si>
  <si>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</si>
  <si>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</si>
  <si>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</si>
  <si>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</si>
  <si>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</si>
  <si>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</si>
  <si>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</si>
  <si>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</si>
  <si>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</si>
  <si>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</si>
  <si>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</si>
  <si>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</si>
  <si>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</si>
  <si>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</si>
  <si>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</si>
  <si>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</si>
  <si>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</si>
  <si>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</si>
  <si>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</si>
  <si>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</si>
  <si>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</si>
  <si>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</si>
  <si>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</si>
  <si>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</si>
  <si>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</si>
  <si>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</si>
  <si>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</si>
  <si>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</si>
  <si>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</si>
  <si>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</si>
  <si>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</si>
  <si>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</si>
  <si>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</si>
  <si>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</si>
  <si>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</si>
  <si>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</si>
  <si>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</si>
  <si>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</si>
  <si>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</si>
  <si>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</si>
  <si>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</si>
  <si>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</si>
  <si>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</si>
  <si>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</si>
  <si>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</si>
  <si>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</si>
  <si>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</si>
  <si>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</si>
  <si>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</si>
  <si>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</si>
  <si>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</si>
  <si>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</si>
  <si>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</si>
  <si>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</si>
  <si>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</si>
  <si>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</si>
  <si>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</si>
  <si>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</si>
  <si>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</si>
  <si>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</si>
  <si>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</si>
  <si>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</si>
  <si>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</si>
  <si>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</si>
  <si>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</si>
  <si>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</si>
  <si>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</si>
  <si>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</si>
  <si>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</si>
  <si>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</si>
  <si>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</si>
  <si>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</si>
  <si>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</si>
  <si>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</si>
  <si>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</si>
  <si>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</si>
  <si>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</si>
  <si>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</si>
  <si>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</si>
  <si>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</si>
  <si>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</si>
  <si>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</si>
  <si>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</si>
  <si>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</si>
  <si>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</si>
  <si>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</si>
  <si>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</si>
  <si>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</si>
  <si>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</si>
  <si>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</si>
  <si>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</si>
  <si>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</si>
  <si>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</si>
  <si>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</si>
  <si>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</si>
  <si>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</si>
  <si>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</si>
  <si>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</si>
  <si>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</si>
  <si>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</si>
  <si>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</si>
  <si>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</si>
  <si>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</si>
  <si>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</si>
  <si>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</si>
  <si>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</si>
  <si>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</si>
  <si>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</si>
  <si>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</si>
  <si>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</si>
  <si>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</si>
  <si>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</si>
  <si>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</si>
  <si>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</si>
  <si>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</si>
  <si>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</si>
  <si>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</si>
  <si>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</si>
  <si>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</si>
  <si>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</si>
  <si>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</si>
  <si>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</si>
  <si>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</si>
  <si>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</si>
  <si>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</si>
  <si>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</si>
  <si>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</si>
  <si>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</si>
  <si>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</si>
  <si>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</si>
  <si>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</si>
  <si>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</si>
  <si>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</si>
  <si>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</si>
  <si>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</si>
  <si>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</si>
  <si>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</si>
  <si>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</si>
  <si>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</si>
  <si>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</si>
  <si>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</si>
  <si>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</si>
  <si>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</si>
  <si>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</si>
  <si>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</si>
  <si>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</si>
  <si>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</si>
  <si>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</si>
  <si>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</si>
  <si>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</si>
  <si>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</si>
  <si>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</si>
  <si>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</si>
  <si>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</si>
  <si>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</si>
  <si>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</si>
  <si>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</si>
  <si>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</si>
  <si>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</si>
  <si>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</si>
  <si>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</si>
  <si>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</si>
  <si>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</si>
  <si>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</si>
  <si>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</si>
  <si>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</si>
  <si>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</si>
  <si>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</si>
  <si>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</si>
  <si>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</si>
  <si>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</si>
  <si>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</si>
  <si>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</si>
  <si>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</si>
  <si>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</si>
  <si>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</si>
  <si>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</si>
  <si>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</si>
  <si>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</si>
  <si>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</si>
  <si>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</si>
  <si>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</si>
  <si>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</si>
  <si>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</si>
  <si>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</si>
  <si>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</si>
  <si>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</si>
  <si>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</si>
  <si>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</si>
  <si>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</si>
  <si>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</si>
  <si>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</si>
  <si>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</si>
  <si>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</si>
  <si>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</si>
  <si>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</si>
  <si>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</si>
  <si>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</si>
  <si>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</si>
  <si>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</si>
  <si>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</si>
  <si>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</si>
  <si>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</si>
  <si>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</si>
  <si>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</si>
  <si>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</si>
  <si>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</si>
  <si>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</si>
  <si>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</si>
  <si>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</si>
  <si>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</si>
  <si>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</si>
  <si>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</si>
  <si>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</si>
  <si>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</si>
  <si>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</si>
  <si>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</si>
  <si>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</si>
  <si>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</si>
  <si>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</si>
  <si>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</si>
  <si>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</si>
  <si>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</si>
  <si>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</si>
  <si>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</si>
  <si>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</si>
  <si>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</si>
  <si>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</si>
  <si>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</si>
  <si>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</si>
  <si>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</si>
  <si>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</si>
  <si>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</si>
  <si>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</si>
  <si>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</si>
  <si>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</si>
  <si>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</si>
  <si>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</si>
  <si>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</si>
  <si>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</si>
  <si>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</si>
  <si>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</si>
  <si>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</si>
  <si>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</si>
  <si>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</si>
  <si>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</si>
  <si>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</si>
  <si>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</si>
  <si>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</si>
  <si>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</si>
  <si>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</si>
  <si>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</si>
  <si>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</si>
  <si>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</si>
  <si>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</si>
  <si>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</si>
  <si>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</si>
  <si>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</si>
  <si>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</si>
  <si>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</si>
  <si>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</si>
  <si>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</si>
  <si>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</si>
  <si>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</si>
  <si>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</si>
  <si>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</si>
  <si>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</si>
  <si>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</si>
  <si>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</si>
  <si>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</si>
  <si>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</si>
  <si>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</si>
  <si>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</si>
  <si>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</si>
  <si>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</si>
  <si>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</si>
  <si>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</si>
  <si>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</si>
  <si>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</si>
  <si>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</si>
  <si>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</si>
  <si>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</si>
  <si>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</si>
  <si>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</si>
  <si>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</si>
  <si>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</si>
  <si>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</si>
  <si>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</si>
  <si>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</si>
  <si>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</si>
  <si>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</si>
  <si>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</si>
  <si>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</si>
  <si>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</si>
  <si>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</si>
  <si>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</si>
  <si>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</si>
  <si>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</si>
  <si>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</si>
  <si>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</si>
  <si>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</si>
  <si>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</si>
  <si>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</si>
  <si>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</si>
  <si>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</si>
  <si>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</si>
  <si>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</si>
  <si>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</si>
  <si>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</si>
  <si>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</si>
  <si>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</si>
  <si>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</si>
  <si>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</si>
  <si>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</si>
  <si>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</si>
  <si>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</si>
  <si>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</si>
  <si>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</si>
  <si>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</si>
  <si>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</si>
  <si>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</si>
  <si>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</si>
  <si>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</si>
  <si>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</si>
  <si>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</si>
  <si>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</si>
  <si>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</si>
  <si>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</si>
  <si>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</si>
  <si>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</si>
  <si>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</si>
  <si>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</si>
  <si>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</si>
  <si>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</si>
  <si>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</si>
  <si>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</si>
  <si>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</si>
  <si>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</si>
  <si>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</si>
  <si>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</si>
  <si>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</si>
  <si>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</si>
  <si>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</si>
  <si>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</si>
  <si>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</si>
  <si>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</si>
  <si>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</si>
  <si>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</si>
  <si>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</si>
  <si>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</si>
  <si>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</si>
  <si>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</si>
  <si>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</si>
  <si>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</si>
  <si>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</si>
  <si>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</si>
  <si>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</si>
  <si>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</si>
  <si>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</si>
  <si>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</si>
  <si>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</si>
  <si>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</si>
  <si>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</si>
  <si>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</si>
  <si>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</si>
  <si>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</si>
  <si>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</si>
  <si>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</si>
  <si>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</si>
  <si>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</si>
  <si>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</si>
  <si>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</si>
  <si>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</si>
  <si>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</si>
  <si>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</si>
  <si>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</si>
  <si>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</si>
  <si>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</si>
  <si>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</si>
  <si>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</si>
  <si>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</si>
  <si>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</si>
  <si>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</si>
  <si>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</si>
  <si>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</si>
  <si>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</si>
  <si>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</si>
  <si>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</si>
  <si>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</si>
  <si>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</si>
  <si>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</si>
  <si>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</si>
  <si>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</si>
  <si>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</si>
  <si>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</si>
  <si>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</si>
  <si>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</si>
  <si>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</si>
  <si>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</si>
  <si>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</si>
  <si>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</si>
  <si>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</si>
  <si>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</si>
  <si>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</si>
  <si>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</si>
  <si>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</si>
  <si>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</si>
  <si>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</si>
  <si>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</si>
  <si>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</si>
  <si>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</si>
  <si>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</si>
  <si>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</si>
  <si>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</si>
  <si>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</si>
  <si>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</si>
  <si>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</si>
  <si>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</si>
  <si>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</si>
  <si>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</si>
  <si>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</si>
  <si>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</si>
  <si>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</si>
  <si>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</si>
  <si>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</si>
  <si>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</si>
  <si>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</si>
  <si>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</si>
  <si>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</si>
  <si>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</si>
  <si>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</si>
  <si>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</si>
  <si>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</si>
  <si>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</si>
  <si>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</si>
  <si>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</si>
  <si>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</si>
  <si>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</si>
  <si>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</si>
  <si>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</si>
  <si>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</si>
  <si>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</si>
  <si>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</si>
  <si>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</si>
  <si>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</si>
  <si>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</si>
  <si>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</si>
  <si>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</si>
  <si>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</si>
  <si>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</si>
  <si>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</si>
  <si>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</si>
  <si>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</si>
  <si>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</si>
  <si>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</si>
  <si>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</si>
  <si>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</si>
  <si>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</si>
  <si>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</si>
  <si>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</si>
  <si>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</si>
  <si>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</si>
  <si>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</si>
  <si>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</si>
  <si>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</si>
  <si>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</si>
  <si>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</si>
  <si>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</si>
  <si>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</si>
  <si>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</si>
  <si>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</si>
  <si>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</si>
  <si>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</si>
  <si>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</si>
  <si>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</si>
  <si>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</si>
  <si>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</si>
  <si>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</si>
  <si>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</si>
  <si>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</si>
  <si>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</si>
  <si>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</si>
  <si>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</si>
  <si>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</si>
  <si>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</si>
  <si>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</si>
  <si>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</si>
  <si>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</si>
  <si>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</si>
  <si>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</si>
  <si>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</si>
  <si>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</si>
  <si>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</si>
  <si>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</si>
  <si>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</si>
  <si>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</si>
  <si>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</si>
  <si>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</si>
  <si>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</si>
  <si>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</si>
  <si>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</si>
  <si>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</si>
  <si>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</si>
  <si>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</si>
  <si>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</si>
  <si>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</si>
  <si>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</si>
  <si>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</si>
  <si>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</si>
  <si>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</si>
  <si>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</si>
  <si>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</si>
  <si>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</si>
  <si>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</si>
  <si>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</si>
  <si>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</si>
  <si>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</si>
  <si>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</si>
  <si>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</si>
  <si>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</si>
  <si>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</si>
  <si>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</si>
  <si>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</si>
  <si>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</si>
  <si>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</si>
  <si>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</si>
  <si>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</si>
  <si>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</si>
  <si>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</si>
  <si>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</si>
  <si>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</si>
  <si>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</si>
  <si>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</si>
  <si>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</si>
  <si>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</si>
  <si>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</si>
  <si>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</si>
  <si>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</si>
  <si>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</si>
  <si>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</si>
  <si>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</si>
  <si>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</si>
  <si>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</si>
  <si>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</si>
  <si>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</si>
  <si>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</si>
  <si>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</si>
  <si>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</si>
  <si>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</si>
  <si>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</si>
  <si>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</si>
  <si>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</si>
  <si>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</si>
  <si>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</si>
  <si>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</si>
  <si>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</si>
  <si>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</si>
  <si>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</si>
  <si>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</si>
  <si>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</si>
  <si>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</si>
  <si>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</si>
  <si>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</si>
  <si>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</si>
  <si>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</si>
  <si>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</si>
  <si>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</si>
  <si>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</si>
  <si>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</si>
  <si>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</si>
  <si>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</si>
  <si>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</si>
  <si>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</si>
  <si>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</si>
  <si>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</si>
  <si>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</si>
  <si>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</si>
  <si>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</si>
  <si>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</si>
  <si>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</si>
  <si>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</si>
  <si>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</si>
  <si>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</si>
  <si>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</si>
  <si>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</si>
  <si>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</si>
  <si>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</si>
  <si>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</si>
  <si>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</si>
  <si>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</si>
  <si>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</si>
  <si>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</si>
  <si>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</si>
  <si>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</si>
  <si>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</si>
  <si>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</si>
  <si>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</si>
  <si>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</si>
  <si>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</si>
  <si>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</si>
  <si>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</si>
  <si>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</si>
  <si>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</si>
  <si>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</si>
  <si>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</si>
  <si>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</si>
  <si>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</si>
  <si>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</si>
  <si>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</si>
  <si>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</si>
  <si>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</si>
  <si>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</si>
  <si>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</si>
  <si>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</si>
  <si>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</si>
  <si>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</si>
  <si>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</si>
  <si>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</si>
  <si>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</si>
  <si>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</si>
  <si>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</si>
  <si>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</si>
  <si>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</si>
  <si>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</si>
  <si>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</si>
  <si>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</si>
  <si>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</si>
  <si>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</si>
  <si>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</si>
  <si>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</si>
  <si>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</si>
  <si>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</si>
  <si>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</si>
  <si>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</si>
  <si>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</si>
  <si>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</si>
  <si>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</si>
  <si>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</si>
  <si>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</si>
  <si>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</si>
  <si>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</si>
  <si>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</si>
  <si>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</si>
  <si>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</si>
  <si>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</si>
  <si>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</si>
  <si>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</si>
  <si>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</si>
  <si>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</si>
  <si>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</si>
  <si>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</si>
  <si>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</si>
  <si>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</si>
  <si>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</si>
  <si>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</si>
  <si>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</si>
  <si>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</si>
  <si>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</si>
  <si>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</si>
  <si>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</si>
  <si>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</si>
  <si>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</si>
  <si>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</si>
  <si>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</si>
  <si>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</si>
  <si>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</si>
  <si>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</si>
  <si>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</si>
  <si>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</si>
  <si>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</si>
  <si>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</si>
  <si>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</si>
  <si>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</si>
  <si>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</si>
  <si>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</si>
  <si>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</si>
  <si>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</si>
  <si>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</si>
  <si>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</si>
  <si>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</si>
  <si>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</si>
  <si>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</si>
  <si>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</si>
  <si>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</si>
  <si>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</si>
  <si>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</si>
  <si>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</si>
  <si>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</si>
  <si>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</si>
  <si>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</si>
  <si>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</si>
  <si>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</si>
  <si>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</si>
  <si>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</si>
  <si>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</si>
  <si>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</si>
  <si>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</si>
  <si>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</si>
  <si>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</si>
  <si>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</si>
  <si>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</si>
  <si>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</si>
  <si>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</si>
  <si>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</si>
  <si>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</si>
  <si>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</si>
  <si>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</si>
  <si>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</si>
  <si>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</si>
  <si>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</si>
  <si>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</si>
  <si>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</si>
  <si>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</si>
  <si>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</si>
  <si>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</si>
  <si>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</si>
  <si>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</si>
  <si>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</si>
  <si>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</si>
  <si>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</si>
  <si>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</si>
  <si>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</si>
  <si>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</si>
  <si>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</si>
  <si>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</si>
  <si>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</si>
  <si>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</si>
  <si>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</si>
  <si>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</si>
  <si>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</si>
  <si>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</si>
  <si>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</si>
  <si>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</si>
  <si>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</si>
  <si>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</si>
  <si>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</si>
  <si>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</si>
  <si>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</si>
  <si>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</si>
  <si>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</si>
  <si>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</si>
  <si>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</si>
  <si>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</si>
  <si>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</si>
  <si>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</si>
  <si>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</si>
  <si>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</si>
  <si>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</si>
  <si>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</si>
  <si>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</si>
  <si>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</si>
  <si>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</si>
  <si>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</si>
  <si>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</si>
  <si>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</si>
  <si>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</si>
  <si>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</si>
  <si>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</si>
  <si>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</si>
  <si>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</si>
  <si>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</si>
  <si>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</si>
  <si>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</si>
  <si>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</si>
  <si>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</si>
  <si>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</si>
  <si>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</si>
  <si>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</si>
  <si>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</si>
  <si>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</si>
  <si>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</si>
  <si>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</si>
  <si>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</si>
  <si>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</si>
  <si>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</si>
  <si>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</si>
  <si>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</si>
  <si>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</si>
  <si>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</si>
  <si>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</si>
  <si>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</si>
  <si>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</si>
  <si>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</si>
  <si>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</si>
  <si>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</si>
  <si>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</si>
  <si>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</si>
  <si>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</si>
  <si>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</si>
  <si>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</si>
  <si>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</si>
  <si>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</si>
  <si>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</si>
  <si>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</si>
  <si>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</si>
  <si>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</si>
  <si>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</si>
  <si>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</si>
  <si>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</si>
  <si>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</si>
  <si>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</si>
  <si>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</si>
  <si>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</si>
  <si>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</si>
  <si>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</si>
  <si>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</si>
  <si>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</si>
  <si>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</si>
  <si>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</si>
  <si>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</si>
  <si>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</si>
  <si>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</si>
  <si>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</si>
  <si>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</si>
  <si>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</si>
  <si>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</si>
  <si>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</si>
  <si>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</si>
  <si>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</si>
  <si>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</si>
  <si>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</si>
  <si>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</si>
  <si>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</si>
  <si>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</si>
  <si>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</si>
  <si>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</si>
  <si>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</si>
  <si>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</si>
  <si>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</si>
  <si>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</si>
  <si>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</si>
  <si>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</si>
  <si>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</si>
  <si>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</si>
  <si>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</si>
  <si>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</si>
  <si>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</si>
  <si>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</si>
  <si>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</si>
  <si>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</si>
  <si>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</si>
  <si>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</si>
  <si>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</si>
  <si>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</si>
  <si>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</si>
  <si>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</si>
  <si>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</si>
  <si>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</si>
  <si>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</si>
  <si>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</si>
  <si>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</si>
  <si>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</si>
  <si>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</si>
  <si>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</si>
  <si>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</si>
  <si>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</si>
  <si>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</si>
  <si>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</si>
  <si>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</si>
  <si>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</si>
  <si>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</si>
  <si>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</si>
  <si>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</si>
  <si>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</si>
  <si>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</si>
  <si>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</si>
  <si>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</si>
  <si>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</si>
  <si>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</si>
  <si>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</si>
  <si>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</si>
  <si>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</si>
  <si>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</si>
  <si>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</si>
  <si>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</si>
  <si>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</si>
  <si>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</si>
  <si>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</si>
  <si>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</si>
  <si>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</si>
  <si>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</si>
  <si>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</si>
  <si>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</si>
  <si>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</si>
  <si>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</si>
  <si>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</si>
  <si>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</si>
  <si>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</si>
  <si>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</si>
  <si>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</si>
  <si>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</si>
  <si>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</si>
  <si>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</si>
  <si>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</si>
  <si>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</si>
  <si>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</si>
  <si>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</si>
  <si>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</si>
  <si>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</si>
  <si>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</si>
  <si>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</si>
  <si>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</si>
  <si>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</si>
  <si>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</si>
  <si>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</si>
  <si>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</si>
  <si>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</si>
  <si>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</si>
  <si>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</si>
  <si>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</si>
  <si>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</si>
  <si>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</si>
  <si>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</si>
  <si>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</si>
  <si>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</si>
  <si>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</si>
  <si>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</si>
  <si>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</si>
  <si>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</si>
  <si>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</si>
  <si>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</si>
  <si>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</si>
  <si>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</si>
  <si>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</si>
  <si>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</si>
  <si>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</si>
  <si>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</si>
  <si>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</si>
  <si>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</si>
  <si>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</si>
  <si>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</si>
  <si>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</si>
  <si>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</si>
  <si>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</si>
  <si>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</si>
  <si>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</si>
  <si>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</si>
  <si>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</si>
  <si>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</si>
  <si>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</si>
  <si>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</si>
  <si>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</si>
  <si>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</si>
  <si>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</si>
  <si>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</si>
  <si>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</si>
  <si>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</si>
  <si>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</si>
  <si>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</si>
  <si>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</si>
  <si>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</si>
  <si>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</si>
  <si>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</si>
  <si>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</si>
  <si>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</si>
  <si>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</si>
  <si>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</si>
  <si>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</si>
  <si>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</si>
  <si>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</si>
  <si>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</si>
  <si>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</si>
  <si>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</si>
  <si>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</si>
  <si>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</si>
  <si>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</si>
  <si>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</si>
  <si>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</si>
  <si>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</si>
  <si>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</si>
  <si>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</si>
  <si>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</si>
  <si>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</si>
  <si>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</si>
  <si>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</si>
  <si>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</si>
  <si>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</si>
  <si>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</si>
  <si>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</si>
  <si>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</si>
  <si>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</si>
  <si>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</si>
  <si>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</si>
  <si>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</si>
  <si>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</si>
  <si>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</si>
  <si>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</si>
  <si>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</si>
  <si>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</si>
  <si>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</si>
  <si>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</si>
  <si>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</si>
  <si>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</si>
  <si>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</si>
  <si>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</si>
  <si>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</si>
  <si>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</si>
  <si>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</si>
  <si>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</si>
  <si>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</si>
  <si>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</si>
  <si>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</si>
  <si>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</si>
  <si>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</si>
  <si>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</si>
  <si>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</si>
  <si>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</si>
  <si>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</si>
  <si>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</si>
  <si>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</si>
  <si>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</si>
  <si>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</si>
  <si>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</si>
  <si>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</si>
  <si>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</si>
  <si>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</si>
  <si>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</si>
  <si>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</si>
  <si>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</si>
  <si>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</si>
  <si>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</si>
  <si>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</si>
  <si>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</si>
  <si>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</si>
  <si>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</si>
  <si>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</si>
  <si>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</si>
  <si>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</si>
  <si>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</si>
  <si>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</si>
  <si>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</si>
  <si>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</si>
  <si>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</si>
  <si>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</si>
  <si>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</si>
  <si>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</si>
  <si>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</si>
  <si>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</si>
  <si>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</si>
  <si>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</si>
  <si>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</si>
  <si>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</si>
  <si>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</si>
  <si>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</si>
  <si>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</si>
  <si>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</si>
  <si>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</si>
  <si>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</si>
  <si>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</si>
  <si>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</si>
  <si>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</si>
  <si>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</si>
  <si>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</si>
  <si>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</si>
  <si>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</si>
  <si>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</si>
  <si>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</si>
  <si>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</si>
  <si>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</si>
  <si>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</si>
  <si>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</si>
  <si>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</si>
  <si>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</si>
  <si>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</si>
  <si>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</si>
  <si>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</si>
  <si>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</si>
  <si>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</si>
  <si>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</si>
  <si>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</si>
  <si>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</si>
  <si>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</si>
  <si>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</si>
  <si>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</si>
  <si>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</si>
  <si>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</si>
  <si>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</si>
  <si>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</si>
  <si>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</si>
  <si>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</si>
  <si>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</si>
  <si>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</si>
  <si>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</si>
  <si>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</si>
  <si>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</si>
  <si>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</si>
  <si>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</si>
  <si>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</si>
  <si>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</si>
  <si>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</si>
  <si>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</si>
  <si>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</si>
  <si>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</si>
  <si>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</si>
  <si>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</si>
  <si>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</si>
  <si>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</si>
  <si>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</si>
  <si>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</si>
  <si>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</si>
  <si>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</si>
  <si>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</si>
  <si>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</si>
  <si>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</si>
  <si>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</si>
  <si>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</si>
  <si>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</si>
  <si>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</si>
  <si>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</si>
  <si>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</si>
  <si>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</si>
  <si>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</si>
  <si>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</si>
  <si>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</si>
  <si>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</si>
  <si>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</si>
  <si>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</si>
  <si>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</si>
  <si>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</si>
  <si>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</si>
  <si>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</si>
  <si>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</si>
  <si>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</si>
  <si>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</si>
  <si>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</si>
  <si>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</si>
  <si>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</si>
  <si>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</si>
  <si>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</si>
  <si>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</si>
  <si>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</si>
  <si>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</si>
  <si>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</si>
  <si>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</si>
  <si>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</si>
  <si>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</si>
  <si>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</si>
  <si>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</si>
  <si>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</si>
  <si>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</si>
  <si>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</si>
  <si>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</si>
  <si>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</si>
  <si>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</si>
  <si>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</si>
  <si>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</si>
  <si>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</si>
  <si>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</si>
  <si>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</si>
  <si>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</si>
  <si>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</si>
  <si>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</si>
  <si>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</si>
  <si>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</si>
  <si>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</si>
  <si>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</si>
  <si>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</si>
  <si>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</si>
  <si>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</si>
  <si>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</si>
  <si>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</si>
  <si>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</si>
  <si>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</si>
  <si>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</si>
  <si>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</si>
  <si>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</si>
  <si>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</si>
  <si>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</si>
  <si>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</si>
  <si>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</si>
  <si>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</si>
  <si>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</si>
  <si>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</si>
  <si>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</si>
  <si>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</si>
  <si>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</si>
  <si>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</si>
  <si>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</si>
  <si>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</si>
  <si>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</si>
  <si>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</si>
  <si>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</si>
  <si>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</si>
  <si>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</si>
  <si>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</si>
  <si>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</si>
  <si>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</si>
  <si>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</si>
  <si>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</si>
  <si>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</si>
  <si>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</si>
  <si>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</si>
  <si>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</si>
  <si>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</si>
  <si>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</si>
  <si>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</si>
  <si>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</si>
  <si>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</si>
  <si>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</si>
  <si>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</si>
  <si>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</si>
  <si>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</si>
  <si>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</si>
  <si>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</si>
  <si>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</si>
  <si>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</si>
  <si>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</si>
  <si>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</si>
  <si>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</si>
  <si>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</si>
  <si>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</si>
  <si>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</si>
  <si>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</si>
  <si>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</si>
  <si>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</si>
  <si>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</si>
  <si>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</si>
  <si>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</si>
  <si>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</si>
  <si>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</si>
  <si>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</si>
  <si>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</si>
  <si>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</si>
  <si>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</si>
  <si>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</si>
  <si>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</si>
  <si>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</si>
  <si>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</si>
  <si>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</si>
  <si>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</si>
  <si>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</si>
  <si>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</si>
  <si>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</si>
  <si>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</si>
  <si>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</si>
  <si>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</si>
  <si>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</si>
  <si>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</si>
  <si>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</si>
  <si>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</si>
  <si>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</si>
  <si>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</si>
  <si>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</si>
  <si>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</si>
  <si>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</si>
  <si>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</si>
  <si>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</si>
  <si>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</si>
  <si>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</si>
  <si>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</si>
  <si>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</si>
  <si>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</si>
  <si>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</si>
  <si>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</si>
  <si>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</si>
  <si>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</si>
  <si>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</si>
  <si>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</si>
  <si>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</si>
  <si>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</si>
  <si>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</si>
  <si>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</si>
  <si>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</si>
  <si>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</si>
  <si>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</si>
  <si>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</si>
  <si>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</si>
  <si>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</si>
  <si>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</si>
  <si>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</si>
  <si>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</si>
  <si>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</si>
  <si>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</si>
  <si>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</si>
  <si>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</si>
  <si>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</si>
  <si>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</si>
  <si>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</si>
  <si>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</si>
  <si>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</si>
  <si>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</si>
  <si>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</si>
  <si>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</si>
  <si>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</si>
  <si>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</si>
  <si>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</si>
  <si>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</si>
  <si>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</si>
  <si>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</si>
  <si>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</si>
  <si>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</si>
  <si>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</si>
  <si>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</si>
  <si>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</si>
  <si>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</si>
  <si>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</si>
  <si>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</si>
  <si>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</si>
  <si>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</si>
  <si>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</si>
  <si>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</si>
  <si>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</si>
  <si>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</si>
  <si>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</si>
  <si>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</si>
  <si>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</si>
  <si>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</si>
  <si>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</si>
  <si>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</si>
  <si>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</si>
  <si>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</si>
  <si>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</si>
  <si>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</si>
  <si>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</si>
  <si>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</si>
  <si>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</si>
  <si>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</si>
  <si>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</si>
  <si>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</si>
  <si>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</si>
  <si>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</si>
  <si>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</si>
  <si>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</si>
  <si>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</si>
  <si>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</si>
  <si>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</si>
  <si>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</si>
  <si>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</si>
  <si>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</si>
  <si>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</si>
  <si>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</si>
  <si>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</si>
  <si>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</si>
  <si>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</si>
  <si>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</si>
  <si>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</si>
  <si>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</si>
  <si>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</si>
  <si>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</si>
  <si>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</si>
  <si>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</si>
  <si>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</si>
  <si>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</si>
  <si>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</si>
  <si>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</si>
  <si>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</si>
  <si>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</si>
  <si>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</si>
  <si>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</si>
  <si>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</si>
  <si>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</si>
  <si>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</si>
  <si>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</si>
  <si>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</si>
  <si>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</si>
  <si>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</si>
  <si>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</si>
  <si>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</si>
  <si>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</si>
  <si>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</si>
  <si>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</si>
  <si>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</si>
  <si>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</si>
  <si>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</si>
  <si>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</si>
  <si>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</si>
  <si>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</si>
  <si>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</si>
  <si>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</si>
  <si>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</si>
  <si>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</si>
  <si>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</si>
  <si>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</si>
  <si>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</si>
  <si>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</si>
  <si>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</si>
  <si>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</si>
  <si>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</si>
  <si>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</si>
  <si>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</si>
  <si>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</si>
  <si>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</si>
  <si>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</si>
  <si>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</si>
  <si>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</si>
  <si>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</si>
  <si>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</si>
  <si>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</si>
  <si>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</si>
  <si>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</si>
  <si>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</si>
  <si>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</si>
  <si>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</si>
  <si>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</si>
  <si>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</si>
  <si>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</si>
  <si>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</si>
  <si>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</si>
  <si>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</si>
  <si>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</si>
  <si>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</si>
  <si>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</si>
  <si>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</si>
  <si>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</si>
  <si>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</si>
  <si>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</si>
  <si>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</si>
  <si>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</si>
  <si>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</si>
  <si>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</si>
  <si>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</si>
  <si>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</si>
  <si>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</si>
  <si>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</si>
  <si>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</si>
  <si>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</si>
  <si>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</si>
  <si>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</si>
  <si>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</si>
  <si>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</si>
  <si>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</si>
  <si>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</si>
  <si>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</si>
  <si>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</si>
  <si>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</si>
  <si>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</si>
  <si>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</si>
  <si>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</si>
  <si>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</si>
  <si>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</si>
  <si>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</si>
  <si>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</si>
  <si>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</si>
  <si>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</si>
  <si>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</si>
  <si>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</si>
  <si>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</si>
  <si>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</si>
  <si>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</si>
  <si>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</si>
  <si>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</si>
  <si>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</si>
  <si>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</si>
  <si>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</si>
  <si>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</si>
  <si>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</si>
  <si>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</si>
  <si>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</si>
  <si>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</si>
  <si>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</si>
  <si>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</si>
  <si>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</si>
  <si>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</si>
  <si>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</si>
  <si>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</si>
  <si>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</si>
  <si>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</si>
  <si>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</si>
  <si>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</si>
  <si>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</si>
  <si>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</si>
  <si>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</si>
  <si>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</si>
  <si>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</si>
  <si>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</si>
  <si>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</si>
  <si>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</si>
  <si>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</si>
  <si>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</si>
  <si>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</si>
  <si>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</si>
  <si>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</si>
  <si>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</si>
  <si>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</si>
  <si>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</si>
  <si>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</si>
  <si>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</si>
  <si>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</si>
  <si>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</si>
  <si>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</si>
  <si>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</si>
  <si>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</si>
  <si>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</si>
  <si>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</si>
  <si>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</si>
  <si>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</si>
  <si>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</si>
  <si>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</si>
  <si>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</si>
  <si>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</si>
  <si>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</si>
  <si>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</si>
  <si>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</si>
  <si>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</si>
  <si>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</si>
  <si>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</si>
  <si>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</si>
  <si>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</si>
  <si>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</si>
  <si>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</si>
  <si>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</si>
  <si>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</si>
  <si>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</si>
  <si>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</si>
  <si>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</si>
  <si>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</si>
  <si>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</si>
  <si>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</si>
  <si>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</si>
  <si>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</si>
  <si>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</si>
  <si>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</si>
  <si>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</si>
  <si>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</si>
  <si>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</si>
  <si>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</si>
  <si>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</si>
  <si>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</si>
  <si>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</si>
  <si>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</si>
  <si>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</si>
  <si>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</si>
  <si>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</si>
  <si>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</si>
  <si>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</si>
  <si>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</si>
  <si>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</si>
  <si>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</si>
  <si>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</si>
  <si>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</si>
  <si>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</si>
  <si>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</si>
  <si>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</si>
  <si>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</si>
  <si>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</si>
  <si>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</si>
  <si>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</si>
  <si>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</si>
  <si>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</si>
  <si>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</si>
  <si>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</si>
  <si>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</si>
  <si>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</si>
  <si>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</si>
  <si>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</si>
  <si>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</si>
  <si>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</si>
  <si>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</si>
  <si>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</si>
  <si>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</si>
  <si>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</si>
  <si>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</si>
  <si>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</si>
  <si>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</si>
  <si>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</si>
  <si>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</si>
  <si>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</si>
  <si>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</si>
  <si>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</si>
  <si>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</si>
  <si>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</si>
  <si>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</si>
  <si>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</si>
  <si>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</si>
  <si>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</si>
  <si>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</si>
  <si>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</si>
  <si>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</si>
  <si>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</si>
  <si>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</si>
  <si>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</si>
  <si>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</si>
  <si>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</si>
  <si>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</si>
  <si>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</si>
  <si>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</si>
  <si>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</si>
  <si>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</si>
  <si>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</si>
  <si>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</si>
  <si>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</si>
  <si>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</si>
  <si>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</si>
  <si>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</si>
  <si>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</si>
  <si>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</si>
  <si>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</si>
  <si>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</si>
  <si>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</si>
  <si>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</si>
  <si>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</si>
  <si>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</si>
  <si>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</si>
  <si>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</si>
  <si>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</si>
  <si>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</si>
  <si>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</si>
  <si>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</si>
  <si>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</si>
  <si>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</si>
  <si>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</si>
  <si>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</si>
  <si>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</si>
  <si>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</si>
  <si>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</si>
  <si>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</si>
  <si>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</si>
  <si>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</si>
  <si>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</si>
  <si>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</si>
  <si>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</si>
  <si>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</si>
  <si>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</si>
  <si>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</si>
  <si>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</si>
  <si>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</si>
  <si>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</si>
  <si>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</si>
  <si>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</si>
  <si>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</si>
  <si>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</si>
  <si>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</si>
  <si>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</si>
  <si>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</si>
  <si>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</si>
  <si>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</si>
  <si>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</si>
  <si>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</si>
  <si>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</si>
  <si>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</si>
  <si>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</si>
  <si>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</si>
  <si>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</si>
  <si>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</si>
  <si>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</si>
  <si>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</si>
  <si>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</si>
  <si>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</si>
  <si>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</si>
  <si>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</si>
  <si>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</si>
  <si>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</si>
  <si>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</si>
  <si>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</si>
  <si>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</si>
  <si>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</si>
  <si>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</si>
  <si>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</si>
  <si>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</si>
  <si>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</si>
  <si>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</si>
  <si>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</si>
  <si>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</si>
  <si>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</si>
  <si>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</si>
  <si>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</si>
  <si>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</si>
  <si>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</si>
  <si>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</si>
  <si>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</si>
  <si>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</si>
  <si>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</si>
  <si>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</si>
  <si>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</si>
  <si>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</si>
  <si>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</si>
  <si>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</si>
  <si>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</si>
  <si>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</si>
  <si>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</si>
  <si>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</si>
  <si>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</si>
  <si>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</si>
  <si>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</si>
  <si>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</si>
  <si>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</si>
  <si>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</si>
  <si>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</si>
  <si>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</si>
  <si>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</si>
  <si>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</si>
  <si>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</si>
  <si>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</si>
  <si>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</si>
  <si>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</si>
  <si>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</si>
  <si>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</si>
  <si>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</si>
  <si>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</si>
  <si>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</si>
  <si>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</si>
  <si>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</si>
  <si>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</si>
  <si>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</si>
  <si>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</si>
  <si>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</si>
  <si>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</si>
  <si>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</si>
  <si>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</si>
  <si>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</si>
  <si>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</si>
  <si>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</si>
  <si>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</si>
  <si>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</si>
  <si>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</si>
  <si>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</si>
  <si>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</si>
  <si>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</si>
  <si>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</si>
  <si>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</si>
  <si>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</si>
  <si>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</si>
  <si>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</si>
  <si>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</si>
  <si>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</si>
  <si>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</si>
  <si>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</si>
  <si>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</si>
  <si>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</si>
  <si>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</si>
  <si>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</si>
  <si>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</si>
  <si>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</si>
  <si>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</si>
  <si>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</si>
  <si>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</si>
  <si>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</si>
  <si>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</si>
  <si>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</si>
  <si>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</si>
  <si>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</si>
  <si>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</si>
  <si>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</si>
  <si>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</si>
  <si>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</si>
  <si>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</si>
  <si>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</si>
  <si>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</si>
  <si>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</si>
  <si>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</si>
  <si>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</si>
  <si>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</si>
  <si>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</si>
  <si>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</si>
  <si>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</si>
  <si>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</si>
  <si>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</si>
  <si>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</si>
  <si>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</si>
  <si>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</si>
  <si>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</si>
  <si>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</si>
  <si>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</si>
  <si>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</si>
  <si>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</si>
  <si>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</si>
  <si>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</si>
  <si>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</si>
  <si>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</si>
  <si>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</si>
  <si>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</si>
  <si>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</si>
  <si>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</si>
  <si>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</si>
  <si>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</si>
  <si>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</si>
  <si>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</si>
  <si>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</si>
  <si>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</si>
  <si>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</si>
  <si>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</si>
  <si>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</si>
  <si>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</si>
  <si>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</si>
  <si>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</si>
  <si>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</si>
  <si>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</si>
  <si>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</si>
  <si>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</si>
  <si>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</si>
  <si>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</si>
  <si>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</si>
  <si>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</si>
  <si>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</si>
  <si>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</si>
  <si>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</si>
  <si>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</si>
  <si>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</si>
  <si>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</si>
  <si>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</si>
  <si>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</si>
  <si>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</si>
  <si>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</si>
  <si>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</si>
  <si>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</si>
  <si>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</si>
  <si>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</si>
  <si>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</si>
  <si>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</si>
  <si>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</si>
  <si>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</si>
  <si>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</si>
  <si>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</si>
  <si>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</si>
  <si>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</si>
  <si>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</si>
  <si>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</si>
  <si>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</si>
  <si>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</si>
  <si>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</si>
  <si>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</si>
  <si>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</si>
  <si>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</si>
  <si>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</si>
  <si>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</si>
  <si>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</si>
  <si>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</si>
  <si>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</si>
  <si>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</si>
  <si>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</si>
  <si>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</si>
  <si>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</si>
  <si>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</si>
  <si>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</si>
  <si>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</si>
  <si>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</si>
  <si>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</si>
  <si>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</si>
  <si>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</si>
  <si>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</si>
  <si>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</si>
  <si>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</si>
  <si>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</si>
  <si>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</si>
  <si>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</si>
  <si>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</si>
  <si>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</si>
  <si>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</si>
  <si>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</si>
  <si>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</si>
  <si>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</si>
  <si>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</si>
  <si>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</si>
  <si>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</si>
  <si>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</si>
  <si>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</si>
  <si>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</si>
  <si>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</si>
  <si>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</si>
  <si>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</si>
  <si>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</si>
  <si>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</si>
  <si>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</si>
  <si>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</si>
  <si>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</si>
  <si>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</si>
  <si>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</si>
  <si>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</si>
  <si>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</si>
  <si>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</si>
  <si>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</si>
  <si>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</si>
  <si>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</si>
  <si>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</si>
  <si>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</si>
  <si>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</si>
  <si>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</si>
  <si>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</si>
  <si>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</si>
  <si>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</si>
  <si>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</si>
  <si>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</si>
  <si>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</si>
  <si>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</si>
  <si>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</si>
  <si>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</si>
  <si>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</si>
  <si>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</si>
  <si>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</si>
  <si>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</si>
  <si>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</si>
  <si>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</si>
  <si>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</si>
  <si>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</si>
  <si>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</si>
  <si>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</si>
  <si>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</si>
  <si>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</si>
  <si>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</si>
  <si>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</si>
  <si>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</si>
  <si>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</si>
  <si>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</si>
  <si>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</si>
  <si>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</si>
  <si>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</si>
  <si>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</si>
  <si>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</si>
  <si>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</si>
  <si>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</si>
  <si>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</si>
  <si>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</si>
  <si>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</si>
  <si>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</si>
  <si>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</si>
  <si>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</si>
  <si>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</si>
  <si>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</si>
  <si>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</si>
  <si>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</si>
  <si>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</si>
  <si>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</si>
  <si>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</si>
  <si>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</si>
  <si>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</si>
  <si>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</si>
  <si>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</si>
  <si>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</si>
  <si>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</si>
  <si>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</si>
  <si>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</si>
  <si>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</si>
  <si>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</si>
  <si>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</si>
  <si>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</si>
  <si>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</si>
  <si>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</si>
  <si>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</si>
  <si>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</si>
  <si>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</si>
  <si>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</si>
  <si>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</si>
  <si>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</si>
  <si>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</si>
  <si>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</si>
  <si>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</si>
  <si>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</si>
  <si>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</si>
  <si>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</si>
  <si>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</si>
  <si>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</si>
  <si>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</si>
  <si>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</si>
  <si>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</si>
  <si>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</si>
  <si>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</si>
  <si>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</si>
  <si>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</si>
  <si>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</si>
  <si>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</si>
  <si>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</si>
  <si>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</si>
  <si>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</si>
  <si>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</si>
  <si>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</si>
  <si>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</si>
  <si>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</si>
  <si>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</si>
  <si>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</si>
  <si>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</si>
  <si>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</si>
  <si>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</si>
  <si>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</si>
  <si>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</si>
  <si>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</si>
  <si>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</si>
  <si>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</si>
  <si>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</si>
  <si>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</si>
  <si>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</si>
  <si>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</si>
  <si>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</si>
  <si>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</si>
  <si>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</si>
  <si>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</si>
  <si>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</si>
  <si>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</si>
  <si>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</si>
  <si>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</si>
  <si>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</si>
  <si>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</si>
  <si>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</si>
  <si>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</si>
  <si>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</si>
  <si>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</si>
  <si>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</si>
  <si>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</si>
  <si>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</si>
  <si>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</si>
  <si>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</si>
  <si>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</si>
  <si>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</si>
  <si>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</si>
  <si>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</si>
  <si>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</si>
  <si>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</si>
  <si>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</si>
  <si>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</si>
  <si>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</si>
  <si>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</si>
  <si>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</si>
  <si>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</si>
  <si>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</si>
  <si>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</si>
  <si>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</si>
  <si>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</si>
  <si>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</si>
  <si>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</si>
  <si>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</si>
  <si>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</si>
  <si>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</si>
  <si>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</si>
  <si>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</si>
  <si>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</si>
  <si>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</si>
  <si>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</si>
  <si>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</si>
  <si>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</si>
  <si>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</si>
  <si>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</si>
  <si>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</si>
  <si>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</si>
  <si>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</si>
  <si>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</si>
  <si>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</si>
  <si>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</si>
  <si>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</si>
  <si>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</si>
  <si>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</si>
  <si>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</si>
  <si>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</si>
  <si>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</si>
  <si>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</si>
  <si>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</si>
  <si>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</si>
  <si>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</si>
  <si>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</si>
  <si>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</si>
  <si>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</si>
  <si>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</si>
  <si>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</si>
  <si>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</si>
  <si>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</si>
  <si>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</si>
  <si>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</si>
  <si>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</si>
  <si>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</si>
  <si>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</si>
  <si>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</si>
  <si>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</si>
  <si>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</si>
  <si>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</si>
  <si>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</si>
  <si>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</si>
  <si>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</si>
  <si>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</si>
  <si>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</si>
  <si>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</si>
  <si>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</si>
  <si>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</si>
  <si>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</si>
  <si>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</si>
  <si>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</si>
  <si>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</si>
  <si>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</si>
  <si>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</si>
  <si>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</si>
  <si>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</si>
  <si>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</si>
  <si>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</si>
  <si>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</si>
  <si>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</si>
  <si>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</si>
  <si>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</si>
  <si>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</si>
  <si>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</si>
  <si>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</si>
  <si>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</si>
  <si>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</si>
  <si>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</si>
  <si>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</si>
  <si>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</si>
  <si>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</si>
  <si>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</si>
  <si>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</si>
  <si>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</si>
  <si>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</si>
  <si>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</si>
  <si>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</si>
  <si>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</si>
  <si>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</si>
  <si>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</si>
  <si>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</si>
  <si>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</si>
  <si>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</si>
  <si>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</si>
  <si>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</si>
  <si>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</si>
  <si>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</si>
  <si>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</si>
  <si>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</si>
  <si>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</si>
  <si>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</si>
  <si>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</si>
  <si>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</si>
  <si>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</si>
  <si>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</si>
  <si>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</si>
  <si>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</si>
  <si>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</si>
  <si>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</si>
  <si>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</si>
  <si>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</si>
  <si>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</si>
  <si>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</si>
  <si>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</si>
  <si>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</si>
  <si>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</si>
  <si>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</si>
  <si>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</si>
  <si>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</si>
  <si>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</si>
  <si>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</si>
  <si>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</si>
  <si>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</si>
  <si>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</si>
  <si>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</si>
  <si>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</si>
  <si>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</si>
  <si>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</si>
  <si>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</si>
  <si>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</si>
  <si>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</si>
  <si>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</si>
  <si>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</si>
  <si>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</si>
  <si>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</si>
  <si>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</si>
  <si>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</si>
  <si>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</si>
  <si>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</si>
  <si>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</si>
  <si>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</si>
  <si>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</si>
  <si>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</si>
  <si>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</si>
  <si>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</si>
  <si>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</si>
  <si>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</si>
  <si>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</si>
  <si>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</si>
  <si>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</si>
  <si>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</si>
  <si>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</si>
  <si>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</si>
  <si>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</si>
  <si>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</si>
  <si>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</si>
  <si>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</si>
  <si>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</si>
  <si>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</si>
  <si>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</si>
  <si>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</si>
  <si>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</si>
  <si>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</si>
  <si>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</si>
  <si>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</si>
  <si>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</si>
  <si>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</si>
  <si>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</si>
  <si>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</si>
  <si>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</si>
  <si>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</si>
  <si>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</si>
  <si>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</si>
  <si>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</si>
  <si>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</si>
  <si>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</si>
  <si>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</si>
  <si>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</si>
  <si>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</si>
  <si>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</si>
  <si>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</si>
  <si>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</si>
  <si>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</si>
  <si>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</si>
  <si>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</si>
  <si>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</si>
  <si>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</si>
  <si>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</si>
  <si>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</si>
  <si>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</si>
  <si>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</si>
  <si>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</si>
  <si>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</si>
  <si>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</si>
  <si>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</si>
  <si>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</si>
  <si>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</si>
  <si>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</si>
  <si>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</si>
  <si>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</si>
  <si>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</si>
  <si>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</si>
  <si>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</si>
  <si>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</si>
  <si>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</si>
  <si>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</si>
  <si>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</si>
  <si>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</si>
  <si>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</si>
  <si>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</si>
  <si>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</si>
  <si>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</si>
  <si>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</si>
  <si>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</si>
  <si>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</si>
  <si>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</si>
  <si>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</si>
  <si>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</si>
  <si>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</si>
  <si>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</si>
  <si>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</si>
  <si>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</si>
  <si>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</si>
  <si>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</si>
  <si>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</si>
  <si>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</si>
  <si>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</si>
  <si>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</si>
  <si>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</si>
  <si>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</si>
  <si>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</si>
  <si>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</si>
  <si>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</si>
  <si>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</si>
  <si>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</si>
  <si>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</si>
  <si>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</si>
  <si>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</si>
  <si>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</si>
  <si>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</si>
  <si>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</si>
  <si>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</si>
  <si>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</si>
  <si>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</si>
  <si>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</si>
  <si>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</si>
  <si>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</si>
  <si>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</si>
  <si>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</si>
  <si>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</si>
  <si>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</si>
  <si>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</si>
  <si>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</si>
  <si>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</si>
  <si>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</si>
  <si>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</si>
  <si>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</si>
  <si>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</si>
  <si>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</si>
  <si>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</si>
  <si>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</si>
  <si>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</si>
  <si>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</si>
  <si>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</si>
  <si>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</si>
  <si>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</si>
  <si>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</si>
  <si>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</si>
  <si>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</si>
  <si>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</si>
  <si>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</si>
  <si>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</si>
  <si>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</si>
  <si>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</si>
  <si>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</si>
  <si>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</si>
  <si>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</si>
  <si>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</si>
  <si>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</si>
  <si>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</si>
  <si>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</si>
  <si>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</si>
  <si>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</si>
  <si>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</si>
  <si>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</si>
  <si>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</si>
  <si>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</si>
  <si>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</si>
  <si>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</si>
  <si>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</si>
  <si>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</si>
  <si>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</si>
  <si>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</si>
  <si>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</si>
  <si>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</si>
  <si>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</si>
  <si>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</si>
  <si>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</si>
  <si>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</si>
  <si>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</si>
  <si>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</si>
  <si>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</si>
  <si>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</si>
  <si>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</si>
  <si>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</si>
  <si>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</si>
  <si>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</si>
  <si>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</si>
  <si>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</si>
  <si>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</si>
  <si>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</si>
  <si>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</si>
  <si>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</si>
  <si>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</si>
  <si>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</si>
  <si>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</si>
  <si>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</si>
  <si>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</si>
  <si>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</si>
  <si>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</si>
  <si>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</si>
  <si>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</si>
  <si>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</si>
  <si>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</si>
  <si>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</si>
  <si>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</si>
  <si>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</si>
  <si>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</si>
  <si>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</si>
  <si>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</si>
  <si>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</si>
  <si>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</si>
  <si>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</si>
  <si>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</si>
  <si>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</si>
  <si>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</si>
  <si>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</si>
  <si>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</si>
  <si>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</si>
  <si>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</si>
  <si>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</si>
  <si>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</si>
  <si>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</si>
  <si>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</si>
  <si>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</si>
  <si>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</si>
  <si>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</si>
  <si>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</si>
  <si>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</si>
  <si>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</si>
  <si>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</si>
  <si>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</si>
  <si>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</si>
  <si>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</si>
  <si>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</si>
  <si>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</si>
  <si>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</si>
  <si>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</si>
  <si>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</si>
  <si>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</si>
  <si>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</si>
  <si>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</si>
  <si>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</si>
  <si>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</si>
  <si>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</si>
  <si>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</si>
  <si>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</si>
  <si>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</si>
  <si>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</si>
  <si>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</si>
  <si>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</si>
  <si>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</si>
  <si>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</si>
  <si>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</si>
  <si>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</si>
  <si>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</si>
  <si>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</si>
  <si>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</si>
  <si>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</si>
  <si>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</si>
  <si>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</si>
  <si>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</si>
  <si>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</si>
  <si>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</si>
  <si>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</si>
  <si>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</si>
  <si>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</si>
  <si>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</si>
  <si>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</si>
  <si>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</si>
  <si>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</si>
  <si>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</si>
  <si>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</si>
  <si>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</si>
  <si>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</si>
  <si>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</si>
  <si>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</si>
  <si>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</si>
  <si>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</si>
  <si>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</si>
  <si>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</si>
  <si>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</si>
  <si>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</si>
  <si>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</si>
  <si>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</si>
  <si>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</si>
  <si>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</si>
  <si>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</si>
  <si>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</si>
  <si>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</si>
  <si>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</si>
  <si>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</si>
  <si>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</si>
  <si>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</si>
  <si>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</si>
  <si>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</si>
  <si>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</si>
  <si>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</si>
  <si>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</si>
  <si>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</si>
  <si>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</si>
  <si>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</si>
  <si>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</si>
  <si>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</si>
  <si>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</si>
  <si>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</si>
  <si>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</si>
  <si>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</si>
  <si>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</si>
  <si>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</si>
  <si>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</si>
  <si>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</si>
  <si>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</si>
  <si>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</si>
  <si>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</si>
  <si>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</si>
  <si>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</si>
  <si>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</si>
  <si>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</si>
  <si>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</si>
  <si>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</si>
  <si>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</si>
  <si>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</si>
  <si>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</si>
  <si>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</si>
  <si>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</si>
  <si>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</si>
  <si>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</si>
  <si>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</si>
  <si>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</si>
  <si>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</si>
  <si>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</si>
  <si>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</si>
  <si>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</si>
  <si>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</si>
  <si>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</si>
  <si>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</si>
  <si>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</si>
  <si>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</si>
  <si>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</si>
  <si>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</si>
  <si>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</si>
  <si>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</si>
  <si>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</si>
  <si>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</si>
  <si>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</si>
  <si>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</si>
  <si>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</si>
  <si>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</si>
  <si>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</si>
  <si>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</si>
  <si>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</si>
  <si>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</si>
  <si>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</si>
  <si>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</si>
  <si>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</si>
  <si>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</si>
  <si>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</si>
  <si>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</si>
  <si>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</si>
  <si>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</si>
  <si>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</si>
  <si>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</si>
  <si>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</si>
  <si>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</si>
  <si>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</si>
  <si>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</si>
  <si>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</si>
  <si>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</si>
  <si>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</si>
  <si>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</si>
  <si>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</si>
  <si>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</si>
  <si>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</si>
  <si>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</si>
  <si>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</si>
  <si>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</si>
  <si>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</si>
  <si>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</si>
  <si>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</si>
  <si>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</si>
  <si>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</si>
  <si>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</si>
  <si>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</si>
  <si>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</si>
  <si>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</si>
  <si>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</si>
  <si>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</si>
  <si>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</si>
  <si>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</si>
  <si>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</si>
  <si>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</si>
  <si>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</si>
  <si>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</si>
  <si>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</si>
  <si>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</si>
  <si>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</si>
  <si>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</si>
  <si>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</si>
  <si>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</si>
  <si>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</si>
  <si>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</si>
  <si>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</si>
  <si>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</si>
  <si>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</si>
  <si>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</si>
  <si>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</si>
  <si>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</si>
  <si>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</si>
  <si>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</si>
  <si>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</si>
  <si>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</si>
  <si>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</si>
  <si>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</si>
  <si>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</si>
  <si>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</si>
  <si>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</si>
  <si>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</si>
  <si>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</si>
  <si>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</si>
  <si>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</si>
  <si>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</si>
  <si>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</si>
  <si>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</si>
  <si>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</si>
  <si>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</si>
  <si>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</si>
  <si>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</si>
  <si>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</si>
  <si>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</si>
  <si>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</si>
  <si>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</si>
  <si>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</si>
  <si>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</si>
  <si>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</si>
  <si>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</si>
  <si>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</si>
  <si>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</si>
  <si>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</si>
  <si>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</si>
  <si>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</si>
  <si>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</si>
  <si>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</si>
  <si>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</si>
  <si>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</si>
  <si>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</si>
  <si>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</si>
  <si>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</si>
  <si>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</si>
  <si>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</si>
  <si>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</si>
  <si>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</si>
  <si>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</si>
  <si>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</si>
  <si>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</si>
  <si>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</si>
  <si>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</si>
  <si>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</si>
  <si>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</si>
  <si>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</si>
  <si>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</si>
  <si>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</si>
  <si>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</si>
  <si>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</si>
  <si>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</si>
  <si>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</si>
  <si>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</si>
  <si>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</si>
  <si>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</si>
  <si>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</si>
  <si>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</si>
  <si>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</si>
  <si>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</si>
  <si>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</si>
  <si>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</si>
  <si>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</si>
  <si>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</si>
  <si>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</si>
  <si>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</si>
  <si>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</si>
  <si>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</si>
  <si>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</si>
  <si>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</si>
  <si>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</si>
  <si>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</si>
  <si>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</si>
  <si>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</si>
  <si>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</si>
  <si>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</si>
  <si>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</si>
  <si>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</si>
  <si>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</si>
  <si>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</si>
  <si>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</si>
  <si>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</si>
  <si>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</si>
  <si>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</si>
  <si>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</si>
  <si>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</si>
  <si>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</si>
  <si>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</si>
  <si>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</si>
  <si>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</si>
  <si>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</si>
  <si>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</si>
  <si>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</si>
  <si>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</si>
  <si>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</si>
  <si>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</si>
  <si>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</si>
  <si>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</si>
  <si>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</si>
  <si>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</si>
  <si>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</si>
  <si>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</si>
  <si>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</si>
  <si>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</si>
  <si>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</si>
  <si>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</si>
  <si>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</si>
  <si>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</si>
  <si>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</si>
  <si>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</si>
  <si>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</si>
  <si>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</si>
  <si>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</si>
  <si>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</si>
  <si>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</si>
  <si>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</si>
  <si>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</si>
  <si>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</si>
  <si>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</si>
  <si>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</si>
  <si>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</si>
  <si>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</si>
  <si>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</si>
  <si>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</si>
  <si>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</si>
  <si>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</si>
  <si>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</si>
  <si>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</si>
  <si>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</si>
  <si>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</si>
  <si>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</si>
  <si>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</si>
  <si>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</si>
  <si>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</si>
  <si>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</si>
  <si>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</si>
  <si>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</si>
  <si>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</si>
  <si>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</si>
  <si>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</si>
  <si>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</si>
  <si>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</si>
  <si>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</si>
  <si>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</si>
  <si>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</si>
  <si>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</si>
  <si>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</si>
  <si>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</si>
  <si>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</si>
  <si>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</si>
  <si>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</si>
  <si>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</si>
  <si>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</si>
  <si>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</si>
  <si>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</si>
  <si>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</si>
  <si>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</si>
  <si>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</si>
  <si>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</si>
  <si>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</si>
  <si>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</si>
  <si>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</si>
  <si>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</si>
  <si>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</si>
  <si>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</si>
  <si>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</si>
  <si>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</si>
  <si>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</si>
  <si>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</si>
  <si>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</si>
  <si>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</si>
  <si>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</si>
  <si>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</si>
  <si>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</si>
  <si>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</si>
  <si>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</si>
  <si>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</si>
  <si>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</si>
  <si>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</si>
  <si>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</si>
  <si>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</si>
  <si>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</si>
  <si>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</si>
  <si>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</si>
  <si>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</si>
  <si>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</si>
  <si>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</si>
  <si>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</si>
  <si>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</si>
  <si>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</si>
  <si>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</si>
  <si>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</si>
  <si>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</si>
  <si>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</si>
  <si>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</si>
  <si>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</si>
  <si>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</si>
  <si>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</si>
  <si>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</si>
  <si>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</si>
  <si>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</si>
  <si>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</si>
  <si>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</si>
  <si>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</si>
  <si>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</si>
  <si>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</si>
  <si>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</si>
  <si>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</si>
  <si>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</si>
  <si>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</si>
  <si>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</si>
  <si>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</si>
  <si>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</si>
  <si>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</si>
  <si>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</si>
  <si>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</si>
  <si>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</si>
  <si>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</si>
  <si>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</si>
  <si>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</si>
  <si>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</si>
  <si>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</si>
  <si>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</si>
  <si>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</si>
  <si>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</si>
  <si>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</si>
  <si>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</si>
  <si>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</si>
  <si>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</si>
  <si>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</si>
  <si>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</si>
  <si>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</si>
  <si>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</si>
  <si>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</si>
  <si>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</si>
  <si>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</si>
  <si>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</si>
  <si>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</si>
  <si>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</si>
  <si>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</si>
  <si>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</si>
  <si>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</si>
  <si>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</si>
  <si>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</si>
  <si>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</si>
  <si>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</si>
  <si>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</si>
  <si>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</si>
  <si>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</si>
  <si>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</si>
  <si>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</si>
  <si>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</si>
  <si>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</si>
  <si>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</si>
  <si>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</si>
  <si>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</si>
  <si>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</si>
  <si>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</si>
  <si>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</si>
  <si>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</si>
  <si>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</si>
  <si>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</si>
  <si>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</si>
  <si>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</si>
  <si>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</si>
  <si>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</si>
  <si>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</si>
  <si>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</si>
  <si>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</si>
  <si>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</si>
  <si>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</si>
  <si>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</si>
  <si>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</si>
  <si>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</si>
  <si>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</si>
  <si>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</si>
  <si>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</si>
  <si>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</si>
  <si>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</si>
  <si>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</si>
  <si>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</si>
  <si>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</si>
  <si>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</si>
  <si>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</si>
  <si>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</si>
  <si>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</si>
  <si>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</si>
  <si>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</si>
  <si>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</si>
  <si>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</si>
  <si>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</si>
  <si>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</si>
  <si>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</si>
  <si>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</si>
  <si>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</si>
  <si>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</si>
  <si>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</si>
  <si>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</si>
  <si>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</si>
  <si>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</si>
  <si>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</si>
  <si>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</si>
  <si>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</si>
  <si>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</si>
  <si>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</si>
  <si>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</si>
  <si>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</si>
  <si>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</si>
  <si>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</si>
  <si>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</si>
  <si>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</si>
  <si>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</si>
  <si>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</si>
  <si>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</si>
  <si>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</si>
  <si>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</si>
  <si>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</si>
  <si>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</si>
  <si>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</si>
  <si>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</si>
  <si>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</si>
  <si>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</si>
  <si>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</si>
  <si>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</si>
  <si>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</si>
  <si>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</si>
  <si>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</si>
  <si>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</si>
  <si>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</si>
  <si>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</si>
  <si>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</si>
  <si>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</si>
  <si>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</si>
  <si>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</si>
  <si>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</si>
  <si>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</si>
  <si>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</si>
  <si>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</si>
  <si>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</si>
  <si>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</si>
  <si>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</si>
  <si>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</si>
  <si>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</si>
  <si>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</si>
  <si>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</si>
  <si>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</si>
  <si>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</si>
  <si>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</si>
  <si>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</si>
  <si>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</si>
  <si>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</si>
  <si>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</si>
  <si>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</si>
  <si>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</si>
  <si>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</si>
  <si>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</si>
  <si>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</si>
  <si>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</si>
  <si>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</si>
  <si>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</si>
  <si>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</si>
  <si>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</si>
  <si>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</si>
  <si>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</si>
  <si>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</si>
  <si>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</si>
  <si>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</si>
  <si>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</si>
  <si>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</si>
  <si>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</si>
  <si>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</si>
  <si>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</si>
  <si>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</si>
  <si>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</si>
  <si>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</si>
  <si>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</si>
  <si>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</si>
  <si>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</si>
  <si>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</si>
  <si>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</si>
  <si>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</si>
  <si>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</si>
  <si>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</si>
  <si>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</si>
  <si>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</si>
  <si>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</si>
  <si>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</si>
  <si>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</si>
  <si>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</si>
  <si>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</si>
  <si>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</si>
  <si>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</si>
  <si>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</si>
  <si>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</si>
  <si>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</si>
  <si>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</si>
  <si>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</si>
  <si>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</si>
  <si>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</si>
  <si>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</si>
  <si>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</si>
  <si>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</si>
  <si>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</si>
  <si>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</si>
  <si>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</si>
  <si>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</si>
  <si>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</si>
  <si>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</si>
  <si>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</si>
  <si>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</si>
  <si>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</si>
  <si>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</si>
  <si>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</si>
  <si>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</si>
  <si>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</si>
  <si>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</si>
  <si>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</si>
  <si>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</si>
  <si>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</si>
  <si>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</si>
  <si>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</si>
  <si>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</si>
  <si>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</si>
  <si>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</si>
  <si>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</si>
  <si>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</si>
  <si>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</si>
  <si>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</si>
  <si>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</si>
  <si>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</si>
  <si>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</si>
  <si>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</si>
  <si>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</si>
  <si>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</si>
  <si>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</si>
  <si>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</si>
  <si>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</si>
  <si>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</si>
  <si>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</si>
  <si>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</si>
  <si>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</si>
  <si>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</si>
  <si>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</si>
  <si>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</si>
  <si>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</si>
  <si>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</si>
  <si>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</si>
  <si>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</si>
  <si>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</si>
  <si>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</si>
  <si>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</si>
  <si>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</si>
  <si>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</si>
  <si>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</si>
  <si>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</si>
  <si>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</si>
  <si>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</si>
  <si>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</si>
  <si>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</si>
  <si>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</si>
  <si>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</si>
  <si>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</si>
  <si>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</si>
  <si>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</si>
  <si>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</si>
  <si>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</si>
  <si>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</si>
  <si>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</si>
  <si>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</si>
  <si>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</si>
  <si>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</si>
  <si>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</si>
  <si>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</si>
  <si>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</si>
  <si>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</si>
  <si>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</si>
  <si>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</si>
  <si>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</si>
  <si>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</si>
  <si>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</si>
  <si>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</si>
  <si>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</si>
  <si>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</si>
  <si>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</si>
  <si>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</si>
  <si>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</si>
  <si>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</si>
  <si>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</si>
  <si>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</si>
  <si>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</si>
  <si>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</si>
  <si>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</si>
  <si>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</si>
  <si>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</si>
  <si>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</si>
  <si>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</si>
  <si>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</si>
  <si>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</si>
  <si>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</si>
  <si>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</si>
  <si>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</si>
  <si>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</si>
  <si>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</si>
  <si>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</si>
  <si>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</si>
  <si>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</si>
  <si>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</si>
  <si>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</si>
  <si>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</si>
  <si>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</si>
  <si>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</si>
  <si>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</si>
  <si>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</si>
  <si>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</si>
  <si>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</si>
  <si>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</si>
  <si>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</si>
  <si>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</si>
  <si>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</si>
  <si>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</si>
  <si>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</si>
  <si>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</si>
  <si>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</si>
  <si>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</si>
  <si>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</si>
  <si>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</si>
  <si>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</si>
  <si>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</si>
  <si>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</si>
  <si>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</si>
  <si>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</si>
  <si>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</si>
  <si>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</si>
  <si>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</si>
  <si>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</si>
  <si>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</si>
  <si>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</si>
  <si>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</si>
  <si>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</si>
  <si>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</si>
  <si>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</si>
  <si>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</si>
  <si>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</si>
  <si>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</si>
  <si>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</si>
  <si>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</si>
  <si>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</si>
  <si>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</si>
  <si>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</si>
  <si>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</si>
  <si>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</si>
  <si>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</si>
  <si>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</si>
  <si>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</si>
  <si>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</si>
  <si>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</si>
  <si>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</si>
  <si>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</si>
  <si>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</si>
  <si>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</si>
  <si>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</si>
  <si>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</si>
  <si>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</si>
  <si>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</si>
  <si>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</si>
  <si>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</si>
  <si>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</si>
  <si>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</si>
  <si>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</si>
  <si>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</si>
  <si>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</si>
  <si>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</si>
  <si>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</si>
  <si>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</si>
  <si>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</si>
  <si>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</si>
  <si>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</si>
  <si>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</si>
  <si>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</si>
  <si>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</si>
  <si>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</si>
  <si>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</si>
  <si>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</si>
  <si>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</si>
  <si>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</si>
  <si>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</si>
  <si>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</si>
  <si>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</si>
  <si>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</si>
  <si>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</si>
  <si>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</si>
  <si>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</si>
  <si>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</si>
  <si>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</si>
  <si>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</si>
  <si>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</si>
  <si>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</si>
  <si>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</si>
  <si>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</si>
  <si>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</si>
  <si>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</si>
  <si>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</si>
  <si>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</si>
  <si>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</si>
  <si>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</si>
  <si>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</si>
  <si>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</si>
  <si>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</si>
  <si>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</si>
  <si>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</si>
  <si>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</si>
  <si>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</si>
  <si>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</si>
  <si>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</si>
  <si>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</si>
  <si>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</si>
  <si>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</si>
  <si>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</si>
  <si>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</si>
  <si>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</si>
  <si>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</si>
  <si>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</si>
  <si>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</si>
  <si>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</si>
  <si>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</si>
  <si>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</si>
  <si>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</si>
  <si>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</si>
  <si>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</si>
  <si>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</si>
  <si>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</si>
  <si>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</si>
  <si>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</si>
  <si>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</si>
  <si>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</si>
  <si>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</si>
  <si>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</si>
  <si>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</si>
  <si>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</si>
  <si>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</si>
  <si>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</si>
  <si>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</si>
  <si>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</si>
  <si>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</si>
  <si>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</si>
  <si>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</si>
  <si>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</si>
  <si>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</si>
  <si>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</si>
  <si>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</si>
  <si>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</si>
  <si>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</si>
  <si>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</si>
  <si>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</si>
  <si>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</si>
  <si>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</si>
  <si>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</si>
  <si>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</si>
  <si>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</si>
  <si>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</si>
  <si>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</si>
  <si>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</si>
  <si>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</si>
  <si>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</si>
  <si>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</si>
  <si>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</si>
  <si>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</si>
  <si>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</si>
  <si>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</si>
  <si>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</si>
  <si>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</si>
  <si>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</si>
  <si>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</si>
  <si>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</si>
  <si>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</si>
  <si>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</si>
  <si>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</si>
  <si>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</si>
  <si>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</si>
  <si>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</si>
  <si>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</si>
  <si>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</si>
  <si>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</si>
  <si>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</si>
  <si>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</si>
  <si>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</si>
  <si>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</si>
  <si>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</si>
  <si>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</si>
  <si>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</si>
  <si>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</si>
  <si>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</si>
  <si>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</si>
  <si>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</si>
  <si>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</si>
  <si>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</si>
  <si>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</si>
  <si>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</si>
  <si>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</si>
  <si>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</si>
  <si>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</si>
  <si>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</si>
  <si>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</si>
  <si>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</si>
  <si>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</si>
  <si>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</si>
  <si>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</si>
  <si>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</si>
  <si>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</si>
  <si>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</si>
  <si>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</si>
  <si>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</si>
  <si>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</si>
  <si>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</si>
  <si>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</si>
  <si>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</si>
  <si>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</si>
  <si>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</si>
  <si>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</si>
  <si>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</si>
  <si>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</si>
  <si>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</si>
  <si>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</si>
  <si>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</si>
  <si>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</si>
  <si>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</si>
  <si>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</si>
  <si>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</si>
  <si>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</si>
  <si>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</si>
  <si>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</si>
  <si>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</si>
  <si>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</si>
  <si>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</si>
  <si>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</si>
  <si>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</si>
  <si>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</si>
  <si>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</si>
  <si>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</si>
  <si>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</si>
  <si>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</si>
  <si>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</si>
  <si>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</si>
  <si>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</si>
  <si>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</si>
  <si>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</si>
  <si>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</si>
  <si>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</si>
  <si>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</si>
  <si>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</si>
  <si>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</si>
  <si>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</si>
  <si>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</si>
  <si>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</si>
  <si>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</si>
  <si>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</si>
  <si>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</si>
  <si>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</si>
  <si>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</si>
  <si>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</si>
  <si>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</si>
  <si>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</si>
  <si>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</si>
  <si>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</si>
  <si>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</si>
  <si>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</si>
  <si>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</si>
  <si>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</si>
  <si>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</si>
  <si>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</si>
  <si>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</si>
  <si>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</si>
  <si>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</si>
  <si>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</si>
  <si>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</si>
  <si>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</si>
  <si>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</si>
  <si>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</si>
  <si>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</si>
  <si>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</si>
  <si>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</si>
  <si>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</si>
  <si>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</si>
  <si>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</si>
  <si>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</si>
  <si>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</si>
  <si>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</si>
  <si>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</si>
  <si>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</si>
  <si>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</si>
  <si>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</si>
  <si>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</si>
  <si>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</si>
  <si>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</si>
  <si>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</si>
  <si>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</si>
  <si>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</si>
  <si>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</si>
  <si>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</si>
  <si>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</si>
  <si>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</si>
  <si>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</si>
  <si>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</si>
  <si>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</si>
  <si>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</si>
  <si>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</si>
  <si>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</si>
  <si>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</si>
  <si>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</si>
  <si>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</si>
  <si>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</si>
  <si>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</si>
  <si>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</si>
  <si>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</si>
  <si>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</si>
  <si>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</si>
  <si>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</si>
  <si>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</si>
  <si>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</si>
  <si>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</si>
  <si>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</si>
  <si>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</si>
  <si>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</si>
  <si>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</si>
  <si>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</si>
  <si>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</si>
  <si>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</si>
  <si>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</si>
  <si>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</si>
  <si>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</si>
  <si>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</si>
  <si>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</si>
  <si>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</si>
  <si>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</si>
  <si>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</si>
  <si>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</si>
  <si>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</si>
  <si>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</si>
  <si>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</si>
  <si>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</si>
  <si>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</si>
  <si>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</si>
  <si>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</si>
  <si>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</si>
  <si>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</si>
  <si>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</si>
  <si>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</si>
  <si>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</si>
  <si>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</si>
  <si>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</si>
  <si>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</si>
  <si>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</si>
  <si>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</si>
  <si>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</si>
  <si>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</si>
  <si>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</si>
  <si>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</si>
  <si>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</si>
  <si>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</si>
  <si>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</si>
  <si>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</si>
  <si>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</si>
  <si>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</si>
  <si>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</si>
  <si>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</si>
  <si>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</si>
  <si>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</si>
  <si>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</si>
  <si>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</si>
  <si>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</si>
  <si>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</si>
  <si>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</si>
  <si>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</si>
  <si>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</si>
  <si>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</si>
  <si>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</si>
  <si>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</si>
  <si>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</si>
  <si>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</si>
  <si>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</si>
  <si>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</si>
  <si>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</si>
  <si>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</si>
  <si>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</si>
  <si>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</si>
  <si>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</si>
  <si>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</si>
  <si>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</si>
  <si>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</si>
  <si>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</si>
  <si>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</si>
  <si>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</si>
  <si>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</si>
  <si>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</si>
  <si>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</si>
  <si>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</si>
  <si>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</si>
  <si>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</si>
  <si>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</si>
  <si>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</si>
  <si>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</si>
  <si>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</si>
  <si>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</si>
  <si>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</si>
  <si>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</si>
  <si>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</si>
  <si>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</si>
  <si>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</si>
  <si>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</si>
  <si>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</si>
  <si>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</si>
  <si>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</si>
  <si>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</si>
  <si>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</si>
  <si>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</si>
  <si>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</si>
  <si>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</si>
  <si>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</si>
  <si>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</si>
  <si>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</si>
  <si>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</si>
  <si>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</si>
  <si>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</si>
  <si>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</si>
  <si>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</si>
  <si>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</si>
  <si>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</si>
  <si>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</si>
  <si>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</si>
  <si>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</si>
  <si>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</si>
  <si>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</si>
  <si>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</si>
  <si>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</si>
  <si>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</si>
  <si>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</si>
  <si>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</si>
  <si>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</si>
  <si>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</si>
  <si>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</si>
  <si>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</si>
  <si>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</si>
  <si>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</si>
  <si>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</si>
  <si>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</si>
  <si>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</si>
  <si>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</si>
  <si>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</si>
  <si>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</si>
  <si>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</si>
  <si>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</si>
  <si>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</si>
  <si>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</si>
  <si>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</si>
  <si>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</si>
  <si>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</si>
  <si>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</si>
  <si>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</si>
  <si>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</si>
  <si>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</si>
  <si>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</si>
  <si>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</si>
  <si>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</si>
  <si>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</si>
  <si>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</si>
  <si>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</si>
  <si>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</si>
  <si>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</si>
  <si>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</si>
  <si>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</si>
  <si>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</si>
  <si>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</si>
  <si>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</si>
  <si>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</si>
  <si>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</si>
  <si>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</si>
  <si>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</si>
  <si>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</si>
  <si>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</si>
  <si>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</si>
  <si>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</si>
  <si>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</si>
  <si>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</si>
  <si>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</si>
  <si>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</si>
  <si>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</si>
  <si>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</si>
  <si>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</si>
  <si>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</si>
  <si>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</si>
  <si>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</si>
  <si>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</si>
  <si>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</si>
  <si>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</si>
  <si>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</si>
  <si>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</si>
  <si>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</si>
  <si>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</si>
  <si>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</si>
  <si>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</si>
  <si>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</si>
  <si>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</si>
  <si>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</si>
  <si>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</si>
  <si>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</si>
  <si>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</si>
  <si>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</si>
  <si>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</si>
  <si>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</si>
  <si>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</si>
  <si>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</si>
  <si>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</si>
  <si>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</si>
  <si>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</si>
  <si>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</si>
  <si>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</si>
  <si>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</si>
  <si>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</si>
  <si>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</si>
  <si>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</si>
  <si>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</si>
  <si>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</si>
  <si>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</si>
  <si>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</si>
  <si>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</si>
  <si>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</si>
  <si>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</si>
  <si>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</si>
  <si>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</si>
  <si>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</si>
  <si>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</si>
  <si>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</si>
  <si>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</si>
  <si>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</si>
  <si>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</si>
  <si>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</si>
  <si>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</si>
  <si>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</si>
  <si>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</si>
  <si>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</si>
  <si>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</si>
  <si>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</si>
  <si>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</si>
  <si>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</si>
  <si>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</si>
  <si>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</si>
  <si>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</si>
  <si>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</si>
  <si>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</si>
  <si>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</si>
  <si>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</si>
  <si>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</si>
  <si>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</si>
  <si>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</si>
  <si>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</si>
  <si>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</si>
  <si>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</si>
  <si>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</si>
  <si>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</si>
  <si>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</si>
  <si>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</si>
  <si>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</si>
  <si>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</si>
  <si>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</si>
  <si>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</si>
  <si>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</si>
  <si>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</si>
  <si>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</si>
  <si>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</si>
  <si>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</si>
  <si>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</si>
  <si>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</si>
  <si>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</si>
  <si>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</si>
  <si>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</si>
  <si>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</si>
  <si>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</si>
  <si>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</si>
  <si>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</si>
  <si>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</si>
  <si>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</si>
  <si>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</si>
  <si>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</si>
  <si>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</si>
  <si>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</si>
  <si>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</si>
  <si>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</si>
  <si>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</si>
  <si>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</si>
  <si>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</si>
  <si>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</si>
  <si>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</si>
  <si>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</si>
  <si>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</si>
  <si>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</si>
  <si>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</si>
  <si>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</si>
  <si>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</si>
  <si>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</si>
  <si>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</si>
  <si>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</si>
  <si>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</si>
  <si>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</si>
  <si>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</si>
  <si>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</si>
  <si>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</si>
  <si>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</si>
  <si>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</si>
  <si>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</si>
  <si>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</si>
  <si>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</si>
  <si>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</si>
  <si>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</si>
  <si>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</si>
  <si>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</si>
  <si>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</si>
  <si>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</si>
  <si>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</si>
  <si>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</si>
  <si>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</si>
  <si>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</si>
  <si>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</si>
  <si>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</si>
  <si>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</si>
  <si>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</si>
  <si>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</si>
  <si>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</si>
  <si>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</si>
  <si>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</si>
  <si>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</si>
  <si>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</si>
  <si>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</si>
  <si>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</si>
  <si>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</si>
  <si>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</si>
  <si>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</si>
  <si>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</si>
  <si>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</si>
  <si>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</si>
  <si>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</si>
  <si>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</si>
  <si>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</si>
  <si>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</si>
  <si>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</si>
  <si>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</si>
  <si>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</si>
  <si>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</si>
  <si>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</si>
  <si>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</si>
  <si>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</si>
  <si>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</si>
  <si>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</si>
  <si>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</si>
  <si>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</si>
  <si>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</si>
  <si>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</si>
  <si>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</si>
  <si>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</si>
  <si>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</si>
  <si>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</si>
  <si>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</si>
  <si>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</si>
  <si>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</si>
  <si>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</si>
  <si>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</si>
  <si>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</si>
  <si>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</si>
  <si>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</si>
  <si>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</si>
  <si>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</si>
  <si>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</si>
  <si>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</si>
  <si>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</si>
  <si>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</si>
  <si>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</si>
  <si>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</si>
  <si>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</si>
  <si>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</si>
  <si>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</si>
  <si>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</si>
  <si>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</si>
  <si>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</si>
  <si>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</si>
  <si>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</si>
  <si>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</si>
  <si>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</si>
  <si>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</si>
  <si>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</si>
  <si>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</si>
  <si>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</si>
  <si>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</si>
  <si>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</si>
  <si>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</si>
  <si>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</si>
  <si>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</si>
  <si>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</si>
  <si>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</si>
  <si>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</si>
  <si>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</si>
  <si>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</si>
  <si>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</si>
  <si>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</si>
  <si>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</si>
  <si>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</si>
  <si>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</si>
  <si>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</si>
  <si>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</si>
  <si>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</si>
  <si>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</si>
  <si>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</si>
  <si>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</si>
  <si>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</si>
  <si>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</si>
  <si>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</si>
  <si>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</si>
  <si>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</si>
  <si>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</si>
  <si>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</si>
  <si>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</si>
  <si>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</si>
  <si>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</si>
  <si>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</si>
  <si>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</si>
  <si>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</si>
  <si>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</si>
  <si>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</si>
  <si>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</si>
  <si>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</si>
  <si>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</si>
  <si>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</si>
  <si>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</si>
  <si>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</si>
  <si>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</si>
  <si>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</si>
  <si>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</si>
  <si>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</si>
  <si>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</si>
  <si>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</si>
  <si>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</si>
  <si>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</si>
  <si>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</si>
  <si>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</si>
  <si>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</si>
  <si>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</si>
  <si>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</si>
  <si>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</si>
  <si>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</si>
  <si>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</si>
  <si>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</si>
  <si>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</si>
  <si>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</si>
  <si>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</si>
  <si>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</si>
  <si>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</si>
  <si>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</si>
  <si>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</si>
  <si>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</si>
  <si>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</si>
  <si>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</si>
  <si>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</si>
  <si>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</si>
  <si>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</si>
  <si>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</si>
  <si>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</si>
  <si>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</si>
  <si>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</si>
  <si>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</si>
  <si>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</si>
  <si>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</si>
  <si>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</si>
  <si>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</si>
  <si>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</si>
  <si>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</si>
  <si>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</si>
  <si>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</si>
  <si>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</si>
  <si>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</si>
  <si>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</si>
  <si>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</si>
  <si>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</si>
  <si>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</si>
  <si>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</si>
  <si>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</si>
  <si>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</si>
  <si>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</si>
  <si>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</si>
  <si>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</si>
  <si>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</si>
  <si>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</si>
  <si>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</si>
  <si>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</si>
  <si>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</si>
  <si>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</si>
  <si>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</si>
  <si>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</si>
  <si>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</si>
  <si>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</si>
  <si>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</si>
  <si>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</si>
  <si>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</si>
  <si>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</si>
  <si>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</si>
  <si>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</si>
  <si>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</si>
  <si>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</si>
  <si>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</si>
  <si>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</si>
  <si>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</si>
  <si>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</si>
  <si>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</si>
  <si>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</si>
  <si>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</si>
  <si>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</si>
  <si>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</si>
  <si>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</si>
  <si>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</si>
  <si>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</si>
  <si>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</si>
  <si>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</si>
  <si>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</si>
  <si>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</si>
  <si>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</si>
  <si>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</si>
  <si>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</si>
  <si>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</si>
  <si>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</si>
  <si>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</si>
  <si>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</si>
  <si>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</si>
  <si>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</si>
  <si>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</si>
  <si>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</si>
  <si>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</si>
  <si>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</si>
  <si>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</si>
  <si>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</si>
  <si>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</si>
  <si>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</si>
  <si>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</si>
  <si>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</si>
  <si>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</si>
  <si>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</si>
  <si>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</si>
  <si>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</si>
  <si>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</si>
  <si>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</si>
  <si>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</si>
  <si>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</si>
  <si>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</si>
  <si>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</si>
  <si>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</si>
  <si>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</si>
  <si>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</si>
  <si>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</si>
  <si>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</si>
  <si>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</si>
  <si>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</si>
  <si>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</si>
  <si>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</si>
  <si>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</si>
  <si>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</si>
  <si>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</si>
  <si>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</si>
  <si>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</si>
  <si>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</si>
  <si>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</si>
  <si>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</si>
  <si>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</si>
  <si>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</si>
  <si>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</si>
  <si>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</si>
  <si>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</si>
  <si>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</si>
  <si>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</si>
  <si>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</si>
  <si>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</si>
  <si>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</si>
  <si>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</si>
  <si>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</si>
  <si>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</si>
  <si>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</si>
  <si>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</si>
  <si>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</si>
  <si>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</si>
  <si>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</si>
  <si>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</si>
  <si>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</si>
  <si>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</si>
  <si>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</si>
  <si>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</si>
  <si>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</si>
  <si>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</si>
  <si>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</si>
  <si>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</si>
  <si>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</si>
  <si>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</si>
  <si>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</si>
  <si>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</si>
  <si>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</si>
  <si>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</si>
  <si>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</si>
  <si>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</si>
  <si>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</si>
  <si>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</si>
  <si>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</si>
  <si>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</si>
  <si>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</si>
  <si>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</si>
  <si>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</si>
  <si>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</si>
  <si>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</si>
  <si>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</si>
  <si>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</si>
  <si>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</si>
  <si>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</si>
  <si>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</si>
  <si>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</si>
  <si>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</si>
  <si>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</si>
  <si>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</si>
  <si>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</si>
  <si>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</si>
  <si>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</si>
  <si>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</si>
  <si>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</si>
  <si>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</si>
  <si>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</si>
  <si>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</si>
  <si>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</si>
  <si>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</si>
  <si>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</si>
  <si>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</si>
  <si>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</si>
  <si>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</si>
  <si>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</si>
  <si>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</si>
  <si>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</si>
  <si>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</si>
  <si>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</si>
  <si>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</si>
  <si>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</si>
  <si>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</si>
  <si>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</si>
  <si>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</si>
  <si>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</si>
  <si>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</si>
  <si>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</si>
  <si>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</si>
  <si>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</si>
  <si>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</si>
  <si>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</si>
  <si>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</si>
  <si>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</si>
  <si>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</si>
  <si>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</si>
  <si>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</si>
  <si>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</si>
  <si>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</si>
  <si>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</si>
  <si>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</si>
  <si>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</si>
  <si>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</si>
  <si>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</si>
  <si>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</si>
  <si>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</si>
  <si>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</si>
  <si>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</si>
  <si>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</si>
  <si>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</si>
  <si>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</si>
  <si>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</si>
  <si>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</si>
  <si>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</si>
  <si>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</si>
  <si>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</si>
  <si>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</si>
  <si>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</si>
  <si>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</si>
  <si>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</si>
  <si>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</si>
  <si>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</si>
  <si>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</si>
  <si>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</si>
  <si>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</si>
  <si>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</si>
  <si>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</si>
  <si>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</si>
  <si>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</si>
  <si>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</si>
  <si>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</si>
  <si>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</si>
  <si>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</si>
  <si>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</si>
  <si>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</si>
  <si>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</si>
  <si>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</si>
  <si>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</si>
  <si>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</si>
  <si>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</si>
  <si>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</si>
  <si>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</si>
  <si>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</si>
  <si>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</si>
  <si>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</si>
  <si>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</si>
  <si>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</si>
  <si>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</si>
  <si>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</si>
  <si>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</si>
  <si>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</si>
  <si>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</si>
  <si>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</si>
  <si>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</si>
  <si>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</si>
  <si>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</si>
  <si>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</si>
  <si>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</si>
  <si>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</si>
  <si>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</si>
  <si>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</si>
  <si>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</si>
  <si>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</si>
  <si>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</si>
  <si>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</si>
  <si>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</si>
  <si>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</si>
  <si>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</si>
  <si>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</si>
  <si>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</si>
  <si>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</si>
  <si>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</si>
  <si>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</si>
  <si>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</si>
  <si>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</si>
  <si>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</si>
  <si>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</si>
  <si>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</si>
  <si>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</si>
  <si>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</si>
  <si>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</si>
  <si>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</si>
  <si>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</si>
  <si>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</si>
  <si>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</si>
  <si>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</si>
  <si>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</si>
  <si>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</si>
  <si>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</si>
  <si>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</si>
  <si>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</si>
  <si>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</si>
  <si>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</si>
  <si>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</si>
  <si>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</si>
  <si>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</si>
  <si>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</si>
  <si>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</si>
  <si>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</si>
  <si>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</si>
  <si>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</si>
  <si>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</si>
  <si>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</si>
  <si>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</si>
  <si>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</si>
  <si>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</si>
  <si>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</si>
  <si>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</si>
  <si>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</si>
  <si>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</si>
  <si>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</si>
  <si>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</si>
  <si>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</si>
  <si>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</si>
  <si>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</si>
  <si>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</si>
  <si>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</si>
  <si>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</si>
  <si>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</si>
  <si>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</si>
  <si>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</si>
  <si>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</si>
  <si>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</si>
  <si>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</si>
  <si>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</si>
  <si>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</si>
  <si>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</si>
  <si>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</si>
  <si>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</si>
  <si>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</si>
  <si>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</si>
  <si>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</si>
  <si>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</si>
  <si>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</si>
  <si>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</si>
  <si>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</si>
  <si>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</si>
  <si>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</si>
  <si>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</si>
  <si>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</si>
  <si>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</si>
  <si>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</si>
  <si>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</si>
  <si>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</si>
  <si>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</si>
  <si>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</si>
  <si>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</si>
  <si>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</si>
  <si>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</si>
  <si>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</si>
  <si>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</si>
  <si>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</si>
  <si>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</si>
  <si>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</si>
  <si>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</si>
  <si>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</si>
  <si>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</si>
  <si>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</si>
  <si>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</si>
  <si>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</si>
  <si>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</si>
  <si>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</si>
  <si>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</si>
  <si>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</si>
  <si>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</si>
  <si>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</si>
  <si>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</si>
  <si>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</si>
  <si>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</si>
  <si>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</si>
  <si>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</si>
  <si>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</si>
  <si>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</si>
  <si>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</si>
  <si>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</si>
  <si>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</si>
  <si>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</si>
  <si>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</si>
  <si>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</si>
  <si>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</si>
  <si>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</si>
  <si>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</si>
  <si>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</si>
  <si>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</si>
  <si>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</si>
  <si>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</si>
  <si>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</si>
  <si>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</si>
  <si>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</si>
  <si>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</si>
  <si>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</si>
  <si>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</si>
  <si>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</si>
  <si>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</si>
  <si>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</si>
  <si>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</si>
  <si>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</si>
  <si>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</si>
  <si>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</si>
  <si>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</si>
  <si>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</si>
  <si>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</si>
  <si>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</si>
  <si>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</si>
  <si>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</si>
  <si>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</si>
  <si>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</si>
  <si>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</si>
  <si>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</si>
  <si>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</si>
  <si>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</si>
  <si>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</si>
  <si>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</si>
  <si>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</si>
  <si>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</si>
  <si>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</si>
  <si>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</si>
  <si>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</si>
  <si>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</si>
  <si>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</si>
  <si>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</si>
  <si>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</si>
  <si>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</si>
  <si>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</si>
  <si>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</si>
  <si>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</si>
  <si>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</si>
  <si>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</si>
  <si>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</si>
  <si>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</si>
  <si>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</si>
  <si>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</si>
  <si>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</si>
  <si>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</si>
  <si>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</si>
  <si>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</si>
  <si>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</si>
  <si>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</si>
  <si>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</si>
  <si>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</si>
  <si>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</si>
  <si>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</si>
  <si>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</si>
  <si>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</si>
  <si>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</si>
  <si>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</si>
  <si>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</si>
  <si>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</si>
  <si>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</si>
  <si>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</si>
  <si>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</si>
  <si>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</si>
  <si>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</si>
  <si>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</si>
  <si>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</si>
  <si>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</si>
  <si>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</si>
  <si>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</si>
  <si>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</si>
  <si>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</si>
  <si>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</si>
  <si>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</si>
  <si>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</si>
  <si>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</si>
  <si>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</si>
  <si>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</si>
  <si>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</si>
  <si>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</si>
  <si>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</si>
  <si>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</si>
  <si>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</si>
  <si>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</si>
  <si>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</si>
  <si>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</si>
  <si>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</si>
  <si>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</si>
  <si>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</si>
  <si>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</si>
  <si>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</si>
  <si>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</si>
  <si>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</si>
  <si>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</si>
  <si>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</si>
  <si>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</si>
  <si>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</si>
  <si>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</si>
  <si>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</si>
  <si>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</si>
  <si>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</si>
  <si>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</si>
  <si>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</si>
  <si>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</si>
  <si>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</si>
  <si>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</si>
  <si>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</si>
  <si>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</si>
  <si>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</si>
  <si>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</si>
  <si>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</si>
  <si>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</si>
  <si>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</si>
  <si>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</si>
  <si>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</si>
  <si>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</si>
  <si>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</si>
  <si>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</si>
  <si>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</si>
  <si>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</si>
  <si>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</si>
  <si>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</si>
  <si>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</si>
  <si>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</si>
  <si>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</si>
  <si>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</si>
  <si>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</si>
  <si>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</si>
  <si>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</si>
  <si>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</si>
  <si>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</si>
  <si>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</si>
  <si>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</si>
  <si>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</si>
  <si>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</si>
  <si>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</si>
  <si>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</si>
  <si>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</si>
  <si>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</si>
  <si>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</si>
  <si>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</si>
  <si>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</si>
  <si>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</si>
  <si>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</si>
  <si>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</si>
  <si>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</si>
  <si>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</si>
  <si>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</si>
  <si>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</si>
  <si>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</si>
  <si>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</si>
  <si>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</si>
  <si>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</si>
  <si>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</si>
  <si>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</si>
  <si>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</si>
  <si>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</si>
  <si>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</si>
  <si>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</si>
  <si>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</si>
  <si>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</si>
  <si>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</si>
  <si>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</si>
  <si>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</si>
  <si>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</si>
  <si>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</si>
  <si>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</si>
  <si>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</si>
  <si>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</si>
  <si>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</si>
  <si>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</si>
  <si>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</si>
  <si>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</si>
  <si>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</si>
  <si>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</si>
  <si>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</si>
  <si>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</si>
  <si>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</si>
  <si>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</si>
  <si>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</si>
  <si>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</si>
  <si>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</si>
  <si>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</si>
  <si>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</si>
  <si>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</si>
  <si>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</si>
  <si>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</si>
  <si>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</si>
  <si>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</si>
  <si>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</si>
  <si>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</si>
  <si>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</si>
  <si>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</si>
  <si>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</si>
  <si>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</si>
  <si>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</si>
  <si>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</si>
  <si>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</si>
  <si>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</si>
  <si>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</si>
  <si>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</si>
  <si>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</si>
  <si>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</si>
  <si>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</si>
  <si>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</si>
  <si>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</si>
  <si>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</si>
  <si>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</si>
  <si>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</si>
  <si>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</si>
  <si>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</si>
  <si>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</si>
  <si>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</si>
  <si>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</si>
  <si>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</si>
  <si>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</si>
  <si>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</si>
  <si>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</si>
  <si>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</si>
  <si>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</si>
  <si>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</si>
  <si>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</si>
  <si>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</si>
  <si>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</si>
  <si>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</si>
  <si>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</si>
  <si>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</si>
  <si>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</si>
  <si>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</si>
  <si>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</si>
  <si>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</si>
  <si>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</si>
  <si>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</si>
  <si>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</si>
  <si>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</si>
  <si>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</si>
  <si>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</si>
  <si>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</si>
  <si>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</si>
  <si>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</si>
  <si>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</si>
  <si>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</si>
  <si>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</si>
  <si>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</si>
  <si>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</si>
  <si>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</si>
  <si>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</si>
  <si>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</si>
  <si>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</si>
  <si>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</si>
  <si>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</si>
  <si>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</si>
  <si>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</si>
  <si>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</si>
  <si>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</si>
  <si>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</si>
  <si>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</si>
  <si>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</si>
  <si>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</si>
  <si>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</si>
  <si>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</si>
  <si>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</si>
  <si>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</si>
  <si>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</si>
  <si>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</si>
  <si>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</si>
  <si>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</si>
  <si>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</si>
  <si>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</si>
  <si>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</si>
  <si>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</si>
  <si>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</si>
  <si>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</si>
  <si>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</si>
  <si>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</si>
  <si>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</si>
  <si>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</si>
  <si>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</si>
  <si>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</si>
  <si>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</si>
  <si>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</si>
  <si>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</si>
  <si>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</si>
  <si>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</si>
  <si>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</si>
  <si>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</si>
  <si>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</si>
  <si>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</si>
  <si>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</si>
  <si>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</si>
  <si>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</si>
  <si>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</si>
  <si>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</si>
  <si>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</si>
  <si>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</si>
  <si>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</si>
  <si>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</si>
  <si>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</si>
  <si>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</si>
  <si>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</si>
  <si>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</si>
  <si>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</si>
  <si>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</si>
  <si>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</si>
  <si>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</si>
  <si>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</si>
  <si>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</si>
  <si>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</si>
  <si>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</si>
  <si>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</si>
  <si>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</si>
  <si>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</si>
  <si>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</si>
  <si>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</si>
  <si>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</si>
  <si>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</si>
  <si>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</si>
  <si>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</si>
  <si>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</si>
  <si>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</si>
  <si>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</si>
  <si>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</si>
  <si>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</si>
  <si>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</si>
  <si>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</si>
  <si>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</si>
  <si>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</si>
  <si>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</si>
  <si>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</si>
  <si>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</si>
  <si>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</si>
  <si>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</si>
  <si>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</si>
  <si>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</si>
  <si>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</si>
  <si>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</si>
  <si>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</si>
  <si>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</si>
  <si>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</si>
  <si>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</si>
  <si>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</si>
  <si>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</si>
  <si>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</si>
  <si>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</si>
  <si>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</si>
  <si>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</si>
  <si>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</si>
  <si>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</si>
  <si>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</si>
  <si>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</si>
  <si>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</si>
  <si>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</si>
  <si>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</si>
  <si>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</si>
  <si>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</si>
  <si>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</si>
  <si>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</si>
  <si>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</si>
  <si>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</si>
  <si>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</si>
  <si>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</si>
  <si>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</si>
  <si>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</si>
  <si>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</si>
  <si>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</si>
  <si>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</si>
  <si>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</si>
  <si>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</si>
  <si>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</si>
  <si>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</si>
  <si>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</si>
  <si>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</si>
  <si>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</si>
  <si>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</si>
  <si>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</si>
  <si>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</si>
  <si>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</si>
  <si>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</si>
  <si>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</si>
  <si>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</si>
  <si>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</si>
  <si>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</si>
  <si>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</si>
  <si>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</si>
  <si>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</si>
  <si>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</si>
  <si>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</si>
  <si>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</si>
  <si>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</si>
  <si>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</si>
  <si>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</si>
  <si>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</si>
  <si>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</si>
  <si>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</si>
  <si>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</si>
  <si>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</si>
  <si>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</si>
  <si>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</si>
  <si>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</si>
  <si>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</si>
  <si>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</si>
  <si>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</si>
  <si>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</si>
  <si>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</si>
  <si>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</si>
  <si>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</si>
  <si>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</si>
  <si>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</si>
  <si>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</si>
  <si>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</si>
  <si>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</si>
  <si>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</si>
  <si>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</si>
  <si>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</si>
  <si>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</si>
  <si>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</si>
  <si>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</si>
  <si>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</si>
  <si>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</si>
  <si>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</si>
  <si>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</si>
  <si>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</si>
  <si>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</si>
  <si>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</si>
  <si>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</si>
  <si>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</si>
  <si>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</si>
  <si>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</si>
  <si>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</si>
  <si>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</si>
  <si>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</si>
  <si>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</si>
  <si>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</si>
  <si>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</si>
  <si>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</si>
  <si>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</si>
  <si>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</si>
  <si>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</si>
  <si>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</si>
  <si>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</si>
  <si>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</si>
  <si>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</si>
  <si>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</si>
  <si>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</si>
  <si>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</si>
  <si>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</si>
  <si>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</si>
  <si>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</si>
  <si>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</si>
  <si>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</si>
  <si>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</si>
  <si>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</si>
  <si>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</si>
  <si>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</si>
  <si>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</si>
  <si>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</si>
  <si>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</si>
  <si>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</si>
  <si>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</si>
  <si>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</si>
  <si>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</si>
  <si>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</si>
  <si>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</si>
  <si>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</si>
  <si>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</si>
  <si>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</si>
  <si>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</si>
  <si>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</si>
  <si>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</si>
  <si>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</si>
  <si>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</si>
  <si>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</si>
  <si>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</si>
  <si>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</si>
  <si>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</si>
  <si>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</si>
  <si>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</si>
  <si>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</si>
  <si>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</si>
  <si>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</si>
  <si>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</si>
  <si>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</si>
  <si>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</si>
  <si>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</si>
  <si>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</si>
  <si>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</si>
  <si>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</si>
  <si>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</si>
  <si>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</si>
  <si>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</si>
  <si>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</si>
  <si>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</si>
  <si>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</si>
  <si>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</si>
  <si>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</si>
  <si>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</si>
  <si>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</si>
  <si>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</si>
  <si>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</si>
  <si>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</si>
  <si>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</si>
  <si>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</si>
  <si>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</si>
  <si>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</si>
  <si>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</si>
  <si>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</si>
  <si>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</si>
  <si>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</si>
  <si>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</si>
  <si>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</si>
  <si>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</si>
  <si>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</si>
  <si>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</si>
  <si>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</si>
  <si>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</si>
  <si>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</si>
  <si>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</si>
  <si>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</si>
  <si>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</si>
  <si>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</si>
  <si>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</si>
  <si>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</si>
  <si>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</si>
  <si>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</si>
  <si>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</si>
  <si>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</si>
  <si>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</si>
  <si>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</si>
  <si>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</si>
  <si>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</si>
  <si>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</si>
  <si>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</si>
  <si>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</si>
  <si>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</si>
  <si>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</si>
  <si>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</si>
  <si>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</si>
  <si>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</si>
  <si>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</si>
  <si>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</si>
  <si>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</si>
  <si>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</si>
  <si>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</si>
  <si>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</si>
  <si>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</si>
  <si>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</si>
  <si>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</si>
  <si>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</si>
  <si>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</si>
  <si>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</si>
  <si>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</si>
  <si>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</si>
  <si>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</si>
  <si>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</si>
  <si>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</si>
  <si>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</si>
  <si>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</si>
  <si>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</si>
  <si>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</si>
  <si>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</si>
  <si>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</si>
  <si>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</si>
  <si>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</si>
  <si>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</si>
  <si>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</si>
  <si>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</si>
  <si>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</si>
  <si>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</si>
  <si>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</si>
  <si>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</si>
  <si>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</si>
  <si>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</si>
  <si>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</si>
  <si>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</si>
  <si>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</si>
  <si>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</si>
  <si>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</si>
  <si>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</si>
  <si>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</si>
  <si>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</si>
  <si>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</si>
  <si>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</si>
  <si>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</si>
  <si>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</si>
  <si>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</si>
  <si>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</si>
  <si>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</si>
  <si>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</si>
  <si>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</si>
  <si>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</si>
  <si>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</si>
  <si>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</si>
  <si>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</si>
  <si>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</si>
  <si>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</si>
  <si>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</si>
  <si>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</si>
  <si>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</si>
  <si>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</si>
  <si>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</si>
  <si>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</si>
  <si>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</si>
  <si>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</si>
  <si>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</si>
  <si>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</si>
  <si>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</si>
  <si>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</si>
  <si>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</si>
  <si>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</si>
  <si>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</si>
  <si>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</si>
  <si>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</si>
  <si>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</si>
  <si>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</si>
  <si>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</si>
  <si>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</si>
  <si>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</si>
  <si>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</si>
  <si>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</si>
  <si>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</si>
  <si>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</si>
  <si>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</si>
  <si>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</si>
  <si>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</si>
  <si>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</si>
  <si>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</si>
  <si>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</si>
  <si>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</si>
  <si>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</si>
  <si>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</si>
  <si>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</si>
  <si>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</si>
  <si>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</si>
  <si>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</si>
  <si>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</si>
  <si>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</si>
  <si>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</si>
  <si>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</si>
  <si>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</si>
  <si>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</si>
  <si>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</si>
  <si>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</si>
  <si>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</si>
  <si>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</si>
  <si>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</si>
  <si>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</si>
  <si>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</si>
  <si>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</si>
  <si>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</si>
  <si>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</si>
  <si>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</si>
  <si>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</si>
  <si>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</si>
  <si>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</si>
  <si>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</si>
  <si>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</si>
  <si>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</si>
  <si>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</si>
  <si>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</si>
  <si>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</si>
  <si>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</si>
  <si>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</si>
  <si>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</si>
  <si>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</si>
  <si>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</si>
  <si>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</si>
  <si>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</si>
  <si>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</si>
  <si>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</si>
  <si>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</si>
  <si>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</si>
  <si>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</si>
  <si>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</si>
  <si>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</si>
  <si>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</si>
  <si>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</si>
  <si>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</si>
  <si>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</si>
  <si>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</si>
  <si>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</si>
  <si>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</si>
  <si>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</si>
  <si>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</si>
  <si>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</si>
  <si>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</si>
  <si>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</si>
  <si>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</si>
  <si>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</si>
  <si>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</si>
  <si>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</si>
  <si>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</si>
  <si>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</si>
  <si>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</si>
  <si>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</si>
  <si>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</si>
  <si>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</si>
  <si>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</si>
  <si>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</si>
  <si>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</si>
  <si>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</si>
  <si>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</si>
  <si>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</si>
  <si>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</si>
  <si>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</si>
  <si>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</si>
  <si>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</si>
  <si>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</si>
  <si>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</si>
  <si>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</si>
  <si>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</si>
  <si>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</si>
  <si>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</si>
  <si>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</si>
  <si>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</si>
  <si>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</si>
  <si>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</si>
  <si>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</si>
  <si>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</si>
  <si>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</si>
  <si>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</si>
  <si>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</si>
  <si>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</si>
  <si>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</si>
  <si>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</si>
  <si>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</si>
  <si>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</si>
  <si>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</si>
  <si>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</si>
  <si>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</si>
  <si>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</si>
  <si>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</si>
  <si>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</si>
  <si>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</si>
  <si>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</si>
  <si>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</si>
  <si>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</si>
  <si>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</si>
  <si>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</si>
  <si>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</si>
  <si>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</si>
  <si>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</si>
  <si>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</si>
  <si>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</si>
  <si>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</si>
  <si>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</si>
  <si>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</si>
  <si>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</si>
  <si>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</si>
  <si>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</si>
  <si>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</si>
  <si>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</si>
  <si>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</si>
  <si>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</si>
  <si>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</si>
  <si>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</si>
  <si>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</si>
  <si>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</si>
  <si>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</si>
  <si>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</si>
  <si>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</si>
  <si>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</si>
  <si>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</si>
  <si>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</si>
  <si>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</si>
  <si>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</si>
  <si>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</si>
  <si>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</si>
  <si>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</si>
  <si>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</si>
  <si>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</si>
  <si>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</si>
  <si>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</si>
  <si>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</si>
  <si>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</si>
  <si>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</si>
  <si>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</si>
  <si>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</si>
  <si>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</si>
  <si>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</si>
  <si>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</si>
  <si>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</si>
  <si>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</si>
  <si>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</si>
  <si>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</si>
  <si>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</si>
  <si>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</si>
  <si>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</si>
  <si>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</si>
  <si>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</si>
  <si>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</si>
  <si>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</si>
  <si>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</si>
  <si>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</si>
  <si>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</si>
  <si>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</si>
  <si>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</si>
  <si>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</si>
  <si>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</si>
  <si>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</si>
  <si>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</si>
  <si>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</si>
  <si>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</si>
  <si>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</si>
  <si>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</si>
  <si>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</si>
  <si>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</si>
  <si>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</si>
  <si>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</si>
  <si>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</si>
  <si>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</si>
  <si>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</si>
  <si>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</si>
  <si>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</si>
  <si>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</si>
  <si>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</si>
  <si>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</si>
  <si>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</si>
  <si>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</si>
  <si>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</si>
  <si>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</si>
  <si>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</si>
  <si>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</si>
  <si>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</si>
  <si>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</si>
  <si>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</si>
  <si>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</si>
  <si>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</si>
  <si>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</si>
  <si>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</si>
  <si>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</si>
  <si>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</si>
  <si>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</si>
  <si>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</si>
  <si>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</si>
  <si>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</si>
  <si>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</si>
  <si>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</si>
  <si>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</si>
  <si>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</si>
  <si>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</si>
  <si>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</si>
  <si>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</si>
  <si>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</si>
  <si>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</si>
  <si>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</si>
  <si>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</si>
  <si>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</si>
  <si>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</si>
  <si>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</si>
  <si>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</si>
  <si>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</si>
  <si>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</si>
  <si>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</si>
  <si>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</si>
  <si>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</si>
  <si>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</si>
  <si>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</si>
  <si>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</si>
  <si>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</si>
  <si>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</si>
  <si>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</si>
  <si>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</si>
  <si>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</si>
  <si>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</si>
  <si>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</si>
  <si>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</si>
  <si>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</si>
  <si>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</si>
  <si>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</si>
  <si>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</si>
  <si>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</si>
  <si>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</si>
  <si>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</si>
  <si>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</si>
  <si>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</si>
  <si>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</si>
  <si>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</si>
  <si>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</si>
  <si>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</si>
  <si>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</si>
  <si>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</si>
  <si>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</si>
  <si>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</si>
  <si>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</si>
  <si>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</si>
  <si>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</si>
  <si>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</si>
  <si>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</si>
  <si>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</si>
  <si>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</si>
  <si>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</si>
  <si>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</si>
  <si>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</si>
  <si>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</si>
  <si>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</si>
  <si>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</si>
  <si>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</si>
  <si>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</si>
  <si>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</si>
  <si>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</si>
  <si>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</si>
  <si>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</si>
  <si>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</si>
  <si>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</si>
  <si>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</si>
  <si>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</si>
  <si>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</si>
  <si>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</si>
  <si>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</si>
  <si>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</si>
  <si>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</si>
  <si>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</si>
  <si>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</si>
  <si>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</si>
  <si>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</si>
  <si>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</si>
  <si>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</si>
  <si>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</si>
  <si>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</si>
  <si>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</si>
  <si>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</si>
  <si>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</si>
  <si>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</si>
  <si>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</si>
  <si>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</si>
  <si>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</si>
  <si>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</si>
  <si>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</si>
  <si>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</si>
  <si>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</si>
  <si>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</si>
  <si>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</si>
  <si>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</si>
  <si>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</si>
  <si>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</si>
  <si>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</si>
  <si>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</si>
  <si>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</si>
  <si>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</si>
  <si>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</si>
  <si>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</si>
  <si>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</si>
  <si>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</si>
  <si>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</si>
  <si>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</si>
  <si>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</si>
  <si>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</si>
  <si>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</si>
  <si>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</si>
  <si>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</si>
  <si>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</si>
  <si>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</si>
  <si>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</si>
  <si>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</si>
  <si>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</si>
  <si>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</si>
  <si>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</si>
  <si>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</si>
  <si>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</si>
  <si>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</si>
  <si>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</si>
  <si>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</si>
  <si>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</si>
  <si>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</si>
  <si>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</si>
  <si>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</si>
  <si>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</si>
  <si>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</si>
  <si>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</si>
  <si>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</si>
  <si>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</si>
  <si>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</si>
  <si>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</si>
  <si>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</si>
  <si>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</si>
  <si>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</si>
  <si>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</si>
  <si>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</si>
  <si>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</si>
  <si>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</si>
  <si>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</si>
  <si>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</si>
  <si>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</si>
  <si>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</si>
  <si>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</si>
  <si>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</si>
  <si>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</si>
  <si>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</si>
  <si>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</si>
  <si>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</si>
  <si>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</si>
  <si>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</si>
  <si>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</si>
  <si>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</si>
  <si>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</si>
  <si>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</si>
  <si>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</si>
  <si>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</si>
  <si>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</si>
  <si>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</si>
  <si>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</si>
  <si>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</si>
  <si>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</si>
  <si>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</si>
  <si>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</si>
  <si>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</si>
  <si>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</si>
  <si>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</si>
  <si>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</si>
  <si>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</si>
  <si>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</si>
  <si>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</si>
  <si>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</si>
  <si>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</si>
  <si>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</si>
  <si>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</si>
  <si>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</si>
  <si>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</si>
  <si>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</si>
  <si>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</si>
  <si>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</si>
  <si>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</si>
  <si>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</si>
  <si>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</si>
  <si>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</si>
  <si>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</si>
  <si>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</si>
  <si>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</si>
  <si>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</si>
  <si>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</si>
  <si>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</si>
  <si>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</si>
  <si>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</si>
  <si>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</si>
  <si>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</si>
  <si>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</si>
  <si>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</si>
  <si>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</si>
  <si>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</si>
  <si>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</si>
  <si>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</si>
  <si>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</si>
  <si>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</si>
  <si>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</si>
  <si>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</si>
  <si>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</si>
  <si>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</si>
  <si>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</si>
  <si>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</si>
  <si>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</si>
  <si>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</si>
  <si>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</si>
  <si>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</si>
  <si>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</si>
  <si>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</si>
  <si>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</si>
  <si>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</si>
  <si>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</si>
  <si>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</si>
  <si>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</si>
  <si>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</si>
  <si>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</si>
  <si>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</si>
  <si>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</si>
  <si>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</si>
  <si>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</si>
  <si>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</si>
  <si>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</si>
  <si>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</si>
  <si>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</si>
  <si>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</si>
  <si>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</si>
  <si>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</si>
  <si>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</si>
  <si>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</si>
  <si>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</si>
  <si>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</si>
  <si>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</si>
  <si>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</si>
  <si>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</si>
  <si>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</si>
  <si>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</si>
  <si>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</si>
  <si>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</si>
  <si>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</si>
  <si>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</si>
  <si>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</si>
  <si>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</si>
  <si>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</si>
  <si>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</si>
  <si>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</si>
  <si>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</si>
  <si>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</si>
  <si>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</si>
  <si>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</si>
  <si>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</si>
  <si>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</si>
  <si>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</si>
  <si>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</si>
  <si>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</si>
  <si>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</si>
  <si>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</si>
  <si>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</si>
  <si>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</si>
  <si>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</si>
  <si>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</si>
  <si>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</si>
  <si>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</si>
  <si>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</si>
  <si>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</si>
  <si>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</si>
  <si>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</si>
  <si>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</si>
  <si>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</si>
  <si>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</si>
  <si>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</si>
  <si>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</si>
  <si>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</si>
  <si>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</si>
  <si>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</si>
  <si>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</si>
  <si>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</si>
  <si>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</si>
  <si>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</si>
  <si>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</si>
  <si>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</si>
  <si>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</si>
  <si>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</si>
  <si>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</si>
  <si>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</si>
  <si>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</si>
  <si>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</si>
  <si>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</si>
  <si>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</si>
  <si>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</si>
  <si>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</si>
  <si>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</si>
  <si>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</si>
  <si>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</si>
  <si>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</si>
  <si>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</si>
  <si>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</si>
  <si>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</si>
  <si>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</si>
  <si>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</si>
  <si>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</si>
  <si>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</si>
  <si>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</si>
  <si>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</si>
  <si>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</si>
  <si>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</si>
  <si>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</si>
  <si>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</si>
  <si>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</si>
  <si>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</si>
  <si>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</si>
  <si>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</si>
  <si>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</si>
  <si>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</si>
  <si>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</si>
  <si>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</si>
  <si>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</si>
  <si>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</si>
  <si>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</si>
  <si>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</si>
  <si>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</si>
  <si>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</si>
  <si>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</si>
  <si>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</si>
  <si>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</si>
  <si>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</si>
  <si>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</si>
  <si>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</si>
  <si>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</si>
  <si>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</si>
  <si>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</si>
  <si>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</si>
  <si>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</si>
  <si>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</si>
  <si>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</si>
  <si>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</si>
  <si>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</si>
  <si>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</si>
  <si>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</si>
  <si>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</si>
  <si>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</si>
  <si>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</si>
  <si>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</si>
  <si>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</si>
  <si>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</si>
  <si>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</si>
  <si>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</si>
  <si>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</si>
  <si>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</si>
  <si>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</si>
  <si>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</si>
  <si>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</si>
  <si>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</si>
  <si>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</si>
  <si>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</si>
  <si>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</si>
  <si>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</si>
  <si>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</si>
  <si>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</si>
  <si>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</si>
  <si>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</si>
  <si>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</si>
  <si>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</si>
  <si>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</si>
  <si>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</si>
  <si>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</si>
  <si>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</si>
  <si>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</si>
  <si>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</si>
  <si>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</si>
  <si>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</si>
  <si>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</si>
  <si>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</si>
  <si>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</si>
  <si>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</si>
  <si>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</si>
  <si>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</si>
  <si>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</si>
  <si>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</si>
  <si>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</si>
  <si>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</si>
  <si>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</si>
  <si>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</si>
  <si>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</si>
  <si>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</si>
  <si>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</si>
  <si>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</si>
  <si>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</si>
  <si>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</si>
  <si>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</si>
  <si>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</si>
  <si>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</si>
  <si>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</si>
  <si>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</si>
  <si>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</si>
  <si>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</si>
  <si>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</si>
  <si>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</si>
  <si>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</si>
  <si>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</si>
  <si>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</si>
  <si>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</si>
  <si>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</si>
  <si>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</si>
  <si>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</si>
  <si>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</si>
  <si>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</si>
  <si>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</si>
  <si>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</si>
  <si>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</si>
  <si>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</si>
  <si>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</si>
  <si>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</si>
  <si>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</si>
  <si>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</si>
  <si>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</si>
  <si>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</si>
  <si>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</si>
  <si>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</si>
  <si>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</si>
  <si>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</si>
  <si>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</si>
  <si>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</si>
  <si>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</si>
  <si>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</si>
  <si>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</si>
  <si>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</si>
  <si>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</si>
  <si>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</si>
  <si>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</si>
  <si>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</si>
  <si>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</si>
  <si>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</si>
  <si>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</si>
  <si>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</si>
  <si>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</si>
  <si>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</si>
  <si>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</si>
  <si>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</si>
  <si>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</si>
  <si>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</si>
  <si>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</si>
  <si>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</si>
  <si>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</si>
  <si>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</si>
  <si>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</si>
  <si>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</si>
  <si>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</si>
  <si>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</si>
  <si>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</si>
  <si>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</si>
  <si>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</si>
  <si>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</si>
  <si>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</si>
  <si>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</si>
  <si>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</si>
  <si>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</si>
  <si>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</si>
  <si>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</si>
  <si>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</si>
  <si>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</si>
  <si>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</si>
  <si>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</si>
  <si>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</si>
  <si>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</si>
  <si>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</si>
  <si>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</si>
  <si>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</si>
  <si>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</si>
  <si>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</si>
  <si>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</si>
  <si>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</si>
  <si>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</si>
  <si>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</si>
  <si>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</si>
  <si>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</si>
  <si>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</si>
  <si>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</si>
  <si>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</si>
  <si>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</si>
  <si>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</si>
  <si>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</si>
  <si>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</si>
  <si>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</si>
  <si>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</si>
  <si>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</si>
  <si>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</si>
  <si>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</si>
  <si>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</si>
  <si>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</si>
  <si>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</si>
  <si>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</si>
  <si>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</si>
  <si>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</si>
  <si>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</si>
  <si>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</si>
  <si>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</si>
  <si>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</si>
  <si>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</si>
  <si>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</si>
  <si>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</si>
  <si>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</si>
  <si>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</si>
  <si>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</si>
  <si>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</si>
  <si>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</si>
  <si>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</si>
  <si>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</si>
  <si>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</si>
  <si>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</si>
  <si>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</si>
  <si>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</si>
  <si>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</si>
  <si>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</si>
  <si>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</si>
  <si>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</si>
  <si>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</si>
  <si>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</si>
  <si>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</si>
  <si>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</si>
  <si>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</si>
  <si>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</si>
  <si>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</si>
  <si>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</si>
  <si>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</si>
  <si>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</si>
  <si>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</si>
  <si>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</si>
  <si>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</si>
  <si>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</si>
  <si>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</si>
  <si>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</si>
  <si>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</si>
  <si>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</si>
  <si>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</si>
  <si>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</si>
  <si>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</si>
  <si>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</si>
  <si>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</si>
  <si>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</si>
  <si>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</si>
  <si>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</si>
  <si>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</si>
  <si>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</si>
  <si>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</si>
  <si>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</si>
  <si>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</si>
  <si>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</si>
  <si>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</si>
  <si>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</si>
  <si>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</si>
  <si>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</si>
  <si>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</si>
  <si>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</si>
  <si>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</si>
  <si>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</si>
  <si>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</si>
  <si>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</si>
  <si>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</si>
  <si>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</si>
  <si>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</si>
  <si>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</si>
  <si>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</si>
  <si>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</si>
  <si>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</si>
  <si>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</si>
  <si>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</si>
  <si>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</si>
  <si>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</si>
  <si>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</si>
  <si>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</si>
  <si>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</si>
  <si>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</si>
  <si>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</si>
  <si>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</si>
  <si>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</si>
  <si>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</si>
  <si>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</si>
  <si>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</si>
  <si>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</si>
  <si>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</si>
  <si>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</si>
  <si>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</si>
  <si>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</si>
  <si>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</si>
  <si>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</si>
  <si>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</si>
  <si>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</si>
  <si>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</si>
  <si>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</si>
  <si>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</si>
  <si>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</si>
  <si>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</si>
  <si>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</si>
  <si>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</si>
  <si>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</si>
  <si>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</si>
  <si>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</si>
  <si>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</si>
  <si>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</si>
  <si>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</si>
  <si>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</si>
  <si>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</si>
  <si>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</si>
  <si>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</si>
  <si>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</si>
  <si>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</si>
  <si>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</si>
  <si>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</si>
  <si>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</si>
  <si>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</si>
  <si>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</si>
  <si>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</si>
  <si>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</si>
  <si>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</si>
  <si>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</si>
  <si>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</si>
  <si>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</si>
  <si>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</si>
  <si>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</si>
  <si>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</si>
  <si>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</si>
  <si>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</si>
  <si>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</si>
  <si>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</si>
  <si>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</si>
  <si>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</si>
  <si>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</si>
  <si>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</si>
  <si>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</si>
  <si>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</si>
  <si>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</si>
  <si>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</si>
  <si>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</si>
  <si>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</si>
  <si>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</si>
  <si>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</si>
  <si>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</si>
  <si>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</si>
  <si>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</si>
  <si>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</si>
  <si>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</si>
  <si>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</si>
  <si>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</si>
  <si>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</si>
  <si>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</si>
  <si>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</si>
  <si>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</si>
  <si>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</si>
  <si>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</si>
  <si>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</si>
  <si>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</si>
  <si>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</si>
  <si>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</si>
  <si>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</si>
  <si>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</si>
  <si>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</si>
  <si>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</si>
  <si>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</si>
  <si>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</si>
  <si>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</si>
  <si>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</si>
  <si>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</si>
  <si>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</si>
  <si>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</si>
  <si>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</si>
  <si>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</si>
  <si>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</si>
  <si>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</si>
  <si>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</si>
  <si>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</si>
  <si>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</si>
  <si>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</si>
  <si>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</si>
  <si>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</si>
  <si>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</si>
  <si>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</si>
  <si>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</si>
  <si>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</si>
  <si>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</si>
  <si>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</si>
  <si>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</si>
  <si>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</si>
  <si>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</si>
  <si>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</si>
  <si>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</si>
  <si>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</si>
  <si>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</si>
  <si>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</si>
  <si>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</si>
  <si>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</si>
  <si>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</si>
  <si>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</si>
  <si>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</si>
  <si>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</si>
  <si>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</si>
  <si>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</si>
  <si>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</si>
  <si>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</si>
  <si>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</si>
  <si>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</si>
  <si>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</si>
  <si>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</si>
  <si>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</si>
  <si>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</si>
  <si>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</si>
  <si>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</si>
  <si>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</si>
  <si>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</si>
  <si>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</si>
  <si>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</si>
  <si>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</si>
  <si>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</si>
  <si>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</si>
  <si>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</si>
  <si>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</si>
  <si>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</si>
  <si>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</si>
  <si>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</si>
  <si>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</si>
  <si>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</si>
  <si>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</si>
  <si>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</si>
  <si>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</si>
  <si>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</si>
  <si>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</si>
  <si>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</si>
  <si>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</si>
  <si>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</si>
  <si>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</si>
  <si>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</si>
  <si>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</si>
  <si>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</si>
  <si>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</si>
  <si>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</si>
  <si>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</si>
  <si>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</si>
  <si>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</si>
  <si>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</si>
  <si>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</si>
  <si>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</si>
  <si>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</si>
  <si>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</si>
  <si>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</si>
  <si>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</si>
  <si>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</si>
  <si>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</si>
  <si>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</si>
  <si>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</si>
  <si>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</si>
  <si>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</si>
  <si>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</si>
  <si>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</si>
  <si>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</si>
  <si>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</si>
  <si>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</si>
  <si>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</si>
  <si>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</si>
  <si>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</si>
  <si>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</si>
  <si>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</si>
  <si>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</si>
  <si>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</si>
  <si>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</si>
  <si>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</si>
  <si>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</si>
  <si>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</si>
  <si>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</si>
  <si>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</si>
  <si>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</si>
  <si>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</si>
  <si>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</si>
  <si>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</si>
  <si>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</si>
  <si>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</si>
  <si>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</si>
  <si>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</si>
  <si>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</si>
  <si>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</si>
  <si>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</si>
  <si>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</si>
  <si>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</si>
  <si>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</si>
  <si>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</si>
  <si>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</si>
  <si>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</si>
  <si>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</si>
  <si>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</si>
  <si>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</si>
  <si>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</si>
  <si>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</si>
  <si>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</si>
  <si>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</si>
  <si>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</si>
  <si>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</si>
  <si>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</si>
  <si>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</si>
  <si>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</si>
  <si>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</si>
  <si>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</si>
  <si>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</si>
  <si>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</si>
  <si>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</si>
  <si>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</si>
  <si>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</si>
  <si>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</si>
  <si>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</si>
  <si>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</si>
  <si>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</si>
  <si>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</si>
  <si>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</si>
  <si>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</si>
  <si>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</si>
  <si>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</si>
  <si>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</si>
  <si>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</si>
  <si>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</si>
  <si>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</si>
  <si>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</si>
  <si>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</si>
  <si>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</si>
  <si>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</si>
  <si>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</si>
  <si>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</si>
  <si>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</si>
  <si>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</si>
  <si>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</si>
  <si>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</si>
  <si>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</si>
  <si>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</si>
  <si>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</si>
  <si>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</si>
  <si>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</si>
  <si>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</si>
  <si>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</si>
  <si>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</si>
  <si>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</si>
  <si>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</si>
  <si>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</si>
  <si>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</si>
  <si>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</si>
  <si>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</si>
  <si>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</si>
  <si>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</si>
  <si>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</si>
  <si>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</si>
  <si>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</si>
  <si>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</si>
  <si>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</si>
  <si>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</si>
  <si>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</si>
  <si>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</si>
  <si>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</si>
  <si>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</si>
  <si>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</si>
  <si>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</si>
  <si>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</si>
  <si>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</si>
  <si>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</si>
  <si>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</si>
  <si>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</si>
  <si>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</si>
  <si>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</si>
  <si>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</si>
  <si>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</si>
  <si>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</si>
  <si>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</si>
  <si>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</si>
  <si>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</si>
  <si>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</si>
  <si>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</si>
  <si>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</si>
  <si>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</si>
  <si>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</si>
  <si>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</si>
  <si>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</si>
  <si>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</si>
  <si>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</si>
  <si>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</si>
  <si>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</si>
  <si>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</si>
  <si>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</si>
  <si>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</si>
  <si>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</si>
  <si>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</si>
  <si>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</si>
  <si>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</si>
  <si>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</si>
  <si>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</si>
  <si>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</si>
  <si>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</si>
  <si>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</si>
  <si>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</si>
  <si>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</si>
  <si>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</si>
  <si>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</si>
  <si>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</si>
  <si>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</si>
  <si>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</si>
  <si>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</si>
  <si>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</si>
  <si>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</si>
  <si>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</si>
  <si>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</si>
  <si>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</si>
  <si>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</si>
  <si>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</si>
  <si>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</si>
  <si>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</si>
  <si>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</si>
  <si>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</si>
  <si>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</si>
  <si>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</si>
  <si>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</si>
  <si>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</si>
  <si>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</si>
  <si>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</si>
  <si>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</si>
  <si>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</si>
  <si>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</si>
  <si>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</si>
  <si>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</si>
  <si>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</si>
  <si>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</si>
  <si>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</si>
  <si>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</si>
  <si>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</si>
  <si>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</si>
  <si>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</si>
  <si>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</si>
  <si>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</si>
  <si>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</si>
  <si>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</si>
  <si>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</si>
  <si>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</si>
  <si>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</si>
  <si>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</si>
  <si>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</si>
  <si>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</si>
  <si>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</si>
  <si>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</si>
  <si>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</si>
  <si>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</si>
  <si>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</si>
  <si>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</si>
  <si>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</si>
  <si>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</si>
  <si>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</si>
  <si>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</si>
  <si>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</si>
  <si>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</si>
  <si>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</si>
  <si>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</si>
  <si>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</si>
  <si>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</si>
  <si>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</si>
  <si>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</si>
  <si>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</si>
  <si>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</si>
  <si>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</si>
  <si>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</si>
  <si>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</si>
  <si>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</si>
  <si>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</si>
  <si>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</si>
  <si>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</si>
  <si>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</si>
  <si>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</si>
  <si>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</si>
  <si>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</si>
  <si>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</si>
  <si>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</si>
  <si>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</si>
  <si>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</si>
  <si>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</si>
  <si>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</si>
  <si>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</si>
  <si>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</si>
  <si>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</si>
  <si>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</si>
  <si>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</si>
  <si>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</si>
  <si>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</si>
  <si>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</si>
  <si>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</si>
  <si>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</si>
  <si>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</si>
  <si>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</si>
  <si>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</si>
  <si>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</si>
  <si>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</si>
  <si>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</si>
  <si>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</si>
  <si>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</si>
  <si>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</si>
  <si>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</si>
  <si>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</si>
  <si>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</si>
  <si>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</si>
  <si>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</si>
  <si>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</si>
  <si>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</si>
  <si>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</si>
  <si>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</si>
  <si>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</si>
  <si>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</si>
  <si>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</si>
  <si>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</si>
  <si>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</si>
  <si>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</si>
  <si>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</si>
  <si>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</si>
  <si>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</si>
  <si>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</si>
  <si>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</si>
  <si>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</si>
  <si>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</si>
  <si>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</si>
  <si>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</si>
  <si>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</si>
  <si>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</si>
  <si>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</si>
  <si>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</si>
  <si>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</si>
  <si>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</si>
  <si>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</si>
  <si>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</si>
  <si>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</si>
  <si>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</si>
  <si>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</si>
  <si>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</si>
  <si>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</si>
  <si>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</si>
  <si>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</si>
  <si>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</si>
  <si>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</si>
  <si>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</si>
  <si>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</si>
  <si>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</si>
  <si>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</si>
  <si>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</si>
  <si>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</si>
  <si>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</si>
  <si>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</si>
  <si>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</si>
  <si>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</si>
  <si>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</si>
  <si>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</si>
  <si>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</si>
  <si>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</si>
  <si>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</si>
  <si>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</si>
  <si>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</si>
  <si>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</si>
  <si>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</si>
  <si>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</si>
  <si>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</si>
  <si>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</si>
  <si>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</si>
  <si>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</si>
  <si>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</si>
  <si>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</si>
  <si>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</si>
  <si>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</si>
  <si>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</si>
  <si>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</si>
  <si>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</si>
  <si>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</si>
  <si>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</si>
  <si>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</si>
  <si>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</si>
  <si>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</si>
  <si>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</si>
  <si>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</si>
  <si>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</si>
  <si>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</si>
  <si>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</si>
  <si>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</si>
  <si>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</si>
  <si>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</si>
  <si>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</si>
  <si>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</si>
  <si>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</si>
  <si>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</si>
  <si>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</si>
  <si>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</si>
  <si>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</si>
  <si>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</si>
  <si>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</si>
  <si>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</si>
  <si>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</si>
  <si>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</si>
  <si>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</si>
  <si>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</si>
  <si>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</si>
  <si>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</si>
  <si>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</si>
  <si>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</si>
  <si>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</si>
  <si>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</si>
  <si>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</si>
  <si>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</si>
  <si>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</si>
  <si>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</si>
  <si>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</si>
  <si>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</si>
  <si>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</si>
  <si>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</si>
  <si>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</si>
  <si>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</si>
  <si>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</si>
  <si>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</si>
  <si>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</si>
  <si>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</si>
  <si>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</si>
  <si>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</si>
  <si>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</si>
  <si>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</si>
  <si>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</si>
  <si>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</si>
  <si>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</si>
  <si>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</si>
  <si>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</si>
  <si>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</si>
  <si>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</si>
  <si>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</si>
  <si>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</si>
  <si>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</si>
  <si>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</si>
  <si>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</si>
  <si>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</si>
  <si>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</si>
  <si>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</si>
  <si>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</si>
  <si>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</si>
  <si>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</si>
  <si>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</si>
  <si>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</si>
  <si>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</si>
  <si>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</si>
  <si>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</si>
  <si>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</si>
  <si>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</si>
  <si>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</si>
  <si>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</si>
  <si>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</si>
  <si>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</si>
  <si>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</si>
  <si>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</si>
  <si>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</si>
  <si>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</si>
  <si>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</si>
  <si>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</si>
  <si>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</si>
  <si>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</si>
  <si>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</si>
  <si>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</si>
  <si>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</si>
  <si>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</si>
  <si>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</si>
  <si>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</si>
  <si>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</si>
  <si>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</si>
  <si>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</si>
  <si>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</si>
  <si>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</si>
  <si>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</si>
  <si>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</si>
  <si>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</si>
  <si>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</si>
  <si>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</si>
  <si>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</si>
  <si>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</si>
  <si>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</si>
  <si>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</si>
  <si>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</si>
  <si>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</si>
  <si>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</si>
  <si>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</si>
  <si>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</si>
  <si>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</si>
  <si>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</si>
  <si>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</si>
  <si>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</si>
  <si>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</si>
  <si>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</si>
  <si>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</si>
  <si>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</si>
  <si>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</si>
  <si>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</si>
  <si>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</si>
  <si>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</si>
  <si>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</si>
  <si>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</si>
  <si>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</si>
  <si>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</si>
  <si>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</si>
  <si>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</si>
  <si>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</si>
  <si>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</si>
  <si>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</si>
  <si>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</si>
  <si>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</si>
  <si>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</si>
  <si>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</si>
  <si>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</si>
  <si>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</si>
  <si>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</si>
  <si>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</si>
  <si>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</si>
  <si>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</si>
  <si>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</si>
  <si>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</si>
  <si>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</si>
  <si>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</si>
  <si>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</si>
  <si>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</si>
  <si>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</si>
  <si>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</si>
  <si>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</si>
  <si>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</si>
  <si>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</si>
  <si>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</si>
  <si>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</si>
  <si>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</si>
  <si>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</si>
  <si>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</si>
  <si>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</si>
  <si>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</si>
  <si>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</si>
  <si>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</si>
  <si>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</si>
  <si>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</si>
  <si>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</si>
  <si>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</si>
  <si>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</si>
  <si>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</si>
  <si>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</si>
  <si>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</si>
  <si>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</si>
  <si>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</si>
  <si>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</si>
  <si>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</si>
  <si>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</si>
  <si>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</si>
  <si>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</si>
  <si>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</si>
  <si>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</si>
  <si>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</si>
  <si>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</si>
  <si>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</si>
  <si>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</si>
  <si>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</si>
  <si>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</si>
  <si>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</si>
  <si>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</si>
  <si>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</si>
  <si>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</si>
  <si>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</si>
  <si>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</si>
  <si>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</si>
  <si>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</si>
  <si>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</si>
  <si>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</si>
  <si>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</si>
  <si>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</si>
  <si>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</si>
  <si>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</si>
  <si>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</si>
  <si>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</si>
  <si>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</si>
  <si>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</si>
  <si>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</si>
  <si>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</si>
  <si>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</si>
  <si>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</si>
  <si>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</si>
  <si>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</si>
  <si>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</si>
  <si>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</si>
  <si>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</si>
  <si>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</si>
  <si>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</si>
  <si>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</si>
  <si>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</si>
  <si>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</si>
  <si>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</si>
  <si>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</si>
  <si>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</si>
  <si>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</si>
  <si>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</si>
  <si>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</si>
  <si>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</si>
  <si>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</si>
  <si>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</si>
  <si>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</si>
  <si>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</si>
  <si>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</si>
  <si>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</si>
  <si>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</si>
  <si>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</si>
  <si>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</si>
  <si>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</si>
  <si>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</si>
  <si>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</si>
  <si>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</si>
  <si>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</si>
  <si>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</si>
  <si>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</si>
  <si>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</si>
  <si>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</si>
  <si>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</si>
  <si>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</si>
  <si>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</si>
  <si>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</si>
  <si>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</si>
  <si>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</si>
  <si>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</si>
  <si>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</si>
  <si>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</si>
  <si>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</si>
  <si>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</si>
  <si>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</si>
  <si>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</si>
  <si>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</si>
  <si>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</si>
  <si>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</si>
  <si>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</si>
  <si>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</si>
  <si>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</si>
  <si>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</si>
  <si>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</si>
  <si>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</si>
  <si>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</si>
  <si>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</si>
  <si>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</si>
  <si>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</si>
  <si>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</si>
  <si>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</si>
  <si>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</si>
  <si>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</si>
  <si>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</si>
  <si>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</si>
  <si>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</si>
  <si>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</si>
  <si>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</si>
  <si>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</si>
  <si>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</si>
  <si>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</si>
  <si>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</si>
  <si>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</si>
  <si>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</si>
  <si>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</si>
  <si>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</si>
  <si>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</si>
  <si>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</si>
  <si>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</si>
  <si>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</si>
  <si>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</si>
  <si>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</si>
  <si>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</si>
  <si>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</si>
  <si>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</si>
  <si>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</si>
  <si>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</si>
  <si>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</si>
  <si>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</si>
  <si>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</si>
  <si>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</si>
  <si>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</si>
  <si>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</si>
  <si>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</si>
  <si>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</si>
  <si>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</si>
  <si>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</si>
  <si>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</si>
  <si>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</si>
  <si>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</si>
  <si>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</si>
  <si>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</si>
  <si>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</si>
  <si>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</si>
  <si>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</si>
  <si>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</si>
  <si>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</si>
  <si>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</si>
  <si>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</si>
  <si>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</si>
  <si>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</si>
  <si>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</si>
  <si>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</si>
  <si>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</si>
  <si>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</si>
  <si>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</si>
  <si>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</si>
  <si>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</si>
  <si>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</si>
  <si>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</si>
  <si>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</si>
  <si>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</si>
  <si>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</si>
  <si>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</si>
  <si>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</si>
  <si>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</si>
  <si>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</si>
  <si>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</si>
  <si>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</si>
  <si>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</si>
  <si>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</si>
  <si>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</si>
  <si>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</si>
  <si>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</si>
  <si>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</si>
  <si>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</si>
  <si>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</si>
  <si>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</si>
  <si>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</si>
  <si>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</si>
  <si>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</si>
  <si>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</si>
  <si>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</si>
  <si>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</si>
  <si>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</si>
  <si>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</si>
  <si>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</si>
  <si>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</si>
  <si>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</si>
  <si>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</si>
  <si>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</si>
  <si>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</si>
  <si>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</si>
  <si>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</si>
  <si>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</si>
  <si>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</si>
  <si>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</si>
  <si>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</si>
  <si>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</si>
  <si>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</si>
  <si>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</si>
  <si>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</si>
  <si>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</si>
  <si>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</si>
  <si>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</si>
  <si>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</si>
  <si>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</si>
  <si>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</si>
  <si>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</si>
  <si>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</si>
  <si>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</si>
  <si>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</si>
  <si>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</si>
  <si>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</si>
  <si>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</si>
  <si>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</si>
  <si>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</si>
  <si>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</si>
  <si>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</si>
  <si>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</si>
  <si>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</si>
  <si>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</si>
  <si>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</si>
  <si>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</si>
  <si>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</si>
  <si>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</si>
  <si>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</si>
  <si>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</si>
  <si>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</si>
  <si>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</si>
  <si>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</si>
  <si>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</si>
  <si>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</si>
  <si>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</si>
  <si>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</si>
  <si>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</si>
  <si>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</si>
  <si>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</si>
  <si>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</si>
  <si>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</si>
  <si>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</si>
  <si>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</si>
  <si>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</si>
  <si>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</si>
  <si>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</si>
  <si>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</si>
  <si>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</si>
  <si>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</si>
  <si>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</si>
  <si>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</si>
  <si>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</si>
  <si>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</si>
  <si>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</si>
  <si>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</si>
  <si>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</si>
  <si>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</si>
  <si>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</si>
  <si>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</si>
  <si>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</si>
  <si>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</si>
  <si>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</si>
  <si>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</si>
  <si>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</si>
  <si>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</si>
  <si>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</si>
  <si>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</si>
  <si>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</si>
  <si>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</si>
  <si>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</si>
  <si>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</si>
  <si>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</si>
  <si>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</si>
  <si>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</si>
  <si>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</si>
  <si>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</si>
  <si>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</si>
  <si>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</si>
  <si>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</si>
  <si>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</si>
  <si>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</si>
  <si>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</si>
  <si>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</si>
  <si>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</si>
  <si>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</si>
  <si>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</si>
  <si>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</si>
  <si>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</si>
  <si>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</si>
  <si>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</si>
  <si>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</si>
  <si>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</si>
  <si>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</si>
  <si>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</si>
  <si>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</si>
  <si>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</si>
  <si>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</si>
  <si>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</si>
  <si>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</si>
  <si>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</si>
  <si>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</si>
  <si>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</si>
  <si>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</si>
  <si>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</si>
  <si>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</si>
  <si>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</si>
  <si>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</si>
  <si>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</si>
  <si>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</si>
  <si>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</si>
  <si>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</si>
  <si>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</si>
  <si>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</si>
  <si>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</si>
  <si>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</si>
  <si>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</si>
  <si>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</si>
  <si>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</si>
  <si>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</si>
  <si>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</si>
  <si>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</si>
  <si>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</si>
  <si>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</si>
  <si>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</si>
  <si>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</si>
  <si>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</si>
  <si>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</si>
  <si>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</si>
  <si>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</si>
  <si>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</si>
  <si>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</si>
  <si>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</si>
  <si>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</si>
  <si>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</si>
  <si>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</si>
  <si>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</si>
  <si>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</si>
  <si>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</si>
  <si>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</si>
  <si>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</si>
  <si>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</si>
  <si>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</si>
  <si>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</si>
  <si>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</si>
  <si>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</si>
  <si>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</si>
  <si>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</si>
  <si>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</si>
  <si>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</si>
  <si>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</si>
  <si>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</si>
  <si>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</si>
  <si>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</si>
  <si>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</si>
  <si>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</si>
  <si>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</si>
  <si>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</si>
  <si>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</si>
  <si>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</si>
  <si>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</si>
  <si>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</si>
  <si>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</si>
  <si>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</si>
  <si>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</si>
  <si>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</si>
  <si>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</si>
  <si>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</si>
  <si>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</si>
  <si>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</si>
  <si>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</si>
  <si>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</si>
  <si>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</si>
  <si>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</si>
  <si>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</si>
  <si>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</si>
  <si>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</si>
  <si>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</si>
  <si>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</si>
  <si>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</si>
  <si>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</si>
  <si>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</si>
  <si>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</si>
  <si>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</si>
  <si>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</si>
  <si>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</si>
  <si>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</si>
  <si>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</si>
  <si>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</si>
  <si>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</si>
  <si>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</si>
  <si>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</si>
  <si>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</si>
  <si>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</si>
  <si>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</si>
  <si>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</si>
  <si>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</si>
  <si>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</si>
  <si>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</si>
  <si>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</si>
  <si>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</si>
  <si>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</si>
  <si>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</si>
  <si>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</si>
  <si>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</si>
  <si>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</si>
  <si>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</si>
  <si>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</si>
  <si>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</si>
  <si>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</si>
  <si>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</si>
  <si>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</si>
  <si>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</si>
  <si>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</si>
  <si>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</si>
  <si>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</si>
  <si>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</si>
  <si>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</si>
  <si>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</si>
  <si>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</si>
  <si>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</si>
  <si>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</si>
  <si>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</si>
  <si>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</si>
  <si>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</si>
  <si>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</si>
  <si>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</si>
  <si>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</si>
  <si>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</si>
  <si>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</si>
  <si>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</si>
  <si>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</si>
  <si>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</si>
  <si>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</si>
  <si>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</si>
  <si>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</si>
  <si>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</si>
  <si>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</si>
  <si>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</si>
  <si>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</si>
  <si>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</si>
  <si>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</si>
  <si>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</si>
  <si>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</si>
  <si>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</si>
  <si>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</si>
  <si>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</si>
  <si>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</si>
  <si>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</si>
  <si>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</si>
  <si>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</si>
  <si>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</si>
  <si>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</si>
  <si>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</si>
  <si>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</si>
  <si>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</si>
  <si>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</si>
  <si>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</si>
  <si>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</si>
  <si>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</si>
  <si>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</si>
  <si>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</si>
  <si>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</si>
  <si>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</si>
  <si>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</si>
  <si>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</si>
  <si>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</si>
  <si>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</si>
  <si>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</si>
  <si>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</si>
  <si>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</si>
  <si>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</si>
  <si>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</si>
  <si>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</si>
  <si>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</si>
  <si>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</si>
  <si>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</si>
  <si>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</si>
  <si>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</si>
  <si>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</si>
  <si>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</si>
  <si>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</si>
  <si>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</si>
  <si>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</si>
  <si>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</si>
  <si>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</si>
  <si>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</si>
  <si>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</si>
  <si>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</si>
  <si>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</si>
  <si>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</si>
  <si>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</si>
  <si>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</si>
  <si>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</si>
  <si>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</si>
  <si>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</si>
  <si>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</si>
  <si>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</si>
  <si>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</si>
  <si>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</si>
  <si>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</si>
  <si>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</si>
  <si>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</si>
  <si>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</si>
  <si>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</si>
  <si>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</si>
  <si>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</si>
  <si>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</si>
  <si>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</si>
  <si>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</si>
  <si>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</si>
  <si>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</si>
  <si>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</si>
  <si>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</si>
  <si>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</si>
  <si>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</si>
  <si>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</si>
  <si>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</si>
  <si>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</si>
  <si>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</si>
  <si>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</si>
  <si>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</si>
  <si>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</si>
  <si>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</si>
  <si>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</si>
  <si>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</si>
  <si>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</si>
  <si>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</si>
  <si>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</si>
  <si>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</si>
  <si>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</si>
  <si>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</si>
  <si>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</si>
  <si>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</si>
  <si>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</si>
  <si>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</si>
  <si>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</si>
  <si>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</si>
  <si>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</si>
  <si>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</si>
  <si>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</si>
  <si>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</si>
  <si>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</si>
  <si>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</si>
  <si>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</si>
  <si>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</si>
  <si>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</si>
  <si>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</si>
  <si>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</si>
  <si>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</si>
  <si>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</si>
  <si>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</si>
  <si>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</si>
  <si>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</si>
  <si>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</si>
  <si>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</si>
  <si>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</si>
  <si>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</si>
  <si>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</si>
  <si>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</si>
  <si>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</si>
  <si>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</si>
  <si>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</si>
  <si>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</si>
  <si>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</si>
  <si>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</si>
  <si>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</si>
  <si>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</si>
  <si>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</si>
  <si>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</si>
  <si>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</si>
  <si>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</si>
  <si>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</si>
  <si>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</si>
  <si>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</si>
  <si>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</si>
  <si>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</si>
  <si>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</si>
  <si>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</si>
  <si>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</si>
  <si>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</si>
  <si>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</si>
  <si>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</si>
  <si>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</si>
  <si>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</si>
  <si>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</si>
  <si>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</si>
  <si>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</si>
  <si>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</si>
  <si>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</si>
  <si>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</si>
  <si>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</si>
  <si>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</si>
  <si>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</si>
  <si>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</si>
  <si>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</si>
  <si>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</si>
  <si>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</si>
  <si>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</si>
  <si>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</si>
  <si>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</si>
  <si>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</si>
  <si>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</si>
  <si>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</si>
  <si>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</si>
  <si>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</si>
  <si>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</si>
  <si>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</si>
  <si>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</si>
  <si>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</si>
  <si>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</si>
  <si>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</si>
  <si>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</si>
  <si>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</si>
  <si>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</si>
  <si>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</si>
  <si>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</si>
  <si>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</si>
  <si>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</si>
  <si>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</si>
  <si>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</si>
  <si>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</si>
  <si>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</si>
  <si>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</si>
  <si>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</si>
  <si>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</si>
  <si>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</si>
  <si>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</si>
  <si>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</si>
  <si>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</si>
  <si>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</si>
  <si>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</si>
  <si>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</si>
  <si>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</si>
  <si>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</si>
  <si>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</si>
  <si>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</si>
  <si>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</si>
  <si>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</si>
  <si>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</si>
  <si>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</si>
  <si>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</si>
  <si>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</si>
  <si>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</si>
  <si>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</si>
  <si>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</si>
  <si>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</si>
  <si>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</si>
  <si>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</si>
  <si>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</si>
  <si>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</si>
  <si>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</si>
  <si>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</si>
  <si>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</si>
  <si>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</si>
  <si>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</si>
  <si>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</si>
  <si>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</si>
  <si>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</si>
  <si>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</si>
  <si>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</si>
  <si>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</si>
  <si>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</si>
  <si>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</si>
  <si>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</si>
  <si>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</si>
  <si>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</si>
  <si>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</si>
  <si>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</si>
  <si>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</si>
  <si>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</si>
  <si>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</si>
  <si>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</si>
  <si>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</si>
  <si>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</si>
  <si>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</si>
  <si>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</si>
  <si>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</si>
  <si>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</si>
  <si>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</si>
  <si>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</si>
  <si>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</si>
  <si>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</si>
  <si>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</si>
  <si>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</si>
  <si>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</si>
  <si>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</si>
  <si>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</si>
  <si>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</si>
  <si>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</si>
  <si>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</si>
  <si>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</si>
  <si>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</si>
  <si>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</si>
  <si>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</si>
  <si>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</si>
  <si>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</si>
  <si>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</si>
  <si>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</si>
  <si>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</si>
  <si>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</si>
  <si>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</si>
  <si>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</si>
  <si>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</si>
  <si>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</si>
  <si>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</si>
  <si>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</si>
  <si>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</si>
  <si>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</si>
  <si>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</si>
  <si>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</si>
  <si>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</si>
  <si>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</si>
  <si>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</si>
  <si>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</si>
  <si>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</si>
  <si>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</si>
  <si>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</si>
  <si>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</si>
  <si>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</si>
  <si>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</si>
  <si>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</si>
  <si>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</si>
  <si>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</si>
  <si>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</si>
  <si>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</si>
  <si>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</si>
  <si>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</si>
  <si>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</si>
  <si>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</si>
  <si>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</si>
  <si>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</si>
  <si>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</si>
  <si>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</si>
  <si>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</si>
  <si>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</si>
  <si>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</si>
  <si>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</si>
  <si>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</si>
  <si>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</si>
  <si>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</si>
  <si>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</si>
  <si>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</si>
  <si>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</si>
  <si>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</si>
  <si>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</si>
  <si>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</si>
  <si>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</si>
  <si>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</si>
  <si>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</si>
  <si>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</si>
  <si>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</si>
  <si>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</si>
  <si>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</si>
  <si>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</si>
  <si>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</si>
  <si>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</si>
  <si>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</si>
  <si>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</si>
  <si>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</si>
  <si>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</si>
  <si>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</si>
  <si>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</si>
  <si>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</si>
  <si>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</si>
  <si>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</si>
  <si>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</si>
  <si>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</si>
  <si>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</si>
  <si>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</si>
  <si>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</si>
  <si>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</si>
  <si>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</si>
  <si>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</si>
  <si>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</si>
  <si>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</si>
  <si>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</si>
  <si>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</si>
  <si>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</si>
  <si>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</si>
  <si>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</si>
  <si>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</si>
  <si>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</si>
  <si>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</si>
  <si>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</si>
  <si>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</si>
  <si>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</si>
  <si>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</si>
  <si>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</si>
  <si>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</si>
  <si>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</si>
  <si>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</si>
  <si>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</si>
  <si>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</si>
  <si>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</si>
  <si>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</si>
  <si>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</si>
  <si>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</si>
  <si>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</si>
  <si>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</si>
  <si>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</si>
  <si>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</si>
  <si>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</si>
  <si>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</si>
  <si>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</si>
  <si>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</si>
  <si>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</si>
  <si>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</si>
  <si>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</si>
  <si>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</si>
  <si>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</si>
  <si>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</si>
  <si>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</si>
  <si>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</si>
  <si>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</si>
  <si>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</si>
  <si>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</si>
  <si>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</si>
  <si>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</si>
  <si>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</si>
  <si>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</si>
  <si>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</si>
  <si>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</si>
  <si>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</si>
  <si>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</si>
  <si>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</si>
  <si>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</si>
  <si>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</si>
  <si>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</si>
  <si>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</si>
  <si>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</si>
  <si>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</si>
  <si>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</si>
  <si>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</si>
  <si>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</si>
  <si>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</si>
  <si>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</si>
  <si>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</si>
  <si>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</si>
  <si>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</si>
  <si>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</si>
  <si>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</si>
  <si>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</si>
  <si>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</si>
  <si>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</si>
  <si>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</si>
  <si>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</si>
  <si>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</si>
  <si>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</si>
  <si>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</si>
  <si>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</si>
  <si>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</si>
  <si>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</si>
  <si>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</si>
  <si>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</si>
  <si>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</si>
  <si>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</si>
  <si>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</si>
  <si>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</si>
  <si>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</si>
  <si>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</si>
  <si>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</si>
  <si>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</si>
  <si>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</si>
  <si>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</si>
  <si>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</si>
  <si>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</si>
  <si>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</si>
  <si>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</si>
  <si>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</si>
  <si>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</si>
  <si>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</si>
  <si>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</si>
  <si>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</si>
  <si>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</si>
  <si>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</si>
  <si>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</si>
  <si>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</si>
  <si>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</si>
  <si>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</si>
  <si>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</si>
  <si>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</si>
  <si>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</si>
  <si>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</si>
  <si>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</si>
  <si>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</si>
  <si>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</si>
  <si>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</si>
  <si>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</si>
  <si>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</si>
  <si>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</si>
  <si>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</si>
  <si>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</si>
  <si>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</si>
  <si>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</si>
  <si>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</si>
  <si>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</si>
  <si>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</si>
  <si>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</si>
  <si>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</si>
  <si>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</si>
  <si>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</si>
  <si>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</si>
  <si>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</si>
  <si>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</si>
  <si>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</si>
  <si>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</si>
  <si>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</si>
  <si>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</si>
  <si>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</si>
  <si>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</si>
  <si>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</si>
  <si>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</si>
  <si>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</si>
  <si>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</si>
  <si>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</si>
  <si>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</si>
  <si>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</si>
  <si>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</si>
  <si>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</si>
  <si>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</si>
  <si>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</si>
  <si>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</si>
  <si>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</si>
  <si>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</si>
  <si>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</si>
  <si>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</si>
  <si>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</si>
  <si>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</si>
  <si>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</si>
  <si>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</si>
  <si>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</si>
  <si>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</si>
  <si>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</si>
  <si>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</si>
  <si>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</si>
  <si>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</si>
  <si>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</si>
  <si>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</si>
  <si>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</si>
  <si>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</si>
  <si>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</si>
  <si>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</si>
  <si>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</si>
  <si>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</si>
  <si>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</si>
  <si>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</si>
  <si>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</si>
  <si>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</si>
  <si>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</si>
  <si>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</si>
  <si>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</si>
  <si>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</si>
  <si>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</si>
  <si>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</si>
  <si>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</si>
  <si>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</si>
  <si>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</si>
  <si>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</si>
  <si>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</si>
  <si>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</si>
  <si>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</si>
  <si>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</si>
  <si>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</si>
  <si>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</si>
  <si>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</si>
  <si>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</si>
  <si>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</si>
  <si>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</si>
  <si>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</si>
  <si>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</si>
  <si>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</si>
  <si>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</si>
  <si>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</si>
  <si>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</si>
  <si>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</si>
  <si>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</si>
  <si>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</si>
  <si>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</si>
  <si>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</si>
  <si>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</si>
  <si>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</si>
  <si>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</si>
  <si>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</si>
  <si>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</si>
  <si>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</si>
  <si>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</si>
  <si>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</si>
  <si>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</si>
  <si>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</si>
  <si>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</si>
  <si>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</si>
  <si>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</si>
  <si>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</si>
  <si>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</si>
  <si>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</si>
  <si>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</si>
  <si>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</si>
  <si>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</si>
  <si>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</si>
  <si>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</si>
  <si>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</si>
  <si>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</si>
  <si>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</si>
  <si>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</si>
  <si>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</si>
  <si>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</si>
  <si>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</si>
  <si>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</si>
  <si>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</si>
  <si>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</si>
  <si>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</si>
  <si>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</si>
  <si>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</si>
  <si>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</si>
  <si>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</si>
  <si>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</si>
  <si>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</si>
  <si>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</si>
  <si>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</si>
  <si>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</si>
  <si>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</si>
  <si>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</si>
  <si>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</si>
  <si>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</si>
  <si>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</si>
  <si>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</si>
  <si>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</si>
  <si>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</si>
  <si>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</si>
  <si>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</si>
  <si>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</si>
  <si>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</si>
  <si>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</si>
  <si>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</si>
  <si>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</si>
  <si>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</si>
  <si>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</si>
  <si>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</si>
  <si>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</si>
  <si>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</si>
  <si>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</si>
  <si>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</si>
  <si>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</si>
  <si>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</si>
  <si>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</si>
  <si>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</si>
  <si>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</si>
  <si>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</si>
  <si>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</si>
  <si>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</si>
  <si>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</si>
  <si>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</si>
  <si>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</si>
  <si>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</si>
  <si>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</si>
  <si>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</si>
  <si>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</si>
  <si>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</si>
  <si>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</si>
  <si>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</si>
  <si>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</si>
  <si>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</si>
  <si>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</si>
  <si>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</si>
  <si>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</si>
  <si>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</si>
  <si>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</si>
  <si>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</si>
  <si>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</si>
  <si>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</si>
  <si>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</si>
  <si>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</si>
  <si>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</si>
  <si>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</si>
  <si>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</si>
  <si>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</si>
  <si>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</si>
  <si>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</si>
  <si>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</si>
  <si>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</si>
  <si>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</si>
  <si>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</si>
  <si>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</si>
  <si>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</si>
  <si>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</si>
  <si>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</si>
  <si>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</si>
  <si>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</si>
  <si>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</si>
  <si>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</si>
  <si>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</si>
  <si>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</si>
  <si>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</si>
  <si>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</si>
  <si>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</si>
  <si>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</si>
  <si>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</si>
  <si>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</si>
  <si>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</si>
  <si>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</si>
  <si>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</si>
  <si>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</si>
  <si>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</si>
  <si>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</si>
  <si>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</si>
  <si>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</si>
  <si>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</si>
  <si>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</si>
  <si>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</si>
  <si>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</si>
  <si>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</si>
  <si>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</si>
  <si>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</si>
  <si>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</si>
  <si>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</si>
  <si>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</si>
  <si>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</si>
  <si>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</si>
  <si>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</si>
  <si>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</si>
  <si>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</si>
  <si>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</si>
  <si>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</si>
  <si>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</si>
  <si>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</si>
  <si>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</si>
  <si>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</si>
  <si>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</si>
  <si>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</si>
  <si>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</si>
  <si>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</si>
  <si>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</si>
  <si>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</si>
  <si>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</si>
  <si>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</si>
  <si>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</si>
  <si>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</si>
  <si>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</si>
  <si>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</si>
  <si>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</si>
  <si>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</si>
  <si>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</si>
  <si>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</si>
  <si>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</si>
  <si>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</si>
  <si>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</si>
  <si>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</si>
  <si>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</si>
  <si>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</si>
  <si>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</si>
  <si>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</si>
  <si>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</si>
  <si>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</si>
  <si>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</si>
  <si>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</si>
  <si>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</si>
  <si>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</si>
  <si>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</si>
  <si>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</si>
  <si>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</si>
  <si>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</si>
  <si>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</si>
  <si>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</si>
  <si>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</si>
  <si>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</si>
  <si>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</si>
  <si>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</si>
  <si>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</si>
  <si>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</si>
  <si>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</si>
  <si>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</si>
  <si>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</si>
  <si>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</si>
  <si>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</si>
  <si>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</si>
  <si>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</si>
  <si>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</si>
  <si>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</si>
  <si>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</si>
  <si>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</si>
  <si>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</si>
  <si>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</si>
  <si>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</si>
  <si>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</si>
  <si>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</si>
  <si>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</si>
  <si>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</si>
  <si>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</si>
  <si>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</si>
  <si>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</si>
  <si>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</si>
  <si>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</si>
  <si>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</si>
  <si>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</si>
  <si>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</si>
  <si>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</si>
  <si>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</si>
  <si>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</si>
  <si>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</si>
  <si>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</si>
  <si>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</si>
  <si>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</si>
  <si>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</si>
  <si>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</si>
  <si>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</si>
  <si>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</si>
  <si>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</si>
  <si>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</si>
  <si>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</si>
  <si>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</si>
  <si>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</si>
  <si>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</si>
  <si>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</si>
  <si>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</si>
  <si>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</si>
  <si>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</si>
  <si>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</si>
  <si>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</si>
  <si>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</si>
  <si>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</si>
  <si>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</si>
  <si>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</si>
  <si>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</si>
  <si>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</si>
  <si>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</si>
  <si>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</si>
  <si>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</si>
  <si>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</si>
  <si>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</si>
  <si>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</si>
  <si>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</si>
  <si>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</si>
  <si>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</si>
  <si>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</si>
  <si>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</si>
  <si>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</si>
  <si>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</si>
  <si>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</si>
  <si>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</si>
  <si>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</si>
  <si>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</si>
  <si>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</si>
  <si>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</si>
  <si>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</si>
  <si>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</si>
  <si>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</si>
  <si>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</si>
  <si>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</si>
  <si>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</si>
  <si>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</si>
  <si>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</si>
  <si>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</si>
  <si>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</si>
  <si>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</si>
  <si>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</si>
  <si>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</si>
  <si>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</si>
  <si>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</si>
  <si>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</si>
  <si>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</si>
  <si>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</si>
  <si>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</si>
  <si>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</si>
  <si>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</si>
  <si>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</si>
  <si>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</si>
  <si>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</si>
  <si>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</si>
  <si>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</si>
  <si>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</si>
  <si>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</si>
  <si>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</si>
  <si>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</si>
  <si>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</si>
  <si>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</si>
  <si>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</si>
  <si>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</si>
  <si>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</si>
  <si>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</si>
  <si>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</si>
  <si>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</si>
  <si>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</si>
  <si>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</si>
  <si>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</si>
  <si>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</si>
  <si>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</si>
  <si>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</si>
  <si>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</si>
  <si>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</si>
  <si>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</si>
  <si>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</si>
  <si>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</si>
  <si>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</si>
  <si>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</si>
  <si>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</si>
  <si>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</si>
  <si>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</si>
  <si>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</si>
  <si>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</si>
  <si>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</si>
  <si>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</si>
  <si>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</si>
  <si>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</si>
  <si>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</si>
  <si>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</si>
  <si>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</si>
  <si>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</si>
  <si>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</si>
  <si>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</si>
  <si>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</si>
  <si>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</si>
  <si>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</si>
  <si>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</si>
  <si>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</si>
  <si>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</si>
  <si>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</si>
  <si>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</si>
  <si>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</si>
  <si>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</si>
  <si>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</si>
  <si>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</si>
  <si>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</si>
  <si>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</si>
  <si>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</si>
  <si>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</si>
  <si>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</si>
  <si>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</si>
  <si>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</si>
  <si>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</si>
  <si>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</si>
  <si>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</si>
  <si>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</si>
  <si>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</si>
  <si>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</si>
  <si>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</si>
  <si>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</si>
  <si>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</si>
  <si>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</si>
  <si>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</si>
  <si>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</si>
  <si>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</si>
  <si>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</si>
  <si>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</si>
  <si>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</si>
  <si>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</si>
  <si>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</si>
  <si>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</si>
  <si>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</si>
  <si>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</si>
  <si>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</si>
  <si>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</si>
  <si>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</si>
  <si>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</si>
  <si>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</si>
  <si>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</si>
  <si>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</si>
  <si>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</si>
  <si>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</si>
  <si>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</si>
  <si>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</si>
  <si>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</si>
  <si>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</si>
  <si>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</si>
  <si>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</si>
  <si>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</si>
  <si>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</si>
  <si>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</si>
  <si>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</si>
  <si>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</si>
  <si>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</si>
  <si>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</si>
  <si>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</si>
  <si>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</si>
  <si>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</si>
  <si>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</si>
  <si>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</si>
  <si>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</si>
  <si>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</si>
  <si>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</si>
  <si>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</si>
  <si>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</si>
  <si>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</si>
  <si>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</si>
  <si>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</si>
  <si>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</si>
  <si>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</si>
  <si>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</si>
  <si>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</si>
  <si>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</si>
  <si>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</si>
  <si>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</si>
  <si>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</si>
  <si>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</si>
  <si>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</si>
  <si>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</si>
  <si>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</si>
  <si>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</si>
  <si>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</si>
  <si>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</si>
  <si>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</si>
  <si>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</si>
  <si>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</si>
  <si>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</si>
  <si>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</si>
  <si>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</si>
  <si>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</si>
  <si>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</si>
  <si>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</si>
  <si>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</si>
  <si>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</si>
  <si>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</si>
  <si>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</si>
  <si>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</si>
  <si>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</si>
  <si>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</si>
  <si>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</si>
  <si>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</si>
  <si>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</si>
  <si>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</si>
  <si>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</si>
  <si>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</si>
  <si>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</si>
  <si>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</si>
  <si>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</si>
  <si>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</si>
  <si>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</si>
  <si>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</si>
  <si>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</si>
  <si>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</si>
  <si>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</si>
  <si>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</si>
  <si>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</si>
  <si>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</si>
  <si>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</si>
  <si>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</si>
  <si>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</si>
  <si>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</si>
  <si>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</si>
  <si>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</si>
  <si>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</si>
  <si>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</si>
  <si>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</si>
  <si>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</si>
  <si>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</si>
  <si>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</si>
  <si>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</si>
  <si>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</si>
  <si>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</si>
  <si>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</si>
  <si>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</si>
  <si>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</si>
  <si>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</si>
  <si>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</si>
  <si>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</si>
  <si>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</si>
  <si>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</si>
  <si>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</si>
  <si>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</si>
  <si>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</si>
  <si>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</si>
  <si>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</si>
  <si>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</si>
  <si>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</si>
  <si>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</si>
  <si>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</si>
  <si>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</si>
  <si>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</si>
  <si>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</si>
  <si>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</si>
  <si>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</si>
  <si>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</si>
  <si>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</si>
  <si>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</si>
  <si>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</si>
  <si>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</si>
  <si>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</si>
  <si>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</si>
  <si>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</si>
  <si>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</si>
  <si>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</si>
  <si>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</si>
  <si>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</si>
  <si>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</si>
  <si>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</si>
  <si>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</si>
  <si>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</si>
  <si>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</si>
  <si>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</si>
  <si>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</si>
  <si>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</si>
  <si>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</si>
  <si>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</si>
  <si>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</si>
  <si>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</si>
  <si>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</si>
  <si>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</si>
  <si>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</si>
  <si>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</si>
  <si>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</si>
  <si>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</si>
  <si>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</si>
  <si>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</si>
  <si>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</si>
  <si>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</si>
  <si>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</si>
  <si>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</si>
  <si>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</si>
  <si>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</si>
  <si>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</si>
  <si>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</si>
  <si>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</si>
  <si>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</si>
  <si>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</si>
  <si>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</si>
  <si>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</si>
  <si>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</si>
  <si>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</si>
  <si>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</si>
  <si>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</si>
  <si>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</si>
  <si>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</si>
  <si>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</si>
  <si>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</si>
  <si>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</si>
  <si>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</si>
  <si>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</si>
  <si>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</si>
  <si>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</si>
  <si>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</si>
  <si>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</si>
  <si>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</si>
  <si>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</si>
  <si>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</si>
  <si>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</si>
  <si>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</si>
  <si>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</si>
  <si>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</si>
  <si>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</si>
  <si>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</si>
  <si>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</si>
  <si>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</si>
  <si>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</si>
  <si>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</si>
  <si>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</si>
  <si>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</si>
  <si>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</si>
  <si>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</si>
  <si>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</si>
  <si>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</si>
  <si>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</si>
  <si>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</si>
  <si>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</si>
  <si>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</si>
  <si>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</si>
  <si>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</si>
  <si>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</si>
  <si>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</si>
  <si>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</si>
  <si>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</si>
  <si>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</si>
  <si>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</si>
  <si>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</si>
  <si>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</si>
  <si>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</si>
  <si>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</si>
  <si>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</si>
  <si>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</si>
  <si>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</si>
  <si>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</si>
  <si>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</si>
  <si>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</si>
  <si>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</si>
  <si>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</si>
  <si>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</si>
  <si>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</si>
  <si>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</si>
  <si>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</si>
  <si>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</si>
  <si>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</si>
  <si>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</si>
  <si>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</si>
  <si>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</si>
  <si>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</si>
  <si>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</si>
  <si>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</si>
  <si>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</si>
  <si>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</si>
  <si>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</si>
  <si>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</si>
  <si>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</si>
  <si>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</si>
  <si>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</si>
  <si>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</si>
  <si>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</si>
  <si>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</si>
  <si>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</si>
  <si>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</si>
  <si>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</si>
  <si>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</si>
  <si>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</si>
  <si>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</si>
  <si>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</si>
  <si>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</si>
  <si>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</si>
  <si>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</si>
  <si>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</si>
  <si>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</si>
  <si>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</si>
  <si>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</si>
  <si>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</si>
  <si>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</si>
  <si>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</si>
  <si>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</si>
  <si>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</si>
  <si>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</si>
  <si>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</si>
  <si>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</si>
  <si>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</si>
  <si>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</si>
  <si>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</si>
  <si>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</si>
  <si>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</si>
  <si>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</si>
  <si>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</si>
  <si>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</si>
  <si>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</si>
  <si>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</si>
  <si>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</si>
  <si>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</si>
  <si>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</si>
  <si>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</si>
  <si>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</si>
  <si>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</si>
  <si>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</si>
  <si>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</si>
  <si>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</si>
  <si>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</si>
  <si>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</si>
  <si>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</si>
  <si>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</si>
  <si>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</si>
  <si>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</si>
  <si>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</si>
  <si>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</si>
  <si>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</si>
  <si>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</si>
  <si>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</si>
  <si>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</si>
  <si>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</si>
  <si>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</si>
  <si>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</si>
  <si>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</si>
  <si>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</si>
  <si>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</si>
  <si>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</si>
  <si>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</si>
  <si>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</si>
  <si>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</si>
  <si>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</si>
  <si>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</si>
  <si>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</si>
  <si>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</si>
  <si>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</si>
  <si>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</si>
  <si>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</si>
  <si>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</si>
  <si>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</si>
  <si>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</si>
  <si>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</si>
  <si>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</si>
  <si>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</si>
  <si>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</si>
  <si>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</si>
  <si>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</si>
  <si>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</si>
  <si>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</si>
  <si>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</si>
  <si>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</si>
  <si>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</si>
  <si>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</si>
  <si>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</si>
  <si>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</si>
  <si>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</si>
  <si>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</si>
  <si>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</si>
  <si>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</si>
  <si>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</si>
  <si>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</si>
  <si>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</si>
  <si>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</si>
  <si>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</si>
  <si>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</si>
  <si>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</si>
  <si>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</si>
  <si>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</si>
  <si>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</si>
  <si>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</si>
  <si>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</si>
  <si>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</si>
  <si>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</si>
  <si>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</si>
  <si>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</si>
  <si>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</si>
  <si>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</si>
  <si>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</si>
  <si>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</si>
  <si>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</si>
  <si>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</si>
  <si>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</si>
  <si>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</si>
  <si>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</si>
  <si>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</si>
  <si>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</si>
  <si>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</si>
  <si>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</si>
  <si>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</si>
  <si>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</si>
  <si>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</si>
  <si>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</si>
  <si>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</si>
  <si>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</si>
  <si>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</si>
  <si>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</si>
  <si>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</si>
  <si>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</si>
  <si>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</si>
  <si>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</si>
  <si>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</si>
  <si>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</si>
  <si>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</si>
  <si>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</si>
  <si>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</si>
  <si>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</si>
  <si>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</si>
  <si>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</si>
  <si>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</si>
  <si>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</si>
  <si>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</si>
  <si>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</si>
  <si>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</si>
  <si>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</si>
  <si>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</si>
  <si>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</si>
  <si>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</si>
  <si>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</si>
  <si>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</si>
  <si>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</si>
  <si>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</si>
  <si>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</si>
  <si>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</si>
  <si>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</si>
  <si>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</si>
  <si>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</si>
  <si>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</si>
  <si>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</si>
  <si>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</si>
  <si>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</si>
  <si>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</si>
  <si>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</si>
  <si>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</si>
  <si>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</si>
  <si>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</si>
  <si>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</si>
  <si>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</si>
  <si>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</si>
  <si>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</si>
  <si>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</si>
  <si>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</si>
  <si>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</si>
  <si>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</si>
  <si>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</si>
  <si>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</si>
  <si>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</si>
  <si>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</si>
  <si>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</si>
  <si>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</si>
  <si>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</si>
  <si>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</si>
  <si>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</si>
  <si>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</si>
  <si>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</si>
  <si>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</si>
  <si>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</si>
  <si>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</si>
  <si>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</si>
  <si>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</si>
  <si>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</si>
  <si>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</si>
  <si>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</si>
  <si>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</si>
  <si>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</si>
  <si>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</si>
  <si>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</si>
  <si>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</si>
  <si>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</si>
  <si>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</si>
  <si>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</si>
  <si>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</si>
  <si>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</si>
  <si>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</si>
  <si>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</si>
  <si>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</si>
  <si>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</si>
  <si>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</si>
  <si>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</si>
  <si>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</si>
  <si>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</si>
  <si>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</si>
  <si>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</si>
  <si>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</si>
  <si>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</si>
  <si>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</si>
  <si>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</si>
  <si>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</si>
  <si>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</si>
  <si>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</si>
  <si>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</si>
  <si>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</si>
  <si>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</si>
  <si>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</si>
  <si>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</si>
  <si>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</si>
  <si>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</si>
  <si>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</si>
  <si>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</si>
  <si>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</si>
  <si>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</si>
  <si>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</si>
  <si>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</si>
  <si>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</si>
  <si>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</si>
  <si>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</si>
  <si>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</si>
  <si>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</si>
  <si>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</si>
  <si>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</si>
  <si>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</si>
  <si>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</si>
  <si>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</si>
  <si>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</si>
  <si>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</si>
  <si>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</si>
  <si>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</si>
  <si>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</si>
  <si>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</si>
  <si>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</si>
  <si>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</si>
  <si>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</si>
  <si>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</si>
  <si>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</si>
  <si>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</si>
  <si>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</si>
  <si>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</si>
  <si>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</si>
  <si>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</si>
  <si>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</si>
  <si>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</si>
  <si>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</si>
  <si>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</si>
  <si>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</si>
  <si>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</si>
  <si>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</si>
  <si>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</si>
  <si>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</si>
  <si>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</si>
  <si>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</si>
  <si>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</si>
  <si>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</si>
  <si>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</si>
  <si>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</si>
  <si>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</si>
  <si>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</si>
  <si>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</si>
  <si>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</si>
  <si>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</si>
  <si>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</si>
  <si>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</si>
  <si>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</si>
  <si>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</si>
  <si>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</si>
  <si>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</si>
  <si>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</si>
  <si>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</si>
  <si>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</si>
  <si>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</si>
  <si>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</si>
  <si>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</si>
  <si>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</si>
  <si>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</si>
  <si>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</si>
  <si>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</si>
  <si>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</si>
  <si>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</si>
  <si>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</si>
  <si>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</si>
  <si>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</si>
  <si>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</si>
  <si>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</si>
  <si>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</si>
  <si>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</si>
  <si>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</si>
  <si>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</si>
  <si>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</si>
  <si>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</si>
  <si>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</si>
  <si>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</si>
  <si>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</si>
  <si>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</si>
  <si>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</si>
  <si>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</si>
  <si>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</si>
  <si>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</si>
  <si>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</si>
  <si>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</si>
  <si>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</si>
  <si>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</si>
  <si>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</si>
  <si>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</si>
  <si>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</si>
  <si>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</si>
  <si>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</si>
  <si>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</si>
  <si>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</si>
  <si>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</si>
  <si>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</si>
  <si>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</si>
  <si>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</si>
  <si>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</si>
  <si>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</si>
  <si>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</si>
  <si>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</si>
  <si>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</si>
  <si>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</si>
  <si>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</si>
  <si>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</si>
  <si>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</si>
  <si>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</si>
  <si>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</si>
  <si>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</si>
  <si>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</si>
  <si>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</si>
  <si>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</si>
  <si>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</si>
  <si>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</si>
  <si>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</si>
  <si>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</si>
  <si>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</si>
  <si>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</si>
  <si>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</si>
  <si>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</si>
  <si>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</si>
  <si>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</si>
  <si>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</si>
  <si>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</si>
  <si>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</si>
  <si>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</si>
  <si>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</si>
  <si>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</si>
  <si>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</si>
  <si>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</si>
  <si>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</si>
  <si>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</si>
  <si>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</si>
  <si>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</si>
  <si>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</si>
  <si>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</si>
  <si>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</si>
  <si>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</si>
  <si>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</si>
  <si>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</si>
  <si>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</si>
  <si>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</si>
  <si>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</si>
  <si>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</si>
  <si>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</si>
  <si>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</si>
  <si>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</si>
  <si>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</si>
  <si>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</si>
  <si>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</si>
  <si>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</si>
  <si>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</si>
  <si>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</si>
  <si>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</si>
  <si>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</si>
  <si>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</si>
  <si>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</si>
  <si>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</si>
  <si>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</si>
  <si>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</si>
  <si>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</si>
  <si>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</si>
  <si>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</si>
  <si>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</si>
  <si>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</si>
  <si>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</si>
  <si>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</si>
  <si>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</si>
  <si>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</si>
  <si>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</si>
  <si>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</si>
  <si>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</si>
  <si>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</si>
  <si>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</si>
  <si>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</si>
  <si>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</si>
  <si>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</si>
  <si>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</si>
  <si>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</si>
  <si>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</si>
  <si>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</si>
  <si>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</si>
  <si>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</si>
  <si>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</si>
  <si>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</si>
  <si>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</si>
  <si>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</si>
  <si>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</si>
  <si>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</si>
  <si>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</si>
  <si>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</si>
  <si>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</si>
  <si>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</si>
  <si>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</si>
  <si>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</si>
  <si>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</si>
  <si>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</si>
  <si>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</si>
  <si>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</si>
  <si>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</si>
  <si>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</si>
  <si>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</si>
  <si>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</si>
  <si>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</si>
  <si>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</si>
  <si>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</si>
  <si>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</si>
  <si>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</si>
  <si>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</si>
  <si>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</si>
  <si>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</si>
  <si>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</si>
  <si>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</si>
  <si>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</si>
  <si>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</si>
  <si>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</si>
  <si>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</si>
  <si>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</si>
  <si>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</si>
  <si>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</si>
  <si>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</si>
  <si>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</si>
  <si>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</si>
  <si>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</si>
  <si>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</si>
  <si>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</si>
  <si>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</si>
  <si>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</si>
  <si>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</si>
  <si>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</si>
  <si>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</si>
  <si>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</si>
  <si>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</si>
  <si>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</si>
  <si>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</si>
  <si>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</si>
  <si>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</si>
  <si>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</si>
  <si>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</si>
  <si>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</si>
  <si>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</si>
  <si>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</si>
  <si>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</si>
  <si>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</si>
  <si>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</si>
  <si>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</si>
  <si>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</si>
  <si>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</si>
  <si>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</si>
  <si>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</si>
  <si>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</si>
  <si>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</si>
  <si>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</si>
  <si>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</si>
  <si>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</si>
  <si>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</si>
  <si>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</si>
  <si>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</si>
  <si>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</si>
  <si>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</si>
  <si>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</si>
  <si>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</si>
  <si>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</si>
  <si>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</si>
  <si>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</si>
  <si>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</si>
  <si>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</si>
  <si>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</si>
  <si>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</si>
  <si>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</si>
  <si>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</si>
  <si>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</si>
  <si>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</si>
  <si>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</si>
  <si>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</si>
  <si>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</si>
  <si>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</si>
  <si>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</si>
  <si>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</si>
  <si>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</si>
  <si>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</si>
  <si>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</si>
  <si>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</si>
  <si>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</si>
  <si>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</si>
  <si>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</si>
  <si>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</si>
  <si>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</si>
  <si>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</si>
  <si>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</si>
  <si>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</si>
  <si>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</si>
  <si>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</si>
  <si>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</si>
  <si>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</si>
  <si>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</si>
  <si>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</si>
  <si>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</si>
  <si>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</si>
  <si>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</si>
  <si>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</si>
  <si>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</si>
  <si>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</si>
  <si>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</si>
  <si>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</si>
  <si>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</si>
  <si>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</si>
  <si>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</si>
  <si>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</si>
  <si>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</si>
  <si>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</si>
  <si>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</si>
  <si>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</si>
  <si>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</si>
  <si>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</si>
  <si>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</si>
  <si>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</si>
  <si>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</si>
  <si>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</si>
  <si>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</si>
  <si>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</si>
  <si>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</si>
  <si>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</si>
  <si>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</si>
  <si>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</si>
  <si>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</si>
  <si>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</si>
  <si>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</si>
  <si>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</si>
  <si>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</si>
  <si>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</si>
  <si>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</si>
  <si>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</si>
  <si>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</si>
  <si>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</si>
  <si>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</si>
  <si>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</si>
  <si>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</si>
  <si>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</si>
  <si>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</si>
  <si>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</si>
  <si>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</si>
  <si>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</si>
  <si>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</si>
  <si>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</si>
  <si>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</si>
  <si>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</si>
  <si>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</si>
  <si>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</si>
  <si>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</si>
  <si>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</si>
  <si>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</si>
  <si>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</si>
  <si>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</si>
  <si>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</si>
  <si>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</si>
  <si>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</si>
  <si>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</si>
  <si>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</si>
  <si>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</si>
  <si>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</si>
  <si>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</si>
  <si>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</si>
  <si>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</si>
  <si>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</si>
  <si>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</si>
  <si>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</si>
  <si>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</si>
  <si>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</si>
  <si>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</si>
  <si>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</si>
  <si>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</si>
  <si>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</si>
  <si>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</si>
  <si>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</si>
  <si>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</si>
  <si>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</si>
  <si>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</si>
  <si>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</si>
  <si>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</si>
  <si>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</si>
  <si>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</si>
  <si>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</si>
  <si>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</si>
  <si>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</si>
  <si>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</si>
  <si>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</si>
  <si>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</si>
  <si>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</si>
  <si>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</si>
  <si>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</si>
  <si>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</si>
  <si>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</si>
  <si>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</si>
  <si>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</si>
  <si>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</si>
  <si>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</si>
  <si>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</si>
  <si>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</si>
  <si>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</si>
  <si>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</si>
  <si>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</si>
  <si>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</si>
  <si>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</si>
  <si>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</si>
  <si>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</si>
  <si>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</si>
  <si>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</si>
  <si>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</si>
  <si>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</si>
  <si>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</si>
  <si>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</si>
  <si>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</si>
  <si>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</si>
  <si>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</si>
  <si>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</si>
  <si>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</si>
  <si>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</si>
  <si>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</si>
  <si>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</si>
  <si>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</si>
  <si>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</si>
  <si>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</si>
  <si>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</si>
  <si>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</si>
  <si>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</si>
  <si>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</si>
  <si>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</si>
  <si>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</si>
  <si>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</si>
  <si>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</si>
  <si>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</si>
  <si>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</si>
  <si>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</si>
  <si>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</si>
  <si>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</si>
  <si>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</si>
  <si>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</si>
  <si>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</si>
  <si>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</si>
  <si>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</si>
  <si>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</si>
  <si>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</si>
  <si>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</si>
  <si>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</si>
  <si>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</si>
  <si>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</si>
  <si>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</si>
  <si>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</si>
  <si>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</si>
  <si>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</si>
  <si>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</si>
  <si>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</si>
  <si>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</si>
  <si>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</si>
  <si>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</si>
  <si>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</si>
  <si>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</si>
  <si>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</si>
  <si>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</si>
  <si>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</si>
  <si>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</si>
  <si>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</si>
  <si>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</si>
  <si>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</si>
  <si>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</si>
  <si>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</si>
  <si>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</si>
  <si>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</si>
  <si>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</si>
  <si>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</si>
  <si>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</si>
  <si>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</si>
  <si>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</si>
  <si>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</si>
  <si>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</si>
  <si>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</si>
  <si>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</si>
  <si>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</si>
  <si>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</si>
  <si>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</si>
  <si>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</si>
  <si>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</si>
  <si>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</si>
  <si>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</si>
  <si>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</si>
  <si>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</si>
  <si>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</si>
  <si>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</si>
  <si>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</si>
  <si>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</si>
  <si>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</si>
  <si>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</si>
  <si>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</si>
  <si>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</si>
  <si>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</si>
  <si>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</si>
  <si>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</si>
  <si>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</si>
  <si>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</si>
  <si>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</si>
  <si>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</si>
  <si>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</si>
  <si>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</si>
  <si>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</si>
  <si>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</si>
  <si>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</si>
  <si>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</si>
  <si>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</si>
  <si>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</si>
  <si>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</si>
  <si>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</si>
  <si>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</si>
  <si>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</si>
  <si>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</si>
  <si>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</si>
  <si>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</si>
  <si>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</si>
  <si>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</si>
  <si>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</si>
  <si>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</si>
  <si>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</si>
  <si>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</si>
  <si>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</si>
  <si>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</si>
  <si>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</si>
  <si>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</si>
  <si>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</si>
  <si>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</si>
  <si>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</si>
  <si>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</si>
  <si>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</si>
  <si>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</si>
  <si>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</si>
  <si>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</si>
  <si>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</si>
  <si>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</si>
  <si>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</si>
  <si>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</si>
  <si>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</si>
  <si>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</si>
  <si>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</si>
  <si>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</si>
  <si>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</si>
  <si>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</si>
  <si>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</si>
  <si>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</si>
  <si>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</si>
  <si>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</si>
  <si>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</si>
  <si>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</si>
  <si>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</si>
  <si>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</si>
  <si>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</si>
  <si>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</si>
  <si>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</si>
  <si>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</si>
  <si>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</si>
  <si>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</si>
  <si>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</si>
  <si>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</si>
  <si>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</si>
  <si>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</si>
  <si>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</si>
  <si>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</si>
  <si>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</si>
  <si>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</si>
  <si>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</si>
  <si>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</si>
  <si>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</si>
  <si>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</si>
  <si>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</si>
  <si>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</si>
  <si>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</si>
  <si>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</si>
  <si>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</si>
  <si>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</si>
  <si>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</si>
  <si>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</si>
  <si>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</si>
  <si>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</si>
  <si>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</si>
  <si>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</si>
  <si>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</si>
  <si>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</si>
  <si>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</si>
  <si>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</si>
  <si>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</si>
  <si>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</si>
  <si>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</si>
  <si>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</si>
  <si>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</si>
  <si>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</si>
  <si>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</si>
  <si>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</si>
  <si>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</si>
  <si>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</si>
  <si>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</si>
  <si>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</si>
  <si>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</si>
  <si>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</si>
  <si>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</si>
  <si>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</si>
  <si>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</si>
  <si>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</si>
  <si>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</si>
  <si>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</si>
  <si>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</si>
  <si>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</si>
  <si>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</si>
  <si>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</si>
  <si>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</si>
  <si>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</si>
  <si>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</si>
  <si>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</si>
  <si>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</si>
  <si>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</si>
  <si>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</si>
  <si>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</si>
  <si>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</si>
  <si>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</si>
  <si>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</si>
  <si>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</si>
  <si>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</si>
  <si>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</si>
  <si>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</si>
  <si>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</si>
  <si>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</si>
  <si>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</si>
  <si>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</si>
  <si>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</si>
  <si>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</si>
  <si>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</si>
  <si>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</si>
  <si>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</si>
  <si>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</si>
  <si>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</si>
  <si>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</si>
  <si>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</si>
  <si>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</si>
  <si>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</si>
  <si>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</si>
  <si>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</si>
  <si>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</si>
  <si>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</si>
  <si>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</si>
  <si>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</si>
  <si>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</si>
  <si>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</si>
  <si>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</si>
  <si>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</si>
  <si>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</si>
  <si>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</si>
  <si>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</si>
  <si>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</si>
  <si>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</si>
  <si>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</si>
  <si>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</si>
  <si>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</si>
  <si>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</si>
  <si>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</si>
  <si>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</si>
  <si>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</si>
  <si>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</si>
  <si>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</si>
  <si>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</si>
  <si>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</si>
  <si>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</si>
  <si>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</si>
  <si>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</si>
  <si>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</si>
  <si>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</si>
  <si>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</si>
  <si>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</si>
  <si>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</si>
  <si>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</si>
  <si>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</si>
  <si>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</si>
  <si>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</si>
  <si>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</si>
  <si>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</si>
  <si>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</si>
  <si>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</si>
  <si>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</si>
  <si>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</si>
  <si>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</si>
  <si>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</si>
  <si>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</si>
  <si>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</si>
  <si>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</si>
  <si>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</si>
  <si>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</si>
  <si>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</si>
  <si>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</si>
  <si>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</si>
  <si>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</si>
  <si>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</si>
  <si>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</si>
  <si>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</si>
  <si>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</si>
  <si>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</si>
  <si>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</si>
  <si>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</si>
  <si>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</si>
  <si>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</si>
  <si>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</si>
  <si>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</si>
  <si>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</si>
  <si>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</si>
  <si>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</si>
  <si>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</si>
  <si>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</si>
  <si>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</si>
  <si>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</si>
  <si>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</si>
  <si>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</si>
  <si>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</si>
  <si>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</si>
  <si>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</si>
  <si>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</si>
  <si>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</si>
  <si>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</si>
  <si>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</si>
  <si>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</si>
  <si>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</si>
  <si>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</si>
  <si>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</si>
  <si>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</si>
  <si>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</si>
  <si>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</si>
  <si>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</si>
  <si>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</si>
  <si>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</si>
  <si>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</si>
  <si>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</si>
  <si>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</si>
  <si>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</si>
  <si>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</si>
  <si>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</si>
  <si>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</si>
  <si>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</si>
  <si>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</si>
  <si>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</si>
  <si>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</si>
  <si>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</si>
  <si>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</si>
  <si>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</si>
  <si>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</si>
  <si>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</si>
  <si>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</si>
  <si>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</si>
  <si>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</si>
  <si>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</si>
  <si>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</si>
  <si>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</si>
  <si>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</si>
  <si>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</si>
  <si>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</si>
  <si>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</si>
  <si>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</si>
  <si>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</si>
  <si>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</si>
  <si>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</si>
  <si>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</si>
  <si>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</si>
  <si>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</si>
  <si>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</si>
  <si>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</si>
  <si>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</si>
  <si>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</si>
  <si>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</si>
  <si>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</si>
  <si>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</si>
  <si>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</si>
  <si>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</si>
  <si>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</si>
  <si>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</si>
  <si>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</si>
  <si>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</si>
  <si>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</si>
  <si>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</si>
  <si>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</si>
  <si>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</si>
  <si>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</si>
  <si>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</si>
  <si>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</si>
  <si>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</si>
  <si>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</si>
  <si>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</si>
  <si>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</si>
  <si>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</si>
  <si>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</si>
  <si>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</si>
  <si>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</si>
  <si>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</si>
  <si>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</si>
  <si>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</si>
  <si>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</si>
  <si>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</si>
  <si>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</si>
  <si>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</si>
  <si>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</si>
  <si>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</si>
  <si>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</si>
  <si>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</si>
  <si>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</si>
  <si>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</si>
  <si>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</si>
  <si>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</si>
  <si>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</si>
  <si>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</si>
  <si>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</si>
  <si>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</si>
  <si>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</si>
  <si>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</si>
  <si>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</si>
  <si>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</si>
  <si>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</si>
  <si>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</si>
  <si>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</si>
  <si>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</si>
  <si>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</si>
  <si>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</si>
  <si>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</si>
  <si>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</si>
  <si>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</si>
  <si>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</si>
  <si>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</si>
  <si>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</si>
  <si>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</si>
  <si>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</si>
  <si>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</si>
  <si>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</si>
  <si>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</si>
  <si>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</si>
  <si>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</si>
  <si>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</si>
  <si>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</si>
  <si>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</si>
  <si>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</si>
  <si>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</si>
  <si>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</si>
  <si>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</si>
  <si>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</si>
  <si>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</si>
  <si>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</si>
  <si>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</si>
  <si>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</si>
  <si>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</si>
  <si>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</si>
  <si>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</si>
  <si>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</si>
  <si>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</si>
  <si>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</si>
  <si>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</si>
  <si>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</si>
  <si>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</si>
  <si>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</si>
  <si>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</si>
  <si>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</si>
  <si>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</si>
  <si>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</si>
  <si>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</si>
  <si>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</si>
  <si>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</si>
  <si>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</si>
  <si>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</si>
  <si>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</si>
  <si>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</si>
  <si>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</si>
  <si>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</si>
  <si>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</si>
  <si>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</si>
  <si>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</si>
  <si>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</si>
  <si>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</si>
  <si>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</si>
  <si>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</si>
  <si>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</si>
  <si>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</si>
  <si>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</si>
  <si>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</si>
  <si>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</si>
  <si>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</si>
  <si>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</si>
  <si>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</si>
  <si>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</si>
  <si>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</si>
  <si>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</si>
  <si>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</si>
  <si>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</si>
  <si>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</si>
  <si>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</si>
  <si>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</si>
  <si>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</si>
  <si>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</si>
  <si>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</si>
  <si>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</si>
  <si>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</si>
  <si>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</si>
  <si>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</si>
  <si>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</si>
  <si>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</si>
  <si>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</si>
  <si>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</si>
  <si>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</si>
  <si>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</si>
  <si>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</si>
  <si>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</si>
  <si>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</si>
  <si>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</si>
  <si>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</si>
  <si>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</si>
  <si>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</si>
  <si>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</si>
  <si>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</si>
  <si>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</si>
  <si>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</si>
  <si>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</si>
  <si>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</si>
  <si>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</si>
  <si>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</si>
  <si>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</si>
  <si>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</si>
  <si>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</si>
  <si>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</si>
  <si>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</si>
  <si>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</si>
  <si>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</si>
  <si>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</si>
  <si>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</si>
  <si>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</si>
  <si>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</si>
  <si>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</si>
  <si>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</si>
  <si>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</si>
  <si>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</si>
  <si>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</si>
  <si>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</si>
  <si>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</si>
  <si>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</si>
  <si>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</si>
  <si>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</si>
  <si>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</si>
  <si>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</si>
  <si>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</si>
  <si>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</si>
  <si>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</si>
  <si>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</si>
  <si>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</si>
  <si>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</si>
  <si>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</si>
  <si>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</si>
  <si>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</si>
  <si>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</si>
  <si>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</si>
  <si>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</si>
  <si>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</si>
  <si>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</si>
  <si>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</si>
  <si>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</si>
  <si>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</si>
  <si>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</si>
  <si>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</si>
  <si>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</si>
  <si>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</si>
  <si>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</si>
  <si>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</si>
  <si>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</si>
  <si>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</si>
  <si>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</si>
  <si>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</si>
  <si>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</si>
  <si>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</si>
  <si>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</si>
  <si>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</si>
  <si>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</si>
  <si>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</si>
  <si>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</si>
  <si>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</si>
  <si>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</si>
  <si>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</si>
  <si>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</si>
  <si>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</si>
  <si>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</si>
  <si>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</si>
  <si>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</si>
  <si>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</si>
  <si>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</si>
  <si>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</si>
  <si>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</si>
  <si>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</si>
  <si>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</si>
  <si>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</si>
  <si>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</si>
  <si>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</si>
  <si>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</si>
  <si>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</si>
  <si>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</si>
  <si>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</si>
  <si>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</si>
  <si>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</si>
  <si>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</si>
  <si>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</si>
  <si>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</si>
  <si>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</si>
  <si>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</si>
  <si>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</si>
  <si>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</si>
  <si>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</si>
  <si>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</si>
  <si>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</si>
  <si>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</si>
  <si>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</si>
  <si>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</si>
  <si>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</si>
  <si>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</si>
  <si>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</si>
  <si>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</si>
  <si>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</si>
  <si>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</si>
  <si>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</si>
  <si>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</si>
  <si>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</si>
  <si>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</si>
  <si>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</si>
  <si>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</si>
  <si>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</si>
  <si>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</si>
  <si>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</si>
  <si>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</si>
  <si>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</si>
  <si>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</si>
  <si>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</si>
  <si>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</si>
  <si>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</si>
  <si>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</si>
  <si>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</si>
  <si>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</si>
  <si>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</si>
  <si>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</si>
  <si>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</si>
  <si>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</si>
  <si>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</si>
  <si>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</si>
  <si>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</si>
  <si>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</si>
  <si>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</si>
  <si>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</si>
  <si>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</si>
  <si>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</si>
  <si>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</si>
  <si>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</si>
  <si>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</si>
  <si>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</si>
  <si>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</si>
  <si>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</si>
  <si>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</si>
  <si>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</si>
  <si>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</si>
  <si>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</si>
  <si>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</si>
  <si>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</si>
  <si>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</si>
  <si>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</si>
  <si>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</si>
  <si>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</si>
  <si>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</si>
  <si>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</si>
  <si>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</si>
  <si>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</si>
  <si>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</si>
  <si>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</si>
  <si>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</si>
  <si>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</si>
  <si>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</si>
  <si>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</si>
  <si>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</si>
  <si>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</si>
  <si>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</si>
  <si>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</si>
  <si>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</si>
  <si>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</si>
  <si>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</si>
  <si>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</si>
  <si>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</si>
  <si>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</si>
  <si>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</si>
  <si>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</si>
  <si>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</si>
  <si>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</si>
  <si>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</si>
  <si>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</si>
  <si>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</si>
  <si>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</si>
  <si>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</si>
  <si>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</si>
  <si>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</si>
  <si>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</si>
  <si>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</si>
  <si>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</si>
  <si>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</si>
  <si>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</si>
  <si>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</si>
  <si>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</si>
  <si>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</si>
  <si>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</si>
  <si>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</si>
  <si>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</si>
  <si>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</si>
  <si>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</si>
  <si>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</si>
  <si>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</si>
  <si>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</si>
  <si>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</si>
  <si>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</si>
  <si>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</si>
  <si>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</si>
  <si>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</si>
  <si>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</si>
  <si>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</si>
  <si>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</si>
  <si>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</si>
  <si>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</si>
  <si>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</si>
  <si>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</si>
  <si>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</si>
  <si>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</si>
  <si>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</si>
  <si>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</si>
  <si>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</si>
  <si>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</si>
  <si>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</si>
  <si>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</si>
  <si>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</si>
  <si>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</si>
  <si>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</si>
  <si>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</si>
  <si>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</si>
  <si>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</si>
  <si>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</si>
  <si>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</si>
  <si>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</si>
  <si>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</si>
  <si>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</si>
  <si>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</si>
  <si>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</si>
  <si>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</si>
  <si>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</si>
  <si>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</si>
  <si>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</si>
  <si>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</si>
  <si>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</si>
  <si>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</si>
  <si>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</si>
  <si>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</si>
  <si>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</si>
  <si>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</si>
  <si>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</si>
  <si>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</si>
  <si>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</si>
  <si>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</si>
  <si>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</si>
  <si>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</si>
  <si>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</si>
  <si>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</si>
  <si>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</si>
  <si>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</si>
  <si>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</si>
  <si>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</si>
  <si>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</si>
  <si>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</si>
  <si>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</si>
  <si>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</si>
  <si>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</si>
  <si>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</si>
  <si>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</si>
  <si>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</si>
  <si>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</si>
  <si>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</si>
  <si>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</si>
  <si>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</si>
  <si>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</si>
  <si>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</si>
  <si>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</si>
  <si>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</si>
  <si>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</si>
  <si>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</si>
  <si>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</si>
  <si>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</si>
  <si>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</si>
  <si>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</si>
  <si>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</si>
  <si>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</si>
  <si>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</si>
  <si>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</si>
  <si>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</si>
  <si>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</si>
  <si>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</si>
  <si>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</si>
  <si>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</si>
  <si>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</si>
  <si>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</si>
  <si>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</si>
  <si>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</si>
  <si>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</si>
  <si>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</si>
  <si>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</si>
  <si>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</si>
  <si>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</si>
  <si>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</si>
  <si>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</si>
  <si>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</si>
  <si>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</si>
  <si>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</si>
  <si>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</si>
  <si>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</si>
  <si>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</si>
  <si>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</si>
  <si>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</si>
  <si>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</si>
  <si>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</si>
  <si>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</si>
  <si>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</si>
  <si>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</si>
  <si>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</si>
  <si>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</si>
  <si>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</si>
  <si>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</si>
  <si>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</si>
  <si>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</si>
  <si>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</si>
  <si>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</si>
  <si>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</si>
  <si>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</si>
  <si>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</si>
  <si>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</si>
  <si>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</si>
  <si>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</si>
  <si>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</si>
  <si>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</si>
  <si>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</si>
  <si>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</si>
  <si>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</si>
  <si>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</si>
  <si>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</si>
  <si>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</si>
  <si>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</si>
  <si>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</si>
  <si>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</si>
  <si>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</si>
  <si>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</si>
  <si>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</si>
  <si>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</si>
  <si>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</si>
  <si>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</si>
  <si>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</si>
  <si>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</si>
  <si>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</si>
  <si>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</si>
  <si>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</si>
  <si>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</si>
  <si>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</si>
  <si>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</si>
  <si>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</si>
  <si>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</si>
  <si>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</si>
  <si>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</si>
  <si>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</si>
  <si>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</si>
  <si>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</si>
  <si>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</si>
  <si>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</si>
  <si>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</si>
  <si>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</si>
  <si>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</si>
  <si>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</si>
  <si>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</si>
  <si>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</si>
  <si>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</si>
  <si>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</si>
  <si>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</si>
  <si>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</si>
  <si>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</si>
  <si>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</si>
  <si>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</si>
  <si>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</si>
  <si>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</si>
  <si>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</si>
  <si>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</si>
  <si>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</si>
  <si>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</si>
  <si>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</si>
  <si>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</si>
  <si>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</si>
  <si>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</si>
  <si>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</si>
  <si>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</si>
  <si>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</si>
  <si>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</si>
  <si>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</si>
  <si>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</si>
  <si>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</si>
  <si>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</si>
  <si>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</si>
  <si>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</si>
  <si>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</si>
  <si>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</si>
  <si>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</si>
  <si>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</si>
  <si>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</si>
  <si>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</si>
  <si>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</si>
  <si>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</si>
  <si>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</si>
  <si>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</si>
  <si>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</si>
  <si>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</si>
  <si>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</si>
  <si>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</si>
  <si>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</si>
  <si>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</si>
  <si>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</si>
  <si>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</si>
  <si>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</si>
  <si>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</si>
  <si>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</si>
  <si>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</si>
  <si>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</si>
  <si>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</si>
  <si>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</si>
  <si>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</si>
  <si>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</si>
  <si>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</si>
  <si>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</si>
  <si>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</si>
  <si>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</si>
  <si>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</si>
  <si>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</si>
  <si>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</si>
  <si>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</si>
  <si>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</si>
  <si>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</si>
  <si>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</si>
  <si>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</si>
  <si>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</si>
  <si>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</si>
  <si>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</si>
  <si>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</si>
  <si>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</si>
  <si>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</si>
  <si>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</si>
  <si>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</si>
  <si>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</si>
  <si>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</si>
  <si>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</si>
  <si>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</si>
  <si>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</si>
  <si>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</si>
  <si>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</si>
  <si>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</si>
  <si>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</si>
  <si>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</si>
  <si>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</si>
  <si>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</si>
  <si>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</si>
  <si>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</si>
  <si>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</si>
  <si>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</si>
  <si>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</si>
  <si>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</si>
  <si>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</si>
  <si>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</si>
  <si>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</si>
  <si>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</si>
  <si>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</si>
  <si>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</si>
  <si>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</si>
  <si>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</si>
  <si>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</si>
  <si>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</si>
  <si>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</si>
  <si>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</si>
  <si>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</si>
  <si>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</si>
  <si>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</si>
  <si>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</si>
  <si>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</si>
  <si>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</si>
  <si>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</si>
  <si>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</si>
  <si>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</si>
  <si>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</si>
  <si>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</si>
  <si>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</si>
  <si>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</si>
  <si>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</si>
  <si>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</si>
  <si>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</si>
  <si>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</si>
  <si>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</si>
  <si>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</si>
  <si>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</si>
  <si>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</si>
  <si>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</si>
  <si>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</si>
  <si>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</si>
  <si>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</si>
  <si>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</si>
  <si>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</si>
  <si>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</si>
  <si>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</si>
  <si>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</si>
  <si>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</si>
  <si>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</si>
  <si>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</si>
  <si>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</si>
  <si>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</si>
  <si>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</si>
  <si>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</si>
  <si>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</si>
  <si>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</si>
  <si>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</si>
  <si>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</si>
  <si>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</si>
  <si>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</si>
  <si>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</si>
  <si>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</si>
  <si>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</si>
  <si>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</si>
  <si>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</si>
  <si>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</si>
  <si>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</si>
  <si>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</si>
  <si>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</si>
  <si>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</si>
  <si>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</si>
  <si>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</si>
  <si>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</si>
  <si>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</si>
  <si>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</si>
  <si>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</si>
  <si>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</si>
  <si>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</si>
  <si>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</si>
  <si>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</si>
  <si>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</si>
  <si>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</si>
  <si>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</si>
  <si>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</si>
  <si>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</si>
  <si>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</si>
  <si>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</si>
  <si>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</si>
  <si>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</si>
  <si>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</si>
  <si>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</si>
  <si>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</si>
  <si>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</si>
  <si>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</si>
  <si>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</si>
  <si>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</si>
  <si>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</si>
  <si>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</si>
  <si>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</si>
  <si>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</si>
  <si>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</si>
  <si>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</si>
  <si>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</si>
  <si>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</si>
  <si>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</si>
  <si>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</si>
  <si>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</si>
  <si>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</si>
  <si>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</si>
  <si>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</si>
  <si>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</si>
  <si>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</si>
  <si>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</si>
  <si>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</si>
  <si>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</si>
  <si>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</si>
  <si>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</si>
  <si>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</si>
  <si>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</si>
  <si>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</si>
  <si>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</si>
  <si>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</si>
  <si>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</si>
  <si>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</si>
  <si>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</si>
  <si>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</si>
  <si>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</si>
  <si>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</si>
  <si>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</si>
  <si>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</si>
  <si>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</si>
  <si>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</si>
  <si>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</si>
  <si>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</si>
  <si>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</si>
  <si>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</si>
  <si>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</si>
  <si>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</si>
  <si>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</si>
  <si>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</si>
  <si>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</si>
  <si>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</si>
  <si>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</si>
  <si>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</si>
  <si>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</si>
  <si>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</si>
  <si>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</si>
  <si>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</si>
  <si>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</si>
  <si>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</si>
  <si>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</si>
  <si>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</si>
  <si>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</si>
  <si>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</si>
  <si>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</si>
  <si>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</si>
  <si>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</si>
  <si>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</si>
  <si>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</si>
  <si>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</si>
  <si>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</si>
  <si>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</si>
  <si>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</si>
  <si>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</si>
  <si>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</si>
  <si>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</si>
  <si>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</si>
  <si>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</si>
  <si>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</si>
  <si>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</si>
  <si>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</si>
  <si>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</si>
  <si>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</si>
  <si>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</si>
  <si>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</si>
  <si>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</si>
  <si>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</si>
  <si>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</si>
  <si>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</si>
  <si>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</si>
  <si>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</si>
  <si>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</si>
  <si>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</si>
  <si>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</si>
  <si>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</si>
  <si>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</si>
  <si>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</si>
  <si>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</si>
  <si>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</si>
  <si>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</si>
  <si>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</si>
  <si>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</si>
  <si>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</si>
  <si>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</si>
  <si>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</si>
  <si>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</si>
  <si>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</si>
  <si>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</si>
  <si>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</si>
  <si>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</si>
  <si>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</si>
  <si>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</si>
  <si>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</si>
  <si>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</si>
  <si>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</si>
  <si>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</si>
  <si>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</si>
  <si>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</si>
  <si>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</si>
  <si>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</si>
  <si>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</si>
  <si>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</si>
  <si>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</si>
  <si>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</si>
  <si>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</si>
  <si>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</si>
  <si>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</si>
  <si>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</si>
  <si>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</si>
  <si>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</si>
  <si>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</si>
  <si>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</si>
  <si>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</si>
  <si>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</si>
  <si>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</si>
  <si>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</si>
  <si>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</si>
  <si>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</si>
  <si>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</si>
  <si>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</si>
  <si>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</si>
  <si>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</si>
  <si>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</si>
  <si>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</si>
  <si>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</si>
  <si>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</si>
  <si>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</si>
  <si>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</si>
  <si>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</si>
  <si>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</si>
  <si>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</si>
  <si>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</si>
  <si>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</si>
  <si>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</si>
  <si>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</si>
  <si>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</si>
  <si>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</si>
  <si>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</si>
  <si>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</si>
  <si>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</si>
  <si>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</si>
  <si>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</si>
  <si>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</si>
  <si>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</si>
  <si>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</si>
  <si>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</si>
  <si>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</si>
  <si>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</si>
  <si>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</si>
  <si>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</si>
  <si>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</si>
  <si>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</si>
  <si>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</si>
  <si>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</si>
  <si>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</si>
  <si>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</si>
  <si>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</si>
  <si>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</si>
  <si>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</si>
  <si>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</si>
  <si>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</si>
  <si>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</si>
  <si>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</si>
  <si>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</si>
  <si>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</si>
  <si>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</si>
  <si>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</si>
  <si>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</si>
  <si>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</si>
  <si>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</si>
  <si>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</si>
  <si>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</si>
  <si>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</si>
  <si>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</si>
  <si>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</si>
  <si>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</si>
  <si>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</si>
  <si>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</si>
  <si>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</si>
  <si>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</si>
  <si>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</si>
  <si>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</si>
  <si>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</si>
  <si>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</si>
  <si>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</si>
  <si>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</si>
  <si>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</si>
  <si>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</si>
  <si>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</si>
  <si>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</si>
  <si>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</si>
  <si>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</si>
  <si>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</si>
  <si>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</si>
  <si>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</si>
  <si>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</si>
  <si>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</si>
  <si>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</si>
  <si>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</si>
  <si>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</si>
  <si>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</si>
  <si>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</si>
  <si>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</si>
  <si>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</si>
  <si>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</si>
  <si>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</si>
  <si>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</si>
  <si>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</si>
  <si>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</si>
  <si>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</si>
  <si>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</si>
  <si>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</si>
  <si>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</si>
  <si>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</si>
  <si>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</si>
  <si>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</si>
  <si>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</si>
  <si>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</si>
  <si>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</si>
  <si>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</si>
  <si>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</si>
  <si>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</si>
  <si>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</si>
  <si>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</si>
  <si>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</si>
  <si>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</si>
  <si>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</si>
  <si>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</si>
  <si>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</si>
  <si>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</si>
  <si>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</si>
  <si>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</si>
  <si>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</si>
  <si>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</si>
  <si>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</si>
  <si>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</si>
  <si>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</si>
  <si>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</si>
  <si>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</si>
  <si>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</si>
  <si>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</si>
  <si>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</si>
  <si>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</si>
  <si>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</si>
  <si>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</si>
  <si>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</si>
  <si>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</si>
  <si>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</si>
  <si>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</si>
  <si>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</si>
  <si>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</si>
  <si>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</si>
  <si>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</si>
  <si>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</si>
  <si>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</si>
  <si>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</si>
  <si>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</si>
  <si>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</si>
  <si>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</si>
  <si>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</si>
  <si>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</si>
  <si>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</si>
  <si>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</si>
  <si>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</si>
  <si>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</si>
  <si>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</si>
  <si>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</si>
  <si>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</si>
  <si>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</si>
  <si>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</si>
  <si>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</si>
  <si>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</si>
  <si>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</si>
  <si>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</si>
  <si>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</si>
  <si>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</si>
  <si>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</si>
  <si>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</si>
  <si>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</si>
  <si>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</si>
  <si>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</si>
  <si>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</si>
  <si>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</si>
  <si>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</si>
  <si>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</si>
  <si>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</si>
  <si>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</si>
  <si>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</si>
  <si>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</si>
  <si>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</si>
  <si>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</si>
  <si>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</si>
  <si>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</si>
  <si>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</si>
  <si>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</si>
  <si>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</si>
  <si>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</si>
  <si>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</si>
  <si>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</si>
  <si>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</si>
  <si>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</si>
  <si>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</si>
  <si>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</si>
  <si>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</si>
  <si>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</si>
  <si>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</si>
  <si>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</si>
  <si>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</si>
  <si>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</si>
  <si>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</si>
  <si>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</si>
  <si>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</si>
  <si>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</si>
  <si>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</si>
  <si>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</si>
  <si>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</si>
  <si>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</si>
  <si>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</si>
  <si>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</si>
  <si>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</si>
  <si>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</si>
  <si>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</si>
  <si>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</si>
  <si>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</si>
  <si>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</si>
  <si>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</si>
  <si>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</si>
  <si>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</si>
  <si>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</si>
  <si>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</si>
  <si>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</si>
  <si>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</si>
  <si>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</si>
  <si>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</si>
  <si>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</si>
  <si>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</si>
  <si>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</si>
  <si>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</si>
  <si>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</si>
  <si>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</si>
  <si>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</si>
  <si>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</si>
  <si>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</si>
  <si>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</si>
  <si>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</si>
  <si>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</si>
  <si>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</si>
  <si>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</si>
  <si>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</si>
  <si>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</si>
  <si>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</si>
  <si>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</si>
  <si>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</si>
  <si>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</si>
  <si>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</si>
  <si>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</si>
  <si>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</si>
  <si>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</si>
  <si>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</si>
  <si>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</si>
  <si>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</si>
  <si>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</si>
  <si>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</si>
  <si>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</si>
  <si>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</si>
  <si>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</si>
  <si>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</si>
  <si>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</si>
  <si>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</si>
  <si>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</si>
  <si>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</si>
  <si>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</si>
  <si>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</si>
  <si>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</si>
  <si>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</si>
  <si>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</si>
  <si>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</si>
  <si>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</si>
  <si>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</si>
  <si>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</si>
  <si>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</si>
  <si>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</si>
  <si>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</si>
  <si>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</si>
  <si>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</si>
  <si>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</si>
  <si>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</si>
  <si>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</si>
  <si>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</si>
  <si>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</si>
  <si>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</si>
  <si>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</si>
  <si>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</si>
  <si>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</si>
  <si>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</si>
  <si>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</si>
  <si>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</si>
  <si>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</si>
  <si>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</si>
  <si>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</si>
  <si>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</si>
  <si>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</si>
  <si>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</si>
  <si>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</si>
  <si>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</si>
  <si>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</si>
  <si>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</si>
  <si>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</si>
  <si>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</si>
  <si>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</si>
  <si>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</si>
  <si>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</si>
  <si>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</si>
  <si>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</si>
  <si>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</si>
  <si>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</si>
  <si>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</si>
  <si>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</si>
  <si>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</si>
  <si>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</si>
  <si>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</si>
  <si>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</si>
  <si>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</si>
  <si>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</si>
  <si>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</si>
  <si>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</si>
  <si>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</si>
  <si>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</si>
  <si>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</si>
  <si>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</si>
  <si>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</si>
  <si>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</si>
  <si>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</si>
  <si>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</si>
  <si>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</si>
  <si>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</si>
  <si>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</si>
  <si>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</si>
  <si>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</si>
  <si>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</si>
  <si>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</si>
  <si>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</si>
  <si>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</si>
  <si>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</si>
  <si>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</si>
  <si>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</si>
  <si>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</si>
  <si>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</si>
  <si>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</si>
  <si>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</si>
  <si>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</si>
  <si>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</si>
  <si>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</si>
  <si>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</si>
  <si>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</si>
  <si>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</si>
  <si>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</si>
  <si>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</si>
  <si>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</si>
  <si>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</si>
  <si>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</si>
  <si>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</si>
  <si>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</si>
  <si>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</si>
  <si>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</si>
  <si>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</si>
  <si>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</si>
  <si>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</si>
  <si>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</si>
  <si>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</si>
  <si>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</si>
  <si>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</si>
  <si>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</si>
  <si>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</si>
  <si>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</si>
  <si>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</si>
  <si>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</si>
  <si>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</si>
  <si>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</si>
  <si>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</si>
  <si>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</si>
  <si>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</si>
  <si>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</si>
  <si>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</si>
  <si>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</si>
  <si>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</si>
  <si>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</si>
  <si>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</si>
  <si>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</si>
  <si>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</si>
  <si>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</si>
  <si>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</si>
  <si>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</si>
  <si>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</si>
  <si>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</si>
  <si>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</si>
  <si>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</si>
  <si>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</si>
  <si>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</si>
  <si>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</si>
  <si>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</si>
  <si>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</si>
  <si>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</si>
  <si>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</si>
  <si>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</si>
  <si>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</si>
  <si>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</si>
  <si>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</si>
  <si>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</si>
  <si>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</si>
  <si>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</si>
  <si>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</si>
  <si>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</si>
  <si>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</si>
  <si>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</si>
  <si>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</si>
  <si>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</si>
  <si>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</si>
  <si>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</si>
  <si>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</si>
  <si>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</si>
  <si>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</si>
  <si>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</si>
  <si>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</si>
  <si>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</si>
  <si>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</si>
  <si>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</si>
  <si>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</si>
  <si>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</si>
  <si>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</si>
  <si>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</si>
  <si>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</si>
  <si>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</si>
  <si>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</si>
  <si>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</si>
  <si>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</si>
  <si>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</si>
  <si>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</si>
  <si>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</si>
  <si>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</si>
  <si>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</si>
  <si>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</si>
  <si>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</si>
  <si>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</si>
  <si>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</si>
  <si>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</si>
  <si>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</si>
  <si>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</si>
  <si>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</si>
  <si>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</si>
  <si>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</si>
  <si>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</si>
  <si>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</si>
  <si>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</si>
  <si>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</si>
  <si>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</si>
  <si>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</si>
  <si>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</si>
  <si>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</si>
  <si>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</si>
  <si>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</si>
  <si>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</si>
  <si>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</si>
  <si>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</si>
  <si>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</si>
  <si>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</si>
  <si>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</si>
  <si>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</si>
  <si>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</si>
  <si>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</si>
  <si>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</si>
  <si>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</si>
  <si>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</si>
  <si>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</si>
  <si>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</si>
  <si>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</si>
  <si>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</si>
  <si>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</si>
  <si>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</si>
  <si>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</si>
  <si>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</si>
  <si>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</si>
  <si>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</si>
  <si>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</si>
  <si>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</si>
  <si>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</si>
  <si>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</si>
  <si>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</si>
  <si>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</si>
  <si>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</si>
  <si>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</si>
  <si>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</si>
  <si>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</si>
  <si>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</si>
  <si>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</si>
  <si>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</si>
  <si>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</si>
  <si>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</si>
  <si>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</si>
  <si>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</si>
  <si>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</si>
  <si>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</si>
  <si>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</si>
  <si>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</si>
  <si>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</si>
  <si>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</si>
  <si>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</si>
  <si>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</si>
  <si>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</si>
  <si>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</si>
  <si>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</si>
  <si>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</si>
  <si>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</si>
  <si>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</si>
  <si>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</si>
  <si>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</si>
  <si>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</si>
  <si>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</si>
  <si>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</si>
  <si>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</si>
  <si>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</si>
  <si>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</si>
  <si>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</si>
  <si>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</si>
  <si>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</si>
  <si>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</si>
  <si>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</si>
  <si>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</si>
  <si>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</si>
  <si>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</si>
  <si>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</si>
  <si>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</si>
  <si>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</si>
  <si>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</si>
  <si>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</si>
  <si>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</si>
  <si>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</si>
  <si>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</si>
  <si>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</si>
  <si>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</si>
  <si>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</si>
  <si>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</si>
  <si>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</si>
  <si>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</si>
  <si>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</si>
  <si>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</si>
  <si>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</si>
  <si>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</si>
  <si>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</si>
  <si>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</si>
  <si>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</si>
  <si>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</si>
  <si>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</si>
  <si>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</si>
  <si>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</si>
  <si>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</si>
  <si>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</si>
  <si>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</si>
  <si>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</si>
  <si>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</si>
  <si>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</si>
  <si>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</si>
  <si>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</si>
  <si>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</si>
  <si>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</si>
  <si>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</si>
  <si>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</si>
  <si>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</si>
  <si>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</si>
  <si>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</si>
  <si>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</si>
  <si>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</si>
  <si>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</si>
  <si>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</si>
  <si>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</si>
  <si>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</si>
  <si>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</si>
  <si>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</si>
  <si>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</si>
  <si>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</si>
  <si>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</si>
  <si>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</si>
  <si>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</si>
  <si>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</si>
  <si>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</si>
  <si>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</si>
  <si>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</si>
  <si>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</si>
  <si>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</si>
  <si>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</si>
  <si>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</si>
  <si>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</si>
  <si>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</si>
  <si>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</si>
  <si>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</si>
  <si>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</si>
  <si>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</si>
  <si>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</si>
  <si>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</si>
  <si>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</si>
  <si>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</si>
  <si>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</si>
  <si>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</si>
  <si>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</si>
  <si>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</si>
  <si>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</si>
  <si>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</si>
  <si>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</si>
  <si>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</si>
  <si>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</si>
  <si>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</si>
  <si>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</si>
  <si>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</si>
  <si>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</si>
  <si>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</si>
  <si>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</si>
  <si>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</si>
  <si>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</si>
  <si>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</si>
  <si>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</si>
  <si>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</si>
  <si>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</si>
  <si>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</si>
  <si>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</si>
  <si>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</si>
  <si>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</si>
  <si>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</si>
  <si>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</si>
  <si>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</si>
  <si>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</si>
  <si>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</si>
  <si>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</si>
  <si>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</si>
  <si>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</si>
  <si>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</si>
  <si>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</si>
  <si>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</si>
  <si>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</si>
  <si>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</si>
  <si>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</si>
  <si>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</si>
  <si>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</si>
  <si>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</si>
  <si>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</si>
  <si>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</si>
  <si>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</si>
  <si>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</si>
  <si>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</si>
  <si>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</si>
  <si>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</si>
  <si>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</si>
  <si>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</si>
  <si>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</si>
  <si>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</si>
  <si>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</si>
  <si>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</si>
  <si>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</si>
  <si>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</si>
  <si>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</si>
  <si>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</si>
  <si>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</si>
  <si>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</si>
  <si>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</si>
  <si>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</si>
  <si>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</si>
  <si>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</si>
  <si>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</si>
  <si>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</si>
  <si>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</si>
  <si>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</si>
  <si>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</si>
  <si>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</si>
  <si>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</si>
  <si>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</si>
  <si>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</si>
  <si>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</si>
  <si>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</si>
  <si>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</si>
  <si>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</si>
  <si>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</si>
  <si>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</si>
  <si>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</si>
  <si>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</si>
  <si>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</si>
  <si>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</si>
  <si>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</si>
  <si>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</si>
  <si>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</si>
  <si>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</si>
  <si>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</si>
  <si>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</si>
  <si>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</si>
  <si>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</si>
  <si>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</si>
  <si>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</si>
  <si>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</si>
  <si>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</si>
  <si>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</si>
  <si>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</si>
  <si>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</si>
  <si>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</si>
  <si>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</si>
  <si>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</si>
  <si>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</si>
  <si>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</si>
  <si>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</si>
  <si>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</si>
  <si>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</si>
  <si>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</si>
  <si>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</si>
  <si>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</si>
  <si>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</si>
  <si>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</si>
  <si>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</si>
  <si>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</si>
  <si>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</si>
  <si>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</si>
  <si>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</si>
  <si>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</si>
  <si>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</si>
  <si>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</si>
  <si>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</si>
  <si>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</si>
  <si>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</si>
  <si>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</si>
  <si>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</si>
  <si>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</si>
  <si>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</si>
  <si>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</si>
  <si>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</si>
  <si>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</si>
  <si>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</si>
  <si>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</si>
  <si>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</si>
  <si>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</si>
  <si>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</si>
  <si>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</si>
  <si>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</si>
  <si>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</si>
  <si>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</si>
  <si>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</si>
  <si>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</si>
  <si>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</si>
  <si>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</si>
  <si>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</si>
  <si>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</si>
  <si>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</si>
  <si>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</si>
  <si>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</si>
  <si>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</si>
  <si>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</si>
  <si>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</si>
  <si>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</si>
  <si>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</si>
  <si>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</si>
  <si>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</si>
  <si>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</si>
  <si>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</si>
  <si>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</si>
  <si>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</si>
  <si>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</si>
  <si>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</si>
  <si>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</si>
  <si>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</si>
  <si>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</si>
  <si>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</si>
  <si>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</si>
  <si>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</si>
  <si>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</si>
  <si>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</si>
  <si>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</si>
  <si>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</si>
  <si>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</si>
  <si>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</si>
  <si>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</si>
  <si>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</si>
  <si>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</si>
  <si>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</si>
  <si>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</si>
  <si>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</si>
  <si>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</si>
  <si>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</si>
  <si>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</si>
  <si>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</si>
  <si>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</si>
  <si>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</si>
  <si>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</si>
  <si>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</si>
  <si>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</si>
  <si>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</si>
  <si>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</si>
  <si>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</si>
  <si>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</si>
  <si>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</si>
  <si>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</si>
  <si>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</si>
  <si>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</si>
  <si>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</si>
  <si>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</si>
  <si>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</si>
  <si>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</si>
  <si>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</si>
  <si>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</si>
  <si>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</si>
  <si>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</si>
  <si>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</si>
  <si>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</si>
  <si>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</si>
  <si>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</si>
  <si>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</si>
  <si>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</si>
  <si>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</si>
  <si>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</si>
  <si>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</si>
  <si>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</si>
  <si>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</si>
  <si>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</si>
  <si>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</si>
  <si>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</si>
  <si>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</si>
  <si>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</si>
  <si>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</si>
  <si>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</si>
  <si>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</si>
  <si>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</si>
  <si>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</si>
  <si>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</si>
  <si>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</si>
  <si>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</si>
  <si>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</si>
  <si>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</si>
  <si>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</si>
  <si>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</si>
  <si>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</si>
  <si>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</si>
  <si>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</si>
  <si>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</si>
  <si>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</si>
  <si>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</si>
  <si>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</si>
  <si>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</si>
  <si>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</si>
  <si>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</si>
  <si>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</si>
  <si>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</si>
  <si>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</si>
  <si>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</si>
  <si>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</si>
  <si>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</si>
  <si>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</si>
  <si>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</si>
  <si>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</si>
  <si>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</si>
  <si>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</si>
  <si>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</si>
  <si>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</si>
  <si>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</si>
  <si>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</si>
  <si>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</si>
  <si>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</si>
  <si>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</si>
  <si>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</si>
  <si>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</si>
  <si>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</si>
  <si>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</si>
  <si>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</si>
  <si>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</si>
  <si>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</si>
  <si>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</si>
  <si>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</si>
  <si>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</si>
  <si>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</si>
  <si>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</si>
  <si>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</si>
  <si>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</si>
  <si>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</si>
  <si>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</si>
  <si>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</si>
  <si>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</si>
  <si>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</si>
  <si>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</si>
  <si>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</si>
  <si>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</si>
  <si>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</si>
  <si>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</si>
  <si>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</si>
  <si>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</si>
  <si>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</si>
  <si>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</si>
  <si>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</si>
  <si>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</si>
  <si>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</si>
  <si>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</si>
  <si>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</si>
  <si>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</si>
  <si>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</si>
  <si>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</si>
  <si>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</si>
  <si>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</si>
  <si>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</si>
  <si>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</si>
  <si>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</si>
  <si>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</si>
  <si>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</si>
  <si>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</si>
  <si>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</si>
  <si>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</si>
  <si>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</si>
  <si>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</si>
  <si>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</si>
  <si>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</si>
  <si>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</si>
  <si>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</si>
  <si>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</si>
  <si>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</si>
  <si>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</si>
  <si>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</si>
  <si>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</si>
  <si>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</si>
  <si>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</si>
  <si>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</si>
  <si>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</si>
  <si>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</si>
  <si>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</si>
  <si>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</si>
  <si>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</si>
  <si>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</si>
  <si>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</si>
  <si>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</si>
  <si>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</si>
  <si>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</si>
  <si>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</si>
  <si>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</si>
  <si>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</si>
  <si>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</si>
  <si>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</si>
  <si>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</si>
  <si>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</si>
  <si>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</si>
  <si>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</si>
  <si>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</si>
  <si>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</si>
  <si>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</si>
  <si>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</si>
  <si>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</si>
  <si>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</si>
  <si>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</si>
  <si>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</si>
  <si>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</si>
  <si>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</si>
  <si>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</si>
  <si>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</si>
  <si>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</si>
  <si>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</si>
  <si>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</si>
  <si>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</si>
  <si>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</si>
  <si>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</si>
  <si>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</si>
  <si>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</si>
  <si>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</si>
  <si>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</si>
  <si>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</si>
  <si>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</si>
  <si>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</si>
  <si>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</si>
  <si>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</si>
  <si>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</si>
  <si>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</si>
  <si>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</si>
  <si>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</si>
  <si>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</si>
  <si>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</si>
  <si>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</si>
  <si>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</si>
  <si>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</si>
  <si>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</si>
  <si>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</si>
  <si>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</si>
  <si>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</si>
  <si>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</si>
  <si>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</si>
  <si>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</si>
  <si>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</si>
  <si>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</si>
  <si>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</si>
  <si>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</si>
  <si>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</si>
  <si>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</si>
  <si>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</si>
  <si>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</si>
  <si>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</si>
  <si>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</si>
  <si>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</si>
  <si>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</si>
  <si>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</si>
  <si>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</si>
  <si>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</si>
  <si>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</si>
  <si>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</si>
  <si>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</si>
  <si>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</si>
  <si>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</si>
  <si>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</si>
  <si>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</si>
  <si>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</si>
  <si>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</si>
  <si>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</si>
  <si>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</si>
  <si>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</si>
  <si>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</si>
  <si>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</si>
  <si>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</si>
  <si>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</si>
  <si>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</si>
  <si>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</si>
  <si>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</si>
  <si>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</si>
  <si>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</si>
  <si>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</si>
  <si>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</si>
  <si>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</si>
  <si>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</si>
  <si>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</si>
  <si>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</si>
  <si>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</si>
  <si>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</si>
  <si>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</si>
  <si>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</si>
  <si>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</si>
  <si>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</si>
  <si>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</si>
  <si>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</si>
  <si>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</si>
  <si>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</si>
  <si>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</si>
  <si>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</si>
  <si>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</si>
  <si>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</si>
  <si>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</si>
  <si>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</si>
  <si>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</si>
  <si>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</si>
  <si>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</si>
  <si>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</si>
  <si>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</si>
  <si>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</si>
  <si>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</si>
  <si>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</si>
  <si>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</si>
  <si>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</si>
  <si>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</si>
  <si>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</si>
  <si>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</si>
  <si>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</si>
  <si>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</si>
  <si>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</si>
  <si>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</si>
  <si>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</si>
  <si>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</si>
  <si>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</si>
  <si>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</si>
  <si>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</si>
  <si>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</si>
  <si>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</si>
  <si>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</si>
  <si>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</si>
  <si>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</si>
  <si>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</si>
  <si>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</si>
  <si>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</si>
  <si>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</si>
  <si>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</si>
  <si>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</si>
  <si>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</si>
  <si>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</si>
  <si>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</si>
  <si>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</si>
  <si>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</si>
  <si>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</si>
  <si>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</si>
  <si>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</si>
  <si>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</si>
  <si>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</si>
  <si>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</si>
  <si>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</si>
  <si>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</si>
  <si>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</si>
  <si>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</si>
  <si>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</si>
  <si>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</si>
  <si>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</si>
  <si>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</si>
  <si>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</si>
  <si>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</si>
  <si>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</si>
  <si>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</si>
  <si>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</si>
  <si>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</si>
  <si>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</si>
  <si>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</si>
  <si>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</si>
  <si>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</si>
  <si>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</si>
  <si>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</si>
  <si>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</si>
  <si>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</si>
  <si>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</si>
  <si>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</si>
  <si>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</si>
  <si>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</si>
  <si>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</si>
  <si>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</si>
  <si>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</si>
  <si>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</si>
  <si>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</si>
  <si>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</si>
  <si>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</si>
  <si>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</si>
  <si>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</si>
  <si>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</si>
  <si>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</si>
  <si>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</si>
  <si>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</si>
  <si>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</si>
  <si>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</si>
  <si>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</si>
  <si>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</si>
  <si>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</si>
  <si>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</si>
  <si>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</si>
  <si>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</si>
  <si>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</si>
  <si>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</si>
  <si>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</si>
  <si>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</si>
  <si>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</si>
  <si>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</si>
  <si>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</si>
  <si>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</si>
  <si>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</si>
  <si>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</si>
  <si>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</si>
  <si>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</si>
  <si>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</si>
  <si>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</si>
  <si>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</si>
  <si>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</si>
  <si>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</si>
  <si>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</si>
  <si>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</si>
  <si>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</si>
  <si>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</si>
  <si>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</si>
  <si>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</si>
  <si>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</si>
  <si>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</si>
  <si>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</si>
  <si>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</si>
  <si>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</si>
  <si>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</si>
  <si>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</si>
  <si>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</si>
  <si>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</si>
  <si>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</si>
  <si>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</si>
  <si>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</si>
  <si>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</si>
  <si>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</si>
  <si>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</si>
  <si>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</si>
  <si>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</si>
  <si>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</si>
  <si>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</si>
  <si>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</si>
  <si>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</si>
  <si>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</si>
  <si>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</si>
  <si>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</si>
  <si>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</si>
  <si>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</si>
  <si>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</si>
  <si>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</si>
  <si>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</si>
  <si>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</si>
  <si>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</si>
  <si>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</si>
  <si>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</si>
  <si>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</si>
  <si>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</si>
  <si>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</si>
  <si>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</si>
  <si>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</si>
  <si>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</si>
  <si>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</si>
  <si>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</si>
  <si>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</si>
  <si>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</si>
  <si>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</si>
  <si>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</si>
  <si>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</si>
  <si>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</si>
  <si>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</si>
  <si>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</si>
  <si>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</si>
  <si>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</si>
  <si>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</si>
  <si>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</si>
  <si>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</si>
  <si>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</si>
  <si>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</si>
  <si>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</si>
  <si>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</si>
  <si>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</si>
  <si>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</si>
  <si>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</si>
  <si>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</si>
  <si>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</si>
  <si>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</si>
  <si>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</si>
  <si>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</si>
  <si>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</si>
  <si>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</si>
  <si>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</si>
  <si>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</si>
  <si>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</si>
  <si>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</si>
  <si>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</si>
  <si>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</si>
  <si>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</si>
  <si>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</si>
  <si>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</si>
  <si>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</si>
  <si>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</si>
  <si>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</si>
  <si>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</si>
  <si>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</si>
  <si>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</si>
  <si>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</si>
  <si>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</si>
  <si>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</si>
  <si>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</si>
  <si>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</si>
  <si>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</si>
  <si>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</si>
  <si>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</si>
  <si>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</si>
  <si>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</si>
  <si>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</si>
  <si>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</si>
  <si>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</si>
  <si>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</si>
  <si>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</si>
  <si>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</si>
  <si>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</si>
  <si>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</si>
  <si>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</si>
  <si>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</si>
  <si>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</si>
  <si>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</si>
  <si>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</si>
  <si>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</si>
  <si>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</si>
  <si>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</si>
  <si>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</si>
  <si>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</si>
  <si>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</si>
  <si>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</si>
  <si>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</si>
  <si>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</si>
  <si>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</si>
  <si>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</si>
  <si>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</si>
  <si>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</si>
  <si>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</si>
  <si>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</si>
  <si>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</si>
  <si>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</si>
  <si>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</si>
  <si>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</si>
  <si>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</si>
  <si>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</si>
  <si>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</si>
  <si>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</si>
  <si>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</si>
  <si>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</si>
  <si>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</si>
  <si>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</si>
  <si>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</si>
  <si>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</si>
  <si>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</si>
  <si>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</si>
  <si>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</si>
  <si>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</si>
  <si>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</si>
  <si>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</si>
  <si>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</si>
  <si>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</si>
  <si>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</si>
  <si>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</si>
  <si>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</si>
  <si>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</si>
  <si>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</si>
  <si>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</si>
  <si>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</si>
  <si>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</si>
  <si>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</si>
  <si>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</si>
  <si>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</si>
  <si>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</si>
  <si>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</si>
  <si>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</si>
  <si>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</si>
  <si>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</si>
  <si>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</si>
  <si>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</si>
  <si>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</si>
  <si>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</si>
  <si>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</si>
  <si>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</si>
  <si>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</si>
  <si>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</si>
  <si>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</si>
  <si>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</si>
  <si>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</si>
  <si>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</si>
  <si>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</si>
  <si>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</si>
  <si>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</si>
  <si>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</si>
  <si>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</si>
  <si>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</si>
  <si>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</si>
  <si>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</si>
  <si>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</si>
  <si>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</si>
  <si>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</si>
  <si>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</si>
  <si>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</si>
  <si>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</si>
  <si>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</si>
  <si>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</si>
  <si>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</si>
  <si>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</si>
  <si>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</si>
  <si>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</si>
  <si>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</si>
  <si>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</si>
  <si>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</si>
  <si>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</si>
  <si>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</si>
  <si>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</si>
  <si>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</si>
  <si>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</si>
  <si>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</si>
  <si>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</si>
  <si>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</si>
  <si>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</si>
  <si>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</si>
  <si>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</si>
  <si>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</si>
  <si>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</si>
  <si>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</si>
  <si>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</si>
  <si>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</si>
  <si>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</si>
  <si>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</si>
  <si>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</si>
  <si>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</si>
  <si>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</si>
  <si>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</si>
  <si>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</si>
  <si>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</si>
  <si>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</si>
  <si>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</si>
  <si>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</si>
  <si>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</si>
  <si>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</si>
  <si>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</si>
  <si>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</si>
  <si>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</si>
  <si>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</si>
  <si>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</si>
  <si>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</si>
  <si>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</si>
  <si>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</si>
  <si>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</si>
  <si>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</si>
  <si>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</si>
  <si>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</si>
  <si>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</si>
  <si>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</si>
  <si>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</si>
  <si>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</si>
  <si>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</si>
  <si>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</si>
  <si>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</si>
  <si>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</si>
  <si>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</si>
  <si>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</si>
  <si>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</si>
  <si>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</si>
  <si>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</si>
  <si>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</si>
  <si>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</si>
  <si>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</si>
  <si>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</si>
  <si>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</si>
  <si>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</si>
  <si>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</si>
  <si>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</si>
  <si>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</si>
  <si>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</si>
  <si>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</si>
  <si>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</si>
  <si>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</si>
  <si>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</si>
  <si>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</si>
  <si>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</si>
  <si>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</si>
  <si>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</si>
  <si>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</si>
  <si>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</si>
  <si>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</si>
  <si>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</si>
  <si>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</si>
  <si>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</si>
  <si>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</si>
  <si>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</si>
  <si>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</si>
  <si>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</si>
  <si>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</si>
  <si>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</si>
  <si>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</si>
  <si>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</si>
  <si>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</si>
  <si>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</si>
  <si>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</si>
  <si>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</si>
  <si>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</si>
  <si>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</si>
  <si>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</si>
  <si>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</si>
  <si>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</si>
  <si>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</si>
  <si>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</si>
  <si>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</si>
  <si>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</si>
  <si>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</si>
  <si>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</si>
  <si>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</si>
  <si>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</si>
  <si>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</si>
  <si>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</si>
  <si>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</si>
  <si>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</si>
  <si>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</si>
  <si>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</si>
  <si>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</si>
  <si>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</si>
  <si>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</si>
  <si>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</si>
  <si>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</si>
  <si>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</si>
  <si>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</si>
  <si>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</si>
  <si>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</si>
  <si>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</si>
  <si>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</si>
  <si>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</si>
  <si>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</si>
  <si>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</si>
  <si>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</si>
  <si>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</si>
  <si>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</si>
  <si>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</si>
  <si>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</si>
  <si>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</si>
  <si>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</si>
  <si>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</si>
  <si>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</si>
  <si>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</si>
  <si>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</si>
  <si>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</si>
  <si>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</si>
  <si>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</si>
  <si>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</si>
  <si>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</si>
  <si>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</si>
  <si>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</si>
  <si>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</si>
  <si>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</si>
  <si>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</si>
  <si>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</si>
  <si>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</si>
  <si>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</si>
  <si>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</si>
  <si>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</si>
  <si>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</si>
  <si>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</si>
  <si>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</si>
  <si>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</si>
  <si>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</si>
  <si>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</si>
  <si>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</si>
  <si>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</si>
  <si>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</si>
  <si>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</si>
  <si>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</si>
  <si>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</si>
  <si>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</si>
  <si>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</si>
  <si>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</si>
  <si>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</si>
  <si>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</si>
  <si>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</si>
  <si>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</si>
  <si>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</si>
  <si>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</si>
  <si>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</si>
  <si>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</si>
  <si>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</si>
  <si>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</si>
  <si>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</si>
  <si>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</si>
  <si>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</si>
  <si>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</si>
  <si>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</si>
  <si>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</si>
  <si>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</si>
  <si>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</si>
  <si>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</si>
  <si>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</si>
  <si>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</si>
  <si>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</si>
  <si>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</si>
  <si>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</si>
  <si>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</si>
  <si>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</si>
  <si>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</si>
  <si>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</si>
  <si>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</si>
  <si>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</si>
  <si>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</si>
  <si>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</si>
  <si>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</si>
  <si>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</si>
  <si>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</si>
  <si>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</si>
  <si>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</si>
  <si>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</si>
  <si>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</si>
  <si>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</si>
  <si>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</si>
  <si>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</si>
  <si>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</si>
  <si>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</si>
  <si>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</si>
  <si>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</si>
  <si>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</si>
  <si>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</si>
  <si>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</si>
  <si>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</si>
  <si>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</si>
  <si>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</si>
  <si>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</si>
  <si>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</si>
  <si>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</si>
  <si>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</si>
  <si>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</si>
  <si>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</si>
  <si>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</si>
  <si>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</si>
  <si>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</si>
  <si>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</si>
  <si>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</si>
  <si>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</si>
  <si>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</si>
  <si>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</si>
  <si>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</si>
  <si>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</si>
  <si>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</si>
  <si>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</si>
  <si>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</si>
  <si>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</si>
  <si>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</si>
  <si>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</si>
  <si>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</si>
  <si>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</si>
  <si>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</si>
  <si>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</si>
  <si>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</si>
  <si>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</si>
  <si>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</si>
  <si>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</si>
  <si>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</si>
  <si>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</si>
  <si>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</si>
  <si>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</si>
  <si>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</si>
  <si>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</si>
  <si>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</si>
  <si>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</si>
  <si>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</si>
  <si>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</si>
  <si>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</si>
  <si>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</si>
  <si>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</si>
  <si>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</si>
  <si>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</si>
  <si>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</si>
  <si>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</si>
  <si>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</si>
  <si>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</si>
  <si>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</si>
  <si>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</si>
  <si>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</si>
  <si>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</si>
  <si>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</si>
  <si>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</si>
  <si>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</si>
  <si>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</si>
  <si>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</si>
  <si>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</si>
  <si>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</si>
  <si>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</si>
  <si>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</si>
  <si>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</si>
  <si>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</si>
  <si>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</si>
  <si>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</si>
  <si>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</si>
  <si>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</si>
  <si>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</si>
  <si>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</si>
  <si>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</si>
  <si>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</si>
  <si>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</si>
  <si>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</si>
  <si>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</si>
  <si>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</si>
  <si>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</si>
  <si>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</si>
  <si>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</si>
  <si>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</si>
  <si>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</si>
  <si>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</si>
  <si>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</si>
  <si>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</si>
  <si>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</si>
  <si>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</si>
  <si>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</si>
  <si>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</si>
  <si>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</si>
  <si>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</si>
  <si>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</si>
  <si>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</si>
  <si>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</si>
  <si>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</si>
  <si>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</si>
  <si>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</si>
  <si>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</si>
  <si>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</si>
  <si>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</si>
  <si>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</si>
  <si>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</si>
  <si>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</si>
  <si>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</si>
  <si>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</si>
  <si>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</si>
  <si>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</si>
  <si>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</si>
  <si>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</si>
  <si>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</si>
  <si>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</si>
  <si>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</si>
  <si>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</si>
  <si>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</si>
  <si>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</si>
  <si>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</si>
  <si>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</si>
  <si>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</si>
  <si>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</si>
  <si>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</si>
  <si>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</si>
  <si>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</si>
  <si>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</si>
  <si>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</si>
  <si>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</si>
  <si>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</si>
  <si>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</si>
  <si>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</si>
  <si>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</si>
  <si>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</si>
  <si>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</si>
  <si>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</si>
  <si>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</si>
  <si>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</si>
  <si>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</si>
  <si>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</si>
  <si>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</si>
  <si>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</si>
  <si>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</si>
  <si>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</si>
  <si>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</si>
  <si>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</si>
  <si>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</si>
  <si>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</si>
  <si>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</si>
  <si>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</si>
  <si>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</si>
  <si>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</si>
  <si>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</si>
  <si>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</si>
  <si>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</si>
  <si>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</si>
  <si>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</si>
  <si>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</si>
  <si>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</si>
  <si>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</si>
  <si>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</si>
  <si>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</si>
  <si>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</si>
  <si>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</si>
  <si>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</si>
  <si>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</si>
  <si>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</si>
  <si>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</si>
  <si>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</si>
  <si>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</si>
  <si>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</si>
  <si>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</si>
  <si>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</si>
  <si>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</si>
  <si>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</si>
  <si>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</si>
  <si>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</si>
  <si>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</si>
  <si>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</si>
  <si>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</si>
  <si>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</si>
  <si>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</si>
  <si>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</si>
  <si>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</si>
  <si>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</si>
  <si>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</si>
  <si>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</si>
  <si>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</si>
  <si>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</si>
  <si>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</si>
  <si>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</si>
  <si>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</si>
  <si>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</si>
  <si>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</si>
  <si>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</si>
  <si>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</si>
  <si>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</si>
  <si>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</si>
  <si>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</si>
  <si>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</si>
  <si>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</si>
  <si>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</si>
  <si>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</si>
  <si>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</si>
  <si>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</si>
  <si>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</si>
  <si>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</si>
  <si>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</si>
  <si>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</si>
  <si>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</si>
  <si>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</si>
  <si>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</si>
  <si>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</si>
  <si>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</si>
  <si>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</si>
  <si>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</si>
  <si>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</si>
  <si>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</si>
  <si>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</si>
  <si>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</si>
  <si>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</si>
  <si>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</si>
  <si>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</si>
  <si>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</si>
  <si>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</si>
  <si>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</si>
  <si>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</si>
  <si>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</si>
  <si>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</si>
  <si>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</si>
  <si>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</si>
  <si>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</si>
  <si>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</si>
  <si>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</si>
  <si>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</si>
  <si>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</si>
  <si>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</si>
  <si>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</si>
  <si>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</si>
  <si>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</si>
  <si>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</si>
  <si>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</si>
  <si>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</si>
  <si>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</si>
  <si>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</si>
  <si>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</si>
  <si>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</si>
  <si>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</si>
  <si>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</si>
  <si>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</si>
  <si>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</si>
  <si>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</si>
  <si>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</si>
  <si>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</si>
  <si>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</si>
  <si>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</si>
  <si>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</si>
  <si>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</si>
  <si>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</si>
  <si>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</si>
  <si>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</si>
  <si>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</si>
  <si>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</si>
  <si>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</si>
  <si>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</si>
  <si>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</si>
  <si>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</si>
  <si>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</si>
  <si>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</si>
  <si>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</si>
  <si>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</si>
  <si>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</si>
  <si>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</si>
  <si>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</si>
  <si>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</si>
  <si>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</si>
  <si>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</si>
  <si>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</si>
  <si>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</si>
  <si>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</si>
  <si>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</si>
  <si>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</si>
  <si>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</si>
  <si>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</si>
  <si>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</si>
  <si>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</si>
  <si>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</si>
  <si>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</si>
  <si>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</si>
  <si>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</si>
  <si>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</si>
  <si>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</si>
  <si>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</si>
  <si>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</si>
  <si>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</si>
  <si>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</si>
  <si>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</si>
  <si>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</si>
  <si>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</si>
  <si>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</si>
  <si>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</si>
  <si>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</si>
  <si>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</si>
  <si>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</si>
  <si>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</si>
  <si>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</si>
  <si>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</si>
  <si>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</si>
  <si>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</si>
  <si>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</si>
  <si>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</si>
  <si>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</si>
  <si>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</si>
  <si>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</si>
  <si>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</si>
  <si>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</si>
  <si>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</si>
  <si>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</si>
  <si>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</si>
  <si>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</si>
  <si>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</si>
  <si>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</si>
  <si>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</si>
  <si>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</si>
  <si>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</si>
  <si>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</si>
  <si>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</si>
  <si>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</si>
  <si>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</si>
  <si>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</si>
  <si>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</si>
  <si>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</si>
  <si>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</si>
  <si>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</si>
  <si>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</si>
  <si>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</si>
  <si>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</si>
  <si>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</si>
  <si>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</si>
  <si>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</si>
  <si>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</si>
  <si>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</si>
  <si>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</si>
  <si>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</si>
  <si>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</si>
  <si>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</si>
  <si>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</si>
  <si>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</si>
  <si>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</si>
  <si>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</si>
  <si>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</si>
  <si>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</si>
  <si>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</si>
  <si>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</si>
  <si>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</si>
  <si>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</si>
  <si>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</si>
  <si>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</si>
  <si>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</si>
  <si>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</si>
  <si>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</si>
  <si>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</si>
  <si>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</si>
  <si>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</si>
  <si>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</si>
  <si>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</si>
  <si>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</si>
  <si>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</si>
  <si>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</si>
  <si>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</si>
  <si>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</si>
  <si>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</si>
  <si>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</si>
  <si>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</si>
  <si>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</si>
  <si>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</si>
  <si>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</si>
  <si>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</si>
  <si>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</si>
  <si>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</si>
  <si>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</si>
  <si>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</si>
  <si>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</si>
  <si>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</si>
  <si>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</si>
  <si>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</si>
  <si>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</si>
  <si>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</si>
  <si>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</si>
  <si>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</si>
  <si>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</si>
  <si>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</si>
  <si>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</si>
  <si>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</si>
  <si>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</si>
  <si>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</si>
  <si>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</si>
  <si>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</si>
  <si>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</si>
  <si>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</si>
  <si>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</si>
  <si>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</si>
  <si>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</si>
  <si>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</si>
  <si>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</si>
  <si>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</si>
  <si>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</si>
  <si>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</si>
  <si>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</si>
  <si>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</si>
  <si>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</si>
  <si>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</si>
  <si>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</si>
  <si>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</si>
  <si>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</si>
  <si>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</si>
  <si>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</si>
  <si>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</si>
  <si>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</si>
  <si>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</si>
  <si>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</si>
  <si>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</si>
  <si>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</si>
  <si>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</si>
  <si>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</si>
  <si>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</si>
  <si>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</si>
  <si>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</si>
  <si>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</si>
  <si>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</si>
  <si>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</si>
  <si>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</si>
  <si>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</si>
  <si>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</si>
  <si>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</si>
  <si>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</si>
  <si>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</si>
  <si>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</si>
  <si>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</si>
  <si>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</si>
  <si>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</si>
  <si>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</si>
  <si>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</si>
  <si>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</si>
  <si>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</si>
  <si>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</si>
  <si>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</si>
  <si>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</si>
  <si>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</si>
  <si>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</si>
  <si>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</si>
  <si>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</si>
  <si>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</si>
  <si>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</si>
  <si>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</si>
  <si>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</si>
  <si>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</si>
  <si>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</si>
  <si>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</si>
  <si>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</si>
  <si>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</si>
  <si>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</si>
  <si>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</si>
  <si>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</si>
  <si>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</si>
  <si>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</si>
  <si>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</si>
  <si>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</si>
  <si>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</si>
  <si>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</si>
  <si>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</si>
  <si>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</si>
  <si>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</si>
  <si>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</si>
  <si>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</si>
  <si>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</si>
  <si>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</si>
  <si>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</si>
  <si>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</si>
  <si>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</si>
  <si>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</si>
  <si>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</si>
  <si>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</si>
  <si>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</si>
  <si>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</si>
  <si>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</si>
  <si>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</si>
  <si>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</si>
  <si>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</si>
  <si>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</si>
  <si>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</si>
  <si>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</si>
  <si>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</si>
  <si>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</si>
  <si>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</si>
  <si>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</si>
  <si>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</si>
  <si>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</si>
  <si>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</si>
  <si>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</si>
  <si>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</si>
  <si>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</si>
  <si>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</si>
  <si>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</si>
  <si>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</si>
  <si>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</si>
  <si>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</si>
  <si>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</si>
  <si>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</si>
  <si>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</si>
  <si>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</si>
  <si>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</si>
  <si>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</si>
  <si>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</si>
  <si>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</si>
  <si>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</si>
  <si>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</si>
  <si>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</si>
  <si>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</si>
  <si>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</si>
  <si>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</si>
  <si>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</si>
  <si>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</si>
  <si>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</si>
  <si>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</si>
  <si>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</si>
  <si>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</si>
  <si>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</si>
  <si>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</si>
  <si>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</si>
  <si>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</si>
  <si>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</si>
  <si>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</si>
  <si>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</si>
  <si>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</si>
  <si>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</si>
  <si>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</si>
  <si>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</si>
  <si>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</si>
  <si>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</si>
  <si>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</si>
  <si>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</si>
  <si>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</si>
  <si>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</si>
  <si>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</si>
  <si>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</si>
  <si>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</si>
  <si>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</si>
  <si>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</si>
  <si>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</si>
  <si>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</si>
  <si>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</si>
  <si>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</si>
  <si>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</si>
  <si>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</si>
  <si>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</si>
  <si>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</si>
  <si>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</si>
  <si>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</si>
  <si>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</si>
  <si>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</si>
  <si>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</si>
  <si>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</si>
  <si>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</si>
  <si>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</si>
  <si>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</si>
  <si>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</si>
  <si>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</si>
  <si>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</si>
  <si>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</si>
  <si>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</si>
  <si>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</si>
  <si>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</si>
  <si>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</si>
  <si>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</si>
  <si>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</si>
  <si>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</si>
  <si>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</si>
  <si>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</si>
  <si>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</si>
  <si>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</si>
  <si>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</si>
  <si>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</si>
  <si>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</si>
  <si>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</si>
  <si>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</si>
  <si>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</si>
  <si>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</si>
  <si>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</si>
  <si>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</si>
  <si>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</si>
  <si>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</si>
  <si>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</si>
  <si>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</si>
  <si>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</si>
  <si>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</si>
  <si>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</si>
  <si>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</si>
  <si>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</si>
  <si>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</si>
  <si>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</si>
  <si>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</si>
  <si>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</si>
  <si>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</si>
  <si>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</si>
  <si>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</si>
  <si>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</si>
  <si>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</si>
  <si>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</si>
  <si>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</si>
  <si>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</si>
  <si>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</si>
  <si>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</si>
  <si>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</si>
  <si>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</si>
  <si>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</si>
  <si>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</si>
  <si>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</si>
  <si>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</si>
  <si>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</si>
  <si>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</si>
  <si>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</si>
  <si>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</si>
  <si>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</si>
  <si>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</si>
  <si>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</si>
  <si>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</si>
  <si>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</si>
  <si>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</si>
  <si>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</si>
  <si>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</si>
  <si>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</si>
  <si>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</si>
  <si>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</si>
  <si>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</si>
  <si>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</si>
  <si>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</si>
  <si>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</si>
  <si>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</si>
  <si>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</si>
  <si>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</si>
  <si>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</si>
  <si>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</si>
  <si>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</si>
  <si>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</si>
  <si>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</si>
  <si>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</si>
  <si>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</si>
  <si>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</si>
  <si>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</si>
  <si>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</si>
  <si>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</si>
  <si>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</si>
  <si>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</si>
  <si>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</si>
  <si>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</si>
  <si>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</si>
  <si>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</si>
  <si>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</si>
  <si>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</si>
  <si>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</si>
  <si>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</si>
  <si>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</si>
  <si>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</si>
  <si>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</si>
  <si>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</si>
  <si>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</si>
  <si>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</si>
  <si>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</si>
  <si>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</si>
  <si>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</si>
  <si>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</si>
  <si>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</si>
  <si>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</si>
  <si>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</si>
  <si>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</si>
  <si>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</si>
  <si>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</si>
  <si>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</si>
  <si>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</si>
  <si>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</si>
  <si>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</si>
  <si>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</si>
  <si>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</si>
  <si>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</si>
  <si>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</si>
  <si>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</si>
  <si>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</si>
  <si>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</si>
  <si>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</si>
  <si>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</si>
  <si>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</si>
  <si>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</si>
  <si>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</si>
  <si>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</si>
  <si>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</si>
  <si>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</si>
  <si>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</si>
  <si>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</si>
  <si>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</si>
  <si>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</si>
  <si>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</si>
  <si>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</si>
  <si>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</si>
  <si>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</si>
  <si>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</si>
  <si>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</si>
  <si>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</si>
  <si>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</si>
  <si>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</si>
  <si>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</si>
  <si>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</si>
  <si>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</si>
  <si>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</si>
  <si>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</si>
  <si>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</si>
  <si>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</si>
  <si>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</si>
  <si>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</si>
  <si>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</si>
  <si>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</si>
  <si>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</si>
  <si>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</si>
  <si>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</si>
  <si>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</si>
  <si>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</si>
  <si>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</si>
  <si>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</si>
  <si>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</si>
  <si>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</si>
  <si>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</si>
  <si>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</si>
  <si>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</si>
  <si>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</si>
  <si>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</si>
  <si>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</si>
  <si>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</si>
  <si>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</si>
  <si>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</si>
  <si>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</si>
  <si>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</si>
  <si>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</si>
  <si>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</si>
  <si>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</si>
  <si>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</si>
  <si>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</si>
  <si>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</si>
  <si>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</si>
  <si>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</si>
  <si>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</si>
  <si>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</si>
  <si>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</si>
  <si>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</si>
  <si>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</si>
  <si>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</si>
  <si>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</si>
  <si>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</si>
  <si>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</si>
  <si>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</si>
  <si>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</si>
  <si>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</si>
  <si>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</si>
  <si>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</si>
  <si>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</si>
  <si>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</si>
  <si>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</si>
  <si>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</si>
  <si>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</si>
  <si>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</si>
  <si>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</si>
  <si>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</si>
  <si>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</si>
  <si>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</si>
  <si>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</si>
  <si>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</si>
  <si>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</si>
  <si>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</si>
  <si>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</si>
  <si>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</si>
  <si>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</si>
  <si>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</si>
  <si>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</si>
  <si>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</si>
  <si>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</si>
  <si>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</si>
  <si>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</si>
  <si>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</si>
  <si>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</si>
  <si>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</si>
  <si>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</si>
  <si>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</si>
  <si>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</si>
  <si>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</si>
  <si>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</si>
  <si>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</si>
  <si>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</si>
  <si>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</si>
  <si>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</si>
  <si>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</si>
  <si>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</si>
  <si>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</si>
  <si>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</si>
  <si>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</si>
  <si>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</si>
  <si>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</si>
  <si>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</si>
  <si>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</si>
  <si>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</si>
  <si>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</si>
  <si>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</si>
  <si>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</si>
  <si>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</si>
  <si>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</si>
  <si>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</si>
  <si>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</si>
  <si>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</si>
  <si>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</si>
  <si>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</si>
  <si>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</si>
  <si>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</si>
  <si>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</si>
  <si>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</si>
  <si>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</si>
  <si>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</si>
  <si>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</si>
  <si>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</si>
  <si>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</si>
  <si>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</si>
  <si>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</si>
  <si>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</si>
  <si>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</si>
  <si>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</si>
  <si>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</si>
  <si>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</si>
  <si>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</si>
  <si>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</si>
  <si>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</si>
  <si>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</si>
  <si>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</si>
  <si>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</si>
  <si>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</si>
  <si>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</si>
  <si>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</si>
  <si>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</si>
  <si>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</si>
  <si>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</si>
  <si>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</si>
  <si>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</si>
  <si>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</si>
  <si>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</si>
  <si>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</si>
  <si>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</si>
  <si>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</si>
  <si>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</si>
  <si>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</si>
  <si>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</si>
  <si>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</si>
  <si>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</si>
  <si>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</si>
  <si>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</si>
  <si>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</si>
  <si>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</si>
  <si>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</si>
  <si>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</si>
  <si>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</si>
  <si>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</si>
  <si>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</si>
  <si>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</si>
  <si>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</si>
  <si>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</si>
  <si>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</si>
  <si>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</si>
  <si>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</si>
  <si>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</si>
  <si>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</si>
  <si>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</si>
  <si>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</si>
  <si>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</si>
  <si>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</si>
  <si>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</si>
  <si>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</si>
  <si>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</si>
  <si>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</si>
  <si>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</si>
  <si>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</si>
  <si>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</si>
  <si>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</si>
  <si>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</si>
  <si>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</si>
  <si>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</si>
  <si>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</si>
  <si>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</si>
  <si>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</si>
  <si>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</si>
  <si>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</si>
  <si>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</si>
  <si>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</si>
  <si>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</si>
  <si>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</si>
  <si>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</si>
  <si>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</si>
  <si>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</si>
  <si>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</si>
  <si>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</si>
  <si>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</si>
  <si>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</si>
  <si>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</si>
  <si>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</si>
  <si>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</si>
  <si>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</si>
  <si>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</si>
  <si>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</si>
  <si>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</si>
  <si>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</si>
  <si>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</si>
  <si>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</si>
  <si>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</si>
  <si>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</si>
  <si>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</si>
  <si>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</si>
  <si>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</si>
  <si>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</si>
  <si>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</si>
  <si>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</si>
  <si>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</si>
  <si>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</si>
  <si>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</si>
  <si>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</si>
  <si>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</si>
  <si>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</si>
  <si>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</si>
  <si>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</si>
  <si>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</si>
  <si>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</si>
  <si>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</si>
  <si>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</si>
  <si>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</si>
  <si>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</si>
  <si>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</si>
  <si>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</si>
  <si>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</si>
  <si>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</si>
  <si>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</si>
  <si>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</si>
  <si>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</si>
  <si>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</si>
  <si>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</si>
  <si>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</si>
  <si>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</si>
  <si>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</si>
  <si>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</si>
  <si>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</si>
  <si>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</si>
  <si>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</si>
  <si>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</si>
  <si>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</si>
  <si>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</si>
  <si>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</si>
  <si>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</si>
  <si>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</si>
  <si>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</si>
  <si>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</si>
  <si>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</si>
  <si>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</si>
  <si>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</si>
  <si>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</si>
  <si>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</si>
  <si>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</si>
  <si>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</si>
  <si>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</si>
  <si>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</si>
  <si>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</si>
  <si>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</si>
  <si>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</si>
  <si>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</si>
  <si>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</si>
  <si>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</si>
  <si>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</si>
  <si>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</si>
  <si>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</si>
  <si>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</si>
  <si>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</si>
  <si>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</si>
  <si>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</si>
  <si>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</si>
  <si>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</si>
  <si>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</si>
  <si>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</si>
  <si>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</si>
  <si>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</si>
  <si>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</si>
  <si>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</si>
  <si>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</si>
  <si>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</si>
  <si>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</si>
  <si>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</si>
  <si>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</si>
  <si>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</si>
  <si>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</si>
  <si>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</si>
  <si>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</si>
  <si>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</si>
  <si>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</si>
  <si>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</si>
  <si>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</si>
  <si>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</si>
  <si>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</si>
  <si>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</si>
  <si>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</si>
  <si>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</si>
  <si>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</si>
  <si>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</si>
  <si>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</si>
  <si>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</si>
  <si>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</si>
  <si>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</si>
  <si>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</si>
  <si>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</si>
  <si>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</si>
  <si>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</si>
  <si>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</si>
  <si>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</si>
  <si>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</si>
  <si>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</si>
  <si>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</si>
  <si>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</si>
  <si>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</si>
  <si>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</si>
  <si>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</si>
  <si>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</si>
  <si>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</si>
  <si>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</si>
  <si>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</si>
  <si>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</si>
  <si>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</si>
  <si>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</si>
  <si>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</si>
  <si>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</si>
  <si>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</si>
  <si>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</si>
  <si>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</si>
  <si>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</si>
  <si>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</si>
  <si>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</si>
  <si>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</si>
  <si>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</si>
  <si>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</si>
  <si>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</si>
  <si>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</si>
  <si>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</si>
  <si>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</si>
  <si>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</si>
  <si>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</si>
  <si>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</si>
  <si>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</si>
  <si>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</si>
  <si>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</si>
  <si>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</si>
  <si>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</si>
  <si>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</si>
  <si>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</si>
  <si>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</si>
  <si>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</si>
  <si>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</si>
  <si>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</si>
  <si>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</si>
  <si>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</si>
  <si>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</si>
  <si>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</si>
  <si>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</si>
  <si>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</si>
  <si>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</si>
  <si>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</si>
  <si>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</si>
  <si>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</si>
  <si>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</si>
  <si>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</si>
  <si>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</si>
  <si>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</si>
  <si>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</si>
  <si>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</si>
  <si>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</si>
  <si>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</si>
  <si>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</si>
  <si>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</si>
  <si>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</si>
  <si>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</si>
  <si>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</si>
  <si>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</si>
  <si>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</si>
  <si>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</si>
  <si>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</si>
  <si>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</si>
  <si>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</si>
  <si>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</si>
  <si>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</si>
  <si>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</si>
  <si>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</si>
  <si>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</si>
  <si>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</si>
  <si>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</si>
  <si>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</si>
  <si>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</si>
  <si>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</si>
  <si>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</si>
  <si>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</si>
  <si>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</si>
  <si>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</si>
  <si>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</si>
  <si>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</si>
  <si>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</si>
  <si>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</si>
  <si>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</si>
  <si>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</si>
  <si>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</si>
  <si>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</si>
  <si>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</si>
  <si>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</si>
  <si>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</si>
  <si>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</si>
  <si>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</si>
  <si>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</si>
  <si>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</si>
  <si>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</si>
  <si>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</si>
  <si>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</si>
  <si>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</si>
  <si>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</si>
  <si>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</si>
  <si>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</si>
  <si>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</si>
  <si>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</si>
  <si>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</si>
  <si>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</si>
  <si>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</si>
  <si>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</si>
  <si>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</si>
  <si>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</si>
  <si>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</si>
  <si>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</si>
  <si>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</si>
  <si>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</si>
  <si>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</si>
  <si>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</si>
  <si>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</si>
  <si>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</si>
  <si>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</si>
  <si>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</si>
  <si>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</si>
  <si>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</si>
  <si>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</si>
  <si>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</si>
  <si>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</si>
  <si>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</si>
  <si>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</si>
  <si>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</si>
  <si>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</si>
  <si>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</si>
  <si>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</si>
  <si>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</si>
  <si>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</si>
  <si>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</si>
  <si>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</si>
  <si>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</si>
  <si>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</si>
  <si>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</si>
  <si>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</si>
  <si>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</si>
  <si>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</si>
  <si>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</si>
  <si>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</si>
  <si>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</si>
  <si>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</si>
  <si>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</si>
  <si>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</si>
  <si>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</si>
  <si>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</si>
  <si>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</si>
  <si>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</si>
  <si>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</si>
  <si>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</si>
  <si>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</si>
  <si>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</si>
  <si>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</si>
  <si>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</si>
  <si>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</si>
  <si>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</si>
  <si>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</si>
  <si>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</si>
  <si>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</si>
  <si>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</si>
  <si>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</si>
  <si>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</si>
  <si>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</si>
  <si>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</si>
  <si>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</si>
  <si>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</si>
  <si>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</si>
  <si>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</si>
  <si>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</si>
  <si>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</si>
  <si>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</si>
  <si>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</si>
  <si>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</si>
  <si>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</si>
  <si>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</si>
  <si>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</si>
  <si>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</si>
  <si>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</si>
  <si>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</si>
  <si>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</si>
  <si>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</si>
  <si>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</si>
  <si>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</si>
  <si>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</si>
  <si>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</si>
  <si>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</si>
  <si>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</si>
  <si>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</si>
  <si>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</si>
  <si>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</si>
  <si>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</si>
  <si>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</si>
  <si>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</si>
  <si>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</si>
  <si>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</si>
  <si>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</si>
  <si>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</si>
  <si>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</si>
  <si>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</si>
  <si>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</si>
  <si>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</si>
  <si>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</si>
  <si>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</si>
  <si>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</si>
  <si>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</si>
  <si>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</si>
  <si>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</si>
  <si>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</si>
  <si>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</si>
  <si>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</si>
  <si>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</si>
  <si>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</si>
  <si>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</si>
  <si>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</si>
  <si>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</si>
  <si>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</si>
  <si>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</si>
  <si>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</si>
  <si>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</si>
  <si>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</si>
  <si>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</si>
  <si>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</si>
  <si>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</si>
  <si>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</si>
  <si>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</si>
  <si>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</si>
  <si>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</si>
  <si>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</si>
  <si>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</si>
  <si>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</si>
  <si>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</si>
  <si>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</si>
  <si>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</si>
  <si>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</si>
  <si>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</si>
  <si>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</si>
  <si>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</si>
  <si>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</si>
  <si>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</si>
  <si>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</si>
  <si>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</si>
  <si>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</si>
  <si>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</si>
  <si>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</si>
  <si>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</si>
  <si>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</si>
  <si>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</si>
  <si>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</si>
  <si>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</si>
  <si>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</si>
  <si>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</si>
  <si>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</si>
  <si>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</si>
  <si>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</si>
  <si>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</si>
  <si>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</si>
  <si>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</si>
  <si>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</si>
  <si>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</si>
  <si>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</si>
  <si>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</si>
  <si>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</si>
  <si>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</si>
  <si>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</si>
  <si>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</si>
  <si>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</si>
  <si>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</si>
  <si>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</si>
  <si>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</si>
  <si>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</si>
  <si>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</si>
  <si>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</si>
  <si>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</si>
  <si>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</si>
  <si>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</si>
  <si>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</si>
  <si>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</si>
  <si>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</si>
  <si>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</si>
  <si>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</si>
  <si>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</si>
  <si>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</si>
  <si>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</si>
  <si>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</si>
  <si>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</si>
  <si>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</si>
  <si>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</si>
  <si>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</si>
  <si>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</si>
  <si>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</si>
  <si>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</si>
  <si>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</si>
  <si>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</si>
  <si>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</si>
  <si>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</si>
  <si>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</si>
  <si>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</si>
  <si>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</si>
  <si>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</si>
  <si>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</si>
  <si>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</si>
  <si>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</si>
  <si>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</si>
  <si>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</si>
  <si>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</si>
  <si>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</si>
  <si>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</si>
  <si>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</si>
  <si>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</si>
  <si>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</si>
  <si>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</si>
  <si>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</si>
  <si>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</si>
  <si>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</si>
  <si>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</si>
  <si>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</si>
  <si>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</si>
  <si>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</si>
  <si>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</si>
  <si>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</si>
  <si>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</si>
  <si>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</si>
  <si>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</si>
  <si>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</si>
  <si>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</si>
  <si>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</si>
  <si>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</si>
  <si>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</si>
  <si>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</si>
  <si>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</si>
  <si>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</si>
  <si>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</si>
  <si>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</si>
  <si>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</si>
  <si>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</si>
  <si>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</si>
  <si>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</si>
  <si>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</si>
  <si>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</si>
  <si>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</si>
  <si>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</si>
  <si>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</si>
  <si>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</si>
  <si>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</si>
  <si>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</si>
  <si>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</si>
  <si>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</si>
  <si>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</si>
  <si>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</si>
  <si>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</si>
  <si>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</si>
  <si>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</si>
  <si>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</si>
  <si>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</si>
  <si>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</si>
  <si>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</si>
  <si>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</si>
  <si>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</si>
  <si>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</si>
  <si>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</si>
  <si>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</si>
  <si>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</si>
  <si>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</si>
  <si>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</si>
  <si>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</si>
  <si>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</si>
  <si>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</si>
  <si>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</si>
  <si>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</si>
  <si>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</si>
  <si>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</si>
  <si>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</si>
  <si>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</si>
  <si>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</si>
  <si>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</si>
  <si>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</si>
  <si>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</si>
  <si>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</si>
  <si>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</si>
  <si>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</si>
  <si>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</si>
  <si>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</si>
  <si>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</si>
  <si>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</si>
  <si>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</si>
  <si>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</si>
  <si>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</si>
  <si>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</si>
  <si>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</si>
  <si>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</si>
  <si>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</si>
  <si>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</si>
  <si>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</si>
  <si>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</si>
  <si>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</si>
  <si>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</si>
  <si>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</si>
  <si>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</si>
  <si>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</si>
  <si>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</si>
  <si>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</si>
  <si>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</si>
  <si>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</si>
  <si>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</si>
  <si>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</si>
  <si>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</si>
  <si>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</si>
  <si>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</si>
  <si>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</si>
  <si>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</si>
  <si>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</si>
  <si>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</si>
  <si>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</si>
  <si>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</si>
  <si>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</si>
  <si>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</si>
  <si>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</si>
  <si>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</si>
  <si>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</si>
  <si>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</si>
  <si>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</si>
  <si>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</si>
  <si>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</si>
  <si>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</si>
  <si>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</si>
  <si>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</si>
  <si>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</si>
  <si>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</si>
  <si>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</si>
  <si>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</si>
  <si>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</si>
  <si>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</si>
  <si>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</si>
  <si>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</si>
  <si>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</si>
  <si>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</si>
  <si>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</si>
  <si>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</si>
  <si>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</si>
  <si>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</si>
  <si>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</si>
  <si>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</si>
  <si>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</si>
  <si>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</si>
  <si>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</si>
  <si>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</si>
  <si>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</si>
  <si>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</si>
  <si>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</si>
  <si>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</si>
  <si>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</si>
  <si>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</si>
  <si>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</si>
  <si>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</si>
  <si>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</si>
  <si>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</si>
  <si>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</si>
  <si>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</si>
  <si>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</si>
  <si>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</si>
  <si>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</si>
  <si>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</si>
  <si>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</si>
  <si>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</si>
  <si>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</si>
  <si>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</si>
  <si>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</si>
  <si>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</si>
  <si>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</si>
  <si>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</si>
  <si>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</si>
  <si>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</si>
  <si>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</si>
  <si>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</si>
  <si>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</si>
  <si>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</si>
  <si>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</si>
  <si>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</si>
  <si>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</si>
  <si>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</si>
  <si>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</si>
  <si>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</si>
  <si>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</si>
  <si>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</si>
  <si>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</si>
  <si>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</si>
  <si>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</si>
  <si>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</si>
  <si>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</si>
  <si>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</si>
  <si>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</si>
  <si>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</si>
  <si>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</si>
  <si>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</si>
  <si>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</si>
  <si>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</si>
  <si>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</si>
  <si>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</si>
  <si>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</si>
  <si>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</si>
  <si>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</si>
  <si>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</si>
  <si>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</si>
  <si>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</si>
  <si>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</si>
  <si>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</si>
  <si>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</si>
  <si>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</si>
  <si>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</si>
  <si>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</si>
  <si>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</si>
  <si>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</si>
  <si>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</si>
  <si>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</si>
  <si>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</si>
  <si>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</si>
  <si>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</si>
  <si>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</si>
  <si>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</si>
  <si>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</si>
  <si>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</si>
  <si>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</si>
  <si>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</si>
  <si>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</si>
  <si>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</si>
  <si>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</si>
  <si>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</si>
  <si>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</si>
  <si>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</si>
  <si>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</si>
  <si>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</si>
  <si>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</si>
  <si>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</si>
  <si>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</si>
  <si>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</si>
  <si>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</si>
  <si>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</si>
  <si>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</si>
  <si>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</si>
  <si>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</si>
  <si>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</si>
  <si>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</si>
  <si>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</si>
  <si>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</si>
  <si>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</si>
  <si>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</si>
  <si>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</si>
  <si>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</si>
  <si>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</si>
  <si>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</si>
  <si>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</si>
  <si>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</si>
  <si>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</si>
  <si>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</si>
  <si>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</si>
  <si>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</si>
  <si>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</si>
  <si>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</si>
  <si>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</si>
  <si>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</si>
  <si>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</si>
  <si>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</si>
  <si>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</si>
  <si>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</si>
  <si>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</si>
  <si>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</si>
  <si>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</si>
  <si>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</si>
  <si>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</si>
  <si>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</si>
  <si>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</si>
  <si>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</si>
  <si>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</si>
  <si>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</si>
  <si>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</si>
  <si>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</si>
  <si>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</si>
  <si>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</si>
  <si>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</si>
  <si>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</si>
  <si>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</si>
  <si>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</si>
  <si>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</si>
  <si>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</si>
  <si>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</si>
  <si>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</si>
  <si>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</si>
  <si>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</si>
  <si>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</si>
  <si>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</si>
  <si>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</si>
  <si>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</si>
  <si>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</si>
  <si>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</si>
  <si>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</si>
  <si>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</si>
  <si>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</si>
  <si>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</si>
  <si>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</si>
  <si>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</si>
  <si>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</si>
  <si>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</si>
  <si>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</si>
  <si>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</si>
  <si>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</si>
  <si>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</si>
  <si>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</si>
  <si>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</si>
  <si>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</si>
  <si>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</si>
  <si>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</si>
  <si>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</si>
  <si>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</si>
  <si>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</si>
  <si>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</si>
  <si>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</si>
  <si>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</si>
  <si>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</si>
  <si>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</si>
  <si>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</si>
  <si>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</si>
  <si>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</si>
  <si>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</si>
  <si>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</si>
  <si>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</si>
  <si>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</si>
  <si>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</si>
  <si>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</si>
  <si>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</si>
  <si>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</si>
  <si>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</si>
  <si>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</si>
  <si>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</si>
  <si>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</si>
  <si>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</si>
  <si>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</si>
  <si>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</si>
  <si>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</si>
  <si>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</si>
  <si>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</si>
  <si>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</si>
  <si>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</si>
  <si>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</si>
  <si>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</si>
  <si>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</si>
  <si>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</si>
  <si>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</si>
  <si>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</si>
  <si>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</si>
  <si>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</si>
  <si>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</si>
  <si>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</si>
  <si>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</si>
  <si>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</si>
  <si>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</si>
  <si>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</si>
  <si>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</si>
  <si>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</si>
  <si>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</si>
  <si>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</si>
  <si>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</si>
  <si>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</si>
  <si>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</si>
  <si>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</si>
  <si>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</si>
  <si>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</si>
  <si>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</si>
  <si>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</si>
  <si>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</si>
  <si>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</si>
  <si>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</si>
  <si>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</si>
  <si>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</si>
  <si>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</si>
  <si>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</si>
  <si>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</si>
  <si>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</si>
  <si>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</si>
  <si>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</si>
  <si>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</si>
  <si>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</si>
  <si>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</si>
  <si>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</si>
  <si>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</si>
  <si>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</si>
  <si>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</si>
  <si>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</si>
  <si>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</si>
  <si>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</si>
  <si>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</si>
  <si>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</si>
  <si>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</si>
  <si>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</si>
  <si>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</si>
  <si>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</si>
  <si>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</si>
  <si>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</si>
  <si>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</si>
  <si>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</si>
  <si>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</si>
  <si>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</si>
  <si>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</si>
  <si>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</si>
  <si>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</si>
  <si>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</si>
  <si>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</si>
  <si>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</si>
  <si>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</si>
  <si>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</si>
  <si>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</si>
  <si>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</si>
  <si>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</si>
  <si>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</si>
  <si>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</si>
  <si>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</si>
  <si>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</si>
  <si>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</si>
  <si>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</si>
  <si>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</si>
  <si>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</si>
  <si>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</si>
  <si>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</si>
  <si>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</si>
  <si>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</si>
  <si>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</si>
  <si>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</si>
  <si>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</si>
  <si>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</si>
  <si>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</si>
  <si>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</si>
  <si>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</si>
  <si>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</si>
  <si>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</si>
  <si>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</si>
  <si>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</si>
  <si>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</si>
  <si>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</si>
  <si>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</si>
  <si>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</si>
  <si>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</si>
  <si>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</si>
  <si>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</si>
  <si>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</si>
  <si>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</si>
  <si>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</si>
  <si>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</si>
  <si>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</si>
  <si>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</si>
  <si>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</si>
  <si>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</si>
  <si>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</si>
  <si>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</si>
  <si>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</si>
  <si>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</si>
  <si>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</si>
  <si>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</si>
  <si>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</si>
  <si>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</si>
  <si>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</si>
  <si>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</si>
  <si>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</si>
  <si>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</si>
  <si>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</si>
  <si>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</si>
  <si>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</si>
  <si>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</si>
  <si>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</si>
  <si>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</si>
  <si>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</si>
  <si>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</si>
  <si>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</si>
  <si>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</si>
  <si>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</si>
  <si>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</si>
  <si>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</si>
  <si>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</si>
  <si>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</si>
  <si>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</si>
  <si>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</si>
  <si>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</si>
  <si>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</si>
  <si>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</si>
  <si>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</si>
  <si>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</si>
  <si>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</si>
  <si>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</si>
  <si>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</si>
  <si>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</si>
  <si>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</si>
  <si>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</si>
  <si>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</si>
  <si>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</si>
  <si>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</si>
  <si>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</si>
  <si>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</si>
  <si>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</si>
  <si>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</si>
  <si>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</si>
  <si>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</si>
  <si>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</si>
  <si>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</si>
  <si>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</si>
  <si>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</si>
  <si>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</si>
  <si>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</si>
  <si>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</si>
  <si>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</si>
  <si>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</si>
  <si>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</si>
  <si>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</si>
  <si>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</si>
  <si>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</si>
  <si>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</si>
  <si>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</si>
  <si>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</si>
  <si>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</si>
  <si>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</si>
  <si>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</si>
  <si>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</si>
  <si>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</si>
  <si>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</si>
  <si>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</si>
  <si>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</si>
  <si>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</si>
  <si>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</si>
  <si>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</si>
  <si>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</si>
  <si>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</si>
  <si>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</si>
  <si>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</si>
  <si>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</si>
  <si>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</si>
  <si>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</si>
  <si>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</si>
  <si>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</si>
  <si>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</si>
  <si>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</si>
  <si>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</si>
  <si>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</si>
  <si>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</si>
  <si>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</si>
  <si>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</si>
  <si>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</si>
  <si>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</si>
  <si>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</si>
  <si>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</si>
  <si>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</si>
  <si>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</si>
  <si>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</si>
  <si>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</si>
  <si>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</si>
  <si>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</si>
  <si>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</si>
  <si>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</si>
  <si>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</si>
  <si>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</si>
  <si>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</si>
  <si>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</si>
  <si>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</si>
  <si>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</si>
  <si>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</si>
  <si>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</si>
  <si>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</si>
  <si>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</si>
  <si>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</si>
  <si>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</si>
  <si>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</si>
  <si>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</si>
  <si>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</si>
  <si>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</si>
  <si>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</si>
  <si>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</si>
  <si>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</si>
  <si>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</si>
  <si>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</si>
  <si>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</si>
  <si>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</si>
  <si>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</si>
  <si>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</si>
  <si>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</si>
  <si>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</si>
  <si>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</si>
  <si>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</si>
  <si>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</si>
  <si>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</si>
  <si>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</si>
  <si>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</si>
  <si>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</si>
  <si>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</si>
  <si>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</si>
  <si>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</si>
  <si>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</si>
  <si>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</si>
  <si>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</si>
  <si>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</si>
  <si>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</si>
  <si>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</si>
  <si>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</si>
  <si>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</si>
  <si>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</si>
  <si>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</si>
  <si>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</si>
  <si>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</si>
  <si>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</si>
  <si>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</si>
  <si>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</si>
  <si>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</si>
  <si>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</si>
  <si>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</si>
  <si>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</si>
  <si>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</si>
  <si>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</si>
  <si>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</si>
  <si>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</si>
  <si>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</si>
  <si>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</si>
  <si>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</si>
  <si>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</si>
  <si>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</si>
  <si>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</si>
  <si>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</si>
  <si>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</si>
  <si>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</si>
  <si>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</si>
  <si>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</si>
  <si>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</si>
  <si>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</si>
  <si>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</si>
  <si>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</si>
  <si>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</si>
  <si>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</si>
  <si>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</si>
  <si>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</si>
  <si>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</si>
  <si>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</si>
  <si>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</si>
  <si>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</si>
  <si>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</si>
  <si>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</si>
  <si>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</si>
  <si>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</si>
  <si>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</si>
  <si>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</si>
  <si>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</si>
  <si>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</si>
  <si>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</si>
  <si>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</si>
  <si>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</si>
  <si>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</si>
  <si>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</si>
  <si>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</si>
  <si>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</si>
  <si>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</si>
  <si>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</si>
  <si>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</si>
  <si>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</si>
  <si>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</si>
  <si>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</si>
  <si>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</si>
  <si>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</si>
  <si>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</si>
  <si>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</si>
  <si>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</si>
  <si>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</si>
  <si>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</si>
  <si>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</si>
  <si>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</si>
  <si>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</si>
  <si>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</si>
  <si>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</si>
  <si>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</si>
  <si>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</si>
  <si>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</si>
  <si>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</si>
  <si>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</si>
  <si>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</si>
  <si>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</si>
  <si>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</si>
  <si>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</si>
  <si>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</si>
  <si>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</si>
  <si>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</si>
  <si>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</si>
  <si>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</si>
  <si>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</si>
  <si>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</si>
  <si>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</si>
  <si>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</si>
  <si>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</si>
  <si>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</si>
  <si>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</si>
  <si>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</si>
  <si>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</si>
  <si>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</si>
  <si>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</si>
  <si>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</si>
  <si>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</si>
  <si>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</si>
  <si>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</si>
  <si>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</si>
  <si>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</si>
  <si>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</si>
  <si>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</si>
  <si>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</si>
  <si>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</si>
  <si>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</si>
  <si>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</si>
  <si>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</si>
  <si>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</si>
  <si>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</si>
  <si>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</si>
  <si>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</si>
  <si>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</si>
  <si>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</si>
  <si>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</si>
  <si>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</si>
  <si>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</si>
  <si>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</si>
  <si>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</si>
  <si>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</si>
  <si>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</si>
  <si>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</si>
  <si>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</si>
  <si>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</si>
  <si>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</si>
  <si>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</si>
  <si>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</si>
  <si>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</si>
  <si>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</si>
  <si>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</si>
  <si>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</si>
  <si>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</si>
  <si>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</si>
  <si>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</si>
  <si>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</si>
  <si>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</si>
  <si>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</si>
  <si>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</si>
  <si>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</si>
  <si>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</si>
  <si>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</si>
  <si>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</si>
  <si>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</si>
  <si>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</si>
  <si>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</si>
  <si>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</si>
  <si>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</si>
  <si>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</si>
  <si>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</si>
  <si>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</si>
  <si>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</si>
  <si>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</si>
  <si>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</si>
  <si>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</si>
  <si>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</si>
  <si>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</si>
  <si>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</si>
  <si>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</si>
  <si>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</si>
  <si>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</si>
  <si>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</si>
  <si>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</si>
  <si>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</si>
  <si>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</si>
  <si>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</si>
  <si>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</si>
  <si>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</si>
  <si>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</si>
  <si>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</si>
  <si>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</si>
  <si>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</si>
  <si>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</si>
  <si>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</si>
  <si>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</si>
  <si>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</si>
  <si>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</si>
  <si>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</si>
  <si>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</si>
  <si>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</si>
  <si>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</si>
  <si>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</si>
  <si>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</si>
  <si>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</si>
  <si>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</si>
  <si>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</si>
  <si>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</si>
  <si>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</si>
  <si>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</si>
  <si>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</si>
  <si>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</si>
  <si>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</si>
  <si>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</si>
  <si>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</si>
  <si>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</si>
  <si>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</si>
  <si>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</si>
  <si>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</si>
  <si>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</si>
  <si>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</si>
  <si>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</si>
  <si>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</si>
  <si>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</si>
  <si>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</si>
  <si>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</si>
  <si>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</si>
  <si>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</si>
  <si>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</si>
  <si>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</si>
  <si>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</si>
  <si>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</si>
  <si>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</si>
  <si>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</si>
  <si>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</si>
  <si>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</si>
  <si>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</si>
  <si>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</si>
  <si>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</si>
  <si>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</si>
  <si>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</si>
  <si>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</si>
  <si>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</si>
  <si>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</si>
  <si>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</si>
  <si>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</si>
  <si>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</si>
  <si>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</si>
  <si>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</si>
  <si>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</si>
  <si>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</si>
  <si>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</si>
  <si>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</si>
  <si>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</si>
  <si>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</si>
  <si>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</si>
  <si>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</si>
  <si>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</si>
  <si>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</si>
  <si>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</si>
  <si>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</si>
  <si>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</si>
  <si>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</si>
  <si>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</si>
  <si>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</si>
  <si>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</si>
  <si>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</si>
  <si>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</si>
  <si>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</si>
  <si>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</si>
  <si>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</si>
  <si>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</si>
  <si>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</si>
  <si>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</si>
  <si>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</si>
  <si>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</si>
  <si>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</si>
  <si>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</si>
  <si>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</si>
  <si>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</si>
  <si>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</si>
  <si>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</si>
  <si>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</si>
  <si>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</si>
  <si>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</si>
  <si>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</si>
  <si>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</si>
  <si>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</si>
  <si>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</si>
  <si>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</si>
  <si>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</si>
  <si>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</si>
  <si>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</si>
  <si>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</si>
  <si>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</si>
  <si>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</si>
  <si>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</si>
  <si>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</si>
  <si>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</si>
  <si>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</si>
  <si>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</si>
  <si>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</si>
  <si>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</si>
  <si>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</si>
  <si>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</si>
  <si>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</si>
  <si>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</si>
  <si>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</si>
  <si>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</si>
  <si>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</si>
  <si>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</si>
  <si>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</si>
  <si>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</si>
  <si>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</si>
  <si>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</si>
  <si>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</si>
  <si>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</si>
  <si>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</si>
  <si>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</si>
  <si>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</si>
  <si>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</si>
  <si>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</si>
  <si>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</si>
  <si>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</si>
  <si>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</si>
  <si>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</si>
  <si>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</si>
  <si>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</si>
  <si>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</si>
  <si>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</si>
  <si>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</si>
  <si>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</si>
  <si>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</si>
  <si>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</si>
  <si>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</si>
  <si>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</si>
  <si>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</si>
  <si>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</si>
  <si>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</si>
  <si>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</si>
  <si>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</si>
  <si>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</si>
  <si>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</si>
  <si>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</si>
  <si>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</si>
  <si>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</si>
  <si>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</si>
  <si>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</si>
  <si>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</si>
  <si>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</si>
  <si>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</si>
  <si>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</si>
  <si>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</si>
  <si>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</si>
  <si>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</si>
  <si>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</si>
  <si>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</si>
  <si>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</si>
  <si>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</si>
  <si>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</si>
  <si>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</si>
  <si>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</si>
  <si>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</si>
  <si>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</si>
  <si>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</si>
  <si>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</si>
  <si>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</si>
  <si>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</si>
  <si>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</si>
  <si>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</si>
  <si>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</si>
  <si>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</si>
  <si>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</si>
  <si>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</si>
  <si>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</si>
  <si>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</si>
  <si>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</si>
  <si>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</si>
  <si>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</si>
  <si>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</si>
  <si>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</si>
  <si>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</si>
  <si>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</si>
  <si>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</si>
  <si>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</si>
  <si>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</si>
  <si>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</si>
  <si>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</si>
  <si>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</si>
  <si>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</si>
  <si>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</si>
  <si>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</si>
  <si>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</si>
  <si>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</si>
  <si>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</si>
  <si>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</si>
  <si>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</si>
  <si>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</si>
  <si>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</si>
  <si>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</si>
  <si>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</si>
  <si>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</si>
  <si>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</si>
  <si>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</si>
  <si>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</si>
  <si>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</si>
  <si>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</si>
  <si>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</si>
  <si>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</si>
  <si>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</si>
  <si>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</si>
  <si>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</si>
  <si>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</si>
  <si>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</si>
  <si>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</si>
  <si>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</si>
  <si>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</si>
  <si>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</si>
  <si>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</si>
  <si>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</si>
  <si>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</si>
  <si>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</si>
  <si>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</si>
  <si>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</si>
  <si>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</si>
  <si>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</si>
  <si>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</si>
  <si>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</si>
  <si>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</si>
  <si>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</si>
  <si>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</si>
  <si>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</si>
  <si>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</si>
  <si>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</si>
  <si>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</si>
  <si>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</si>
  <si>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</si>
  <si>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</si>
  <si>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</si>
  <si>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</si>
  <si>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</si>
  <si>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</si>
  <si>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</si>
  <si>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</si>
  <si>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</si>
  <si>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</si>
  <si>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</si>
  <si>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</si>
  <si>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</si>
  <si>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</si>
  <si>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</si>
  <si>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</si>
  <si>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</si>
  <si>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</si>
  <si>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</si>
  <si>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</si>
  <si>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</si>
  <si>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</si>
  <si>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</si>
  <si>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</si>
  <si>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</si>
  <si>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</si>
  <si>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</si>
  <si>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</si>
  <si>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</si>
  <si>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</si>
  <si>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</si>
  <si>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</si>
  <si>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</si>
  <si>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</si>
  <si>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</si>
  <si>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</si>
  <si>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</si>
  <si>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</si>
  <si>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</si>
  <si>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</si>
  <si>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</si>
  <si>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</si>
  <si>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</si>
  <si>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</si>
  <si>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</si>
  <si>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</si>
  <si>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</si>
  <si>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</si>
  <si>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</si>
  <si>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</si>
  <si>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</si>
  <si>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</si>
  <si>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</si>
  <si>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</si>
  <si>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</si>
  <si>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</si>
  <si>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</si>
  <si>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</si>
  <si>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</si>
  <si>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</si>
  <si>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</si>
  <si>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</si>
  <si>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</si>
  <si>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</si>
  <si>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</si>
  <si>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</si>
  <si>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</si>
  <si>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</si>
  <si>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</si>
  <si>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</si>
  <si>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</si>
  <si>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</si>
  <si>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</si>
  <si>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</si>
  <si>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</si>
  <si>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</si>
  <si>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</si>
  <si>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</si>
  <si>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</si>
  <si>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</si>
  <si>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</si>
  <si>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</si>
  <si>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</si>
  <si>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</si>
  <si>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</si>
  <si>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</si>
  <si>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</si>
  <si>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</si>
  <si>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</si>
  <si>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</si>
  <si>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</si>
  <si>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</si>
  <si>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</si>
  <si>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</si>
  <si>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</si>
  <si>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</si>
  <si>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</si>
  <si>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</si>
  <si>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</si>
  <si>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</si>
  <si>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</si>
  <si>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</si>
  <si>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</si>
  <si>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</si>
  <si>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</si>
  <si>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</si>
  <si>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</si>
  <si>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</si>
  <si>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</si>
  <si>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</si>
  <si>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</si>
  <si>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</si>
  <si>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</si>
  <si>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</si>
  <si>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</si>
  <si>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</si>
  <si>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</si>
  <si>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</si>
  <si>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</si>
  <si>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</si>
  <si>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</si>
  <si>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</si>
  <si>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</si>
  <si>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</si>
  <si>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</si>
  <si>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</si>
  <si>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</si>
  <si>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</si>
  <si>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</si>
  <si>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</si>
  <si>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</si>
  <si>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</si>
  <si>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</si>
  <si>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</si>
  <si>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</si>
  <si>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</si>
  <si>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</si>
  <si>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</si>
  <si>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</si>
  <si>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</si>
  <si>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</si>
  <si>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</si>
  <si>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</si>
  <si>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</si>
  <si>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</si>
  <si>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</si>
  <si>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</si>
  <si>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</si>
  <si>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</si>
  <si>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</si>
  <si>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</si>
  <si>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</si>
  <si>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</si>
  <si>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</si>
  <si>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</si>
  <si>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</si>
  <si>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</si>
  <si>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</si>
  <si>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</si>
  <si>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</si>
  <si>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</si>
  <si>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</si>
  <si>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</si>
  <si>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</si>
  <si>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</si>
  <si>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</si>
  <si>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</si>
  <si>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</si>
  <si>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</si>
  <si>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</si>
  <si>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</si>
  <si>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</si>
  <si>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</si>
  <si>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</si>
  <si>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</si>
  <si>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</si>
  <si>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</si>
  <si>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</si>
  <si>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</si>
  <si>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</si>
  <si>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</si>
  <si>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</si>
  <si>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</si>
  <si>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</si>
  <si>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</si>
  <si>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</si>
  <si>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</si>
  <si>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</si>
  <si>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</si>
  <si>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</si>
  <si>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</si>
  <si>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</si>
  <si>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</si>
  <si>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</si>
  <si>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</si>
  <si>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</si>
  <si>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</si>
  <si>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</si>
  <si>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</si>
  <si>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</si>
  <si>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</si>
  <si>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</si>
  <si>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</si>
  <si>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</si>
  <si>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</si>
  <si>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</si>
  <si>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</si>
  <si>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</si>
  <si>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</si>
  <si>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</si>
  <si>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</si>
  <si>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</si>
  <si>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</si>
  <si>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</si>
  <si>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</si>
  <si>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</si>
  <si>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</si>
  <si>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</si>
  <si>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</si>
  <si>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</si>
  <si>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</si>
  <si>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</si>
  <si>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</si>
  <si>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</si>
  <si>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</si>
  <si>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</si>
  <si>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</si>
  <si>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</si>
  <si>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</si>
  <si>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</si>
  <si>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</si>
  <si>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</si>
  <si>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</si>
  <si>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</si>
  <si>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</si>
  <si>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</si>
  <si>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</si>
  <si>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</si>
  <si>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</si>
  <si>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</si>
  <si>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</si>
  <si>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</si>
  <si>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</si>
  <si>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</si>
  <si>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</si>
  <si>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</si>
  <si>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</si>
  <si>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</si>
  <si>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</si>
  <si>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</si>
  <si>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</si>
  <si>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</si>
  <si>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</si>
  <si>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</si>
  <si>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</si>
  <si>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</si>
  <si>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</si>
  <si>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</si>
  <si>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</si>
  <si>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</si>
  <si>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</si>
  <si>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</si>
  <si>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</si>
  <si>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</si>
  <si>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</si>
  <si>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</si>
  <si>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</si>
  <si>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</si>
  <si>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</si>
  <si>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</si>
  <si>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</si>
  <si>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</si>
  <si>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</si>
  <si>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</si>
  <si>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</si>
  <si>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</si>
  <si>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</si>
  <si>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</si>
  <si>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</si>
  <si>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</si>
  <si>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</si>
  <si>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</si>
  <si>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</si>
  <si>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</si>
  <si>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</si>
  <si>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</si>
  <si>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</si>
  <si>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</si>
  <si>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</si>
  <si>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</si>
  <si>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</si>
  <si>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</si>
  <si>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</si>
  <si>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</si>
  <si>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</si>
  <si>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</si>
  <si>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</si>
  <si>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</si>
  <si>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</si>
  <si>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</si>
  <si>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</si>
  <si>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</si>
  <si>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</si>
  <si>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</si>
  <si>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</si>
  <si>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</si>
  <si>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</si>
  <si>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</si>
  <si>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</si>
  <si>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</si>
  <si>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</si>
  <si>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</si>
  <si>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</si>
  <si>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</si>
  <si>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</si>
  <si>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</si>
  <si>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</si>
  <si>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</si>
  <si>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</si>
  <si>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</si>
  <si>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</si>
  <si>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</si>
  <si>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</si>
  <si>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</si>
  <si>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</si>
  <si>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</si>
  <si>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</si>
  <si>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</si>
  <si>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</si>
  <si>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</si>
  <si>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</si>
  <si>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</si>
  <si>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</si>
  <si>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</si>
  <si>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</si>
  <si>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</si>
  <si>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</si>
  <si>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</si>
  <si>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</si>
  <si>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</si>
  <si>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</si>
  <si>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</si>
  <si>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</si>
  <si>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</si>
  <si>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</si>
  <si>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</si>
  <si>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</si>
  <si>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</si>
  <si>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</si>
  <si>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</si>
  <si>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</si>
  <si>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</si>
  <si>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</si>
  <si>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</si>
  <si>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</si>
  <si>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</si>
  <si>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</si>
  <si>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</si>
  <si>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</si>
  <si>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</si>
  <si>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</si>
  <si>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</si>
  <si>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</si>
  <si>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</si>
  <si>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</si>
  <si>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</si>
  <si>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</si>
  <si>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</si>
  <si>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</si>
  <si>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</si>
  <si>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</si>
  <si>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</si>
  <si>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</si>
  <si>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</si>
  <si>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</si>
  <si>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</si>
  <si>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</si>
  <si>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</si>
  <si>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</si>
  <si>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</si>
  <si>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</si>
  <si>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</si>
  <si>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</si>
  <si>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</si>
  <si>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</si>
  <si>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</si>
  <si>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</si>
  <si>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</si>
  <si>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</si>
  <si>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</si>
  <si>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</si>
  <si>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</si>
  <si>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</si>
  <si>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</si>
  <si>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</si>
  <si>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</si>
  <si>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</si>
  <si>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</si>
  <si>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</si>
  <si>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</si>
  <si>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</si>
  <si>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</si>
  <si>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</si>
  <si>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</si>
  <si>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</si>
  <si>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</si>
  <si>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</si>
  <si>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</si>
  <si>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</si>
  <si>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</si>
  <si>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</si>
  <si>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</si>
  <si>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</si>
  <si>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</si>
  <si>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</si>
  <si>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</si>
  <si>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</si>
  <si>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</si>
  <si>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</si>
  <si>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</si>
  <si>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</si>
  <si>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</si>
  <si>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</si>
  <si>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</si>
  <si>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</si>
  <si>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</si>
  <si>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</si>
  <si>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</si>
  <si>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</si>
  <si>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</si>
  <si>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</si>
  <si>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</si>
  <si>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</si>
  <si>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</si>
  <si>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</si>
  <si>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</si>
  <si>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</si>
  <si>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</si>
  <si>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</si>
  <si>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</si>
  <si>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</si>
  <si>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</si>
  <si>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</si>
  <si>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</si>
  <si>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</si>
  <si>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</si>
  <si>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</si>
  <si>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</si>
  <si>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</si>
  <si>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</si>
  <si>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</si>
  <si>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</si>
  <si>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</si>
  <si>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</si>
  <si>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</si>
  <si>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</si>
  <si>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</si>
  <si>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</si>
  <si>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</si>
  <si>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</si>
  <si>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</si>
  <si>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</si>
  <si>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</si>
  <si>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</si>
  <si>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</si>
  <si>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</si>
  <si>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</si>
  <si>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</si>
  <si>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</si>
  <si>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</si>
  <si>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</si>
  <si>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</si>
  <si>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</si>
  <si>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</si>
  <si>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</si>
  <si>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</si>
  <si>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</si>
  <si>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</si>
  <si>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</si>
  <si>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</si>
  <si>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</si>
  <si>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</si>
  <si>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</si>
  <si>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</si>
  <si>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</si>
  <si>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</si>
  <si>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</si>
  <si>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</si>
  <si>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</si>
  <si>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</si>
  <si>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</si>
  <si>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</si>
  <si>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</si>
  <si>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</si>
  <si>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</si>
  <si>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</si>
  <si>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</si>
  <si>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</si>
  <si>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</si>
  <si>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</si>
  <si>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</si>
  <si>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</si>
  <si>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</si>
  <si>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</si>
  <si>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</si>
  <si>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</si>
  <si>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</si>
  <si>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</si>
  <si>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</si>
  <si>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</si>
  <si>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</si>
  <si>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</si>
  <si>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</si>
  <si>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</si>
  <si>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</si>
  <si>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</si>
  <si>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</si>
  <si>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</si>
  <si>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</si>
  <si>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</si>
  <si>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</si>
  <si>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</si>
  <si>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</si>
  <si>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</si>
  <si>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</si>
  <si>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</si>
  <si>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</si>
  <si>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</si>
  <si>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</si>
  <si>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</si>
  <si>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</si>
  <si>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</si>
  <si>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</si>
  <si>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</si>
  <si>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</si>
  <si>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</si>
  <si>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</si>
  <si>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</si>
  <si>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</si>
  <si>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</si>
  <si>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</si>
  <si>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</si>
  <si>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</si>
  <si>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</si>
  <si>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</si>
  <si>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</si>
  <si>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</si>
  <si>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</si>
  <si>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</si>
  <si>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</si>
  <si>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</si>
  <si>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</si>
  <si>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</si>
  <si>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</si>
  <si>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</si>
  <si>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</si>
  <si>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</si>
  <si>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</si>
  <si>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</si>
  <si>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</si>
  <si>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</si>
  <si>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</si>
  <si>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</si>
  <si>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</si>
  <si>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</si>
  <si>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</si>
  <si>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</si>
  <si>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</si>
  <si>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</si>
  <si>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</si>
  <si>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</si>
  <si>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</si>
  <si>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</si>
  <si>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</si>
  <si>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</si>
  <si>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</si>
  <si>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</si>
  <si>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</si>
  <si>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</si>
  <si>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</si>
  <si>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</si>
  <si>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</si>
  <si>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</si>
  <si>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</si>
  <si>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</si>
  <si>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</si>
  <si>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</si>
  <si>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</si>
  <si>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</si>
  <si>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</si>
  <si>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</si>
  <si>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</si>
  <si>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</si>
  <si>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</si>
  <si>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</si>
  <si>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</si>
  <si>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</si>
  <si>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</si>
  <si>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</si>
  <si>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</si>
  <si>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</si>
  <si>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</si>
  <si>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</si>
  <si>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</si>
  <si>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</si>
  <si>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</si>
  <si>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</si>
  <si>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</si>
  <si>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</si>
  <si>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</si>
  <si>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</si>
  <si>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</si>
  <si>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</si>
  <si>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</si>
  <si>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</si>
  <si>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</si>
  <si>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</si>
  <si>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</si>
  <si>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</si>
  <si>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</si>
  <si>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</si>
  <si>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</si>
  <si>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</si>
  <si>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</si>
  <si>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</si>
  <si>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</si>
  <si>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</si>
  <si>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</si>
  <si>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</si>
  <si>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</si>
  <si>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</si>
  <si>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</si>
  <si>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</si>
  <si>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</si>
  <si>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</si>
  <si>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</si>
  <si>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</si>
  <si>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</si>
  <si>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</si>
  <si>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</si>
  <si>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</si>
  <si>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</si>
  <si>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</si>
  <si>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</si>
  <si>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</si>
  <si>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</si>
  <si>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</si>
  <si>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</si>
  <si>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</si>
  <si>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</si>
  <si>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</si>
  <si>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</si>
  <si>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</si>
  <si>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</si>
  <si>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</si>
  <si>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</si>
  <si>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</si>
  <si>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</si>
  <si>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</si>
  <si>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</si>
  <si>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</si>
  <si>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</si>
  <si>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</si>
  <si>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</si>
  <si>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</si>
  <si>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</si>
  <si>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</si>
  <si>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</si>
  <si>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</si>
  <si>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</si>
  <si>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</si>
  <si>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</si>
  <si>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</si>
  <si>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</si>
  <si>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</si>
  <si>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</si>
  <si>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</si>
  <si>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</si>
  <si>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</si>
  <si>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</si>
  <si>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</si>
  <si>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</si>
  <si>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</si>
  <si>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</si>
  <si>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</si>
  <si>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</si>
  <si>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</si>
  <si>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</si>
  <si>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</si>
  <si>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</si>
  <si>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</si>
  <si>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</si>
  <si>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</si>
  <si>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</si>
  <si>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</si>
  <si>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</si>
  <si>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</si>
  <si>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</si>
  <si>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</si>
  <si>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</si>
  <si>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</si>
  <si>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</si>
  <si>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</si>
  <si>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</si>
  <si>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</si>
  <si>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</si>
  <si>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</si>
  <si>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</si>
  <si>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</si>
  <si>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</si>
  <si>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</si>
  <si>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</si>
  <si>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</si>
  <si>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</si>
  <si>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</si>
  <si>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</si>
  <si>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</si>
  <si>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</si>
  <si>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</si>
  <si>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</si>
  <si>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</si>
  <si>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</si>
  <si>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</si>
  <si>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</si>
  <si>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</si>
  <si>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</si>
  <si>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</si>
  <si>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</si>
  <si>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</si>
  <si>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</si>
  <si>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</si>
  <si>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</si>
  <si>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</si>
  <si>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</si>
  <si>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</si>
  <si>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</si>
  <si>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</si>
  <si>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</si>
  <si>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</si>
  <si>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</si>
  <si>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</si>
  <si>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</si>
  <si>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</si>
  <si>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</si>
  <si>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</si>
  <si>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</si>
  <si>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</si>
  <si>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</si>
  <si>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</si>
  <si>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</si>
  <si>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</si>
  <si>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</si>
  <si>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</si>
  <si>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</si>
  <si>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</si>
  <si>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</si>
  <si>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</si>
  <si>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</si>
  <si>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</si>
  <si>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</si>
  <si>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</si>
  <si>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</si>
  <si>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</si>
  <si>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</si>
  <si>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</si>
  <si>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</si>
  <si>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</si>
  <si>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</si>
  <si>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</si>
  <si>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</si>
  <si>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</si>
  <si>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</si>
  <si>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</si>
  <si>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</si>
  <si>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</si>
  <si>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</si>
  <si>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</si>
  <si>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</si>
  <si>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</si>
  <si>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</si>
  <si>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</si>
  <si>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</si>
  <si>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</si>
  <si>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</si>
  <si>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</si>
  <si>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</si>
  <si>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</si>
  <si>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</si>
  <si>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</si>
  <si>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</si>
  <si>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</si>
  <si>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</si>
  <si>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</si>
  <si>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</si>
  <si>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</si>
  <si>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</si>
  <si>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</si>
  <si>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</si>
  <si>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</si>
  <si>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</si>
  <si>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</si>
  <si>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</si>
  <si>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</si>
  <si>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</si>
  <si>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</si>
  <si>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</si>
  <si>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</si>
  <si>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</si>
  <si>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</si>
  <si>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</si>
  <si>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</si>
  <si>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</si>
  <si>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</si>
  <si>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</si>
  <si>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</si>
  <si>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</si>
  <si>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</si>
  <si>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</si>
  <si>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</si>
  <si>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</si>
  <si>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</si>
  <si>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</si>
  <si>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</si>
  <si>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</si>
  <si>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</si>
  <si>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</si>
  <si>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</si>
  <si>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</si>
  <si>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</si>
  <si>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</si>
  <si>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</si>
  <si>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</si>
  <si>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</si>
  <si>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</si>
  <si>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</si>
  <si>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</si>
  <si>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</si>
  <si>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</si>
  <si>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</si>
  <si>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</si>
  <si>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</si>
  <si>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</si>
  <si>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</si>
  <si>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</si>
  <si>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</si>
  <si>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</si>
  <si>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</si>
  <si>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</si>
  <si>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</si>
  <si>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</si>
  <si>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</si>
  <si>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</si>
  <si>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</si>
  <si>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</si>
  <si>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</si>
  <si>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</si>
  <si>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</si>
  <si>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</si>
  <si>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</si>
  <si>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</si>
  <si>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</si>
  <si>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</si>
  <si>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</si>
  <si>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</si>
  <si>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</si>
  <si>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</si>
  <si>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</si>
  <si>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</si>
  <si>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</si>
  <si>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</si>
  <si>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</si>
  <si>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</si>
  <si>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</si>
  <si>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</si>
  <si>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</si>
  <si>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</si>
  <si>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</si>
  <si>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</si>
  <si>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</si>
  <si>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</si>
  <si>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</si>
  <si>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</si>
  <si>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</si>
  <si>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</si>
  <si>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</si>
  <si>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</si>
  <si>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</si>
  <si>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</si>
  <si>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</si>
  <si>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</si>
  <si>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</si>
  <si>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</si>
  <si>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</si>
  <si>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</si>
  <si>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</si>
  <si>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</si>
  <si>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</si>
  <si>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</si>
  <si>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</si>
  <si>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</si>
  <si>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</si>
  <si>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</si>
  <si>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</si>
  <si>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</si>
  <si>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</si>
  <si>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</si>
  <si>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</si>
  <si>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</si>
  <si>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</si>
  <si>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</si>
  <si>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</si>
  <si>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</si>
  <si>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</si>
  <si>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</si>
  <si>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</si>
  <si>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</si>
  <si>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</si>
  <si>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</si>
  <si>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</si>
  <si>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</si>
  <si>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</si>
  <si>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</si>
  <si>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</si>
  <si>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</si>
  <si>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</si>
  <si>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</si>
  <si>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</si>
  <si>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</si>
  <si>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</si>
  <si>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</si>
  <si>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</si>
  <si>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</si>
  <si>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</si>
  <si>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</si>
  <si>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</si>
  <si>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</si>
  <si>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</si>
  <si>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</si>
  <si>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</si>
  <si>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</si>
  <si>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</si>
  <si>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</si>
  <si>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</si>
  <si>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</si>
  <si>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</si>
  <si>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</si>
  <si>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</si>
  <si>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</si>
  <si>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</si>
  <si>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</si>
  <si>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</si>
  <si>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</si>
  <si>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</si>
  <si>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</si>
  <si>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</si>
  <si>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</si>
  <si>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</si>
  <si>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</si>
  <si>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</si>
  <si>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</si>
  <si>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</si>
  <si>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</si>
  <si>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</si>
  <si>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</si>
  <si>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</si>
  <si>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</si>
  <si>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</si>
  <si>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</si>
  <si>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</si>
  <si>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</si>
  <si>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</si>
  <si>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</si>
  <si>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</si>
  <si>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</si>
  <si>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</si>
  <si>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</si>
  <si>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</si>
  <si>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</si>
  <si>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</si>
  <si>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</si>
  <si>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</si>
  <si>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</si>
  <si>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</si>
  <si>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</si>
  <si>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</si>
  <si>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</si>
  <si>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</si>
  <si>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</si>
  <si>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</si>
  <si>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</si>
  <si>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</si>
  <si>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</si>
  <si>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</si>
  <si>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</si>
  <si>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</si>
  <si>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</si>
  <si>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</si>
  <si>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</si>
  <si>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</si>
  <si>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</si>
  <si>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</si>
  <si>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</si>
  <si>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</si>
  <si>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</si>
  <si>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</si>
  <si>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</si>
  <si>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</si>
  <si>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</si>
  <si>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</si>
  <si>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</si>
  <si>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</si>
  <si>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</si>
  <si>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</si>
  <si>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</si>
  <si>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</si>
  <si>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</si>
  <si>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</si>
  <si>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</si>
  <si>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</si>
  <si>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</si>
  <si>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</si>
  <si>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</si>
  <si>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</si>
  <si>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</si>
  <si>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</si>
  <si>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</si>
  <si>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</si>
  <si>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</si>
  <si>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</si>
  <si>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</si>
  <si>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</si>
  <si>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</si>
  <si>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</si>
  <si>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</si>
  <si>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</si>
  <si>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</si>
  <si>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</si>
  <si>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</si>
  <si>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</si>
  <si>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</si>
  <si>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</si>
  <si>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</si>
  <si>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</si>
  <si>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</si>
  <si>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</si>
  <si>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</si>
  <si>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</si>
  <si>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</si>
  <si>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</si>
  <si>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</si>
  <si>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</si>
  <si>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</si>
  <si>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</si>
  <si>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</si>
  <si>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</si>
  <si>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</si>
  <si>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</si>
  <si>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</si>
  <si>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</si>
  <si>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</si>
  <si>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</si>
  <si>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</si>
  <si>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</si>
  <si>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</si>
  <si>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</si>
  <si>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</si>
  <si>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</si>
  <si>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</si>
  <si>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</si>
  <si>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</si>
  <si>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</si>
  <si>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</si>
  <si>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</si>
  <si>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</si>
  <si>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</si>
  <si>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</si>
  <si>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</si>
  <si>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</si>
  <si>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</si>
  <si>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</si>
  <si>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</si>
  <si>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</si>
  <si>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</si>
  <si>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</si>
  <si>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</si>
  <si>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</si>
  <si>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</si>
  <si>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</si>
  <si>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</si>
  <si>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</si>
  <si>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</si>
  <si>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</si>
  <si>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</si>
  <si>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</si>
  <si>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</si>
  <si>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</si>
  <si>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</si>
  <si>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</si>
  <si>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</si>
  <si>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</si>
  <si>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</si>
  <si>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</si>
  <si>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</si>
  <si>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</si>
  <si>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</si>
  <si>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</si>
  <si>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</si>
  <si>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</si>
  <si>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</si>
  <si>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</si>
  <si>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</si>
  <si>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</si>
  <si>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</si>
  <si>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</si>
  <si>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</si>
  <si>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</si>
  <si>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</si>
  <si>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</si>
  <si>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</si>
  <si>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</si>
  <si>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</si>
  <si>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</si>
  <si>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</si>
  <si>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</si>
  <si>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</si>
  <si>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</si>
  <si>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</si>
  <si>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</si>
  <si>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</si>
  <si>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</si>
  <si>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</si>
  <si>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</si>
  <si>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</si>
  <si>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</si>
  <si>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</si>
  <si>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</si>
  <si>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</si>
  <si>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</si>
  <si>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</si>
  <si>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</si>
  <si>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</si>
  <si>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</si>
  <si>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</si>
  <si>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</si>
  <si>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</si>
  <si>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</si>
  <si>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</si>
  <si>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</si>
  <si>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</si>
  <si>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</si>
  <si>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</si>
  <si>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</si>
  <si>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</si>
  <si>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</si>
  <si>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</si>
  <si>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</si>
  <si>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</si>
  <si>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</si>
  <si>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</si>
  <si>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</si>
  <si>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</si>
  <si>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</si>
  <si>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</si>
  <si>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</si>
  <si>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</si>
  <si>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</si>
  <si>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</si>
  <si>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</si>
  <si>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</si>
  <si>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</si>
  <si>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</si>
  <si>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</si>
  <si>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</si>
  <si>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</si>
  <si>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</si>
  <si>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</si>
  <si>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</si>
  <si>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</si>
  <si>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</si>
  <si>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</si>
  <si>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</si>
  <si>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</si>
  <si>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</si>
  <si>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</si>
  <si>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</si>
  <si>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</si>
  <si>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</si>
  <si>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</si>
  <si>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</si>
  <si>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</si>
  <si>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</si>
  <si>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</si>
  <si>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</si>
  <si>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</si>
  <si>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</si>
  <si>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</si>
  <si>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</si>
  <si>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</si>
  <si>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</si>
  <si>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</si>
  <si>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</si>
  <si>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</si>
  <si>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</si>
  <si>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</si>
  <si>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</si>
  <si>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</si>
  <si>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</si>
  <si>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</si>
  <si>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</si>
  <si>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</si>
  <si>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</si>
  <si>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</si>
  <si>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</si>
  <si>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</si>
  <si>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</si>
  <si>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</si>
  <si>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</si>
  <si>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</si>
  <si>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</si>
  <si>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</si>
  <si>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</si>
  <si>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</si>
  <si>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</si>
  <si>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</si>
  <si>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</si>
  <si>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</si>
  <si>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</si>
  <si>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</si>
  <si>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</si>
  <si>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</si>
  <si>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</si>
  <si>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</si>
  <si>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</si>
  <si>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</si>
  <si>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</si>
  <si>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</si>
  <si>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</si>
  <si>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</si>
  <si>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</si>
  <si>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</si>
  <si>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</si>
  <si>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</si>
  <si>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</si>
  <si>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</si>
  <si>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</si>
  <si>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</si>
  <si>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</si>
  <si>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</si>
  <si>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</si>
  <si>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</si>
  <si>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</si>
  <si>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</si>
  <si>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</si>
  <si>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</si>
  <si>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</si>
  <si>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</si>
  <si>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</si>
  <si>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</si>
  <si>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</si>
  <si>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</si>
  <si>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</si>
  <si>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</si>
  <si>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</si>
  <si>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</si>
  <si>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</si>
  <si>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</si>
  <si>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</si>
  <si>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</si>
  <si>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</si>
  <si>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</si>
  <si>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</si>
  <si>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</si>
  <si>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</si>
  <si>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</si>
  <si>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</si>
  <si>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</si>
  <si>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</si>
  <si>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</si>
  <si>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</si>
  <si>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</si>
  <si>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</si>
  <si>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</si>
  <si>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</si>
  <si>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</si>
  <si>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</si>
  <si>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</si>
  <si>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</si>
  <si>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</si>
  <si>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</si>
  <si>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</si>
  <si>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</si>
  <si>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</si>
  <si>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</si>
  <si>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</si>
  <si>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</si>
  <si>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</si>
  <si>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</si>
  <si>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</si>
  <si>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</si>
  <si>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</si>
  <si>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</si>
  <si>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</si>
  <si>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</si>
  <si>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</si>
  <si>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</si>
  <si>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</si>
  <si>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</si>
  <si>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</si>
  <si>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</si>
  <si>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</si>
  <si>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</si>
  <si>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</si>
  <si>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</si>
  <si>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</si>
  <si>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</si>
  <si>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</si>
  <si>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</si>
  <si>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</si>
  <si>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</si>
  <si>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</si>
  <si>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</si>
  <si>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</si>
  <si>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</si>
  <si>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</si>
  <si>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</si>
  <si>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</si>
  <si>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</si>
  <si>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</si>
  <si>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</si>
  <si>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</si>
  <si>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</si>
  <si>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</si>
  <si>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</si>
  <si>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</si>
  <si>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</si>
  <si>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</si>
  <si>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</si>
  <si>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</si>
  <si>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</si>
  <si>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</si>
  <si>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</si>
  <si>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</si>
  <si>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</si>
  <si>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</si>
  <si>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</si>
  <si>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</si>
  <si>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</si>
  <si>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</si>
  <si>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</si>
  <si>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</si>
  <si>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</si>
  <si>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</si>
  <si>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</si>
  <si>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</si>
  <si>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</si>
  <si>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</si>
  <si>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</si>
  <si>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</si>
  <si>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</si>
  <si>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</si>
  <si>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</si>
  <si>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</si>
  <si>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</si>
  <si>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</si>
  <si>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</si>
  <si>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</si>
  <si>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</si>
  <si>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</si>
  <si>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</si>
  <si>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</si>
  <si>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</si>
  <si>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</si>
  <si>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</si>
  <si>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</si>
  <si>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</si>
  <si>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</si>
  <si>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</si>
  <si>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</si>
  <si>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</si>
  <si>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</si>
  <si>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</si>
  <si>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</si>
  <si>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</si>
  <si>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</si>
  <si>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</si>
  <si>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</si>
  <si>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</si>
  <si>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</si>
  <si>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</si>
  <si>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</si>
  <si>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</si>
  <si>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</si>
  <si>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</si>
  <si>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</si>
  <si>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</si>
  <si>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</si>
  <si>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</si>
  <si>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</si>
  <si>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</si>
  <si>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</si>
  <si>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</si>
  <si>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</si>
  <si>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</si>
  <si>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</si>
  <si>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</si>
  <si>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</si>
  <si>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</si>
  <si>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</si>
  <si>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</si>
  <si>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</si>
  <si>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</si>
  <si>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</si>
  <si>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</si>
  <si>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</si>
  <si>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</si>
  <si>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</si>
  <si>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</si>
  <si>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</si>
  <si>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</si>
  <si>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</si>
  <si>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</si>
  <si>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</si>
  <si>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</si>
  <si>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</si>
  <si>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</si>
  <si>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</si>
  <si>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</si>
  <si>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</si>
  <si>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</si>
  <si>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</si>
  <si>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</si>
  <si>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</si>
  <si>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</si>
  <si>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</si>
  <si>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</si>
  <si>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</si>
  <si>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</si>
  <si>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</si>
  <si>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</si>
  <si>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</si>
  <si>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</si>
  <si>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</si>
  <si>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</si>
  <si>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</si>
  <si>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</si>
  <si>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</si>
  <si>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</si>
  <si>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</si>
  <si>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</si>
  <si>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</si>
  <si>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</si>
  <si>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</si>
  <si>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</si>
  <si>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</si>
  <si>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</si>
  <si>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</si>
  <si>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</si>
  <si>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</si>
  <si>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</si>
  <si>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</si>
  <si>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</si>
  <si>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</si>
  <si>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</si>
  <si>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</si>
  <si>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</si>
  <si>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</si>
  <si>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</si>
  <si>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</si>
  <si>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</si>
  <si>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</si>
  <si>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</si>
  <si>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</si>
  <si>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</si>
  <si>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</si>
  <si>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</si>
  <si>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</si>
  <si>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</si>
  <si>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</si>
  <si>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</si>
  <si>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</si>
  <si>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</si>
  <si>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</si>
  <si>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</si>
  <si>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</si>
  <si>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</si>
  <si>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</si>
  <si>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</si>
  <si>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</si>
  <si>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</si>
  <si>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</si>
  <si>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</si>
  <si>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</si>
  <si>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</si>
  <si>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</si>
  <si>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</si>
  <si>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</si>
  <si>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</si>
  <si>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</si>
  <si>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</si>
  <si>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</si>
  <si>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</si>
  <si>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</si>
  <si>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</si>
  <si>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</si>
  <si>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</si>
  <si>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</si>
  <si>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</si>
  <si>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</si>
  <si>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</si>
  <si>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</si>
  <si>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</si>
  <si>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</si>
  <si>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</si>
  <si>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</si>
  <si>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</si>
  <si>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</si>
  <si>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</si>
  <si>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</si>
  <si>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</si>
  <si>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</si>
  <si>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</si>
  <si>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</si>
  <si>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</si>
  <si>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</si>
  <si>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</si>
  <si>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</si>
  <si>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</si>
  <si>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</si>
  <si>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</si>
  <si>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</si>
  <si>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</si>
  <si>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</si>
  <si>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</si>
  <si>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</si>
  <si>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</si>
  <si>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</si>
  <si>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</si>
  <si>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</si>
  <si>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</si>
  <si>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</si>
  <si>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</si>
  <si>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</si>
  <si>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</si>
  <si>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</si>
  <si>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</si>
  <si>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</si>
  <si>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</si>
  <si>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</si>
  <si>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</si>
  <si>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</si>
  <si>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</si>
  <si>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</si>
  <si>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</si>
  <si>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</si>
  <si>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</si>
  <si>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</si>
  <si>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</si>
  <si>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</si>
  <si>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</si>
  <si>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</si>
  <si>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</si>
  <si>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</si>
  <si>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</si>
  <si>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</si>
  <si>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</si>
  <si>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</si>
  <si>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</si>
  <si>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</si>
  <si>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</si>
  <si>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</si>
  <si>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</si>
  <si>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</si>
  <si>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</si>
  <si>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</si>
  <si>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</si>
  <si>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</si>
  <si>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</si>
  <si>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</si>
  <si>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</si>
  <si>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</si>
  <si>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</si>
  <si>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</si>
  <si>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</si>
  <si>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</si>
  <si>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</si>
  <si>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</si>
  <si>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</si>
  <si>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</si>
  <si>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</si>
  <si>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</si>
  <si>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</si>
  <si>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</si>
  <si>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</si>
  <si>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</si>
  <si>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</si>
  <si>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</si>
  <si>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</si>
  <si>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</si>
  <si>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</si>
  <si>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</si>
  <si>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</si>
  <si>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</si>
  <si>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</si>
  <si>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</si>
  <si>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</si>
  <si>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</si>
  <si>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</si>
  <si>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</si>
  <si>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</si>
  <si>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</si>
  <si>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</si>
  <si>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</si>
  <si>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</si>
  <si>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</si>
  <si>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</si>
  <si>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</si>
  <si>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</si>
  <si>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</si>
  <si>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</si>
  <si>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</si>
  <si>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</si>
  <si>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</si>
  <si>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</si>
  <si>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</si>
  <si>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</si>
  <si>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</si>
  <si>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</si>
  <si>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</si>
  <si>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</si>
  <si>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</si>
  <si>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</si>
  <si>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</si>
  <si>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</si>
  <si>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</si>
  <si>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</si>
  <si>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</si>
  <si>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</si>
  <si>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</si>
  <si>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</si>
  <si>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</si>
  <si>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</si>
  <si>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</si>
  <si>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</si>
  <si>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</si>
  <si>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</si>
  <si>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</si>
  <si>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</si>
  <si>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</si>
  <si>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</si>
  <si>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</si>
  <si>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</si>
  <si>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</si>
  <si>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</si>
  <si>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</si>
  <si>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</si>
  <si>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</si>
  <si>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</si>
  <si>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</si>
  <si>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</si>
  <si>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</si>
  <si>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</si>
  <si>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</si>
  <si>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</si>
  <si>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</si>
  <si>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</si>
  <si>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</si>
  <si>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</si>
  <si>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</si>
  <si>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</si>
  <si>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</si>
  <si>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</si>
  <si>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</si>
  <si>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</si>
  <si>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</si>
  <si>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</si>
  <si>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</si>
  <si>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</si>
  <si>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</si>
  <si>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</si>
  <si>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</si>
  <si>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</si>
  <si>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</si>
  <si>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</si>
  <si>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</si>
  <si>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</si>
  <si>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</si>
  <si>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</si>
  <si>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</si>
  <si>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</si>
  <si>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</si>
  <si>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</si>
  <si>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</si>
  <si>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</si>
  <si>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</si>
  <si>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</si>
  <si>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</si>
  <si>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</si>
  <si>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</si>
  <si>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</si>
  <si>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</si>
  <si>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</si>
  <si>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</si>
  <si>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</si>
  <si>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</si>
  <si>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</si>
  <si>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</si>
  <si>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</si>
  <si>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</si>
  <si>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</si>
  <si>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</si>
  <si>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</si>
  <si>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</si>
  <si>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</si>
  <si>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</si>
  <si>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</si>
  <si>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</si>
  <si>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</si>
  <si>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</si>
  <si>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</si>
  <si>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</si>
  <si>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</si>
  <si>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</si>
  <si>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</si>
  <si>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</si>
  <si>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</si>
  <si>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</si>
  <si>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</si>
  <si>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</si>
  <si>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</si>
  <si>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</si>
  <si>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</si>
  <si>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</si>
  <si>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</si>
  <si>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</si>
  <si>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</si>
  <si>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</si>
  <si>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</si>
  <si>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</si>
  <si>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</si>
  <si>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</si>
  <si>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</si>
  <si>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</si>
  <si>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</si>
  <si>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</si>
  <si>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</si>
  <si>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</si>
  <si>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</si>
  <si>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</si>
  <si>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</si>
  <si>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</si>
  <si>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</si>
  <si>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</si>
  <si>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</si>
  <si>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</si>
  <si>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</si>
  <si>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</si>
  <si>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</si>
  <si>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</si>
  <si>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</si>
  <si>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</si>
  <si>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</si>
  <si>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</si>
  <si>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</si>
  <si>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</si>
  <si>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</si>
  <si>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</si>
  <si>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</si>
  <si>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</si>
  <si>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</si>
  <si>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</si>
  <si>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</si>
  <si>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</si>
  <si>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</si>
  <si>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</si>
  <si>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</si>
  <si>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</si>
  <si>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</si>
  <si>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</si>
  <si>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</si>
  <si>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</si>
  <si>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</si>
  <si>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</si>
  <si>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</si>
  <si>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</si>
  <si>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</si>
  <si>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</si>
  <si>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</si>
  <si>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</si>
  <si>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</si>
  <si>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</si>
  <si>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</si>
  <si>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</si>
  <si>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</si>
  <si>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</si>
  <si>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</si>
  <si>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</si>
  <si>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</si>
  <si>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</si>
  <si>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</si>
  <si>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</si>
  <si>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</si>
  <si>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</si>
  <si>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</si>
  <si>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</si>
  <si>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</si>
  <si>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</si>
  <si>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</si>
  <si>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</si>
  <si>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</si>
  <si>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</si>
  <si>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</si>
  <si>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</si>
  <si>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</si>
  <si>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</si>
  <si>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</si>
  <si>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</si>
  <si>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</si>
  <si>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</si>
  <si>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</si>
  <si>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</si>
  <si>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</si>
  <si>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</si>
  <si>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</si>
  <si>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</si>
  <si>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</si>
  <si>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</si>
  <si>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</si>
  <si>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</si>
  <si>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</si>
  <si>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</si>
  <si>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</si>
  <si>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</si>
  <si>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</si>
  <si>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</si>
  <si>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</si>
  <si>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</si>
  <si>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</si>
  <si>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</si>
  <si>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</si>
  <si>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</si>
  <si>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</si>
  <si>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</si>
  <si>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</si>
  <si>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</si>
  <si>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</si>
  <si>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</si>
  <si>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</si>
  <si>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</si>
  <si>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</si>
  <si>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</si>
  <si>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</si>
  <si>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</si>
  <si>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</si>
  <si>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</si>
  <si>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</si>
  <si>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</si>
  <si>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</si>
  <si>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</si>
  <si>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</si>
  <si>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</si>
  <si>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</si>
  <si>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</si>
  <si>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</si>
  <si>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</si>
  <si>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</si>
  <si>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</si>
  <si>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</si>
  <si>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</si>
  <si>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</si>
  <si>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</si>
  <si>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</si>
  <si>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</si>
  <si>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</si>
  <si>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</si>
  <si>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</si>
  <si>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</si>
  <si>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</si>
  <si>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</si>
  <si>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</si>
  <si>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</si>
  <si>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</si>
  <si>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</si>
  <si>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</si>
  <si>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</si>
  <si>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</si>
  <si>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</si>
  <si>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</si>
  <si>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</si>
  <si>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</si>
  <si>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</si>
  <si>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</si>
  <si>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</si>
  <si>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</si>
  <si>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</si>
  <si>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</si>
  <si>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</si>
  <si>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</si>
  <si>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</si>
  <si>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</si>
  <si>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</si>
  <si>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</si>
  <si>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</si>
  <si>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</si>
  <si>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</si>
  <si>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</si>
  <si>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</si>
  <si>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</si>
  <si>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</si>
  <si>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</si>
  <si>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</si>
  <si>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</si>
  <si>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</si>
  <si>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</si>
  <si>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</si>
  <si>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</si>
  <si>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</si>
  <si>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</si>
  <si>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</si>
  <si>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</si>
  <si>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</si>
  <si>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</si>
  <si>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</si>
  <si>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</si>
  <si>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</si>
  <si>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</si>
  <si>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</si>
  <si>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</si>
  <si>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</si>
  <si>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</si>
  <si>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</si>
  <si>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</si>
  <si>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</si>
  <si>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</si>
  <si>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</si>
  <si>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</si>
  <si>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</si>
  <si>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</si>
  <si>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</si>
  <si>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</si>
  <si>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</si>
  <si>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</si>
  <si>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</si>
  <si>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</si>
  <si>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</si>
  <si>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</si>
  <si>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</si>
  <si>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</si>
  <si>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</si>
  <si>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</si>
  <si>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</si>
  <si>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</si>
  <si>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</si>
  <si>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</si>
  <si>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</si>
  <si>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</si>
  <si>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</si>
  <si>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</si>
  <si>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</si>
  <si>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</si>
  <si>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</si>
  <si>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</si>
  <si>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</si>
  <si>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</si>
  <si>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</si>
  <si>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</si>
  <si>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</si>
  <si>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</si>
  <si>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</si>
  <si>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</si>
  <si>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</si>
  <si>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</si>
  <si>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</si>
  <si>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</si>
  <si>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</si>
  <si>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</si>
  <si>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</si>
  <si>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</si>
  <si>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</si>
  <si>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</si>
  <si>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</si>
  <si>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</si>
  <si>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</si>
  <si>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</si>
  <si>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</si>
  <si>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</si>
  <si>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</si>
  <si>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</si>
  <si>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</si>
  <si>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</si>
  <si>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</si>
  <si>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</si>
  <si>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</si>
  <si>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</si>
  <si>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</si>
  <si>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</si>
  <si>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</si>
  <si>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</si>
  <si>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</si>
  <si>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</si>
  <si>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</si>
  <si>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</si>
  <si>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</si>
  <si>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</si>
  <si>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</si>
  <si>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</si>
  <si>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</si>
  <si>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</si>
  <si>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</si>
  <si>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</si>
  <si>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</si>
  <si>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</si>
  <si>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</si>
  <si>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</si>
  <si>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</si>
  <si>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</si>
  <si>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</si>
  <si>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</si>
  <si>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</si>
  <si>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</si>
  <si>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</si>
  <si>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</si>
  <si>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</si>
  <si>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</si>
  <si>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</si>
  <si>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</si>
  <si>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</si>
  <si>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</si>
  <si>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</si>
  <si>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</si>
  <si>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</si>
  <si>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</si>
  <si>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</si>
  <si>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</si>
  <si>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</si>
  <si>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</si>
  <si>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</si>
  <si>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</si>
  <si>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</si>
  <si>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</si>
  <si>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</si>
  <si>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</si>
  <si>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</si>
  <si>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</si>
  <si>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</si>
  <si>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</si>
  <si>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</si>
  <si>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</si>
  <si>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</si>
  <si>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</si>
  <si>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</si>
  <si>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</si>
  <si>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</si>
  <si>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</si>
  <si>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</si>
  <si>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</si>
  <si>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</si>
  <si>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</si>
  <si>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</si>
  <si>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</si>
  <si>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</si>
  <si>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</si>
  <si>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</si>
  <si>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</si>
  <si>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</si>
  <si>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</si>
  <si>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</si>
  <si>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</si>
  <si>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</si>
  <si>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</si>
  <si>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</si>
  <si>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</si>
  <si>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</si>
  <si>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</si>
  <si>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</si>
  <si>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</si>
  <si>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</si>
  <si>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</si>
  <si>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</si>
  <si>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</si>
  <si>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</si>
  <si>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</si>
  <si>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</si>
  <si>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</si>
  <si>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</si>
  <si>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</si>
  <si>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</si>
  <si>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</si>
  <si>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</si>
  <si>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</si>
  <si>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</si>
  <si>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</si>
  <si>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</si>
  <si>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</si>
  <si>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</si>
  <si>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</si>
  <si>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</si>
  <si>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</si>
  <si>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</si>
  <si>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</si>
  <si>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</si>
  <si>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</si>
  <si>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</si>
  <si>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</si>
  <si>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</si>
  <si>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</si>
  <si>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</si>
  <si>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</si>
  <si>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</si>
  <si>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</si>
  <si>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</si>
  <si>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</si>
  <si>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</si>
  <si>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</si>
  <si>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</si>
  <si>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</si>
  <si>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</si>
  <si>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</si>
  <si>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</si>
  <si>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</si>
  <si>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</si>
  <si>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</si>
  <si>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</si>
  <si>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</si>
  <si>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</si>
  <si>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</si>
  <si>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</si>
  <si>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</si>
  <si>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</si>
  <si>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</si>
  <si>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</si>
  <si>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</si>
  <si>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</si>
  <si>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</si>
  <si>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</si>
  <si>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</si>
  <si>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</si>
  <si>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</si>
  <si>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</si>
  <si>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</si>
  <si>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</si>
  <si>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</si>
  <si>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</si>
  <si>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</si>
  <si>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</si>
  <si>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</si>
  <si>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</si>
  <si>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</si>
  <si>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</si>
  <si>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</si>
  <si>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</si>
  <si>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</si>
  <si>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</si>
  <si>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</si>
  <si>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</si>
  <si>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</si>
  <si>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</si>
  <si>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</si>
  <si>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</si>
  <si>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</si>
  <si>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</si>
  <si>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</si>
  <si>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</si>
  <si>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</si>
  <si>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</si>
  <si>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</si>
  <si>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</si>
  <si>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</si>
  <si>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</si>
  <si>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</si>
  <si>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</si>
  <si>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</si>
  <si>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</si>
  <si>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</si>
  <si>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</si>
  <si>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</si>
  <si>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</si>
  <si>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</si>
  <si>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</si>
  <si>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</si>
  <si>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</si>
  <si>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</si>
  <si>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</si>
  <si>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</si>
  <si>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</si>
  <si>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</si>
  <si>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</si>
  <si>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</si>
  <si>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</si>
  <si>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</si>
  <si>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</si>
  <si>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</si>
  <si>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</si>
  <si>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</si>
  <si>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</si>
  <si>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</si>
  <si>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</si>
  <si>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</si>
  <si>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</si>
  <si>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</si>
  <si>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</si>
  <si>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</si>
  <si>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</si>
  <si>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</si>
  <si>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</si>
  <si>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</si>
  <si>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</si>
  <si>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</si>
  <si>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</si>
  <si>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</si>
  <si>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</si>
  <si>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</si>
  <si>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</si>
  <si>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</si>
  <si>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</si>
  <si>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</si>
  <si>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</si>
  <si>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</si>
  <si>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</si>
  <si>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</si>
  <si>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</si>
  <si>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</si>
  <si>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</si>
  <si>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</si>
  <si>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</si>
  <si>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</si>
  <si>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</si>
  <si>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</si>
  <si>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</si>
  <si>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</si>
  <si>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</si>
  <si>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</si>
  <si>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</si>
  <si>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</si>
  <si>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</si>
  <si>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</si>
  <si>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</si>
  <si>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</si>
  <si>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</si>
  <si>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</si>
  <si>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</si>
  <si>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</si>
  <si>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</si>
  <si>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</si>
  <si>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</si>
  <si>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</si>
  <si>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</si>
  <si>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</si>
  <si>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</si>
  <si>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</si>
  <si>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</si>
  <si>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</si>
  <si>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</si>
  <si>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</si>
  <si>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</si>
  <si>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</si>
  <si>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</si>
  <si>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</si>
  <si>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</si>
  <si>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</si>
  <si>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</si>
  <si>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</si>
  <si>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</si>
  <si>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</si>
  <si>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</si>
  <si>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</si>
  <si>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</si>
  <si>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</si>
  <si>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</si>
  <si>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</si>
  <si>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</si>
  <si>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</si>
  <si>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</si>
  <si>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</si>
  <si>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</si>
  <si>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</si>
  <si>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</si>
  <si>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</si>
  <si>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</si>
  <si>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</si>
  <si>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</si>
  <si>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</si>
  <si>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</si>
  <si>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</si>
  <si>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</si>
  <si>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</si>
  <si>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</si>
  <si>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</si>
  <si>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</si>
  <si>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</si>
  <si>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</si>
  <si>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</si>
  <si>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</si>
  <si>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</si>
  <si>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</si>
  <si>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</si>
  <si>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</si>
  <si>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</si>
  <si>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</si>
  <si>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</si>
  <si>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</si>
  <si>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</si>
  <si>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</si>
  <si>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</si>
  <si>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</si>
  <si>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</si>
  <si>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</si>
  <si>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</si>
  <si>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</si>
  <si>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</si>
  <si>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</si>
  <si>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</si>
  <si>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</si>
  <si>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</si>
  <si>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</si>
  <si>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</si>
  <si>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</si>
  <si>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</si>
  <si>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</si>
  <si>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</si>
  <si>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</si>
  <si>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</si>
  <si>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</si>
  <si>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</si>
  <si>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</si>
  <si>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</si>
  <si>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</si>
  <si>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</si>
  <si>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</si>
  <si>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</si>
  <si>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</si>
  <si>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</si>
  <si>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</si>
  <si>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</si>
  <si>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</si>
  <si>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</si>
  <si>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</si>
  <si>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</si>
  <si>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</si>
  <si>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</si>
  <si>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</si>
  <si>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</si>
  <si>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</si>
  <si>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</si>
  <si>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</si>
  <si>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</si>
  <si>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</si>
  <si>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</si>
  <si>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</si>
  <si>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</si>
  <si>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</si>
  <si>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</si>
  <si>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</si>
  <si>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</si>
  <si>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</si>
  <si>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</si>
  <si>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</si>
  <si>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</si>
  <si>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</si>
  <si>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</si>
  <si>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</si>
  <si>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</si>
  <si>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</si>
  <si>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</si>
  <si>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</si>
  <si>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</si>
  <si>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</si>
  <si>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</si>
  <si>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</si>
  <si>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</si>
  <si>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</si>
  <si>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</si>
  <si>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</si>
  <si>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</si>
  <si>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</si>
  <si>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</si>
  <si>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</si>
  <si>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</si>
  <si>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</si>
  <si>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</si>
  <si>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</si>
  <si>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</si>
  <si>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</si>
  <si>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</si>
  <si>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</si>
  <si>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</si>
  <si>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</si>
  <si>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</si>
  <si>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</si>
  <si>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</si>
  <si>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</si>
  <si>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</si>
  <si>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</si>
  <si>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</si>
  <si>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</si>
  <si>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</si>
  <si>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</si>
  <si>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</si>
  <si>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</si>
  <si>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</si>
  <si>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</si>
  <si>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</si>
  <si>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</si>
  <si>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</si>
  <si>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</si>
  <si>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</si>
  <si>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</si>
  <si>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</si>
  <si>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</si>
  <si>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</si>
  <si>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</si>
  <si>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</si>
  <si>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</si>
  <si>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</si>
  <si>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</si>
  <si>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</si>
  <si>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</si>
  <si>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</si>
  <si>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</si>
  <si>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</si>
  <si>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</si>
  <si>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</si>
  <si>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</si>
  <si>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</si>
  <si>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</si>
  <si>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</si>
  <si>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</si>
  <si>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</si>
  <si>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</si>
  <si>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</si>
  <si>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</si>
  <si>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</si>
  <si>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</si>
  <si>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</si>
  <si>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</si>
  <si>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</si>
  <si>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</si>
  <si>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</si>
  <si>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</si>
  <si>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</si>
  <si>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</si>
  <si>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</si>
  <si>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</si>
  <si>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</si>
  <si>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</si>
  <si>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</si>
  <si>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</si>
  <si>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</si>
  <si>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</si>
  <si>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</si>
  <si>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</si>
  <si>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</si>
  <si>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</si>
  <si>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</si>
  <si>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</si>
  <si>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</si>
  <si>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</si>
  <si>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</si>
  <si>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</si>
  <si>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</si>
  <si>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</si>
  <si>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</si>
  <si>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</si>
  <si>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</si>
  <si>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</si>
  <si>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</si>
  <si>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</si>
  <si>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</si>
  <si>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</si>
  <si>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</si>
  <si>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</si>
  <si>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</si>
  <si>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</si>
  <si>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</si>
  <si>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</si>
  <si>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</si>
  <si>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</si>
  <si>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</si>
  <si>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</si>
  <si>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</si>
  <si>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</si>
  <si>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</si>
  <si>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</si>
  <si>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</si>
  <si>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</si>
  <si>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</si>
  <si>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</si>
  <si>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</si>
  <si>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</si>
  <si>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</si>
  <si>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</si>
  <si>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</si>
  <si>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</si>
  <si>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</si>
  <si>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</si>
  <si>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</si>
  <si>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</si>
  <si>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</si>
  <si>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</si>
  <si>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</si>
  <si>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</si>
  <si>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</si>
  <si>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</si>
  <si>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</si>
  <si>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</si>
  <si>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</si>
  <si>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</si>
  <si>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</si>
  <si>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</si>
  <si>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</si>
  <si>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</si>
  <si>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</si>
  <si>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</si>
  <si>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</si>
  <si>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</si>
  <si>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</si>
  <si>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</si>
  <si>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</si>
  <si>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</si>
  <si>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</si>
  <si>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</si>
  <si>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</si>
  <si>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</si>
  <si>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</si>
  <si>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</si>
  <si>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</si>
  <si>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</si>
  <si>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</si>
  <si>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</si>
  <si>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</si>
  <si>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</si>
  <si>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</si>
  <si>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</si>
  <si>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</si>
  <si>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</si>
  <si>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</si>
  <si>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</si>
  <si>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</si>
  <si>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</si>
  <si>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</si>
  <si>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</si>
  <si>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</si>
  <si>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</si>
  <si>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</si>
  <si>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</si>
  <si>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</si>
  <si>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</si>
  <si>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</si>
  <si>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</si>
  <si>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</si>
  <si>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</si>
  <si>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</si>
  <si>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</si>
  <si>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</si>
  <si>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</si>
  <si>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</si>
  <si>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</si>
  <si>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</si>
  <si>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</si>
  <si>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</si>
  <si>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</si>
  <si>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</si>
  <si>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</si>
  <si>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</si>
  <si>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</si>
  <si>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</si>
  <si>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</si>
  <si>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</si>
  <si>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</si>
  <si>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</si>
  <si>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</si>
  <si>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</si>
  <si>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</si>
  <si>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</si>
  <si>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</si>
  <si>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</si>
  <si>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</si>
  <si>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</si>
  <si>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</si>
  <si>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</si>
  <si>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</si>
  <si>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</si>
  <si>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</si>
  <si>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</si>
  <si>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</si>
  <si>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</si>
  <si>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</si>
  <si>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</si>
  <si>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</si>
  <si>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</si>
  <si>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</si>
  <si>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</si>
  <si>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</si>
  <si>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</si>
  <si>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</si>
  <si>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</si>
  <si>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</si>
  <si>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</si>
  <si>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</si>
  <si>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</si>
  <si>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</si>
  <si>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</si>
  <si>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</si>
  <si>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</si>
  <si>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</si>
  <si>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</si>
  <si>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</si>
  <si>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</si>
  <si>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</si>
  <si>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</si>
  <si>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</si>
  <si>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</si>
  <si>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</si>
  <si>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</si>
  <si>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</si>
  <si>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</si>
  <si>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</si>
  <si>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</si>
  <si>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</si>
  <si>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</si>
  <si>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</si>
  <si>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</si>
  <si>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</si>
  <si>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</si>
  <si>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</si>
  <si>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</si>
  <si>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</si>
  <si>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</si>
  <si>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</si>
  <si>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</si>
  <si>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</si>
  <si>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</si>
  <si>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</si>
  <si>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</si>
  <si>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</si>
  <si>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</si>
  <si>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</si>
  <si>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</si>
  <si>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</si>
  <si>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</si>
  <si>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</si>
  <si>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</si>
  <si>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</si>
  <si>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</si>
  <si>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</si>
  <si>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</si>
  <si>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</si>
  <si>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</si>
  <si>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</si>
  <si>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</si>
  <si>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</si>
  <si>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</si>
  <si>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</si>
  <si>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</si>
  <si>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</si>
  <si>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</si>
  <si>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</si>
  <si>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</si>
  <si>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</si>
  <si>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</si>
  <si>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</si>
  <si>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</si>
  <si>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</si>
  <si>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</si>
  <si>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</si>
  <si>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</si>
  <si>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</si>
  <si>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</si>
  <si>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</si>
  <si>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</si>
  <si>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</si>
  <si>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</si>
  <si>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</si>
  <si>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</si>
  <si>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</si>
  <si>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</si>
  <si>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</si>
  <si>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</si>
  <si>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</si>
  <si>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</si>
  <si>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</si>
  <si>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</si>
  <si>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</si>
  <si>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</si>
  <si>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</si>
  <si>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</si>
  <si>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</si>
  <si>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</si>
  <si>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</si>
  <si>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</si>
  <si>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</si>
  <si>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</si>
  <si>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</si>
  <si>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</si>
  <si>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</si>
  <si>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</si>
  <si>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</si>
  <si>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</si>
  <si>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</si>
  <si>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</si>
  <si>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</si>
  <si>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</si>
  <si>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</si>
  <si>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</si>
  <si>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</si>
  <si>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</si>
  <si>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</si>
  <si>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</si>
  <si>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</si>
  <si>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</si>
  <si>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</si>
  <si>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</si>
  <si>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</si>
  <si>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</si>
  <si>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</si>
  <si>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</si>
  <si>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</si>
  <si>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</si>
  <si>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</si>
  <si>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</si>
  <si>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</si>
  <si>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</si>
  <si>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</si>
  <si>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</si>
  <si>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</si>
  <si>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</si>
  <si>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</si>
  <si>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</si>
  <si>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</si>
  <si>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</si>
  <si>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</si>
  <si>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</si>
  <si>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</si>
  <si>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</si>
  <si>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</si>
  <si>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</si>
  <si>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</si>
  <si>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</si>
  <si>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</si>
  <si>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</si>
  <si>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</si>
  <si>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</si>
  <si>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</si>
  <si>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</si>
  <si>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</si>
  <si>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</si>
  <si>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</si>
  <si>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</si>
  <si>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</si>
  <si>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</si>
  <si>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</si>
  <si>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</si>
  <si>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</si>
  <si>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</si>
  <si>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</si>
  <si>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</si>
  <si>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</si>
  <si>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</si>
  <si>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</si>
  <si>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</si>
  <si>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</si>
  <si>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</si>
  <si>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</si>
  <si>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</si>
  <si>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</si>
  <si>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</si>
  <si>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</si>
  <si>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</si>
  <si>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</si>
  <si>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</si>
  <si>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</si>
  <si>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</si>
  <si>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</si>
  <si>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</si>
  <si>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</si>
  <si>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</si>
  <si>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</si>
  <si>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</si>
  <si>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</si>
  <si>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</si>
  <si>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</si>
  <si>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</si>
  <si>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</si>
  <si>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</si>
  <si>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</si>
  <si>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</si>
  <si>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</si>
  <si>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</si>
  <si>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</si>
  <si>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</si>
  <si>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</si>
  <si>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</si>
  <si>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</si>
  <si>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</si>
  <si>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</si>
  <si>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</si>
  <si>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</si>
  <si>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</si>
  <si>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</si>
  <si>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</si>
  <si>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</si>
  <si>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</si>
  <si>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</si>
  <si>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</si>
  <si>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</si>
  <si>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</si>
  <si>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</si>
  <si>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</si>
  <si>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</si>
  <si>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</si>
  <si>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</si>
  <si>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</si>
  <si>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</si>
  <si>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</si>
  <si>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</si>
  <si>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</si>
  <si>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</si>
  <si>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</si>
  <si>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</si>
  <si>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</si>
  <si>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</si>
  <si>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</si>
  <si>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</si>
  <si>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</si>
  <si>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</si>
  <si>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</si>
  <si>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</si>
  <si>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</si>
  <si>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</si>
  <si>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</si>
  <si>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</si>
  <si>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</si>
  <si>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</si>
  <si>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</si>
  <si>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</si>
  <si>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</si>
  <si>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</si>
  <si>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</si>
  <si>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</si>
  <si>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</si>
  <si>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</si>
  <si>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</si>
  <si>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</si>
  <si>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</si>
  <si>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</si>
  <si>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</si>
  <si>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</si>
  <si>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</si>
  <si>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</si>
  <si>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</si>
  <si>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</si>
  <si>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</si>
  <si>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</si>
  <si>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</si>
  <si>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</si>
  <si>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</si>
  <si>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</si>
  <si>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</si>
  <si>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</si>
  <si>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</si>
  <si>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</si>
  <si>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</si>
  <si>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</si>
  <si>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</si>
  <si>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</si>
  <si>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</si>
  <si>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</si>
  <si>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</si>
  <si>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</si>
  <si>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</si>
  <si>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</si>
  <si>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</si>
  <si>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</si>
  <si>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</si>
  <si>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</si>
  <si>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</si>
  <si>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</si>
  <si>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</si>
  <si>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</si>
  <si>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</si>
  <si>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</si>
  <si>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</si>
  <si>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</si>
  <si>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</si>
  <si>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</si>
  <si>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</si>
  <si>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</si>
  <si>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</si>
  <si>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</si>
  <si>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</si>
  <si>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</si>
  <si>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</si>
  <si>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</si>
  <si>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</si>
  <si>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</si>
  <si>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</si>
  <si>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</si>
  <si>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</si>
  <si>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</si>
  <si>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</si>
  <si>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</si>
  <si>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</si>
  <si>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</si>
  <si>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</si>
  <si>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</si>
  <si>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</si>
  <si>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</si>
  <si>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</si>
  <si>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</si>
  <si>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</si>
  <si>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</si>
  <si>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</si>
  <si>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</si>
  <si>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</si>
  <si>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</si>
  <si>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</si>
  <si>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</si>
  <si>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</si>
  <si>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</si>
  <si>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</si>
  <si>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</si>
  <si>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</si>
  <si>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</si>
  <si>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</si>
  <si>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</si>
  <si>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</si>
  <si>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</si>
  <si>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</si>
  <si>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</si>
  <si>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</si>
  <si>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</si>
  <si>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</si>
  <si>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</si>
  <si>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</si>
  <si>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</si>
  <si>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</si>
  <si>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</si>
  <si>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</si>
  <si>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</si>
  <si>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</si>
  <si>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</si>
  <si>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</si>
  <si>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</si>
  <si>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</si>
  <si>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</si>
  <si>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</si>
  <si>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</si>
  <si>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</si>
  <si>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</si>
  <si>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</si>
  <si>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</si>
  <si>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</si>
  <si>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</si>
  <si>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</si>
  <si>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</si>
  <si>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</si>
  <si>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</si>
  <si>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</si>
  <si>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</si>
  <si>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</si>
  <si>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</si>
  <si>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</si>
  <si>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</si>
  <si>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</si>
  <si>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</si>
  <si>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</si>
  <si>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</si>
  <si>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</si>
  <si>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</si>
  <si>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</si>
  <si>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</si>
  <si>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</si>
  <si>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</si>
  <si>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</si>
  <si>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</si>
  <si>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</si>
  <si>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</si>
  <si>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</si>
  <si>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</si>
  <si>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</si>
  <si>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</si>
  <si>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</si>
  <si>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</si>
  <si>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</si>
  <si>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</si>
  <si>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</si>
  <si>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</si>
  <si>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</si>
  <si>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</si>
  <si>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</si>
  <si>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</si>
  <si>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</si>
  <si>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</si>
  <si>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</si>
  <si>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</si>
  <si>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</si>
  <si>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</si>
  <si>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</si>
  <si>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</si>
  <si>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</si>
  <si>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</si>
  <si>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</si>
  <si>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</si>
  <si>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</si>
  <si>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</si>
  <si>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</si>
  <si>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</si>
  <si>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</si>
  <si>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</si>
  <si>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</si>
  <si>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</si>
  <si>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</si>
  <si>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</si>
  <si>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</si>
  <si>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</si>
  <si>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</si>
  <si>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</si>
  <si>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</si>
  <si>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</si>
  <si>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</si>
  <si>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</si>
  <si>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</si>
  <si>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</si>
  <si>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</si>
  <si>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</si>
  <si>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</si>
  <si>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</si>
  <si>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</si>
  <si>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</si>
  <si>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</si>
  <si>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</si>
  <si>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</si>
  <si>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</si>
  <si>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</si>
  <si>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</si>
  <si>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</si>
  <si>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</si>
  <si>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</si>
  <si>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</si>
  <si>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</si>
  <si>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</si>
  <si>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</si>
  <si>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</si>
  <si>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</si>
  <si>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</si>
  <si>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</si>
  <si>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</si>
  <si>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</si>
  <si>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</si>
  <si>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</si>
  <si>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</si>
  <si>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</si>
  <si>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</si>
  <si>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</si>
  <si>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</si>
  <si>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</si>
  <si>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</si>
  <si>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</si>
  <si>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</si>
  <si>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</si>
  <si>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</si>
  <si>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</si>
  <si>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</si>
  <si>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</si>
  <si>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</si>
  <si>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</si>
  <si>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</si>
  <si>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</si>
  <si>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</si>
  <si>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</si>
  <si>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</si>
  <si>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</si>
  <si>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</si>
  <si>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</si>
  <si>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</si>
  <si>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</si>
  <si>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</si>
  <si>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</si>
  <si>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</si>
  <si>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</si>
  <si>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</si>
  <si>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</si>
  <si>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</si>
  <si>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</si>
  <si>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</si>
  <si>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</si>
  <si>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</si>
  <si>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</si>
  <si>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</si>
  <si>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</si>
  <si>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</si>
  <si>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</si>
  <si>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</si>
  <si>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</si>
  <si>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</si>
  <si>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</si>
  <si>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</si>
  <si>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</si>
  <si>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</si>
  <si>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</si>
  <si>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</si>
  <si>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</si>
  <si>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</si>
  <si>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</si>
  <si>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</si>
  <si>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</si>
  <si>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</si>
  <si>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</si>
  <si>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</si>
  <si>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</si>
  <si>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</si>
  <si>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</si>
  <si>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</si>
  <si>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</si>
  <si>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</si>
  <si>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</si>
  <si>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</si>
  <si>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</si>
  <si>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</si>
  <si>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</si>
  <si>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</si>
  <si>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</si>
  <si>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</si>
  <si>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</si>
  <si>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</si>
  <si>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</si>
  <si>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</si>
  <si>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</si>
  <si>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</si>
  <si>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</si>
  <si>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</si>
  <si>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</si>
  <si>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</si>
  <si>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</si>
  <si>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</si>
  <si>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</si>
  <si>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</si>
  <si>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</si>
  <si>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</si>
  <si>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</si>
  <si>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</si>
  <si>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</si>
  <si>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</si>
  <si>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</si>
  <si>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</si>
  <si>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</si>
  <si>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</si>
  <si>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</si>
  <si>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</si>
  <si>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</si>
  <si>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</si>
  <si>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</si>
  <si>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</si>
  <si>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</si>
  <si>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</si>
  <si>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</si>
  <si>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</si>
  <si>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</si>
  <si>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</si>
  <si>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</si>
  <si>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</si>
  <si>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</si>
  <si>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</si>
  <si>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</si>
  <si>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</si>
  <si>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</si>
  <si>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</si>
  <si>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</si>
  <si>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</si>
  <si>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</si>
  <si>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</si>
  <si>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</si>
  <si>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</si>
  <si>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</si>
  <si>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</si>
  <si>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</si>
  <si>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</si>
  <si>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</si>
  <si>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</si>
  <si>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</si>
  <si>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</si>
  <si>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</si>
  <si>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</si>
  <si>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</si>
  <si>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</si>
  <si>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</si>
  <si>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</si>
  <si>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</si>
  <si>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</si>
  <si>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</si>
  <si>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</si>
  <si>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</si>
  <si>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</si>
  <si>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</si>
  <si>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</si>
  <si>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</si>
  <si>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</si>
  <si>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</si>
  <si>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</si>
  <si>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</si>
  <si>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</si>
  <si>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</si>
  <si>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</si>
  <si>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</si>
  <si>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</si>
  <si>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</si>
  <si>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</si>
  <si>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</si>
  <si>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</si>
  <si>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</si>
  <si>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</si>
  <si>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</si>
  <si>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</si>
  <si>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</si>
  <si>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</si>
  <si>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</si>
  <si>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</si>
  <si>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</si>
  <si>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</si>
  <si>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</si>
  <si>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</si>
  <si>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</si>
  <si>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</si>
  <si>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</si>
  <si>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</si>
  <si>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</si>
  <si>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</si>
  <si>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</si>
  <si>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</si>
  <si>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</si>
  <si>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</si>
  <si>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</si>
  <si>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</si>
  <si>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</si>
  <si>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</si>
  <si>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</si>
  <si>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</si>
  <si>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</si>
  <si>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</si>
  <si>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</si>
  <si>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</si>
  <si>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</si>
  <si>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</si>
  <si>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</si>
  <si>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</si>
  <si>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</si>
  <si>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</si>
  <si>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</si>
  <si>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</si>
  <si>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</si>
  <si>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</si>
  <si>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</si>
  <si>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</si>
  <si>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</si>
  <si>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</si>
  <si>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</si>
  <si>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</si>
  <si>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</si>
  <si>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</si>
  <si>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</si>
  <si>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</si>
  <si>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</si>
  <si>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</si>
  <si>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</si>
  <si>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</si>
  <si>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</si>
  <si>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</si>
  <si>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</si>
  <si>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</si>
  <si>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</si>
  <si>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</si>
  <si>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</si>
  <si>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</si>
  <si>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</si>
  <si>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</si>
  <si>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</si>
  <si>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</si>
  <si>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</si>
  <si>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</si>
  <si>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</si>
  <si>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</si>
  <si>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</si>
  <si>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</si>
  <si>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</si>
  <si>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</si>
  <si>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</si>
  <si>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</si>
  <si>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</si>
  <si>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</si>
  <si>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</si>
  <si>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</si>
  <si>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</si>
  <si>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</si>
  <si>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</si>
  <si>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</si>
  <si>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</si>
  <si>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</si>
  <si>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</si>
  <si>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</si>
  <si>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</si>
  <si>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</si>
  <si>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</si>
  <si>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</si>
  <si>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</si>
  <si>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</si>
  <si>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</si>
  <si>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</si>
  <si>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</si>
  <si>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</si>
  <si>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</si>
  <si>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</si>
  <si>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</si>
  <si>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</si>
  <si>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</si>
  <si>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</si>
  <si>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</si>
  <si>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</si>
  <si>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</si>
  <si>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</si>
  <si>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</si>
  <si>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</si>
  <si>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</si>
  <si>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</si>
  <si>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</si>
  <si>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</si>
  <si>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</si>
  <si>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</si>
  <si>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</si>
  <si>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</si>
  <si>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</si>
  <si>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</si>
  <si>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</si>
  <si>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</si>
  <si>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</si>
  <si>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</si>
  <si>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</si>
  <si>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</si>
  <si>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</si>
  <si>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</si>
  <si>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</si>
  <si>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</si>
  <si>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</si>
  <si>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</si>
  <si>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</si>
  <si>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</si>
  <si>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</si>
  <si>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</si>
  <si>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</si>
  <si>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</si>
  <si>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</si>
  <si>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</si>
  <si>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</si>
  <si>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</si>
  <si>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</si>
  <si>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</si>
  <si>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</si>
  <si>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</si>
  <si>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</si>
  <si>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</si>
  <si>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</si>
  <si>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</si>
  <si>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</si>
  <si>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</si>
  <si>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</si>
  <si>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</si>
  <si>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</si>
  <si>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</si>
  <si>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</si>
  <si>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</si>
  <si>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</si>
  <si>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</si>
  <si>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</si>
  <si>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</si>
  <si>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</si>
  <si>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</si>
  <si>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</si>
  <si>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</si>
  <si>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</si>
  <si>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</si>
  <si>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</si>
  <si>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</si>
  <si>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</si>
  <si>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</si>
  <si>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</si>
  <si>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</si>
  <si>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</si>
  <si>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</si>
  <si>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</si>
  <si>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</si>
  <si>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</si>
  <si>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</si>
  <si>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</si>
  <si>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</si>
  <si>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</si>
  <si>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</si>
  <si>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</si>
  <si>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</si>
  <si>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</si>
  <si>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</si>
  <si>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</si>
  <si>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</si>
  <si>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</si>
  <si>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</si>
  <si>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</si>
  <si>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</si>
  <si>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</si>
  <si>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</si>
  <si>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</si>
  <si>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</si>
  <si>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</si>
  <si>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</si>
  <si>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</si>
  <si>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</si>
  <si>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</si>
  <si>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</si>
  <si>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</si>
  <si>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</si>
  <si>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</si>
  <si>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</si>
  <si>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</si>
  <si>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</si>
  <si>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</si>
  <si>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</si>
  <si>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</si>
  <si>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</si>
  <si>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</si>
  <si>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</si>
  <si>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</si>
  <si>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</si>
  <si>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</si>
  <si>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</si>
  <si>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</si>
  <si>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</si>
  <si>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</si>
  <si>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</si>
  <si>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</si>
  <si>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</si>
  <si>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</si>
  <si>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</si>
  <si>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</si>
  <si>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</si>
  <si>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</si>
  <si>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</si>
  <si>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</si>
  <si>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</si>
  <si>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</si>
  <si>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</si>
  <si>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</si>
  <si>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</si>
  <si>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</si>
  <si>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</si>
  <si>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</si>
  <si>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</si>
  <si>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</si>
  <si>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</si>
  <si>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</si>
  <si>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</si>
  <si>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</si>
  <si>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</si>
  <si>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</si>
  <si>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</si>
  <si>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</si>
  <si>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</si>
  <si>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</si>
  <si>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</si>
  <si>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</si>
  <si>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</si>
  <si>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</si>
  <si>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</si>
  <si>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</si>
  <si>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</si>
  <si>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</si>
  <si>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</si>
  <si>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</si>
  <si>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</si>
  <si>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</si>
  <si>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</si>
  <si>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</si>
  <si>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</si>
  <si>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</si>
  <si>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</si>
  <si>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</si>
  <si>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</si>
  <si>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</si>
  <si>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</si>
  <si>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</si>
  <si>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</si>
  <si>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</si>
  <si>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</si>
  <si>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</si>
  <si>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</si>
  <si>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</si>
  <si>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</si>
  <si>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</si>
  <si>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</si>
  <si>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</si>
  <si>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</si>
  <si>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</si>
  <si>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</si>
  <si>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</si>
  <si>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</si>
  <si>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</si>
  <si>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</si>
  <si>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</si>
  <si>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</si>
  <si>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</si>
  <si>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</si>
  <si>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</si>
  <si>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</si>
  <si>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</si>
  <si>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</si>
  <si>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</si>
  <si>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</si>
  <si>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</si>
  <si>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</si>
  <si>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</si>
  <si>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</si>
  <si>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</si>
  <si>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</si>
  <si>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</si>
  <si>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</si>
  <si>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</si>
  <si>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</si>
  <si>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</si>
  <si>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</si>
  <si>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</si>
  <si>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</si>
  <si>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</si>
  <si>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</si>
  <si>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</si>
  <si>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</si>
  <si>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</si>
  <si>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</si>
  <si>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</si>
  <si>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</si>
  <si>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</si>
  <si>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</si>
  <si>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</si>
  <si>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</si>
  <si>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</si>
  <si>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</si>
  <si>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</si>
  <si>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</si>
  <si>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</si>
  <si>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</si>
  <si>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</si>
  <si>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</si>
  <si>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</si>
  <si>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</si>
  <si>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</si>
  <si>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</si>
  <si>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</si>
  <si>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</si>
  <si>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</si>
  <si>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</si>
  <si>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</si>
  <si>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</si>
  <si>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</si>
  <si>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</si>
  <si>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</si>
  <si>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</si>
  <si>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</si>
  <si>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</si>
  <si>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</si>
  <si>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</si>
  <si>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</si>
  <si>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</si>
  <si>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</si>
  <si>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</si>
  <si>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</si>
  <si>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</si>
  <si>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</si>
  <si>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</si>
  <si>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</si>
  <si>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</si>
  <si>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</si>
  <si>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</si>
  <si>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</si>
  <si>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</si>
  <si>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</si>
  <si>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</si>
  <si>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</si>
  <si>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</si>
  <si>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</si>
  <si>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</si>
  <si>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</si>
  <si>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</si>
  <si>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</si>
  <si>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</si>
  <si>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</si>
  <si>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</si>
  <si>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</si>
  <si>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</si>
  <si>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</si>
  <si>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</si>
  <si>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</si>
  <si>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</si>
  <si>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</si>
  <si>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</si>
  <si>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</si>
  <si>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</si>
  <si>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</si>
  <si>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</si>
  <si>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</si>
  <si>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</si>
  <si>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</si>
  <si>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</si>
  <si>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</si>
  <si>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</si>
  <si>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</si>
  <si>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</si>
  <si>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</si>
  <si>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</si>
  <si>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</si>
  <si>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</si>
  <si>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</si>
  <si>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</si>
  <si>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</si>
  <si>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</si>
  <si>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</si>
  <si>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</si>
  <si>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</si>
  <si>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</si>
  <si>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</si>
  <si>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</si>
  <si>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</si>
  <si>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</si>
  <si>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</si>
  <si>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</si>
  <si>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</si>
  <si>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</si>
  <si>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</si>
  <si>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</si>
  <si>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</si>
  <si>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</si>
  <si>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</si>
  <si>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</si>
  <si>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</si>
  <si>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</si>
  <si>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</si>
  <si>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</si>
  <si>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</si>
  <si>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</si>
  <si>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</si>
  <si>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</si>
  <si>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</si>
  <si>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</si>
  <si>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</si>
  <si>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</si>
  <si>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</si>
  <si>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</si>
  <si>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</si>
  <si>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</si>
  <si>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</si>
  <si>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</si>
  <si>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</si>
  <si>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</si>
  <si>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</si>
  <si>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</si>
  <si>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</si>
  <si>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</si>
  <si>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</si>
  <si>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</si>
  <si>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</si>
  <si>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</si>
  <si>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</si>
  <si>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</si>
  <si>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</si>
  <si>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</si>
  <si>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</si>
  <si>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</si>
  <si>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</si>
  <si>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</si>
  <si>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</si>
  <si>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</si>
  <si>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</si>
  <si>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</si>
  <si>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</si>
  <si>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</si>
  <si>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</si>
  <si>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</si>
  <si>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</si>
  <si>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</si>
  <si>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</si>
  <si>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</si>
  <si>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</si>
  <si>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</si>
  <si>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</si>
  <si>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</si>
  <si>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</si>
  <si>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</si>
  <si>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</si>
  <si>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</si>
  <si>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</si>
  <si>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</si>
  <si>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</si>
  <si>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</si>
  <si>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</si>
  <si>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</si>
  <si>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</si>
  <si>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</si>
  <si>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</si>
  <si>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</si>
  <si>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</si>
  <si>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</si>
  <si>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</si>
  <si>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</si>
  <si>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</si>
  <si>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</si>
  <si>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</si>
  <si>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</si>
  <si>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</si>
  <si>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</si>
  <si>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</si>
  <si>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</si>
  <si>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</si>
  <si>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</si>
  <si>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</si>
  <si>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</si>
  <si>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</si>
  <si>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</si>
  <si>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</si>
  <si>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</si>
  <si>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</si>
  <si>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</si>
  <si>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</si>
  <si>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</si>
  <si>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</si>
  <si>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</si>
  <si>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</si>
  <si>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</si>
  <si>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</si>
  <si>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</si>
  <si>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</si>
  <si>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</si>
  <si>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</si>
  <si>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</si>
  <si>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</si>
  <si>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</si>
  <si>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</si>
  <si>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</si>
  <si>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</si>
  <si>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</si>
  <si>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</si>
  <si>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</si>
  <si>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</si>
  <si>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</si>
  <si>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</si>
  <si>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</si>
  <si>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</si>
  <si>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</si>
  <si>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</si>
  <si>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</si>
  <si>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</si>
  <si>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</si>
  <si>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</si>
  <si>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</si>
  <si>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</si>
  <si>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</si>
  <si>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</si>
  <si>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</si>
  <si>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</si>
  <si>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</si>
  <si>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</si>
  <si>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</si>
  <si>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</si>
  <si>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</si>
  <si>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</si>
  <si>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</si>
  <si>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</si>
  <si>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</si>
  <si>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</si>
  <si>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</si>
  <si>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</si>
  <si>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</si>
  <si>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</si>
  <si>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</si>
  <si>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</si>
  <si>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</si>
  <si>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</si>
  <si>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</si>
  <si>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</si>
  <si>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</si>
  <si>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</si>
  <si>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</si>
  <si>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</si>
  <si>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</si>
  <si>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</si>
  <si>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</si>
  <si>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</si>
  <si>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</si>
  <si>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</si>
  <si>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</si>
  <si>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</si>
  <si>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</si>
  <si>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</si>
  <si>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</si>
  <si>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</si>
  <si>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</si>
  <si>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</si>
  <si>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</si>
  <si>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</si>
  <si>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</si>
  <si>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</si>
  <si>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</si>
  <si>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</si>
  <si>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</si>
  <si>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</si>
  <si>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</si>
  <si>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</si>
  <si>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</si>
  <si>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</si>
  <si>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</si>
  <si>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</si>
  <si>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</si>
  <si>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</si>
  <si>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</si>
  <si>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</si>
  <si>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</si>
  <si>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</si>
  <si>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</si>
  <si>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</si>
  <si>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</si>
  <si>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</si>
  <si>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</si>
  <si>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</si>
  <si>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</si>
  <si>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</si>
  <si>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</si>
  <si>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</si>
  <si>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</si>
  <si>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</si>
  <si>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</si>
  <si>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</si>
  <si>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</si>
  <si>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</si>
  <si>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</si>
  <si>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</si>
  <si>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</si>
  <si>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</si>
  <si>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</si>
  <si>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</si>
  <si>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</si>
  <si>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</si>
  <si>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</si>
  <si>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</si>
  <si>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</si>
  <si>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</si>
  <si>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</si>
  <si>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</si>
  <si>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</si>
  <si>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</si>
  <si>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</si>
  <si>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</si>
  <si>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</si>
  <si>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</si>
  <si>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</si>
  <si>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</si>
  <si>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</si>
  <si>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</si>
  <si>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</si>
  <si>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</si>
  <si>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</si>
  <si>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</si>
  <si>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</si>
  <si>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</si>
  <si>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</si>
  <si>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</si>
  <si>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</si>
  <si>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</si>
  <si>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</si>
  <si>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</si>
  <si>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</si>
  <si>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</si>
  <si>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</si>
  <si>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</si>
  <si>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</si>
  <si>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</si>
  <si>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</si>
  <si>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</si>
  <si>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</si>
  <si>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</si>
  <si>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</si>
  <si>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</si>
  <si>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</si>
  <si>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</si>
  <si>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</si>
  <si>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</si>
  <si>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</si>
  <si>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</si>
  <si>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</si>
  <si>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</si>
  <si>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</si>
  <si>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</si>
  <si>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</si>
  <si>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</si>
  <si>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</si>
  <si>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</si>
  <si>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</si>
  <si>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</si>
  <si>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</si>
  <si>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</si>
  <si>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</si>
  <si>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</si>
  <si>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</si>
  <si>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</si>
  <si>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</si>
  <si>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</si>
  <si>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</si>
  <si>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</si>
  <si>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</si>
  <si>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</si>
  <si>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</si>
  <si>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</si>
  <si>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</si>
  <si>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</si>
  <si>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</si>
  <si>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</si>
  <si>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</si>
  <si>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</si>
  <si>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</si>
  <si>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</si>
  <si>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</si>
  <si>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</si>
  <si>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</si>
  <si>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</si>
  <si>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</si>
  <si>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</si>
  <si>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</si>
  <si>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</si>
  <si>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</si>
  <si>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</si>
  <si>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</si>
  <si>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</si>
  <si>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</si>
  <si>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</si>
  <si>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</si>
  <si>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</si>
  <si>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</si>
  <si>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</si>
  <si>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</si>
  <si>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</si>
  <si>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</si>
  <si>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</si>
  <si>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</si>
  <si>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</si>
  <si>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</si>
  <si>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</si>
  <si>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</si>
  <si>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</si>
  <si>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</si>
  <si>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</si>
  <si>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</si>
  <si>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</si>
  <si>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</si>
  <si>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</si>
  <si>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</si>
  <si>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</si>
  <si>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</si>
  <si>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</si>
  <si>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</si>
  <si>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</si>
  <si>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</si>
  <si>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</si>
  <si>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</si>
  <si>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</si>
  <si>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</si>
  <si>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</si>
  <si>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</si>
  <si>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</si>
  <si>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</si>
  <si>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</si>
  <si>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</si>
  <si>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</si>
  <si>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</si>
  <si>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</si>
  <si>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</si>
  <si>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</si>
  <si>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</si>
  <si>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</si>
  <si>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</si>
  <si>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</si>
  <si>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</si>
  <si>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</si>
  <si>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</si>
  <si>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</si>
  <si>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</si>
  <si>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</si>
  <si>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</si>
  <si>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</si>
  <si>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</si>
  <si>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</si>
  <si>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</si>
  <si>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</si>
  <si>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</si>
  <si>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</si>
  <si>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</si>
  <si>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</si>
  <si>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</si>
  <si>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</si>
  <si>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</si>
  <si>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</si>
  <si>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</si>
  <si>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</si>
  <si>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</si>
  <si>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</si>
  <si>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</si>
  <si>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</si>
  <si>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</si>
  <si>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</si>
  <si>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</si>
  <si>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</si>
  <si>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</si>
  <si>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</si>
  <si>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</si>
  <si>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</si>
  <si>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</si>
  <si>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</si>
  <si>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</si>
  <si>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</si>
  <si>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</si>
  <si>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</si>
  <si>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</si>
  <si>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</si>
  <si>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</si>
  <si>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</si>
  <si>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</si>
  <si>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</si>
  <si>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</si>
  <si>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</si>
  <si>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</si>
  <si>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</si>
  <si>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</si>
  <si>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</si>
  <si>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</si>
  <si>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</si>
  <si>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</si>
  <si>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</si>
  <si>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</si>
  <si>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</si>
  <si>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</si>
  <si>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</si>
  <si>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</si>
  <si>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</si>
  <si>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</si>
  <si>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</si>
  <si>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</si>
  <si>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</si>
  <si>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</si>
  <si>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</si>
  <si>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</si>
  <si>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</si>
  <si>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</si>
  <si>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</si>
  <si>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</si>
  <si>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</si>
  <si>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</si>
  <si>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</si>
  <si>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</si>
  <si>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</si>
  <si>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</si>
  <si>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</si>
  <si>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</si>
  <si>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</si>
  <si>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</si>
  <si>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</si>
  <si>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</si>
  <si>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</si>
  <si>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</si>
  <si>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</si>
  <si>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</si>
  <si>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</si>
  <si>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</si>
  <si>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</si>
  <si>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</si>
  <si>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</si>
  <si>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</si>
  <si>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</si>
  <si>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</si>
  <si>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</si>
  <si>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</si>
  <si>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</si>
  <si>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</si>
  <si>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</si>
  <si>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</si>
  <si>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</si>
  <si>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</si>
  <si>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</si>
  <si>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</si>
  <si>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</si>
  <si>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</si>
  <si>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</si>
  <si>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</si>
  <si>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</si>
  <si>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</si>
  <si>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</si>
  <si>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</si>
  <si>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</si>
  <si>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</si>
  <si>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</si>
  <si>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</si>
  <si>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</si>
  <si>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</si>
  <si>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</si>
  <si>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</si>
  <si>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</si>
  <si>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</si>
  <si>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</si>
  <si>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</si>
  <si>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</si>
  <si>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</si>
  <si>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</si>
  <si>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</si>
  <si>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</si>
  <si>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</si>
  <si>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</si>
  <si>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</si>
  <si>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</si>
  <si>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</si>
  <si>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</si>
  <si>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</si>
  <si>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</si>
  <si>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</si>
  <si>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</si>
  <si>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</si>
  <si>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</si>
  <si>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</si>
  <si>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</si>
  <si>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</si>
  <si>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</si>
  <si>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</si>
  <si>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</si>
  <si>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</si>
  <si>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</si>
  <si>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</si>
  <si>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</si>
  <si>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</si>
  <si>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</si>
  <si>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</si>
  <si>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</si>
  <si>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</si>
  <si>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</si>
  <si>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</si>
  <si>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</si>
  <si>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</si>
  <si>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</si>
  <si>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</si>
  <si>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</si>
  <si>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</si>
  <si>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</si>
  <si>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</si>
  <si>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</si>
  <si>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</si>
  <si>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</si>
  <si>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</si>
  <si>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</si>
  <si>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</si>
  <si>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</si>
  <si>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</si>
  <si>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</si>
  <si>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</si>
  <si>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</si>
  <si>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</si>
  <si>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</si>
  <si>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</si>
  <si>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</si>
  <si>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</si>
  <si>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</si>
  <si>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</si>
  <si>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</si>
  <si>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</si>
  <si>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</si>
  <si>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</si>
  <si>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</si>
  <si>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</si>
  <si>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</si>
  <si>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</si>
  <si>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</si>
  <si>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</si>
  <si>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</si>
  <si>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</si>
  <si>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</si>
  <si>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</si>
  <si>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</si>
  <si>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</si>
  <si>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</si>
  <si>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</si>
  <si>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</si>
  <si>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</si>
  <si>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</si>
  <si>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</si>
  <si>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</si>
  <si>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</si>
  <si>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</si>
  <si>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</si>
  <si>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</si>
  <si>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</si>
  <si>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</si>
  <si>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</si>
  <si>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</si>
  <si>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</si>
  <si>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</si>
  <si>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</si>
  <si>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</si>
  <si>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</si>
  <si>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</si>
  <si>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</si>
  <si>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</si>
  <si>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</si>
  <si>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</si>
  <si>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</si>
  <si>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</si>
  <si>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</si>
  <si>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</si>
  <si>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</si>
  <si>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</si>
  <si>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</si>
  <si>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</si>
  <si>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</si>
  <si>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</si>
  <si>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</si>
  <si>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</si>
  <si>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</si>
  <si>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</si>
  <si>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</si>
  <si>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</si>
  <si>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</si>
  <si>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</si>
  <si>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</si>
  <si>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</si>
  <si>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</si>
  <si>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</si>
  <si>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</si>
  <si>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</si>
  <si>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</si>
  <si>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</si>
  <si>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</si>
  <si>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</si>
  <si>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</si>
  <si>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</si>
  <si>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</si>
  <si>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</si>
  <si>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</si>
  <si>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</si>
  <si>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</si>
  <si>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</si>
  <si>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</si>
  <si>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</si>
  <si>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</si>
  <si>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</si>
  <si>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</si>
  <si>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</si>
  <si>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</si>
  <si>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</si>
  <si>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</si>
  <si>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</si>
  <si>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</si>
  <si>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</si>
  <si>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</si>
  <si>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</si>
  <si>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</si>
  <si>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</si>
  <si>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</si>
  <si>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</si>
  <si>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</si>
  <si>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</si>
  <si>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</si>
  <si>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</si>
  <si>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</si>
  <si>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</si>
  <si>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</si>
  <si>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</si>
  <si>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</si>
  <si>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</si>
  <si>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</si>
  <si>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</si>
  <si>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</si>
  <si>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</si>
  <si>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</si>
  <si>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</si>
  <si>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</si>
  <si>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</si>
  <si>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</si>
  <si>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</si>
  <si>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</si>
  <si>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</si>
  <si>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</si>
  <si>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</si>
  <si>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</si>
  <si>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</si>
  <si>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</si>
  <si>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</si>
  <si>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</si>
  <si>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</si>
  <si>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</si>
  <si>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</si>
  <si>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</si>
  <si>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</si>
  <si>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</si>
  <si>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</si>
  <si>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</si>
  <si>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</si>
  <si>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</si>
  <si>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</si>
  <si>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</si>
  <si>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</si>
  <si>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</si>
  <si>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</si>
  <si>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</si>
  <si>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</si>
  <si>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</si>
  <si>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</si>
  <si>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</si>
  <si>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</si>
  <si>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</si>
  <si>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</si>
  <si>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</si>
  <si>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</si>
  <si>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</si>
  <si>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</si>
  <si>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</si>
  <si>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</si>
  <si>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</si>
  <si>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</si>
  <si>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</si>
  <si>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</si>
  <si>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</si>
  <si>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</si>
  <si>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</si>
  <si>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</si>
  <si>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</si>
  <si>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</si>
  <si>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</si>
  <si>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</si>
  <si>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</si>
  <si>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</si>
  <si>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</si>
  <si>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</si>
  <si>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</si>
  <si>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</si>
  <si>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</si>
  <si>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</si>
  <si>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</si>
  <si>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</si>
  <si>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</si>
  <si>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</si>
  <si>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</si>
  <si>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</si>
  <si>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</si>
  <si>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</si>
  <si>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</si>
  <si>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</si>
  <si>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</si>
  <si>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</si>
  <si>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</si>
  <si>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</si>
  <si>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</si>
  <si>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</si>
  <si>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</si>
  <si>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</si>
  <si>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</si>
  <si>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</si>
  <si>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</si>
  <si>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</si>
  <si>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</si>
  <si>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</si>
  <si>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</si>
  <si>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</si>
  <si>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</si>
  <si>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</si>
  <si>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</si>
  <si>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</si>
  <si>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</si>
  <si>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</si>
  <si>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</si>
  <si>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</si>
  <si>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</si>
  <si>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</si>
  <si>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</si>
  <si>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</si>
  <si>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</si>
  <si>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</si>
  <si>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</si>
  <si>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</si>
  <si>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</si>
  <si>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</si>
  <si>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</si>
  <si>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</si>
  <si>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</si>
  <si>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</si>
  <si>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</si>
  <si>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</si>
  <si>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</si>
  <si>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</si>
  <si>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</si>
  <si>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</si>
  <si>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</si>
  <si>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</si>
  <si>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</si>
  <si>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</si>
  <si>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</si>
  <si>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</si>
  <si>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</si>
  <si>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</si>
  <si>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</si>
  <si>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</si>
  <si>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</si>
  <si>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</si>
  <si>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</si>
  <si>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</si>
  <si>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</si>
  <si>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</si>
  <si>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</si>
  <si>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</si>
  <si>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</si>
  <si>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</si>
  <si>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</si>
  <si>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</si>
  <si>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</si>
  <si>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</si>
  <si>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</si>
  <si>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</si>
  <si>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</si>
  <si>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</si>
  <si>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</si>
  <si>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</si>
  <si>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</si>
  <si>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</si>
  <si>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</si>
  <si>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</si>
  <si>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</si>
  <si>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</si>
  <si>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</si>
  <si>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</si>
  <si>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</si>
  <si>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</si>
  <si>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</si>
  <si>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</si>
  <si>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</si>
  <si>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</si>
  <si>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</si>
  <si>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</si>
  <si>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</si>
  <si>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</si>
  <si>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</si>
  <si>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</si>
  <si>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</si>
  <si>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</si>
  <si>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</si>
  <si>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</si>
  <si>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</si>
  <si>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</si>
  <si>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</si>
  <si>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</si>
  <si>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</si>
  <si>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</si>
  <si>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</si>
  <si>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</si>
  <si>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</si>
  <si>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</si>
  <si>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</si>
  <si>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</si>
  <si>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</si>
  <si>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</si>
  <si>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</si>
  <si>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</si>
  <si>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</si>
  <si>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</si>
  <si>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</si>
  <si>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</si>
  <si>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</si>
  <si>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</si>
  <si>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</si>
  <si>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</si>
  <si>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</si>
  <si>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</si>
  <si>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</si>
  <si>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</si>
  <si>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</si>
  <si>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</si>
  <si>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</si>
  <si>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</si>
  <si>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</si>
  <si>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</si>
  <si>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</si>
  <si>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</si>
  <si>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</si>
  <si>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</si>
  <si>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</si>
  <si>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</si>
  <si>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</si>
  <si>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</si>
  <si>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</si>
  <si>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</si>
  <si>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</si>
  <si>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</si>
  <si>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</si>
  <si>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</si>
  <si>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</si>
  <si>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</si>
  <si>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</si>
  <si>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</si>
  <si>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</si>
  <si>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</si>
  <si>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</si>
  <si>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</si>
  <si>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</si>
  <si>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</si>
  <si>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</si>
  <si>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</si>
  <si>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</si>
  <si>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</si>
  <si>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</si>
  <si>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</si>
  <si>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</si>
  <si>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</si>
  <si>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</si>
  <si>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</si>
  <si>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</si>
  <si>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</si>
  <si>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</si>
  <si>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</si>
  <si>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</si>
  <si>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</si>
  <si>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</si>
  <si>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</si>
  <si>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</si>
  <si>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</si>
  <si>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</si>
  <si>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</si>
  <si>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</si>
  <si>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</si>
  <si>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</si>
  <si>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</si>
  <si>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</si>
  <si>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</si>
  <si>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</si>
  <si>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</si>
  <si>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</si>
  <si>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</si>
  <si>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</si>
  <si>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</si>
  <si>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</si>
  <si>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</si>
  <si>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</si>
  <si>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</si>
  <si>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</si>
  <si>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</si>
  <si>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</si>
  <si>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</si>
  <si>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</si>
  <si>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</si>
  <si>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</si>
  <si>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</si>
  <si>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</si>
  <si>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</si>
  <si>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</si>
  <si>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</si>
  <si>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</si>
  <si>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</si>
  <si>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</si>
  <si>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</si>
  <si>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</si>
  <si>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</si>
  <si>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</si>
  <si>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</si>
  <si>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</si>
  <si>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</si>
  <si>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</si>
  <si>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</si>
  <si>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</si>
  <si>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</si>
  <si>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</si>
  <si>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</si>
  <si>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</si>
  <si>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</si>
  <si>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</si>
  <si>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</si>
  <si>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</si>
  <si>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</si>
  <si>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</si>
  <si>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</si>
  <si>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</si>
  <si>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</si>
  <si>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</si>
  <si>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</si>
  <si>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</si>
  <si>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</si>
  <si>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</si>
  <si>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</si>
  <si>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</si>
  <si>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</si>
  <si>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</si>
  <si>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</si>
  <si>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</si>
  <si>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</si>
  <si>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</si>
  <si>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</si>
  <si>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</si>
  <si>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</si>
  <si>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</si>
  <si>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</si>
  <si>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</si>
  <si>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</si>
  <si>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</si>
  <si>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</si>
  <si>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</si>
  <si>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</si>
  <si>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</si>
  <si>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</si>
  <si>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</si>
  <si>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</si>
  <si>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</si>
  <si>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</si>
  <si>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</si>
  <si>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</si>
  <si>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</si>
  <si>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</si>
  <si>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</si>
  <si>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</si>
  <si>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</si>
  <si>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</si>
  <si>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</si>
  <si>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</si>
  <si>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</si>
  <si>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</si>
  <si>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</si>
  <si>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</si>
  <si>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</si>
  <si>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</si>
  <si>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</si>
  <si>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</si>
  <si>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</si>
  <si>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</si>
  <si>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</si>
  <si>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</si>
  <si>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</si>
  <si>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</si>
  <si>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</si>
  <si>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</si>
  <si>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</si>
  <si>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</si>
  <si>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</si>
  <si>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</si>
  <si>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</si>
  <si>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</si>
  <si>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</si>
  <si>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</si>
  <si>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</si>
  <si>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</si>
  <si>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</si>
  <si>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</si>
  <si>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</si>
  <si>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</si>
  <si>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</si>
  <si>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</si>
  <si>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</si>
  <si>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</si>
  <si>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</si>
  <si>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</si>
  <si>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</si>
  <si>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</si>
  <si>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</si>
  <si>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</si>
  <si>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</si>
  <si>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</si>
  <si>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</si>
  <si>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</si>
  <si>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</si>
  <si>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</si>
  <si>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</si>
  <si>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</si>
  <si>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</si>
  <si>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</si>
  <si>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</si>
  <si>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</si>
  <si>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</si>
  <si>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</si>
  <si>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</si>
  <si>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</si>
  <si>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</si>
  <si>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</si>
  <si>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</si>
  <si>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</si>
  <si>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</si>
  <si>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</si>
  <si>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</si>
  <si>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</si>
  <si>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</si>
  <si>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</si>
  <si>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</si>
  <si>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</si>
  <si>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</si>
  <si>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</si>
  <si>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</si>
  <si>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</si>
  <si>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</si>
  <si>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</si>
  <si>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</si>
  <si>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</si>
  <si>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</si>
  <si>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</si>
  <si>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</si>
  <si>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</si>
  <si>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</si>
  <si>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</si>
  <si>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</si>
  <si>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</si>
  <si>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</si>
  <si>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</si>
  <si>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</si>
  <si>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</si>
  <si>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</si>
  <si>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</si>
  <si>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</si>
  <si>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</si>
  <si>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</si>
  <si>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</si>
  <si>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</si>
  <si>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</si>
  <si>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</si>
  <si>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</si>
  <si>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</si>
  <si>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</si>
  <si>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</si>
  <si>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</si>
  <si>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</si>
  <si>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</si>
  <si>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</si>
  <si>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</si>
  <si>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</si>
  <si>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</si>
  <si>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</si>
  <si>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</si>
  <si>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</si>
  <si>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</si>
  <si>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</si>
  <si>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</si>
  <si>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</si>
  <si>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</si>
  <si>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</si>
  <si>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</si>
  <si>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</si>
  <si>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</si>
  <si>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</si>
  <si>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</si>
  <si>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</si>
  <si>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</si>
  <si>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</si>
  <si>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</si>
  <si>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</si>
  <si>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</si>
  <si>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</si>
  <si>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</si>
  <si>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</si>
  <si>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</si>
  <si>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</si>
  <si>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</si>
  <si>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</si>
  <si>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</si>
  <si>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</si>
  <si>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</si>
  <si>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</si>
  <si>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</si>
  <si>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</si>
  <si>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</si>
  <si>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</si>
  <si>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</si>
  <si>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</si>
  <si>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</si>
  <si>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</si>
  <si>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</si>
  <si>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</si>
  <si>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</si>
  <si>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</si>
  <si>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</si>
  <si>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</si>
  <si>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</si>
  <si>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</si>
  <si>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</si>
  <si>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</si>
  <si>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</si>
  <si>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</si>
  <si>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</si>
  <si>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</si>
  <si>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</si>
  <si>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</si>
  <si>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</si>
  <si>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</si>
  <si>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</si>
  <si>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</si>
  <si>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</si>
  <si>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</si>
  <si>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</si>
  <si>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</si>
  <si>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</si>
  <si>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</si>
  <si>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</si>
  <si>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</si>
  <si>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</si>
  <si>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</si>
  <si>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</si>
  <si>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</si>
  <si>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</si>
  <si>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</si>
  <si>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</si>
  <si>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</si>
  <si>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</si>
  <si>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</si>
  <si>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</si>
  <si>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</si>
  <si>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</si>
  <si>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</si>
  <si>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</si>
  <si>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</si>
  <si>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</si>
  <si>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</si>
  <si>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</si>
  <si>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</si>
  <si>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</si>
  <si>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</si>
  <si>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</si>
  <si>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</si>
  <si>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</si>
  <si>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</si>
  <si>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</si>
  <si>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</si>
  <si>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</si>
  <si>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</si>
  <si>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</si>
  <si>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</si>
  <si>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</si>
  <si>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</si>
  <si>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</si>
  <si>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</si>
  <si>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</si>
  <si>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</si>
  <si>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</si>
  <si>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</si>
  <si>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</si>
  <si>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</si>
  <si>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</si>
  <si>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</si>
  <si>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</si>
  <si>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</si>
  <si>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</si>
  <si>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</si>
  <si>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</si>
  <si>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</si>
  <si>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</si>
  <si>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</si>
  <si>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</si>
  <si>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</si>
  <si>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</si>
  <si>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</si>
  <si>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</si>
  <si>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</si>
  <si>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</si>
  <si>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</si>
  <si>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</si>
  <si>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</si>
  <si>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</si>
  <si>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</si>
  <si>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</si>
  <si>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</si>
  <si>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</si>
  <si>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</si>
  <si>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</si>
  <si>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</si>
  <si>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</si>
  <si>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</si>
  <si>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</si>
  <si>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</si>
  <si>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</si>
  <si>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</si>
  <si>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</si>
  <si>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</si>
  <si>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</si>
  <si>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</si>
  <si>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</si>
  <si>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</si>
  <si>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</si>
  <si>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</si>
  <si>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</si>
  <si>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</si>
  <si>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</si>
  <si>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</si>
  <si>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</si>
  <si>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</si>
  <si>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</si>
  <si>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</si>
  <si>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</si>
  <si>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</si>
  <si>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</si>
  <si>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</si>
  <si>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</si>
  <si>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</si>
  <si>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</si>
  <si>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</si>
  <si>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</si>
  <si>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</si>
  <si>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</si>
  <si>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</si>
  <si>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</si>
  <si>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</si>
  <si>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</si>
  <si>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</si>
  <si>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</si>
  <si>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</si>
  <si>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</si>
  <si>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</si>
  <si>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</si>
  <si>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</si>
  <si>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</si>
  <si>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</si>
  <si>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</si>
  <si>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</si>
  <si>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</si>
  <si>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</si>
  <si>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</si>
  <si>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</si>
  <si>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</si>
  <si>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</si>
  <si>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</si>
  <si>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</si>
  <si>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</si>
  <si>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</si>
  <si>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</si>
  <si>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</si>
  <si>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</si>
  <si>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</si>
  <si>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</si>
  <si>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</si>
  <si>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</si>
  <si>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</si>
  <si>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</si>
  <si>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</si>
  <si>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</si>
  <si>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</si>
  <si>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</si>
  <si>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</si>
  <si>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</si>
  <si>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</si>
  <si>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</si>
  <si>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</si>
  <si>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</si>
  <si>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</si>
  <si>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</si>
  <si>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</si>
  <si>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</si>
  <si>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</si>
  <si>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</si>
  <si>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</si>
  <si>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</si>
  <si>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</si>
  <si>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</si>
  <si>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</si>
  <si>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</si>
  <si>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</si>
  <si>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</si>
  <si>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</si>
  <si>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</si>
  <si>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</si>
  <si>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</si>
  <si>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</si>
  <si>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</si>
  <si>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</si>
  <si>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</si>
  <si>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</si>
  <si>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</si>
  <si>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</si>
  <si>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</si>
  <si>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</si>
  <si>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</si>
  <si>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</si>
  <si>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</si>
  <si>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</si>
  <si>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</si>
  <si>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</si>
  <si>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</si>
  <si>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</si>
  <si>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</si>
  <si>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</si>
  <si>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</si>
  <si>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</si>
  <si>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</si>
  <si>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</si>
  <si>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</si>
  <si>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</si>
  <si>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</si>
  <si>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</si>
  <si>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</si>
  <si>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</si>
  <si>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</si>
  <si>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</si>
  <si>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</si>
  <si>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</si>
  <si>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</si>
  <si>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</si>
  <si>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</si>
  <si>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</si>
  <si>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</si>
  <si>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</si>
  <si>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</si>
  <si>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</si>
  <si>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</si>
  <si>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</si>
  <si>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</si>
  <si>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</si>
  <si>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</si>
  <si>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</si>
  <si>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</si>
  <si>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</si>
  <si>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</si>
  <si>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</si>
  <si>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</si>
  <si>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</si>
  <si>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</si>
  <si>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</si>
  <si>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</si>
  <si>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</si>
  <si>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</si>
  <si>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</si>
  <si>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</si>
  <si>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</si>
  <si>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</si>
  <si>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</si>
  <si>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</si>
  <si>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</si>
  <si>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</si>
  <si>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</si>
  <si>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</si>
  <si>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</si>
  <si>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</si>
  <si>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</si>
  <si>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</si>
  <si>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</si>
  <si>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</si>
  <si>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</si>
  <si>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</si>
  <si>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</si>
  <si>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</si>
  <si>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</si>
  <si>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</si>
  <si>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</si>
  <si>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</si>
  <si>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</si>
  <si>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</si>
  <si>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</si>
  <si>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</si>
  <si>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</si>
  <si>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</si>
  <si>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</si>
  <si>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</si>
  <si>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</si>
  <si>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</si>
  <si>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</si>
  <si>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</si>
  <si>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</si>
  <si>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</si>
  <si>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</si>
  <si>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</si>
  <si>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</si>
  <si>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</si>
  <si>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</si>
  <si>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</si>
  <si>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</si>
  <si>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</si>
  <si>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</si>
  <si>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</si>
  <si>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</si>
  <si>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</si>
  <si>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</si>
  <si>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</si>
  <si>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</si>
  <si>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</si>
  <si>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</si>
  <si>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</si>
  <si>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</si>
  <si>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</si>
  <si>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</si>
  <si>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</si>
  <si>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</si>
  <si>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</si>
  <si>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</si>
  <si>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</si>
  <si>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</si>
  <si>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</si>
  <si>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</si>
  <si>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</si>
  <si>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</si>
  <si>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</si>
  <si>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</si>
  <si>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</si>
  <si>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</si>
  <si>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</si>
  <si>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</si>
  <si>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</si>
  <si>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</si>
  <si>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</si>
  <si>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</si>
  <si>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</si>
  <si>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</si>
  <si>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</si>
  <si>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</si>
  <si>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</si>
  <si>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</si>
  <si>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</si>
  <si>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</si>
  <si>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</si>
  <si>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</si>
  <si>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</si>
  <si>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</si>
  <si>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</si>
  <si>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</si>
  <si>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</si>
  <si>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</si>
  <si>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</si>
  <si>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</si>
  <si>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</si>
  <si>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</si>
  <si>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</si>
  <si>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</si>
  <si>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</si>
  <si>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</si>
  <si>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</si>
  <si>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</si>
  <si>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</si>
  <si>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</si>
  <si>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</si>
  <si>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</si>
  <si>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</si>
  <si>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</si>
  <si>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</si>
  <si>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</si>
  <si>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</si>
  <si>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</si>
  <si>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</si>
  <si>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</si>
  <si>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</si>
  <si>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</si>
  <si>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</si>
  <si>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</si>
  <si>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</si>
  <si>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</si>
  <si>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</si>
  <si>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</si>
  <si>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</si>
  <si>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</si>
  <si>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</si>
  <si>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</si>
  <si>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</si>
  <si>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</si>
  <si>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</si>
  <si>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</si>
  <si>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</si>
  <si>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</si>
  <si>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</si>
  <si>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</si>
  <si>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</si>
  <si>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</si>
  <si>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</si>
  <si>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</si>
  <si>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</si>
  <si>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</si>
  <si>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</si>
  <si>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</si>
  <si>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</si>
  <si>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</si>
  <si>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</si>
  <si>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</si>
  <si>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</si>
  <si>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</si>
  <si>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</si>
  <si>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</si>
  <si>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</si>
  <si>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</si>
  <si>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</si>
  <si>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</si>
  <si>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</si>
  <si>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</si>
  <si>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</si>
  <si>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</si>
  <si>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</si>
  <si>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</si>
  <si>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</si>
  <si>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</si>
  <si>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</si>
  <si>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</si>
  <si>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</si>
  <si>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</si>
  <si>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</si>
  <si>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</si>
  <si>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</si>
  <si>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</si>
  <si>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</si>
  <si>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</si>
  <si>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</si>
  <si>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</si>
  <si>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</si>
  <si>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</si>
  <si>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</si>
  <si>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</si>
  <si>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</si>
  <si>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</si>
  <si>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</si>
  <si>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</si>
  <si>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</si>
  <si>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</si>
  <si>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</si>
  <si>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</si>
  <si>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</si>
  <si>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</si>
  <si>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</si>
  <si>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</si>
  <si>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</si>
  <si>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</si>
  <si>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</si>
  <si>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</si>
  <si>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</si>
  <si>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</si>
  <si>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</si>
  <si>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</si>
  <si>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</si>
  <si>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</si>
  <si>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</si>
  <si>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</si>
  <si>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</si>
  <si>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</si>
  <si>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</si>
  <si>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</si>
  <si>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</si>
  <si>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</si>
  <si>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</si>
  <si>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</si>
  <si>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</si>
  <si>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</si>
  <si>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</si>
  <si>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</si>
  <si>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</si>
  <si>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</si>
  <si>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</si>
  <si>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</si>
  <si>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</si>
  <si>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</si>
  <si>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</si>
  <si>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</si>
  <si>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</si>
  <si>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</si>
  <si>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</si>
  <si>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</si>
  <si>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</si>
  <si>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</si>
  <si>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</si>
  <si>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</si>
  <si>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</si>
  <si>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</si>
  <si>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</si>
  <si>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</si>
  <si>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</si>
  <si>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</si>
  <si>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</si>
  <si>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</si>
  <si>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</si>
  <si>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</si>
  <si>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</si>
  <si>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</si>
  <si>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</si>
  <si>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</si>
  <si>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</si>
  <si>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</si>
  <si>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</si>
  <si>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</si>
  <si>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</si>
  <si>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</si>
  <si>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</si>
  <si>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</si>
  <si>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</si>
  <si>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</si>
  <si>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</si>
  <si>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</si>
  <si>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</si>
  <si>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</si>
  <si>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</si>
  <si>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</si>
  <si>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</si>
  <si>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</si>
  <si>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</si>
  <si>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</si>
  <si>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</si>
  <si>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</si>
  <si>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</si>
  <si>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</si>
  <si>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</si>
  <si>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</si>
  <si>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</si>
  <si>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</si>
  <si>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</si>
  <si>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</si>
  <si>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</si>
  <si>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</si>
  <si>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</si>
  <si>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</si>
  <si>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</si>
  <si>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</si>
  <si>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</si>
  <si>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</si>
  <si>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</si>
  <si>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</si>
  <si>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</si>
  <si>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</si>
  <si>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</si>
  <si>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</si>
  <si>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</si>
  <si>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</si>
  <si>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</si>
  <si>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</si>
  <si>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</si>
  <si>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</si>
  <si>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</si>
  <si>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</si>
  <si>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</si>
  <si>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</si>
  <si>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</si>
  <si>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</si>
  <si>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</si>
  <si>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</si>
  <si>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</si>
  <si>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</si>
  <si>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</si>
  <si>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</si>
  <si>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</si>
  <si>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</si>
  <si>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</si>
  <si>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</si>
  <si>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</si>
  <si>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</si>
  <si>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</si>
  <si>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</si>
  <si>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</si>
  <si>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</si>
  <si>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</si>
  <si>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</si>
  <si>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</si>
  <si>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</si>
  <si>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</si>
  <si>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</si>
  <si>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</si>
  <si>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</si>
  <si>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</si>
  <si>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</si>
  <si>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</si>
  <si>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</si>
  <si>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</si>
  <si>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</si>
  <si>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</si>
  <si>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</si>
  <si>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</si>
  <si>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</si>
  <si>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</si>
  <si>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</si>
  <si>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</si>
  <si>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</si>
  <si>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</si>
  <si>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</si>
  <si>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</si>
  <si>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</si>
  <si>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</si>
  <si>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</si>
  <si>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</si>
  <si>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</si>
  <si>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</si>
  <si>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</si>
  <si>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</si>
  <si>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</si>
  <si>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</si>
  <si>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</si>
  <si>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</si>
  <si>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</si>
  <si>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</si>
  <si>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</si>
  <si>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</si>
  <si>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</si>
  <si>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</si>
  <si>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</si>
  <si>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</si>
  <si>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</si>
  <si>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</si>
  <si>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</si>
  <si>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</si>
  <si>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</si>
  <si>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</si>
  <si>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</si>
  <si>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</si>
  <si>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</si>
  <si>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</si>
  <si>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</si>
  <si>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</si>
  <si>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</si>
  <si>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</si>
  <si>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</si>
  <si>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</si>
  <si>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</si>
  <si>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</si>
  <si>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</si>
  <si>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</si>
  <si>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</si>
  <si>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</si>
  <si>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</si>
  <si>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</si>
  <si>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</si>
  <si>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</si>
  <si>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</si>
  <si>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</si>
  <si>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</si>
  <si>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</si>
  <si>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</si>
  <si>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</si>
  <si>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</si>
  <si>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</si>
  <si>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</si>
  <si>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</si>
  <si>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</si>
  <si>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</si>
  <si>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</si>
  <si>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</si>
  <si>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</si>
  <si>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</si>
  <si>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</si>
  <si>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</si>
  <si>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</si>
  <si>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</si>
  <si>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</si>
  <si>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</si>
  <si>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</si>
  <si>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</si>
  <si>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</si>
  <si>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</si>
  <si>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</si>
  <si>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</si>
  <si>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</si>
  <si>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</si>
  <si>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</si>
  <si>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</si>
  <si>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</si>
  <si>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</si>
  <si>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</si>
  <si>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</si>
  <si>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</si>
  <si>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</si>
  <si>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</si>
  <si>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</si>
  <si>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</si>
  <si>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</si>
  <si>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</si>
  <si>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</si>
  <si>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</si>
  <si>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</si>
  <si>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</si>
  <si>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</si>
  <si>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</si>
  <si>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</si>
  <si>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</si>
  <si>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</si>
  <si>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</si>
  <si>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</si>
  <si>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</si>
  <si>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</si>
  <si>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</si>
  <si>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</si>
  <si>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</si>
  <si>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</si>
  <si>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</si>
  <si>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</si>
  <si>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</si>
  <si>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</si>
  <si>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</si>
  <si>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</si>
  <si>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</si>
  <si>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</si>
  <si>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</si>
  <si>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</si>
  <si>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</si>
  <si>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</si>
  <si>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</si>
  <si>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</si>
  <si>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</si>
  <si>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</si>
  <si>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</si>
  <si>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</si>
  <si>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</si>
  <si>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</si>
  <si>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</si>
  <si>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</si>
  <si>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</si>
  <si>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</si>
  <si>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</si>
  <si>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</si>
  <si>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</si>
  <si>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</si>
  <si>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</si>
  <si>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</si>
  <si>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</si>
  <si>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</si>
  <si>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</si>
  <si>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</si>
  <si>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</si>
  <si>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</si>
  <si>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</si>
  <si>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</si>
  <si>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</si>
  <si>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</si>
  <si>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</si>
  <si>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</si>
  <si>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</si>
  <si>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</si>
  <si>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</si>
  <si>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</si>
  <si>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</si>
  <si>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</si>
  <si>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</si>
  <si>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</si>
  <si>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</si>
  <si>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</si>
  <si>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</si>
  <si>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</si>
  <si>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</si>
  <si>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</si>
  <si>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</si>
  <si>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</si>
  <si>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</si>
  <si>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</si>
  <si>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</si>
  <si>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</si>
  <si>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</si>
  <si>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</si>
  <si>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</si>
  <si>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</si>
  <si>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</si>
  <si>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</si>
  <si>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</si>
  <si>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</si>
  <si>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</si>
  <si>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</si>
  <si>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</si>
  <si>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</si>
  <si>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</si>
  <si>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</si>
  <si>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</si>
  <si>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</si>
  <si>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</si>
  <si>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</si>
  <si>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</si>
  <si>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</si>
  <si>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</si>
  <si>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</si>
  <si>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</si>
  <si>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</si>
  <si>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</si>
  <si>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</si>
  <si>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</si>
  <si>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</si>
  <si>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</si>
  <si>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</si>
  <si>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</si>
  <si>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</si>
  <si>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</si>
  <si>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</si>
  <si>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</si>
  <si>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</si>
  <si>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</si>
  <si>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</si>
  <si>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</si>
  <si>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</si>
  <si>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</si>
  <si>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</si>
  <si>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</si>
  <si>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</si>
  <si>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</si>
  <si>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</si>
  <si>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</si>
  <si>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</si>
  <si>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</si>
  <si>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</si>
  <si>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</si>
  <si>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</si>
  <si>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</si>
  <si>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</si>
  <si>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</si>
  <si>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</si>
  <si>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</si>
  <si>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</si>
  <si>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</si>
  <si>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</si>
  <si>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</si>
  <si>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</si>
  <si>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</si>
  <si>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</si>
  <si>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</si>
  <si>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</si>
  <si>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</si>
  <si>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</si>
  <si>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</si>
  <si>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</si>
  <si>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</si>
  <si>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</si>
  <si>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</si>
  <si>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</si>
  <si>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</si>
  <si>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</si>
  <si>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</si>
  <si>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</si>
  <si>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</si>
  <si>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</si>
  <si>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</si>
  <si>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</si>
  <si>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</si>
  <si>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</si>
  <si>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</si>
  <si>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</si>
  <si>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</si>
  <si>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</si>
  <si>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</si>
  <si>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</si>
  <si>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</si>
  <si>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</si>
  <si>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</si>
  <si>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</si>
  <si>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</si>
  <si>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</si>
  <si>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</si>
  <si>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</si>
  <si>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</si>
  <si>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</si>
  <si>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</si>
  <si>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</si>
  <si>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</si>
  <si>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</si>
  <si>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</si>
  <si>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</si>
  <si>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</si>
  <si>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</si>
  <si>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</si>
  <si>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</si>
  <si>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</si>
  <si>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</si>
  <si>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</si>
  <si>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</si>
  <si>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</si>
  <si>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</si>
  <si>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</si>
  <si>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</si>
  <si>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</si>
  <si>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</si>
  <si>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</si>
  <si>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</si>
  <si>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</si>
  <si>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</si>
  <si>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</si>
  <si>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</si>
  <si>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</si>
  <si>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</si>
  <si>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</si>
  <si>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</si>
  <si>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</si>
  <si>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</si>
  <si>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</si>
  <si>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</si>
  <si>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</si>
  <si>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</si>
  <si>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</si>
  <si>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</si>
  <si>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</si>
  <si>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</si>
  <si>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</si>
  <si>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</si>
  <si>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</si>
  <si>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</si>
  <si>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</si>
  <si>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</si>
  <si>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</si>
  <si>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</si>
  <si>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</si>
  <si>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</si>
  <si>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</si>
  <si>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</si>
  <si>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</si>
  <si>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</si>
  <si>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</si>
  <si>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</si>
  <si>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</si>
  <si>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</si>
  <si>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</si>
  <si>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</si>
  <si>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</si>
  <si>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</si>
  <si>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</si>
  <si>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</si>
  <si>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</si>
  <si>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</si>
  <si>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</si>
  <si>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</si>
  <si>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</si>
  <si>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</si>
  <si>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</si>
  <si>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</si>
  <si>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</si>
  <si>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</si>
  <si>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</si>
  <si>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</si>
  <si>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</si>
  <si>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</si>
  <si>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</si>
  <si>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</si>
  <si>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</si>
  <si>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</si>
  <si>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</si>
  <si>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</si>
  <si>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</si>
  <si>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</si>
  <si>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</si>
  <si>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</si>
  <si>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</si>
  <si>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</si>
  <si>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</si>
  <si>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</si>
  <si>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</si>
  <si>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</si>
  <si>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</si>
  <si>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</si>
  <si>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</si>
  <si>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</si>
  <si>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</si>
  <si>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</si>
  <si>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</si>
  <si>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</si>
  <si>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</si>
  <si>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</si>
  <si>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</si>
  <si>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</si>
  <si>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</si>
  <si>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</si>
  <si>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</si>
  <si>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</si>
  <si>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</si>
  <si>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</si>
  <si>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</si>
  <si>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</si>
  <si>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</si>
  <si>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</si>
  <si>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</si>
  <si>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</si>
  <si>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</si>
  <si>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</si>
  <si>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</si>
  <si>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</si>
  <si>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</si>
  <si>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</si>
  <si>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</si>
  <si>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</si>
  <si>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</si>
  <si>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</si>
  <si>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</si>
  <si>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</si>
  <si>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</si>
  <si>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</si>
  <si>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</si>
  <si>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</si>
  <si>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</si>
  <si>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</si>
  <si>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</si>
  <si>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</si>
  <si>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</si>
  <si>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</si>
  <si>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</si>
  <si>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</si>
  <si>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</si>
  <si>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</si>
  <si>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</si>
  <si>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</si>
  <si>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</si>
  <si>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</si>
  <si>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</si>
  <si>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</si>
  <si>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</si>
  <si>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</si>
  <si>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</si>
  <si>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</si>
  <si>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</si>
  <si>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</si>
  <si>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</si>
  <si>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</si>
  <si>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</si>
  <si>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</si>
  <si>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</si>
  <si>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</si>
  <si>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</si>
  <si>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</si>
  <si>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</si>
  <si>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</si>
  <si>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</si>
  <si>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</si>
  <si>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</si>
  <si>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</si>
  <si>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</si>
  <si>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</si>
  <si>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</si>
  <si>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</si>
  <si>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</si>
  <si>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</si>
  <si>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</si>
  <si>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</si>
  <si>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</si>
  <si>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</si>
  <si>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</si>
  <si>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</si>
  <si>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</si>
  <si>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</si>
  <si>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</si>
  <si>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</si>
  <si>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</si>
  <si>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</si>
  <si>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</si>
  <si>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</si>
  <si>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</si>
  <si>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</si>
  <si>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</si>
  <si>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</si>
  <si>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</si>
  <si>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</si>
  <si>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</si>
  <si>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</si>
  <si>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</si>
  <si>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</si>
  <si>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</si>
  <si>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</si>
  <si>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</si>
  <si>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</si>
  <si>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</si>
  <si>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</si>
  <si>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</si>
  <si>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</si>
  <si>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</si>
  <si>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</si>
  <si>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</si>
  <si>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</si>
  <si>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</si>
  <si>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</si>
  <si>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</si>
  <si>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</si>
  <si>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</si>
  <si>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</si>
  <si>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</si>
  <si>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</si>
  <si>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</si>
  <si>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</si>
  <si>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</si>
  <si>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</si>
  <si>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</si>
  <si>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</si>
  <si>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</si>
  <si>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</si>
  <si>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</si>
  <si>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</si>
  <si>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</si>
  <si>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</si>
  <si>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</si>
  <si>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</si>
  <si>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</si>
  <si>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</si>
  <si>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</si>
  <si>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</si>
  <si>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</si>
  <si>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</si>
  <si>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</si>
  <si>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</si>
  <si>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</si>
  <si>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</si>
  <si>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</si>
  <si>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</si>
  <si>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</si>
  <si>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</si>
  <si>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</si>
  <si>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</si>
  <si>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</si>
  <si>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</si>
  <si>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</si>
  <si>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</si>
  <si>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</si>
  <si>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</si>
  <si>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</si>
  <si>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</si>
  <si>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</si>
  <si>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</si>
  <si>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</si>
  <si>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</si>
  <si>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</si>
  <si>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</si>
  <si>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</si>
  <si>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</si>
  <si>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</si>
  <si>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</si>
  <si>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</si>
  <si>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</si>
  <si>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</si>
  <si>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</si>
  <si>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</si>
  <si>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</si>
  <si>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</si>
  <si>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</si>
  <si>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</si>
  <si>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</si>
  <si>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</si>
  <si>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</si>
  <si>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</si>
  <si>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</si>
  <si>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</si>
  <si>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</si>
  <si>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</si>
  <si>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</si>
  <si>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</si>
  <si>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</si>
  <si>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</si>
  <si>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</si>
  <si>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</si>
  <si>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</si>
  <si>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</si>
  <si>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</si>
  <si>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</si>
  <si>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</si>
  <si>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</si>
  <si>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</si>
  <si>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</si>
  <si>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</si>
  <si>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</si>
  <si>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</si>
  <si>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</si>
  <si>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</si>
  <si>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</si>
  <si>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</si>
  <si>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</si>
  <si>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</si>
  <si>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</si>
  <si>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</si>
  <si>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</si>
  <si>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</si>
  <si>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</si>
  <si>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</si>
  <si>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</si>
  <si>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</si>
  <si>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</si>
  <si>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</si>
  <si>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</si>
  <si>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</si>
  <si>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</si>
  <si>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</si>
  <si>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</si>
  <si>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</si>
  <si>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</si>
  <si>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</si>
  <si>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</si>
  <si>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</si>
  <si>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</si>
  <si>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</si>
  <si>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</si>
  <si>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</si>
  <si>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</si>
  <si>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</si>
  <si>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</si>
  <si>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</si>
  <si>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</si>
  <si>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</si>
  <si>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</si>
  <si>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</si>
  <si>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</si>
  <si>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</si>
  <si>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</si>
  <si>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</si>
  <si>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</si>
  <si>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</si>
  <si>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</si>
  <si>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</si>
  <si>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</si>
  <si>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</si>
  <si>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</si>
  <si>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</si>
  <si>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</si>
  <si>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</si>
  <si>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</si>
  <si>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</si>
  <si>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</si>
  <si>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</si>
  <si>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</si>
  <si>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</si>
  <si>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</si>
  <si>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</si>
  <si>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</si>
  <si>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</si>
  <si>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</si>
  <si>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</si>
  <si>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</si>
  <si>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</si>
  <si>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</si>
  <si>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</si>
  <si>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</si>
  <si>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</si>
  <si>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</si>
  <si>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</si>
  <si>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</si>
  <si>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</si>
  <si>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</si>
  <si>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</si>
  <si>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</si>
  <si>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</si>
  <si>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</si>
  <si>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</si>
  <si>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</si>
  <si>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</si>
  <si>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</si>
  <si>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</si>
  <si>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</si>
  <si>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</si>
  <si>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</si>
  <si>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</si>
  <si>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</si>
  <si>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</si>
  <si>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</si>
  <si>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</si>
  <si>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</si>
  <si>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</si>
  <si>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</si>
  <si>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</si>
  <si>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</si>
  <si>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</si>
  <si>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</si>
  <si>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</si>
  <si>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</si>
  <si>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</si>
  <si>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</si>
  <si>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</si>
  <si>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</si>
  <si>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</si>
  <si>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</si>
  <si>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</si>
  <si>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</si>
  <si>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</si>
  <si>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</si>
  <si>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</si>
  <si>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</si>
  <si>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</si>
  <si>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</si>
  <si>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</si>
  <si>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</si>
  <si>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</si>
  <si>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</si>
  <si>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</si>
  <si>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</si>
  <si>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</si>
  <si>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</si>
  <si>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</si>
  <si>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</si>
  <si>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</si>
  <si>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</si>
  <si>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</si>
  <si>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</si>
  <si>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</si>
  <si>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</si>
  <si>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</si>
  <si>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</si>
  <si>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</si>
  <si>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</si>
  <si>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</si>
  <si>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</si>
  <si>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</si>
  <si>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</si>
  <si>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</si>
  <si>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</si>
  <si>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</si>
  <si>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</si>
  <si>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</si>
  <si>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</si>
  <si>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</si>
  <si>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</si>
  <si>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</si>
  <si>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</si>
  <si>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</si>
  <si>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</si>
  <si>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</si>
  <si>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</si>
  <si>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</si>
  <si>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</si>
  <si>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</si>
  <si>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</si>
  <si>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</si>
  <si>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</si>
  <si>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</si>
  <si>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</si>
  <si>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</si>
  <si>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</si>
  <si>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</si>
  <si>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</si>
  <si>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</si>
  <si>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</si>
  <si>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</si>
  <si>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</si>
  <si>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</si>
  <si>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</si>
  <si>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</si>
  <si>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</si>
  <si>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</si>
  <si>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</si>
  <si>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</si>
  <si>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</si>
  <si>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</si>
  <si>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</si>
  <si>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</si>
  <si>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</si>
  <si>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</si>
  <si>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</si>
  <si>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</si>
  <si>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</si>
  <si>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</si>
  <si>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</si>
  <si>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</si>
  <si>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</si>
  <si>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</si>
  <si>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</si>
  <si>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</si>
  <si>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</si>
  <si>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</si>
  <si>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</si>
  <si>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</si>
  <si>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</si>
  <si>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</si>
  <si>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</si>
  <si>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</si>
  <si>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</si>
  <si>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</si>
  <si>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</si>
  <si>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</si>
  <si>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</si>
  <si>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</si>
  <si>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</si>
  <si>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</si>
  <si>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</si>
  <si>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</si>
  <si>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</si>
  <si>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</si>
  <si>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</si>
  <si>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</si>
  <si>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</si>
  <si>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</si>
  <si>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</si>
  <si>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</si>
  <si>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</si>
  <si>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</si>
  <si>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</si>
  <si>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</si>
  <si>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</si>
  <si>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</si>
  <si>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</si>
  <si>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</si>
  <si>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</si>
  <si>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</si>
  <si>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</si>
  <si>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</si>
  <si>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</si>
  <si>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</si>
  <si>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</si>
  <si>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</si>
  <si>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</si>
  <si>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</si>
  <si>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</si>
  <si>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</si>
  <si>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</si>
  <si>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</si>
  <si>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</si>
  <si>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</si>
  <si>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</si>
  <si>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</si>
  <si>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</si>
  <si>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</si>
  <si>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</si>
  <si>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</si>
  <si>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</si>
  <si>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</si>
  <si>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</si>
  <si>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</si>
  <si>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</si>
  <si>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</si>
  <si>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</si>
  <si>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</si>
  <si>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</si>
  <si>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</si>
  <si>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</si>
  <si>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</si>
  <si>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</si>
  <si>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</si>
  <si>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</si>
  <si>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</si>
  <si>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</si>
  <si>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</si>
  <si>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</si>
  <si>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</si>
  <si>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</si>
  <si>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</si>
  <si>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</si>
  <si>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</si>
  <si>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</si>
  <si>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</si>
  <si>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</si>
  <si>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</si>
  <si>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</si>
  <si>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</si>
  <si>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</si>
  <si>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</si>
  <si>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</si>
  <si>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</si>
  <si>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</si>
  <si>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</si>
  <si>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</si>
  <si>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</si>
  <si>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</si>
  <si>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</si>
  <si>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</si>
  <si>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</si>
  <si>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</si>
  <si>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</si>
  <si>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</si>
  <si>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</si>
  <si>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</si>
  <si>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</si>
  <si>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</si>
  <si>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</si>
  <si>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</si>
  <si>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</si>
  <si>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</si>
  <si>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</si>
  <si>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</si>
  <si>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</si>
  <si>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</si>
  <si>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</si>
  <si>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</si>
  <si>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</si>
  <si>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</si>
  <si>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</si>
  <si>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</si>
  <si>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</si>
  <si>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</si>
  <si>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</si>
  <si>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</si>
  <si>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</si>
  <si>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</si>
  <si>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</si>
  <si>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</si>
  <si>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</si>
  <si>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</si>
  <si>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</si>
  <si>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</si>
  <si>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</si>
  <si>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</si>
  <si>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</si>
  <si>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</si>
  <si>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</si>
  <si>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</si>
  <si>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</si>
  <si>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</si>
  <si>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</si>
  <si>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</si>
  <si>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</si>
  <si>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</si>
  <si>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</si>
  <si>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</si>
  <si>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</si>
  <si>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</si>
  <si>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</si>
  <si>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</si>
  <si>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</si>
  <si>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</si>
  <si>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</si>
  <si>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</si>
  <si>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</si>
  <si>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</si>
  <si>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</si>
  <si>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</si>
  <si>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</si>
  <si>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</si>
  <si>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</si>
  <si>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</si>
  <si>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</si>
  <si>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</si>
  <si>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</si>
  <si>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</si>
  <si>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</si>
  <si>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</si>
  <si>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</si>
  <si>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</si>
  <si>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</si>
  <si>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</si>
  <si>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</si>
  <si>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</si>
  <si>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</si>
  <si>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</si>
  <si>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</si>
  <si>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</si>
  <si>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</si>
  <si>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</si>
  <si>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</si>
  <si>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</si>
  <si>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</si>
  <si>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</si>
  <si>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</si>
  <si>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</si>
  <si>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</si>
  <si>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</si>
  <si>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</si>
  <si>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</si>
  <si>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</si>
  <si>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</si>
  <si>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</si>
  <si>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</si>
  <si>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</si>
  <si>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</si>
  <si>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</si>
  <si>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</si>
  <si>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</si>
  <si>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</si>
  <si>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</si>
  <si>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</si>
  <si>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</si>
  <si>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</si>
  <si>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</si>
  <si>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</si>
  <si>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</si>
  <si>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</si>
  <si>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</si>
  <si>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</si>
  <si>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</si>
  <si>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</si>
  <si>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</si>
  <si>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</si>
  <si>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</si>
  <si>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</si>
  <si>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</si>
  <si>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</si>
  <si>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</si>
  <si>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</si>
  <si>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</si>
  <si>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</si>
  <si>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</si>
  <si>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</si>
  <si>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</si>
  <si>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</si>
  <si>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</si>
  <si>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</si>
  <si>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</si>
  <si>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</si>
  <si>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</si>
  <si>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</si>
  <si>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</si>
  <si>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</si>
  <si>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</si>
  <si>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</si>
  <si>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</si>
  <si>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</si>
  <si>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</si>
  <si>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</si>
  <si>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</si>
  <si>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</si>
  <si>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</si>
  <si>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</si>
  <si>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</si>
  <si>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</si>
  <si>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</si>
  <si>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</si>
  <si>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</si>
  <si>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</si>
  <si>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</si>
  <si>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</si>
  <si>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</si>
  <si>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</si>
  <si>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</si>
  <si>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</si>
  <si>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</si>
  <si>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</si>
  <si>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</si>
  <si>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</si>
  <si>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</si>
  <si>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</si>
  <si>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</si>
  <si>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</si>
  <si>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</si>
  <si>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</si>
  <si>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</si>
  <si>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</si>
  <si>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</si>
  <si>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</si>
  <si>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</si>
  <si>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</si>
  <si>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</si>
  <si>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</si>
  <si>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</si>
  <si>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</si>
  <si>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</si>
  <si>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</si>
  <si>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</si>
  <si>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</si>
  <si>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</si>
  <si>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</si>
  <si>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</si>
  <si>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</si>
  <si>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</si>
  <si>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</si>
  <si>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</si>
  <si>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</si>
  <si>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</si>
  <si>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</si>
  <si>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</si>
  <si>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</si>
  <si>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</si>
  <si>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</si>
  <si>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</si>
  <si>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</si>
  <si>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</si>
  <si>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</si>
  <si>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</si>
  <si>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</si>
  <si>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</si>
  <si>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</si>
  <si>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</si>
  <si>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</si>
  <si>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</si>
  <si>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</si>
  <si>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</si>
  <si>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</si>
  <si>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</si>
  <si>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</si>
  <si>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</si>
  <si>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</si>
  <si>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</si>
  <si>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</si>
  <si>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</si>
  <si>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</si>
  <si>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</si>
  <si>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</si>
  <si>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</si>
  <si>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</si>
  <si>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</si>
  <si>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</si>
  <si>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</si>
  <si>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</si>
  <si>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</si>
  <si>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</si>
  <si>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</si>
  <si>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</si>
  <si>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</si>
  <si>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</si>
  <si>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</si>
  <si>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</si>
  <si>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</si>
  <si>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</si>
  <si>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</si>
  <si>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</si>
  <si>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</si>
  <si>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</si>
  <si>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</si>
  <si>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</si>
  <si>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</si>
  <si>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</si>
  <si>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</si>
  <si>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</si>
  <si>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</si>
  <si>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</si>
  <si>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</si>
  <si>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</si>
  <si>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</si>
  <si>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</si>
  <si>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</si>
  <si>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</si>
  <si>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</si>
  <si>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</si>
  <si>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</si>
  <si>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</si>
  <si>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</si>
  <si>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</si>
  <si>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</si>
  <si>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</si>
  <si>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</si>
  <si>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</si>
  <si>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</si>
  <si>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</si>
  <si>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</si>
  <si>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</si>
  <si>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</si>
  <si>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</si>
  <si>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</si>
  <si>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</si>
  <si>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</si>
  <si>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</si>
  <si>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</si>
  <si>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</si>
  <si>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</si>
  <si>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</si>
  <si>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</si>
  <si>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</si>
  <si>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</si>
  <si>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</si>
  <si>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</si>
  <si>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</si>
  <si>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</si>
  <si>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</si>
  <si>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</si>
  <si>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</si>
  <si>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</si>
  <si>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</si>
  <si>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</si>
  <si>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</si>
  <si>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</si>
  <si>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</si>
  <si>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</si>
  <si>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</si>
  <si>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</si>
  <si>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</si>
  <si>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</si>
  <si>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</si>
  <si>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</si>
  <si>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</si>
  <si>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</si>
  <si>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</si>
  <si>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</si>
  <si>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</si>
  <si>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</si>
  <si>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</si>
  <si>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</si>
  <si>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</si>
  <si>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</si>
  <si>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</si>
  <si>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</si>
  <si>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</si>
  <si>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</si>
  <si>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</si>
  <si>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</si>
  <si>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</si>
  <si>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</si>
  <si>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</si>
  <si>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</si>
  <si>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</si>
  <si>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</si>
  <si>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</si>
  <si>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</si>
  <si>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</si>
  <si>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</si>
  <si>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</si>
  <si>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</si>
  <si>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</si>
  <si>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</si>
  <si>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</si>
  <si>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</si>
  <si>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</si>
  <si>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</si>
  <si>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</si>
  <si>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</si>
  <si>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</si>
  <si>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</si>
  <si>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</si>
  <si>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</si>
  <si>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</si>
  <si>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</si>
  <si>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</si>
  <si>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</si>
  <si>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</si>
  <si>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</si>
  <si>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</si>
  <si>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</si>
  <si>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</si>
  <si>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</si>
  <si>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</si>
  <si>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</si>
  <si>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</si>
  <si>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</si>
  <si>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</si>
  <si>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</si>
  <si>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</si>
  <si>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</si>
  <si>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</si>
  <si>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</si>
  <si>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</si>
  <si>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</si>
  <si>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</si>
  <si>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</si>
  <si>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</si>
  <si>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</si>
  <si>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</si>
  <si>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</si>
  <si>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</si>
  <si>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</si>
  <si>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</si>
  <si>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</si>
  <si>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</si>
  <si>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</si>
  <si>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</si>
  <si>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</si>
  <si>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</si>
  <si>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</si>
  <si>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</si>
  <si>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</si>
  <si>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</si>
  <si>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</si>
  <si>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</si>
  <si>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</si>
  <si>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</si>
  <si>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</si>
  <si>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</si>
  <si>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</si>
  <si>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</si>
  <si>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</si>
  <si>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</si>
  <si>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</si>
  <si>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</si>
  <si>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</si>
  <si>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</si>
  <si>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</si>
  <si>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</si>
  <si>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</si>
  <si>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</si>
  <si>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</si>
  <si>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</si>
  <si>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</si>
  <si>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</si>
  <si>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</si>
  <si>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</si>
  <si>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</si>
  <si>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</si>
  <si>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</si>
  <si>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</si>
  <si>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</si>
  <si>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</si>
  <si>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</si>
  <si>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</si>
  <si>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</si>
  <si>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</si>
  <si>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</si>
  <si>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</si>
  <si>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</si>
  <si>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</si>
  <si>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</si>
  <si>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</si>
  <si>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</si>
  <si>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</si>
  <si>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</si>
  <si>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</si>
  <si>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</si>
  <si>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</si>
  <si>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</si>
  <si>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</si>
  <si>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</si>
  <si>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</si>
  <si>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</si>
  <si>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</si>
  <si>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</si>
  <si>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</si>
  <si>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</si>
  <si>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</si>
  <si>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</si>
  <si>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</si>
  <si>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</si>
  <si>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</si>
  <si>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</si>
  <si>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</si>
  <si>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</si>
  <si>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</si>
  <si>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</si>
  <si>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</si>
  <si>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</si>
  <si>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</si>
  <si>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</si>
  <si>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</si>
  <si>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</si>
  <si>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</si>
  <si>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</si>
  <si>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</si>
  <si>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</si>
  <si>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</si>
  <si>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</si>
  <si>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</si>
  <si>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</si>
  <si>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</si>
  <si>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</si>
  <si>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</si>
  <si>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</si>
  <si>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</si>
  <si>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</si>
  <si>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</si>
  <si>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</si>
  <si>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</si>
  <si>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</si>
  <si>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</si>
  <si>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</si>
  <si>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</si>
  <si>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</si>
  <si>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</si>
  <si>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</si>
  <si>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</si>
  <si>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</si>
  <si>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</si>
  <si>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</si>
  <si>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</si>
  <si>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</si>
  <si>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</si>
  <si>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</si>
  <si>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</si>
  <si>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</si>
  <si>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</si>
  <si>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</si>
  <si>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</si>
  <si>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</si>
  <si>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</si>
  <si>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</si>
  <si>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</si>
  <si>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</si>
  <si>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</si>
  <si>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</si>
  <si>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</si>
  <si>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</si>
  <si>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</si>
  <si>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</si>
  <si>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</si>
  <si>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</si>
  <si>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</si>
  <si>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</si>
  <si>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</si>
  <si>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</si>
  <si>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</si>
  <si>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</si>
  <si>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</si>
  <si>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</si>
  <si>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</si>
  <si>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</si>
  <si>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</si>
  <si>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</si>
  <si>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</si>
  <si>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</si>
  <si>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</si>
  <si>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</si>
  <si>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</si>
  <si>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</si>
  <si>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</si>
  <si>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</si>
  <si>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</si>
  <si>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</si>
  <si>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</si>
  <si>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</si>
  <si>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</si>
  <si>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</si>
  <si>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</si>
  <si>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</si>
  <si>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</si>
  <si>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</si>
  <si>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</si>
  <si>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</si>
  <si>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</si>
  <si>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</si>
  <si>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</si>
  <si>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</si>
  <si>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</si>
  <si>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</si>
  <si>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</si>
  <si>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</si>
  <si>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</si>
  <si>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</si>
  <si>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</si>
  <si>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</si>
  <si>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</si>
  <si>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</si>
  <si>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</si>
  <si>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</si>
  <si>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</si>
  <si>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</si>
  <si>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</si>
  <si>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</si>
  <si>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</si>
  <si>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</si>
  <si>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</si>
  <si>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</si>
  <si>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</si>
  <si>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</si>
  <si>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</si>
  <si>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</si>
  <si>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</si>
  <si>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</si>
  <si>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</si>
  <si>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</si>
  <si>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</si>
  <si>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</si>
  <si>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</si>
  <si>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</si>
  <si>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</si>
  <si>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</si>
  <si>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</si>
  <si>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</si>
  <si>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</si>
  <si>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</si>
  <si>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</si>
  <si>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</si>
  <si>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</si>
  <si>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</si>
  <si>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</si>
  <si>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</si>
  <si>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</si>
  <si>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</si>
  <si>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</si>
  <si>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</si>
  <si>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</si>
  <si>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</si>
  <si>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</si>
  <si>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</si>
  <si>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</si>
  <si>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</si>
  <si>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</si>
  <si>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</si>
  <si>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</si>
  <si>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</si>
  <si>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</si>
  <si>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</si>
  <si>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</si>
  <si>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</si>
  <si>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</si>
  <si>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</si>
  <si>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</si>
  <si>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</si>
  <si>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</si>
  <si>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</si>
  <si>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</si>
  <si>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</si>
  <si>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</si>
  <si>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</si>
  <si>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</si>
  <si>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</si>
  <si>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</si>
  <si>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</si>
  <si>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</si>
  <si>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</si>
  <si>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</si>
  <si>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</si>
  <si>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</si>
  <si>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</si>
  <si>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</si>
  <si>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</si>
  <si>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</si>
  <si>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</si>
  <si>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</si>
  <si>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</si>
  <si>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</si>
  <si>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</si>
  <si>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</si>
  <si>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</si>
  <si>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</si>
  <si>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</si>
  <si>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</si>
  <si>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</si>
  <si>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</si>
  <si>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</si>
  <si>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</si>
  <si>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</si>
  <si>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</si>
  <si>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</si>
  <si>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</si>
  <si>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</si>
  <si>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</si>
  <si>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</si>
  <si>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</si>
  <si>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</si>
  <si>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</si>
  <si>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</si>
  <si>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</si>
  <si>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</si>
  <si>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</si>
  <si>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</si>
  <si>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</si>
  <si>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</si>
  <si>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</si>
  <si>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</si>
  <si>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</si>
  <si>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</si>
  <si>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</si>
  <si>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</si>
  <si>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</si>
  <si>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</si>
  <si>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</si>
  <si>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</si>
  <si>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</si>
  <si>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</si>
  <si>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</si>
  <si>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</si>
  <si>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</si>
  <si>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</si>
  <si>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</si>
  <si>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</si>
  <si>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</si>
  <si>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</si>
  <si>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</si>
  <si>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</si>
  <si>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</si>
  <si>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</si>
  <si>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</si>
  <si>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</si>
  <si>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</si>
  <si>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</si>
  <si>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</si>
  <si>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</si>
  <si>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</si>
  <si>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</si>
  <si>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</si>
  <si>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</si>
  <si>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</si>
  <si>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</si>
  <si>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</si>
  <si>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</si>
  <si>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</si>
  <si>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</si>
  <si>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</si>
  <si>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</si>
  <si>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</si>
  <si>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</si>
  <si>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</si>
  <si>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</si>
  <si>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</si>
  <si>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</si>
  <si>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</si>
  <si>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</si>
  <si>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</si>
  <si>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</si>
  <si>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</si>
  <si>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</si>
  <si>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</si>
  <si>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</si>
  <si>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</si>
  <si>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</si>
  <si>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</si>
  <si>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</si>
  <si>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</si>
  <si>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</si>
  <si>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</si>
  <si>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</si>
  <si>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</si>
  <si>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</si>
  <si>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</si>
  <si>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</si>
  <si>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</si>
  <si>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</si>
  <si>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</si>
  <si>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</si>
  <si>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</si>
  <si>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</si>
  <si>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</si>
  <si>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</si>
  <si>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</si>
  <si>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</si>
  <si>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</si>
  <si>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</si>
  <si>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</si>
  <si>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</si>
  <si>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</si>
  <si>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</si>
  <si>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</si>
  <si>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</si>
  <si>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</si>
  <si>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</si>
  <si>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</si>
  <si>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</si>
  <si>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</si>
  <si>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</si>
  <si>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</si>
  <si>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</si>
  <si>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</si>
  <si>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</si>
  <si>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</si>
  <si>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</si>
  <si>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</si>
  <si>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</si>
  <si>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</si>
  <si>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</si>
  <si>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</si>
  <si>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</si>
  <si>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</si>
  <si>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</si>
  <si>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</si>
  <si>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</si>
  <si>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</si>
  <si>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</si>
  <si>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</si>
  <si>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</si>
  <si>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</si>
  <si>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</si>
  <si>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</si>
  <si>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</si>
  <si>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</si>
  <si>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</si>
  <si>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</si>
  <si>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</si>
  <si>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</si>
  <si>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</si>
  <si>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</si>
  <si>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</si>
  <si>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</si>
  <si>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</si>
  <si>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</si>
  <si>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</si>
  <si>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</si>
  <si>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</si>
  <si>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</si>
  <si>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</si>
  <si>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</si>
  <si>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</si>
  <si>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</si>
  <si>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</si>
  <si>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</si>
  <si>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</si>
  <si>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</si>
  <si>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</si>
  <si>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</si>
  <si>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</si>
  <si>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</si>
  <si>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</si>
  <si>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</si>
  <si>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</si>
  <si>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</si>
  <si>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</si>
  <si>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</si>
  <si>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</si>
  <si>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</si>
  <si>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</si>
  <si>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</si>
  <si>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</si>
  <si>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</si>
  <si>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</si>
  <si>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</si>
  <si>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</si>
  <si>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</si>
  <si>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</si>
  <si>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</si>
  <si>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</si>
  <si>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</si>
  <si>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</si>
  <si>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</si>
  <si>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</si>
  <si>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</si>
  <si>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</si>
  <si>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</si>
  <si>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</si>
  <si>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</si>
  <si>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</si>
  <si>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</si>
  <si>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</si>
  <si>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</si>
  <si>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</si>
  <si>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</si>
  <si>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</si>
  <si>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</si>
  <si>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</si>
  <si>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</si>
  <si>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</si>
  <si>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</si>
  <si>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</si>
  <si>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</si>
  <si>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</si>
  <si>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</si>
  <si>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</si>
  <si>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</si>
  <si>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</si>
  <si>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</si>
  <si>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</si>
  <si>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</si>
  <si>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</si>
  <si>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</si>
  <si>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</si>
  <si>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</si>
  <si>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</si>
  <si>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</si>
  <si>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</si>
  <si>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</si>
  <si>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</si>
  <si>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</si>
  <si>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</si>
  <si>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</si>
  <si>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</si>
  <si>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</si>
  <si>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</si>
  <si>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</si>
  <si>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</si>
  <si>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</si>
  <si>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</si>
  <si>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</si>
  <si>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</si>
  <si>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</si>
  <si>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</si>
  <si>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</si>
  <si>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</si>
  <si>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</si>
  <si>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</si>
  <si>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</si>
  <si>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</si>
  <si>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</si>
  <si>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</si>
  <si>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</si>
  <si>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</si>
  <si>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</si>
  <si>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</si>
  <si>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</si>
  <si>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</si>
  <si>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</si>
  <si>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</si>
  <si>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</si>
  <si>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</si>
  <si>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</si>
  <si>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</si>
  <si>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</si>
  <si>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</si>
  <si>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</si>
  <si>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</si>
  <si>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</si>
  <si>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</si>
  <si>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</si>
  <si>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</si>
  <si>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</si>
  <si>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</si>
  <si>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</si>
  <si>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</si>
  <si>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</si>
  <si>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</si>
  <si>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</si>
  <si>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</si>
  <si>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</si>
  <si>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</si>
  <si>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</si>
  <si>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</si>
  <si>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</si>
  <si>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</si>
  <si>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</si>
  <si>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</si>
  <si>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</si>
  <si>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</si>
  <si>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</si>
  <si>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</si>
  <si>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</si>
  <si>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</si>
  <si>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</si>
  <si>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</si>
  <si>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</si>
  <si>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</si>
  <si>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</si>
  <si>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</si>
  <si>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</si>
  <si>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</si>
  <si>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</si>
  <si>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</si>
  <si>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</si>
  <si>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</si>
  <si>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</si>
  <si>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</si>
  <si>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</si>
  <si>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</si>
  <si>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</si>
  <si>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</si>
  <si>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</si>
  <si>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</si>
  <si>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</si>
  <si>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</si>
  <si>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</si>
  <si>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</si>
  <si>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</si>
  <si>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</si>
  <si>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</si>
  <si>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</si>
  <si>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</si>
  <si>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</si>
  <si>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</si>
  <si>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</si>
  <si>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</si>
  <si>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</si>
  <si>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</si>
  <si>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</si>
  <si>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</si>
  <si>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</si>
  <si>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</si>
  <si>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</si>
  <si>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</si>
  <si>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</si>
  <si>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</si>
  <si>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</si>
  <si>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</si>
  <si>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</si>
  <si>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</si>
  <si>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</si>
  <si>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</si>
  <si>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</si>
  <si>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</si>
  <si>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</si>
  <si>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</si>
  <si>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</si>
  <si>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</si>
  <si>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</si>
  <si>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</si>
  <si>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</si>
  <si>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</si>
  <si>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</si>
  <si>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</si>
  <si>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</si>
  <si>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</si>
  <si>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</si>
  <si>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</si>
  <si>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</si>
  <si>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</si>
  <si>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</si>
  <si>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</si>
  <si>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</si>
  <si>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</si>
  <si>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</si>
  <si>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</si>
  <si>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</si>
  <si>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</si>
  <si>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</si>
  <si>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</si>
  <si>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</si>
  <si>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</si>
  <si>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</si>
  <si>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</si>
  <si>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</si>
  <si>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</si>
  <si>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</si>
  <si>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</si>
  <si>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</si>
  <si>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</si>
  <si>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</si>
  <si>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</si>
  <si>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</si>
  <si>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</si>
  <si>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</si>
  <si>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</si>
  <si>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</si>
  <si>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</si>
  <si>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</si>
  <si>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</si>
  <si>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</si>
  <si>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</si>
  <si>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</si>
  <si>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</si>
  <si>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</si>
  <si>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</si>
  <si>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</si>
  <si>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</si>
  <si>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</si>
  <si>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</si>
  <si>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</si>
  <si>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</si>
  <si>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</si>
  <si>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</si>
  <si>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</si>
  <si>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</si>
  <si>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</si>
  <si>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</si>
  <si>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</si>
  <si>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</si>
  <si>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</si>
  <si>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</si>
  <si>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</si>
  <si>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</si>
  <si>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</si>
  <si>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</si>
  <si>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</si>
  <si>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</si>
  <si>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</si>
  <si>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</si>
  <si>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</si>
  <si>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</si>
  <si>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</si>
  <si>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</si>
  <si>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</si>
  <si>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</si>
  <si>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</si>
  <si>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</si>
  <si>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</si>
  <si>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</si>
  <si>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</si>
  <si>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</si>
  <si>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</si>
  <si>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</si>
  <si>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</si>
  <si>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</si>
  <si>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</si>
  <si>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</si>
  <si>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</si>
  <si>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</si>
  <si>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</si>
  <si>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</si>
  <si>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</si>
  <si>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</si>
  <si>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</si>
  <si>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</si>
  <si>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</si>
  <si>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</si>
  <si>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</si>
  <si>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</si>
  <si>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</si>
  <si>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</si>
  <si>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</si>
  <si>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</si>
  <si>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</si>
  <si>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</si>
  <si>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</si>
  <si>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</si>
  <si>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</si>
  <si>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</si>
  <si>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</si>
  <si>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</si>
  <si>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</si>
  <si>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</si>
  <si>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</si>
  <si>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</si>
  <si>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</si>
  <si>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</si>
  <si>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</si>
  <si>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</si>
  <si>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</si>
  <si>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</si>
  <si>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</si>
  <si>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</si>
  <si>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</si>
  <si>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</si>
  <si>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</si>
  <si>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</si>
  <si>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</si>
  <si>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</si>
  <si>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</si>
  <si>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</si>
  <si>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</si>
  <si>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</si>
  <si>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</si>
  <si>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</si>
  <si>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</si>
  <si>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</si>
  <si>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</si>
  <si>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</si>
  <si>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</si>
  <si>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</si>
  <si>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</si>
  <si>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</si>
  <si>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</si>
  <si>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</si>
  <si>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</si>
  <si>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</si>
  <si>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</si>
  <si>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</si>
  <si>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</si>
  <si>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</si>
  <si>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</si>
  <si>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</si>
  <si>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</si>
  <si>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</si>
  <si>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</si>
  <si>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</si>
  <si>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</si>
  <si>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</si>
  <si>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</si>
  <si>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</si>
  <si>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</si>
  <si>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</si>
  <si>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</si>
  <si>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</si>
  <si>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</si>
  <si>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</si>
  <si>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</si>
  <si>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</si>
  <si>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</si>
  <si>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</si>
  <si>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</si>
  <si>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</si>
  <si>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</si>
  <si>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</si>
  <si>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</si>
  <si>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</si>
  <si>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</si>
  <si>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</si>
  <si>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</si>
  <si>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</si>
  <si>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</si>
  <si>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</si>
  <si>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</si>
  <si>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</si>
  <si>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</si>
  <si>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</si>
  <si>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</si>
  <si>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</si>
  <si>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</si>
  <si>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</si>
  <si>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</si>
  <si>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</si>
  <si>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</si>
  <si>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</si>
  <si>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</si>
  <si>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</si>
  <si>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</si>
  <si>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</si>
  <si>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</si>
  <si>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</si>
  <si>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</si>
  <si>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</si>
  <si>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</si>
  <si>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</si>
  <si>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</si>
  <si>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</si>
  <si>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</si>
  <si>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</si>
  <si>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</si>
  <si>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</si>
  <si>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</si>
  <si>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</si>
  <si>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</si>
  <si>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</si>
  <si>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</si>
  <si>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</si>
  <si>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</si>
  <si>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</si>
  <si>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</si>
  <si>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</si>
  <si>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</si>
  <si>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</si>
  <si>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</si>
  <si>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</si>
  <si>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</si>
  <si>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</si>
  <si>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</si>
  <si>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</si>
  <si>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</si>
  <si>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</si>
  <si>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</si>
  <si>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</si>
  <si>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</si>
  <si>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</si>
  <si>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</si>
  <si>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</si>
  <si>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</si>
  <si>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</si>
  <si>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</si>
  <si>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</si>
  <si>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</si>
  <si>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</si>
  <si>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</si>
  <si>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</si>
  <si>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</si>
  <si>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</si>
  <si>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</si>
  <si>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</si>
  <si>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</si>
  <si>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</si>
  <si>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</si>
  <si>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</si>
  <si>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</si>
  <si>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</si>
  <si>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</si>
  <si>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</si>
  <si>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</si>
  <si>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</si>
  <si>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</si>
  <si>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</si>
  <si>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</si>
  <si>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</si>
  <si>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</si>
  <si>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</si>
  <si>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</si>
  <si>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</si>
  <si>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</si>
  <si>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</si>
  <si>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</si>
  <si>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</si>
  <si>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</si>
  <si>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</si>
  <si>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</si>
  <si>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</si>
  <si>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</si>
  <si>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</si>
  <si>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</si>
  <si>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</si>
  <si>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</si>
  <si>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</si>
  <si>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</si>
  <si>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</si>
  <si>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</si>
  <si>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</si>
  <si>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</si>
  <si>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</si>
  <si>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</si>
  <si>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</si>
  <si>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</si>
  <si>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</si>
  <si>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</si>
  <si>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</si>
  <si>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</si>
  <si>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</si>
  <si>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</si>
  <si>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</si>
  <si>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</si>
  <si>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</si>
  <si>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</si>
  <si>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</si>
  <si>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</si>
  <si>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</si>
  <si>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</si>
  <si>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</si>
  <si>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</si>
  <si>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</si>
  <si>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</si>
  <si>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</si>
  <si>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</si>
  <si>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</si>
  <si>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</si>
  <si>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</si>
  <si>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</si>
  <si>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</si>
  <si>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</si>
  <si>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</si>
  <si>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</si>
  <si>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</si>
  <si>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</si>
  <si>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</si>
  <si>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</si>
  <si>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</si>
  <si>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</si>
  <si>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</si>
  <si>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</si>
  <si>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</si>
  <si>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</si>
  <si>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</si>
  <si>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</si>
  <si>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</si>
  <si>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</si>
  <si>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</si>
  <si>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</si>
  <si>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</si>
  <si>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</si>
  <si>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</si>
  <si>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</si>
  <si>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</si>
  <si>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</si>
  <si>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</si>
  <si>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</si>
  <si>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</si>
  <si>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</si>
  <si>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</si>
  <si>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</si>
  <si>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</si>
  <si>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</si>
  <si>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</si>
  <si>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</si>
  <si>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</si>
  <si>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</si>
  <si>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</si>
  <si>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</si>
  <si>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</si>
  <si>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</si>
  <si>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</si>
  <si>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</si>
  <si>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</si>
  <si>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</si>
  <si>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</si>
  <si>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</si>
  <si>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</si>
  <si>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</si>
  <si>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</si>
  <si>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</si>
  <si>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</si>
  <si>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</si>
  <si>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</si>
  <si>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</si>
  <si>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</si>
  <si>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</si>
  <si>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</si>
  <si>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</si>
  <si>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</si>
  <si>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</si>
  <si>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</si>
  <si>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</si>
  <si>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</si>
  <si>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</si>
  <si>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</si>
  <si>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</si>
  <si>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</si>
  <si>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</si>
  <si>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</si>
  <si>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</si>
  <si>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</si>
  <si>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</si>
  <si>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</si>
  <si>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</si>
  <si>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</si>
  <si>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</si>
  <si>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</si>
  <si>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</si>
  <si>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</si>
  <si>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</si>
  <si>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</si>
  <si>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</si>
  <si>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</si>
  <si>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</si>
  <si>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</si>
  <si>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</si>
  <si>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</si>
  <si>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</si>
  <si>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</si>
  <si>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</si>
  <si>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</si>
  <si>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</si>
  <si>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</si>
  <si>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</si>
  <si>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</si>
  <si>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</si>
  <si>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</si>
  <si>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</si>
  <si>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</si>
  <si>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</si>
  <si>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</si>
  <si>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</si>
  <si>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</si>
  <si>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</si>
  <si>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</si>
  <si>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</si>
  <si>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</si>
  <si>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</si>
  <si>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</si>
  <si>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</si>
  <si>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</si>
  <si>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</si>
  <si>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</si>
  <si>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</si>
  <si>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</si>
  <si>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</si>
  <si>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</si>
  <si>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</si>
  <si>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</si>
  <si>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</si>
  <si>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</si>
  <si>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</si>
  <si>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</si>
  <si>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</si>
  <si>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</si>
  <si>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</si>
  <si>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</si>
  <si>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</si>
  <si>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</si>
  <si>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</si>
  <si>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</si>
  <si>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</si>
  <si>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</si>
  <si>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</si>
  <si>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</si>
  <si>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</si>
  <si>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</si>
  <si>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</si>
  <si>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</si>
  <si>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</si>
  <si>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</si>
  <si>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</si>
  <si>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</si>
  <si>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</si>
  <si>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</si>
  <si>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</si>
  <si>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</si>
  <si>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</si>
  <si>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</si>
  <si>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</si>
  <si>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</si>
  <si>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</si>
  <si>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</si>
  <si>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</si>
  <si>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</si>
  <si>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</si>
  <si>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</si>
  <si>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</si>
  <si>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</si>
  <si>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</si>
  <si>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</si>
  <si>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</si>
  <si>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</si>
  <si>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</si>
  <si>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</si>
  <si>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</si>
  <si>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</si>
  <si>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</si>
  <si>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</si>
  <si>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</si>
  <si>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</si>
  <si>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</si>
  <si>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</si>
  <si>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</si>
  <si>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</si>
  <si>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</si>
  <si>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</si>
  <si>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</si>
  <si>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</si>
  <si>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</si>
  <si>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</si>
  <si>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</si>
  <si>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</si>
  <si>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</si>
  <si>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</si>
  <si>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</si>
  <si>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</si>
  <si>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</si>
  <si>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</si>
  <si>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</si>
  <si>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</si>
  <si>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</si>
  <si>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</si>
  <si>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</si>
  <si>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</si>
  <si>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</si>
  <si>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</si>
  <si>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</si>
  <si>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</si>
  <si>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</si>
  <si>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</si>
  <si>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</si>
  <si>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</si>
  <si>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</si>
  <si>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</si>
  <si>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</si>
  <si>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</si>
  <si>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</si>
  <si>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</si>
  <si>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</si>
  <si>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</si>
  <si>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</si>
  <si>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</si>
  <si>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</si>
  <si>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</si>
  <si>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</si>
  <si>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</si>
  <si>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</si>
  <si>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</si>
  <si>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</si>
  <si>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</si>
  <si>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</si>
  <si>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</si>
  <si>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</si>
  <si>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</si>
  <si>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</si>
  <si>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</si>
  <si>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</si>
  <si>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</si>
  <si>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</si>
  <si>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</si>
  <si>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</si>
  <si>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</si>
  <si>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</si>
  <si>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</si>
  <si>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</si>
  <si>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</si>
  <si>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</si>
  <si>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</si>
  <si>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</si>
  <si>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</si>
  <si>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</si>
  <si>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</si>
  <si>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</si>
  <si>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</si>
  <si>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</si>
  <si>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</si>
  <si>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</si>
  <si>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</si>
  <si>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</si>
  <si>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</si>
  <si>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</si>
  <si>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</si>
  <si>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</si>
  <si>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</si>
  <si>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</si>
  <si>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</si>
  <si>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</si>
  <si>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</si>
  <si>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</si>
  <si>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</si>
  <si>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</si>
  <si>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</si>
  <si>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</si>
  <si>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</si>
  <si>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</si>
  <si>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</si>
  <si>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</si>
  <si>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</si>
  <si>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</si>
  <si>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</si>
  <si>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</si>
  <si>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</si>
  <si>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</si>
  <si>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</si>
  <si>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</si>
  <si>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</si>
  <si>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</si>
  <si>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</si>
  <si>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</si>
  <si>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</si>
  <si>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</si>
  <si>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</si>
  <si>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</si>
  <si>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</si>
  <si>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</si>
  <si>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</si>
  <si>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</si>
  <si>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</si>
  <si>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</si>
  <si>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</si>
  <si>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</si>
  <si>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</si>
  <si>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</si>
  <si>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</si>
  <si>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</si>
  <si>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</si>
  <si>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</si>
  <si>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</si>
  <si>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</si>
  <si>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</si>
  <si>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</si>
  <si>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</si>
  <si>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</si>
  <si>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</si>
  <si>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</si>
  <si>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</si>
  <si>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</si>
  <si>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</si>
  <si>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</si>
  <si>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</si>
  <si>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</si>
  <si>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</si>
  <si>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</si>
  <si>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</si>
  <si>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</si>
  <si>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</si>
  <si>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</si>
  <si>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</si>
  <si>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</si>
  <si>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</si>
  <si>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</si>
  <si>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</si>
  <si>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</si>
  <si>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</si>
  <si>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</si>
  <si>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</si>
  <si>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</si>
  <si>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</si>
  <si>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</si>
  <si>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</si>
  <si>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</si>
  <si>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</si>
  <si>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</si>
  <si>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</si>
  <si>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</si>
  <si>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</si>
  <si>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</si>
  <si>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</si>
  <si>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</si>
  <si>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</si>
  <si>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</si>
  <si>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</si>
  <si>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</si>
  <si>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</si>
  <si>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</si>
  <si>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</si>
  <si>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</si>
  <si>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</si>
  <si>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</si>
  <si>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</si>
  <si>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</si>
  <si>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</si>
  <si>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</si>
  <si>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</si>
  <si>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</si>
  <si>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</si>
  <si>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</si>
  <si>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</si>
  <si>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</si>
  <si>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</si>
  <si>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</si>
  <si>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</si>
  <si>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</si>
  <si>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</si>
  <si>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</si>
  <si>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</si>
  <si>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</si>
  <si>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</si>
  <si>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</si>
  <si>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</si>
  <si>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</si>
  <si>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</si>
  <si>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</si>
  <si>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</si>
  <si>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</si>
  <si>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</si>
  <si>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</si>
  <si>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</si>
  <si>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</si>
  <si>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</si>
  <si>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</si>
  <si>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</si>
  <si>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</si>
  <si>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</si>
  <si>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</si>
  <si>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</si>
  <si>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</si>
  <si>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</si>
  <si>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</si>
  <si>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</si>
  <si>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</si>
  <si>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</si>
  <si>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</si>
  <si>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</si>
  <si>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</si>
  <si>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</si>
  <si>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</si>
  <si>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</si>
  <si>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</si>
  <si>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</si>
  <si>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</si>
  <si>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</si>
  <si>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</si>
  <si>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</si>
  <si>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</si>
  <si>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</si>
  <si>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</si>
  <si>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</si>
  <si>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</si>
  <si>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</si>
  <si>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</si>
  <si>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</si>
  <si>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</si>
  <si>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</si>
  <si>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</si>
  <si>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</si>
  <si>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</si>
  <si>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</si>
  <si>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</si>
  <si>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</si>
  <si>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</si>
  <si>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</si>
  <si>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</si>
  <si>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</si>
  <si>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</si>
  <si>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</si>
  <si>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</si>
  <si>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</si>
  <si>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</si>
  <si>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</si>
  <si>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</si>
  <si>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</si>
  <si>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</si>
  <si>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</si>
  <si>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</si>
  <si>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</si>
  <si>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</si>
  <si>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</si>
  <si>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</si>
  <si>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</si>
  <si>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</si>
  <si>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</si>
  <si>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</si>
  <si>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</si>
  <si>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</si>
  <si>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</si>
  <si>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</si>
  <si>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</si>
  <si>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</si>
  <si>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</si>
  <si>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</si>
  <si>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</si>
  <si>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</si>
  <si>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</si>
  <si>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</si>
  <si>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</si>
  <si>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</si>
  <si>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</si>
  <si>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</si>
  <si>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</si>
  <si>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</si>
  <si>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</si>
  <si>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</si>
  <si>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</si>
  <si>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</si>
  <si>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</si>
  <si>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</si>
  <si>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</si>
  <si>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</si>
  <si>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</si>
  <si>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</si>
  <si>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</si>
  <si>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</si>
  <si>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</si>
  <si>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</si>
  <si>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</si>
  <si>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</si>
  <si>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</si>
  <si>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</si>
  <si>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</si>
  <si>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</si>
  <si>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</si>
  <si>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</si>
  <si>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</si>
  <si>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</si>
  <si>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</si>
  <si>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</si>
  <si>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</si>
  <si>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</si>
  <si>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</si>
  <si>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</si>
  <si>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</si>
  <si>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</si>
  <si>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</si>
  <si>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</si>
  <si>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</si>
  <si>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</si>
  <si>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</si>
  <si>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</si>
  <si>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</si>
  <si>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</si>
  <si>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</si>
  <si>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</si>
  <si>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</si>
  <si>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</si>
  <si>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</si>
  <si>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</si>
  <si>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</si>
  <si>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</si>
  <si>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</si>
  <si>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</si>
  <si>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</si>
  <si>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</si>
  <si>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</si>
  <si>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</si>
  <si>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</si>
  <si>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</si>
  <si>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</si>
  <si>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</si>
  <si>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</si>
  <si>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</si>
  <si>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</si>
  <si>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</si>
  <si>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</si>
  <si>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</si>
  <si>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</si>
  <si>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</si>
  <si>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</si>
  <si>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</si>
  <si>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</si>
  <si>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</si>
  <si>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</si>
  <si>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</si>
  <si>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</si>
  <si>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</si>
  <si>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</si>
  <si>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</si>
  <si>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</si>
  <si>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</si>
  <si>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</si>
  <si>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</si>
  <si>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</si>
  <si>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</si>
  <si>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</si>
  <si>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</si>
  <si>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</si>
  <si>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</si>
  <si>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</si>
  <si>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</si>
  <si>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</si>
  <si>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</si>
  <si>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</si>
  <si>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</si>
  <si>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</si>
  <si>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</si>
  <si>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</si>
  <si>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</si>
  <si>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</si>
  <si>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</si>
  <si>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</si>
  <si>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</si>
  <si>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</si>
  <si>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</si>
  <si>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</si>
  <si>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</si>
  <si>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</si>
  <si>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</si>
  <si>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</si>
  <si>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</si>
  <si>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</si>
  <si>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</si>
  <si>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</si>
  <si>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</si>
  <si>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</si>
  <si>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</si>
  <si>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</si>
  <si>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</si>
  <si>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</si>
  <si>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</si>
  <si>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</si>
  <si>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</si>
  <si>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</si>
  <si>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</si>
  <si>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</si>
  <si>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</si>
  <si>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</si>
  <si>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</si>
  <si>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</si>
  <si>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</si>
  <si>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</si>
  <si>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</si>
  <si>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</si>
  <si>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</si>
  <si>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</si>
  <si>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</si>
  <si>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</si>
  <si>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</si>
  <si>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</si>
  <si>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</si>
  <si>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</si>
  <si>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</si>
  <si>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</si>
  <si>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</si>
  <si>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</si>
  <si>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</si>
  <si>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</si>
  <si>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</si>
  <si>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</si>
  <si>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</si>
  <si>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</si>
  <si>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</si>
  <si>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</si>
  <si>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</si>
  <si>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</si>
  <si>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</si>
  <si>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</si>
  <si>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</si>
  <si>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</si>
  <si>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</si>
  <si>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</si>
  <si>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</si>
  <si>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</si>
  <si>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</si>
  <si>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</si>
  <si>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</si>
  <si>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</si>
  <si>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</si>
  <si>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</si>
  <si>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</si>
  <si>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</si>
  <si>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</si>
  <si>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</si>
  <si>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</si>
  <si>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</si>
  <si>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</si>
  <si>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</si>
  <si>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</si>
  <si>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</si>
  <si>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</si>
  <si>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</si>
  <si>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</si>
  <si>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</si>
  <si>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</si>
  <si>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</si>
  <si>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</si>
  <si>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</si>
  <si>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</si>
  <si>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</si>
  <si>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</si>
  <si>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</si>
  <si>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</si>
  <si>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</si>
  <si>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</si>
  <si>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</si>
  <si>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</si>
  <si>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</si>
  <si>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</si>
  <si>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</si>
  <si>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</si>
  <si>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</si>
  <si>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</si>
  <si>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</si>
  <si>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</si>
  <si>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</si>
  <si>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</si>
  <si>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</si>
  <si>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</si>
  <si>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</si>
  <si>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</si>
  <si>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</si>
  <si>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</si>
  <si>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</si>
  <si>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</si>
  <si>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</si>
  <si>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</si>
  <si>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</si>
  <si>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</si>
  <si>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</si>
  <si>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</si>
  <si>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</si>
  <si>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</si>
  <si>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</si>
  <si>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</si>
  <si>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</si>
  <si>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</si>
  <si>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</si>
  <si>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</si>
  <si>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</si>
  <si>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</si>
  <si>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</si>
  <si>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</si>
  <si>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</si>
  <si>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</si>
  <si>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</si>
  <si>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</si>
  <si>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</si>
  <si>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</si>
  <si>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</si>
  <si>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</si>
  <si>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</si>
  <si>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</si>
  <si>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</si>
  <si>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</si>
  <si>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</si>
  <si>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</si>
  <si>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</si>
  <si>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</si>
  <si>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</si>
  <si>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</si>
  <si>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</si>
  <si>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</si>
  <si>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</si>
  <si>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</si>
  <si>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</si>
  <si>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</si>
  <si>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</si>
  <si>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</si>
  <si>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</si>
  <si>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</si>
  <si>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</si>
  <si>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</si>
  <si>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</si>
  <si>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</si>
  <si>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</si>
  <si>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</si>
  <si>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</si>
  <si>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</si>
  <si>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</si>
  <si>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</si>
  <si>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</si>
  <si>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</si>
  <si>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</si>
  <si>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</si>
  <si>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</si>
  <si>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</si>
  <si>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</si>
  <si>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</si>
  <si>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</si>
  <si>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</si>
  <si>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</si>
  <si>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</si>
  <si>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</si>
  <si>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</si>
  <si>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</si>
  <si>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</si>
  <si>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</si>
  <si>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</si>
  <si>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</si>
  <si>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</si>
  <si>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</si>
  <si>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</si>
  <si>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</si>
  <si>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</si>
  <si>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</si>
  <si>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</si>
  <si>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</si>
  <si>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</si>
  <si>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</si>
  <si>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</si>
  <si>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</si>
  <si>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</si>
  <si>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</si>
  <si>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</si>
  <si>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</si>
  <si>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</si>
  <si>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</si>
  <si>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</si>
  <si>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</si>
  <si>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</si>
  <si>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</si>
  <si>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</si>
  <si>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</si>
  <si>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</si>
  <si>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</si>
  <si>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</si>
  <si>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</si>
  <si>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</si>
  <si>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</si>
  <si>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</si>
  <si>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</si>
  <si>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</si>
  <si>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</si>
  <si>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</si>
  <si>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</si>
  <si>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</si>
  <si>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</si>
  <si>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</si>
  <si>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</si>
  <si>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</si>
  <si>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</si>
  <si>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</si>
  <si>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</si>
  <si>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</si>
  <si>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</si>
  <si>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</si>
  <si>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</si>
  <si>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</si>
  <si>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</si>
  <si>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</si>
  <si>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</si>
  <si>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</si>
  <si>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</si>
  <si>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</si>
  <si>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</si>
  <si>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</si>
  <si>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</si>
  <si>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</si>
  <si>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</si>
  <si>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</si>
  <si>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</si>
  <si>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</si>
  <si>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</si>
  <si>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</si>
  <si>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</si>
  <si>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</si>
  <si>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</si>
  <si>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</si>
  <si>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</si>
  <si>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</si>
  <si>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</si>
  <si>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</si>
  <si>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</si>
  <si>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</si>
  <si>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</si>
  <si>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</si>
  <si>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</si>
  <si>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</si>
  <si>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</si>
  <si>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</si>
  <si>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</si>
  <si>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</si>
  <si>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</si>
  <si>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</si>
  <si>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</si>
  <si>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</si>
  <si>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</si>
  <si>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</si>
  <si>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</si>
  <si>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</si>
  <si>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</si>
  <si>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</si>
  <si>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</si>
  <si>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</si>
  <si>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</si>
  <si>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</si>
  <si>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</si>
  <si>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</si>
  <si>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</si>
  <si>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</si>
  <si>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</si>
  <si>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</si>
  <si>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</si>
  <si>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</si>
  <si>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</si>
  <si>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</si>
  <si>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</si>
  <si>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</si>
  <si>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</si>
  <si>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</si>
  <si>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</si>
  <si>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</si>
  <si>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</si>
  <si>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</si>
  <si>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</si>
  <si>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</si>
  <si>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</si>
  <si>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</si>
  <si>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</si>
  <si>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</si>
  <si>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</si>
  <si>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</si>
  <si>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</si>
  <si>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</si>
  <si>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</si>
  <si>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</si>
  <si>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</si>
  <si>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</si>
  <si>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</si>
  <si>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</si>
  <si>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</si>
  <si>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</si>
  <si>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</si>
  <si>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</si>
  <si>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</si>
  <si>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</si>
  <si>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</si>
  <si>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</si>
  <si>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</si>
  <si>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</si>
  <si>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</si>
  <si>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</si>
  <si>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</si>
  <si>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</si>
  <si>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</si>
  <si>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</si>
  <si>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</si>
  <si>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</si>
  <si>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</si>
  <si>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</si>
  <si>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</si>
  <si>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</si>
  <si>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</si>
  <si>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</si>
  <si>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</si>
  <si>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</si>
  <si>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</si>
  <si>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</si>
  <si>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</si>
  <si>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</si>
  <si>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</si>
  <si>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</si>
  <si>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</si>
  <si>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</si>
  <si>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</si>
  <si>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</si>
  <si>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</si>
  <si>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</si>
  <si>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</si>
  <si>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</si>
  <si>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</si>
  <si>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</si>
  <si>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</si>
  <si>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</si>
  <si>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</si>
  <si>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</si>
  <si>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</si>
  <si>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</si>
  <si>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</si>
  <si>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</si>
  <si>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</si>
  <si>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</si>
  <si>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</si>
  <si>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</si>
  <si>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</si>
  <si>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</si>
  <si>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</si>
  <si>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</si>
  <si>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</si>
  <si>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</si>
  <si>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</si>
  <si>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</si>
  <si>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</si>
  <si>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</si>
  <si>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</si>
  <si>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</si>
  <si>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</si>
  <si>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</si>
  <si>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</si>
  <si>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</si>
  <si>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</si>
  <si>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</si>
  <si>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</si>
  <si>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</si>
  <si>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</si>
  <si>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</si>
  <si>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</si>
  <si>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</si>
  <si>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</si>
  <si>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</si>
  <si>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</si>
  <si>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</si>
  <si>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</si>
  <si>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</si>
  <si>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</si>
  <si>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</si>
  <si>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</si>
  <si>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</si>
  <si>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</si>
  <si>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</si>
  <si>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</si>
  <si>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</si>
  <si>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</si>
  <si>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</si>
  <si>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</si>
  <si>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</si>
  <si>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</si>
  <si>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</si>
  <si>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</si>
  <si>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</si>
  <si>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</si>
  <si>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</si>
  <si>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</si>
  <si>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</si>
  <si>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</si>
  <si>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</si>
  <si>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</si>
  <si>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</si>
  <si>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</si>
  <si>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</si>
  <si>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</si>
  <si>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</si>
  <si>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</si>
  <si>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</si>
  <si>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</si>
  <si>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</si>
  <si>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</si>
  <si>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</si>
  <si>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</si>
  <si>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</si>
  <si>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</si>
  <si>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</si>
  <si>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</si>
  <si>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</si>
  <si>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</si>
  <si>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</si>
  <si>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</si>
  <si>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</si>
  <si>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</si>
  <si>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</si>
  <si>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</si>
  <si>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</si>
  <si>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</si>
  <si>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</si>
  <si>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</si>
  <si>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</si>
  <si>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</si>
  <si>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</si>
  <si>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</si>
  <si>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</si>
  <si>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</si>
  <si>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</si>
  <si>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</si>
  <si>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</si>
  <si>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</si>
  <si>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</si>
  <si>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</si>
  <si>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</si>
  <si>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</si>
  <si>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</si>
  <si>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</si>
  <si>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</si>
  <si>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</si>
  <si>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</si>
  <si>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</si>
  <si>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</si>
  <si>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</si>
  <si>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</si>
  <si>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</si>
  <si>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</si>
  <si>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</si>
  <si>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</si>
  <si>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</si>
  <si>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</si>
  <si>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</si>
  <si>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</si>
  <si>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</si>
  <si>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</si>
  <si>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</si>
  <si>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</si>
  <si>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</si>
  <si>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</si>
  <si>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</si>
  <si>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</si>
  <si>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</si>
  <si>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</si>
  <si>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</si>
  <si>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</si>
  <si>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</si>
  <si>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</si>
  <si>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</si>
  <si>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</si>
  <si>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</si>
  <si>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</si>
  <si>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</si>
  <si>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</si>
  <si>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</si>
  <si>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</si>
  <si>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</si>
  <si>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</si>
  <si>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</si>
  <si>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</si>
  <si>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</si>
  <si>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</si>
  <si>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</si>
  <si>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</si>
  <si>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</si>
  <si>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</si>
  <si>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</si>
  <si>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</si>
  <si>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</si>
  <si>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</si>
  <si>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</si>
  <si>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</si>
  <si>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</si>
  <si>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</si>
  <si>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</si>
  <si>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</si>
  <si>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</si>
  <si>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</si>
  <si>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</si>
  <si>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</si>
  <si>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</si>
  <si>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</si>
  <si>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</si>
  <si>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</si>
  <si>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</si>
  <si>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</si>
  <si>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</si>
  <si>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</si>
  <si>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</si>
  <si>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</si>
  <si>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</si>
  <si>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</si>
  <si>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</si>
  <si>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</si>
  <si>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</si>
  <si>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</si>
  <si>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</si>
  <si>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</si>
  <si>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</si>
  <si>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</si>
  <si>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</si>
  <si>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</si>
  <si>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</si>
  <si>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</si>
  <si>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</si>
  <si>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</si>
  <si>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</si>
  <si>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</si>
  <si>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</si>
  <si>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</si>
  <si>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</si>
  <si>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</si>
  <si>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</si>
  <si>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</si>
  <si>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</si>
  <si>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</si>
  <si>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</si>
  <si>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</si>
  <si>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</si>
  <si>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</si>
  <si>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</si>
  <si>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</si>
  <si>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</si>
  <si>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</si>
  <si>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</si>
  <si>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</si>
  <si>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</si>
  <si>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</si>
  <si>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</si>
  <si>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</si>
  <si>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</si>
  <si>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</si>
  <si>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</si>
  <si>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</si>
  <si>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</si>
  <si>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</si>
  <si>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</si>
  <si>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</si>
  <si>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</si>
  <si>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</si>
  <si>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</si>
  <si>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</si>
  <si>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</si>
  <si>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</si>
  <si>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</si>
  <si>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</si>
  <si>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</si>
  <si>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</si>
  <si>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</si>
  <si>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</si>
  <si>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</si>
  <si>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</si>
  <si>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</si>
  <si>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</si>
  <si>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</si>
  <si>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</si>
  <si>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</si>
  <si>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</si>
  <si>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</si>
  <si>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</si>
  <si>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</si>
  <si>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</si>
  <si>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</si>
  <si>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</si>
  <si>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</si>
  <si>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</si>
  <si>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</si>
  <si>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</si>
  <si>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</si>
  <si>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</si>
  <si>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</si>
  <si>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</si>
  <si>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</si>
  <si>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</si>
  <si>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</si>
  <si>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</si>
  <si>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</si>
  <si>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</si>
  <si>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</si>
  <si>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</si>
  <si>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</si>
  <si>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</si>
  <si>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</si>
  <si>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</si>
  <si>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</si>
  <si>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</si>
  <si>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</si>
  <si>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</si>
  <si>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</si>
  <si>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</si>
  <si>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</si>
  <si>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</si>
  <si>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</si>
  <si>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</si>
  <si>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</si>
  <si>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</si>
  <si>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</si>
  <si>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</si>
  <si>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</si>
  <si>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</si>
  <si>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</si>
  <si>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</si>
  <si>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</si>
  <si>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</si>
  <si>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</si>
  <si>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</si>
  <si>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</si>
  <si>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</si>
  <si>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</si>
  <si>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</si>
  <si>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</si>
  <si>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</si>
  <si>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</si>
  <si>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</si>
  <si>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</si>
  <si>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</si>
  <si>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</si>
  <si>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</si>
  <si>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</si>
  <si>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</si>
  <si>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</si>
  <si>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</si>
  <si>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</si>
  <si>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</si>
  <si>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</si>
  <si>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</si>
  <si>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</si>
  <si>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</si>
  <si>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</si>
  <si>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</si>
  <si>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</si>
  <si>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</si>
  <si>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</si>
  <si>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</si>
  <si>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</si>
  <si>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</si>
  <si>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</si>
  <si>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</si>
  <si>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</si>
  <si>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</si>
  <si>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</si>
  <si>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</si>
  <si>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</si>
  <si>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</si>
  <si>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</si>
  <si>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</si>
  <si>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</si>
  <si>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</si>
  <si>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</si>
  <si>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</si>
  <si>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</si>
  <si>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</si>
  <si>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</si>
  <si>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</si>
  <si>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</si>
  <si>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</si>
  <si>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</si>
  <si>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</si>
  <si>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</si>
  <si>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</si>
  <si>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</si>
  <si>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</si>
  <si>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</si>
  <si>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</si>
  <si>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</si>
  <si>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</si>
  <si>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</si>
  <si>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</si>
  <si>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</si>
  <si>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</si>
  <si>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</si>
  <si>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</si>
  <si>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</si>
  <si>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</si>
  <si>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</si>
  <si>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</si>
  <si>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</si>
  <si>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</si>
  <si>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</si>
  <si>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</si>
  <si>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</si>
  <si>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</si>
  <si>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</si>
  <si>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</si>
  <si>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</si>
  <si>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</si>
  <si>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</si>
  <si>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</si>
  <si>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</si>
  <si>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</si>
  <si>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</si>
  <si>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</si>
  <si>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</si>
  <si>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</si>
  <si>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</si>
  <si>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</si>
  <si>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</si>
  <si>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</si>
  <si>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</si>
  <si>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</si>
  <si>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</si>
  <si>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</si>
  <si>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</si>
  <si>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</si>
  <si>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</si>
  <si>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</si>
  <si>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</si>
  <si>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</si>
  <si>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</si>
  <si>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</si>
  <si>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</si>
  <si>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</si>
  <si>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</si>
  <si>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</si>
  <si>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</si>
  <si>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</si>
  <si>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</si>
  <si>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</si>
  <si>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</si>
  <si>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</si>
  <si>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</si>
  <si>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</si>
  <si>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</si>
  <si>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</si>
  <si>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</si>
  <si>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</si>
  <si>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</si>
  <si>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</si>
  <si>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</si>
  <si>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</si>
  <si>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</si>
  <si>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</si>
  <si>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</si>
  <si>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</si>
  <si>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</si>
  <si>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</si>
  <si>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</si>
  <si>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</si>
  <si>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</si>
  <si>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</si>
  <si>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</si>
  <si>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</si>
  <si>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</si>
  <si>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</si>
  <si>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</si>
  <si>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</si>
  <si>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</si>
  <si>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</si>
  <si>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</si>
  <si>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</si>
  <si>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</si>
  <si>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</si>
  <si>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</si>
  <si>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</si>
  <si>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</si>
  <si>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</si>
  <si>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</si>
  <si>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</si>
  <si>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</si>
  <si>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</si>
  <si>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</si>
  <si>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</si>
  <si>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</si>
  <si>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</si>
  <si>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</si>
  <si>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</si>
  <si>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</si>
  <si>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</si>
  <si>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</si>
  <si>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</si>
  <si>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</si>
  <si>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</si>
  <si>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</si>
  <si>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</si>
  <si>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</si>
  <si>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</si>
  <si>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</si>
  <si>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</si>
  <si>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</si>
  <si>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</si>
  <si>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</si>
  <si>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</si>
  <si>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</si>
  <si>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</si>
  <si>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</si>
  <si>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</si>
  <si>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</si>
  <si>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</si>
  <si>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</si>
  <si>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</si>
  <si>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</si>
  <si>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</si>
  <si>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</si>
  <si>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</si>
  <si>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</si>
  <si>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</si>
  <si>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</si>
  <si>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</si>
  <si>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</si>
  <si>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</si>
  <si>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</si>
  <si>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</si>
  <si>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</si>
  <si>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</si>
  <si>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</si>
  <si>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</si>
  <si>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</si>
  <si>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</si>
  <si>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</si>
  <si>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</si>
  <si>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</si>
  <si>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</si>
  <si>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</si>
  <si>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</si>
  <si>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</si>
  <si>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</si>
  <si>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</si>
  <si>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</si>
  <si>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</si>
  <si>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</si>
  <si>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</si>
  <si>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</si>
  <si>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</si>
  <si>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</si>
  <si>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</si>
  <si>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</si>
  <si>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</si>
  <si>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</si>
  <si>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</si>
  <si>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</si>
  <si>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</si>
  <si>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</si>
  <si>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</si>
  <si>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</si>
  <si>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</si>
  <si>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</si>
  <si>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</si>
  <si>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</si>
  <si>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</si>
  <si>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</si>
  <si>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</si>
  <si>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</si>
  <si>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</si>
  <si>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</si>
  <si>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</si>
  <si>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</si>
  <si>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</si>
  <si>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</si>
  <si>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</si>
  <si>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</si>
  <si>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</si>
  <si>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</si>
  <si>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</si>
  <si>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</si>
  <si>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</si>
  <si>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</si>
  <si>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</si>
  <si>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</si>
  <si>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</si>
  <si>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</si>
  <si>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</si>
  <si>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</si>
  <si>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</si>
  <si>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</si>
  <si>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</si>
  <si>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</si>
  <si>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</si>
  <si>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</si>
  <si>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</si>
  <si>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</si>
  <si>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</si>
  <si>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</si>
  <si>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</si>
  <si>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</si>
  <si>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</si>
  <si>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</si>
  <si>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</si>
  <si>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</si>
  <si>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</si>
  <si>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</si>
  <si>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</si>
  <si>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</si>
  <si>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</si>
  <si>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</si>
  <si>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</si>
  <si>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</si>
  <si>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</si>
  <si>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</si>
  <si>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</si>
  <si>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</si>
  <si>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</si>
  <si>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</si>
  <si>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</si>
  <si>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</si>
  <si>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</si>
  <si>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</si>
  <si>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</si>
  <si>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</si>
  <si>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</si>
  <si>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</si>
  <si>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</si>
  <si>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</si>
  <si>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</si>
  <si>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</si>
  <si>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</si>
  <si>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</si>
  <si>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</si>
  <si>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</si>
  <si>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</si>
  <si>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</si>
  <si>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</si>
  <si>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</si>
  <si>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</si>
  <si>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</si>
  <si>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</si>
  <si>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</si>
  <si>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</si>
  <si>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</si>
  <si>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</si>
  <si>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</si>
  <si>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</si>
  <si>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</si>
  <si>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</si>
  <si>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</si>
  <si>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</si>
  <si>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</si>
  <si>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</si>
  <si>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</si>
  <si>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</si>
  <si>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</si>
  <si>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</si>
  <si>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</si>
  <si>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</si>
  <si>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</si>
  <si>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</si>
  <si>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</si>
  <si>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</si>
  <si>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</si>
  <si>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</si>
  <si>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</si>
  <si>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</si>
  <si>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</si>
  <si>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</si>
  <si>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</si>
  <si>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</si>
  <si>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</si>
  <si>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</si>
  <si>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</si>
  <si>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</si>
  <si>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</si>
  <si>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</si>
  <si>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</si>
  <si>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</si>
  <si>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</si>
  <si>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</si>
  <si>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</si>
  <si>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</si>
  <si>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</si>
  <si>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</si>
  <si>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</si>
  <si>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</si>
  <si>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</si>
  <si>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</si>
  <si>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</si>
  <si>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</si>
  <si>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</si>
  <si>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</si>
  <si>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</si>
  <si>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</si>
  <si>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</si>
  <si>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</si>
  <si>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</si>
  <si>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</si>
  <si>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</si>
  <si>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</si>
  <si>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</si>
  <si>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</si>
  <si>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</si>
  <si>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</si>
  <si>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</si>
  <si>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</si>
  <si>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</si>
  <si>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</si>
  <si>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</si>
  <si>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</si>
  <si>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</si>
  <si>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</si>
  <si>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</si>
  <si>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</si>
  <si>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</si>
  <si>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</si>
  <si>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</si>
  <si>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</si>
  <si>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</si>
  <si>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</si>
  <si>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</si>
  <si>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</si>
  <si>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</si>
  <si>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</si>
  <si>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</si>
  <si>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</si>
  <si>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</si>
  <si>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</si>
  <si>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</si>
  <si>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</si>
  <si>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</si>
  <si>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</si>
  <si>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</si>
  <si>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</si>
  <si>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</si>
  <si>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</si>
  <si>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</si>
  <si>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</si>
  <si>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</si>
  <si>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</si>
  <si>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</si>
  <si>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</si>
  <si>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</si>
  <si>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</si>
  <si>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</si>
  <si>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</si>
  <si>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</si>
  <si>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</si>
  <si>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</si>
  <si>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</si>
  <si>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</si>
  <si>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</si>
  <si>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</si>
  <si>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</si>
  <si>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</si>
  <si>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</si>
  <si>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</si>
  <si>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</si>
  <si>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</si>
  <si>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</si>
  <si>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</si>
  <si>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</si>
  <si>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</si>
  <si>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</si>
  <si>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</si>
  <si>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</si>
  <si>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</si>
  <si>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</si>
  <si>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</si>
  <si>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</si>
  <si>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</si>
  <si>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</si>
  <si>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</si>
  <si>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</si>
  <si>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</si>
  <si>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</si>
  <si>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</si>
  <si>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</si>
  <si>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</si>
  <si>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</si>
  <si>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</si>
  <si>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</si>
  <si>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</si>
  <si>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</si>
  <si>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</si>
  <si>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</si>
  <si>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</si>
  <si>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</si>
  <si>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</si>
  <si>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</si>
  <si>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</si>
  <si>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</si>
  <si>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</si>
  <si>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</si>
  <si>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</si>
  <si>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</si>
  <si>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</si>
  <si>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</si>
  <si>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</si>
  <si>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</si>
  <si>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</si>
  <si>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</si>
  <si>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</si>
  <si>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</si>
  <si>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</si>
  <si>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</si>
  <si>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</si>
  <si>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</si>
  <si>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</si>
  <si>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</si>
  <si>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</si>
  <si>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</si>
  <si>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</si>
  <si>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</si>
  <si>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</si>
  <si>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</si>
  <si>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</si>
  <si>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</si>
  <si>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</si>
  <si>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</si>
  <si>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</si>
  <si>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</si>
  <si>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</si>
  <si>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</si>
  <si>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</si>
  <si>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</si>
  <si>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</si>
  <si>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</si>
  <si>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</si>
  <si>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</si>
  <si>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</si>
  <si>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</si>
  <si>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</si>
  <si>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</si>
  <si>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</si>
  <si>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</si>
  <si>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</si>
  <si>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</si>
  <si>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</si>
  <si>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</si>
  <si>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</si>
  <si>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</si>
  <si>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</si>
  <si>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</si>
  <si>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</si>
  <si>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</si>
  <si>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</si>
  <si>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</si>
  <si>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</si>
  <si>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</si>
  <si>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</si>
  <si>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</si>
  <si>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</si>
  <si>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</si>
  <si>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</si>
  <si>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</si>
  <si>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</si>
  <si>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</si>
  <si>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</si>
  <si>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</si>
  <si>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</si>
  <si>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</si>
  <si>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</si>
  <si>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</si>
  <si>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</si>
  <si>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</si>
  <si>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</si>
  <si>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</si>
  <si>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</si>
  <si>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</si>
  <si>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</si>
  <si>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</si>
  <si>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</si>
  <si>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</si>
  <si>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</si>
  <si>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</si>
  <si>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</si>
  <si>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</si>
  <si>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</si>
  <si>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</si>
  <si>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</si>
  <si>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</si>
  <si>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</si>
  <si>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</si>
  <si>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</si>
  <si>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</si>
  <si>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</si>
  <si>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</si>
  <si>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</si>
  <si>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</si>
  <si>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</si>
  <si>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</si>
  <si>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</si>
  <si>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</si>
  <si>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</si>
  <si>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</si>
  <si>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</si>
  <si>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</si>
  <si>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</si>
  <si>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</si>
  <si>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</si>
  <si>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</si>
  <si>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</si>
  <si>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</si>
  <si>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</si>
  <si>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</si>
  <si>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</si>
  <si>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</si>
  <si>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</si>
  <si>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</si>
  <si>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</si>
  <si>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</si>
  <si>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</si>
  <si>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</si>
  <si>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</si>
  <si>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</si>
  <si>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</si>
  <si>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</si>
  <si>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</si>
  <si>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</si>
  <si>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</si>
  <si>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</si>
  <si>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</si>
  <si>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</si>
  <si>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</si>
  <si>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</si>
  <si>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</si>
  <si>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</si>
  <si>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</si>
  <si>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</si>
  <si>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</si>
  <si>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</si>
  <si>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</si>
  <si>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</si>
  <si>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</si>
  <si>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</si>
  <si>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</si>
  <si>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</si>
  <si>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</si>
  <si>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</si>
  <si>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</si>
  <si>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</si>
  <si>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</si>
  <si>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</si>
  <si>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</si>
  <si>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</si>
  <si>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</si>
  <si>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</si>
  <si>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</si>
  <si>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</si>
  <si>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</si>
  <si>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</si>
  <si>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</si>
  <si>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</si>
  <si>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</si>
  <si>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</si>
  <si>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</si>
  <si>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</si>
  <si>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</si>
  <si>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</si>
  <si>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</si>
  <si>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</si>
  <si>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</si>
  <si>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</si>
  <si>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</si>
  <si>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</si>
  <si>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</si>
  <si>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</si>
  <si>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</si>
  <si>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</si>
  <si>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</si>
  <si>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</si>
  <si>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</si>
  <si>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</si>
  <si>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</si>
  <si>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</si>
  <si>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</si>
  <si>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</si>
  <si>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</si>
  <si>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</si>
  <si>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</si>
  <si>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</si>
  <si>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</si>
  <si>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</si>
  <si>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</si>
  <si>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</si>
  <si>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</si>
  <si>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</si>
  <si>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</si>
  <si>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</si>
  <si>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</si>
  <si>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</si>
  <si>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</si>
  <si>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</si>
  <si>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</si>
  <si>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</si>
  <si>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</si>
  <si>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</si>
  <si>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</si>
  <si>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</si>
  <si>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</si>
  <si>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</si>
  <si>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</si>
  <si>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</si>
  <si>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</si>
  <si>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</si>
  <si>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</si>
  <si>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</si>
  <si>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</si>
  <si>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</si>
  <si>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</si>
  <si>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</si>
  <si>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</si>
  <si>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</si>
  <si>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</si>
  <si>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</si>
  <si>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</si>
  <si>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</si>
  <si>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</si>
  <si>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</si>
  <si>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</si>
  <si>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</si>
  <si>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</si>
  <si>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</si>
  <si>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</si>
  <si>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</si>
  <si>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</si>
  <si>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</si>
  <si>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</si>
  <si>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</si>
  <si>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</si>
  <si>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</si>
  <si>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</si>
  <si>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</si>
  <si>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</si>
  <si>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</si>
  <si>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</si>
  <si>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</si>
  <si>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</si>
  <si>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</si>
  <si>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</si>
  <si>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</si>
  <si>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</si>
  <si>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</si>
  <si>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</si>
  <si>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</si>
  <si>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</si>
  <si>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</si>
  <si>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</si>
  <si>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</si>
  <si>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</si>
  <si>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</si>
  <si>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</si>
  <si>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</si>
  <si>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</si>
  <si>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</si>
  <si>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</si>
  <si>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</si>
  <si>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</si>
  <si>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</si>
  <si>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</si>
  <si>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</si>
  <si>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</si>
  <si>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</si>
  <si>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</si>
  <si>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</si>
  <si>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</si>
  <si>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</si>
  <si>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</si>
  <si>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</si>
  <si>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</si>
  <si>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</si>
  <si>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</si>
  <si>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</si>
  <si>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</si>
  <si>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</si>
  <si>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</si>
  <si>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</si>
  <si>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</si>
  <si>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</si>
  <si>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</si>
  <si>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</si>
  <si>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</si>
  <si>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</si>
  <si>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</si>
  <si>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</si>
  <si>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</si>
  <si>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</si>
  <si>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</si>
  <si>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</si>
  <si>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</si>
  <si>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</si>
  <si>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</si>
  <si>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</si>
  <si>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</si>
  <si>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</si>
  <si>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</si>
  <si>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</si>
  <si>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</si>
  <si>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</si>
  <si>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</si>
  <si>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</si>
  <si>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</si>
  <si>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</si>
  <si>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</si>
  <si>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</si>
  <si>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</si>
  <si>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</si>
  <si>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</si>
  <si>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</si>
  <si>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</si>
  <si>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</si>
  <si>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</si>
  <si>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</si>
  <si>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</si>
  <si>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</si>
  <si>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</si>
  <si>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</si>
  <si>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</si>
  <si>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</si>
  <si>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</si>
  <si>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</si>
  <si>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</si>
  <si>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</si>
  <si>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</si>
  <si>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</si>
  <si>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</si>
  <si>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</si>
  <si>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</si>
  <si>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</si>
  <si>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</si>
  <si>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</si>
  <si>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</si>
  <si>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</si>
  <si>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</si>
  <si>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</si>
  <si>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</si>
  <si>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</si>
  <si>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</si>
  <si>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</si>
  <si>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</si>
  <si>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</si>
  <si>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</si>
  <si>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</si>
  <si>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</si>
  <si>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</si>
  <si>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</si>
  <si>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</si>
  <si>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</si>
  <si>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</si>
  <si>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</si>
  <si>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</si>
  <si>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</si>
  <si>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</si>
  <si>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</si>
  <si>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</si>
  <si>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</si>
  <si>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</si>
  <si>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</si>
  <si>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</si>
  <si>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</si>
  <si>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</si>
  <si>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</si>
  <si>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</si>
  <si>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</si>
  <si>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</si>
  <si>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</si>
  <si>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</si>
  <si>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</si>
  <si>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</si>
  <si>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</si>
  <si>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</si>
  <si>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</si>
  <si>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</si>
  <si>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</si>
  <si>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</si>
  <si>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</si>
  <si>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</si>
  <si>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</si>
  <si>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</si>
  <si>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</si>
  <si>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</si>
  <si>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</si>
  <si>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</si>
  <si>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</si>
  <si>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</si>
  <si>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</si>
  <si>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</si>
  <si>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</si>
  <si>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</si>
  <si>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</si>
  <si>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</si>
  <si>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</si>
  <si>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</si>
  <si>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</si>
  <si>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</si>
  <si>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</si>
  <si>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</si>
  <si>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</si>
  <si>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</si>
  <si>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</si>
  <si>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</si>
  <si>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</si>
  <si>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</si>
  <si>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</si>
  <si>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</si>
  <si>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</si>
  <si>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</si>
  <si>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</si>
  <si>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</si>
  <si>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</si>
  <si>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</si>
  <si>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</si>
  <si>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</si>
  <si>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</si>
  <si>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</si>
  <si>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</si>
  <si>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</si>
  <si>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</si>
  <si>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</si>
  <si>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</si>
  <si>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</si>
  <si>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</si>
  <si>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</si>
  <si>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</si>
  <si>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</si>
  <si>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</si>
  <si>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</si>
  <si>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</si>
  <si>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</si>
  <si>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</si>
  <si>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</si>
  <si>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</si>
  <si>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</si>
  <si>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</si>
  <si>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</si>
  <si>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</si>
  <si>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</si>
  <si>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</si>
  <si>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</si>
  <si>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</si>
  <si>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</si>
  <si>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</si>
  <si>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</si>
  <si>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</si>
  <si>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</si>
  <si>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</si>
  <si>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</si>
  <si>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</si>
  <si>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</si>
  <si>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</si>
  <si>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</si>
  <si>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</si>
  <si>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</si>
  <si>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</si>
  <si>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</si>
  <si>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</si>
  <si>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</si>
  <si>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</si>
  <si>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</si>
  <si>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</si>
  <si>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</si>
  <si>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</si>
  <si>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</si>
  <si>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</si>
  <si>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</si>
  <si>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</si>
  <si>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</si>
  <si>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</si>
  <si>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</si>
  <si>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</si>
  <si>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</si>
  <si>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</si>
  <si>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</si>
  <si>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</si>
  <si>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</si>
  <si>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</si>
  <si>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</si>
  <si>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</si>
  <si>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</si>
  <si>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</si>
  <si>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</si>
  <si>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</si>
  <si>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</si>
  <si>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</si>
  <si>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</si>
  <si>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</si>
  <si>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</si>
  <si>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</si>
  <si>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</si>
  <si>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</si>
  <si>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</si>
  <si>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</si>
  <si>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</si>
  <si>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</si>
  <si>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</si>
  <si>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</si>
  <si>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</si>
  <si>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</si>
  <si>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</si>
  <si>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</si>
  <si>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</si>
  <si>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</si>
  <si>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</si>
  <si>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</si>
  <si>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</si>
  <si>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</si>
  <si>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</si>
  <si>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</si>
  <si>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</si>
  <si>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</si>
  <si>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</si>
  <si>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</si>
  <si>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</si>
  <si>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</si>
  <si>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</si>
  <si>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</si>
  <si>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</si>
  <si>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</si>
  <si>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</si>
  <si>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</si>
  <si>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</si>
  <si>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</si>
  <si>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</si>
  <si>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</si>
  <si>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</si>
  <si>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</si>
  <si>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</si>
  <si>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</si>
  <si>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</si>
  <si>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</si>
  <si>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</si>
  <si>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</si>
  <si>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</si>
  <si>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</si>
  <si>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</si>
  <si>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</si>
  <si>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</si>
  <si>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</si>
  <si>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</si>
  <si>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</si>
  <si>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</si>
  <si>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</si>
  <si>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</si>
  <si>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</si>
  <si>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</si>
  <si>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</si>
  <si>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</si>
  <si>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</si>
  <si>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</si>
  <si>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</si>
  <si>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</si>
  <si>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</si>
  <si>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</si>
  <si>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</si>
  <si>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</si>
  <si>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</si>
  <si>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</si>
  <si>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</si>
  <si>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</si>
  <si>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</si>
  <si>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</si>
  <si>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</si>
  <si>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</si>
  <si>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</si>
  <si>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</si>
  <si>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</si>
  <si>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</si>
  <si>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</si>
  <si>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</si>
  <si>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</si>
  <si>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</si>
  <si>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</si>
  <si>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</si>
  <si>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</si>
  <si>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</si>
  <si>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</si>
  <si>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</si>
  <si>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</si>
  <si>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</si>
  <si>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</si>
  <si>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</si>
  <si>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</si>
  <si>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</si>
  <si>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</si>
  <si>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</si>
  <si>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</si>
  <si>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</si>
  <si>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</si>
  <si>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</si>
  <si>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</si>
  <si>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</si>
  <si>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</si>
  <si>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</si>
  <si>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</si>
  <si>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</si>
  <si>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</si>
  <si>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</si>
  <si>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</si>
  <si>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</si>
  <si>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</si>
  <si>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</si>
  <si>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</si>
  <si>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</si>
  <si>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</si>
  <si>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</si>
  <si>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</si>
  <si>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</si>
  <si>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</si>
  <si>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</si>
  <si>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</si>
  <si>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</si>
  <si>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</si>
  <si>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</si>
  <si>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</si>
  <si>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</si>
  <si>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</si>
  <si>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</si>
  <si>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</si>
  <si>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</si>
  <si>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</si>
  <si>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</si>
  <si>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</si>
  <si>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</si>
  <si>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</si>
  <si>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</si>
  <si>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</si>
  <si>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</si>
  <si>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</si>
  <si>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</si>
  <si>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</si>
  <si>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</si>
  <si>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</si>
  <si>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</si>
  <si>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</si>
  <si>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</si>
  <si>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</si>
  <si>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</si>
  <si>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</si>
  <si>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</si>
  <si>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</si>
  <si>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</si>
  <si>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</si>
  <si>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</si>
  <si>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</si>
  <si>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</si>
  <si>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</si>
  <si>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</si>
  <si>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</si>
  <si>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</si>
  <si>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</si>
  <si>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</si>
  <si>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</si>
  <si>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</si>
  <si>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</si>
  <si>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</si>
  <si>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</si>
  <si>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</si>
  <si>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</si>
  <si>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</si>
  <si>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</si>
  <si>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</si>
  <si>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</si>
  <si>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</si>
  <si>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</si>
  <si>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</si>
  <si>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</si>
  <si>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</si>
  <si>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</si>
  <si>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</si>
  <si>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</si>
  <si>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</si>
  <si>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</si>
  <si>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</si>
  <si>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</si>
  <si>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</si>
  <si>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</si>
  <si>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</si>
  <si>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</si>
  <si>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</si>
  <si>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</si>
  <si>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</si>
  <si>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</si>
  <si>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</si>
  <si>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</si>
  <si>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</si>
  <si>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</si>
  <si>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</si>
  <si>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</si>
  <si>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</si>
  <si>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</si>
  <si>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</si>
  <si>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</si>
  <si>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</si>
  <si>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</si>
  <si>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</si>
  <si>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</si>
  <si>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</si>
  <si>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</si>
  <si>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</si>
  <si>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</si>
  <si>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</si>
  <si>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</si>
  <si>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</si>
  <si>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</si>
  <si>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</si>
  <si>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</si>
  <si>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</si>
  <si>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</si>
  <si>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</si>
  <si>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</si>
  <si>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</si>
  <si>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</si>
  <si>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</si>
  <si>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</si>
  <si>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</si>
  <si>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</si>
  <si>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</si>
  <si>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</si>
  <si>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</si>
  <si>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</si>
  <si>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</si>
  <si>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</si>
  <si>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</si>
  <si>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</si>
  <si>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</si>
  <si>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</si>
  <si>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</si>
  <si>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</si>
  <si>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</si>
  <si>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</si>
  <si>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</si>
  <si>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</si>
  <si>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</si>
  <si>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</si>
  <si>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</si>
  <si>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</si>
  <si>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</si>
  <si>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</si>
  <si>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</si>
  <si>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</si>
  <si>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</si>
  <si>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</si>
  <si>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</si>
  <si>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</si>
  <si>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</si>
  <si>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</si>
  <si>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</si>
  <si>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</si>
  <si>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</si>
  <si>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</si>
  <si>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</si>
  <si>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</si>
  <si>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</si>
  <si>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</si>
  <si>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</si>
  <si>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</si>
  <si>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</si>
  <si>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</si>
  <si>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</si>
  <si>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</si>
  <si>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</si>
  <si>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</si>
  <si>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</si>
  <si>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</si>
  <si>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</si>
  <si>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</si>
  <si>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</si>
  <si>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</si>
  <si>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</si>
  <si>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</si>
  <si>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</si>
  <si>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</si>
  <si>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</si>
  <si>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</si>
  <si>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</si>
  <si>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</si>
  <si>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</si>
  <si>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</si>
  <si>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</si>
  <si>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</si>
  <si>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</si>
  <si>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</si>
  <si>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</si>
  <si>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</si>
  <si>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</si>
  <si>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</si>
  <si>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</si>
  <si>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</si>
  <si>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</si>
  <si>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</si>
  <si>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</si>
  <si>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</si>
  <si>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</si>
  <si>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</si>
  <si>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</si>
  <si>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</si>
  <si>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</si>
  <si>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</si>
  <si>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</si>
  <si>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</si>
  <si>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</si>
  <si>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</si>
  <si>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</si>
  <si>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</si>
  <si>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</si>
  <si>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</si>
  <si>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</si>
  <si>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</si>
  <si>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</si>
  <si>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</si>
  <si>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</si>
  <si>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</si>
  <si>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</si>
  <si>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</si>
  <si>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</si>
  <si>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</si>
  <si>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</si>
  <si>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</si>
  <si>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</si>
  <si>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</si>
  <si>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</si>
  <si>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</si>
  <si>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</si>
  <si>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</si>
  <si>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</si>
  <si>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</si>
  <si>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</si>
  <si>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</si>
  <si>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</si>
  <si>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</si>
  <si>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</si>
  <si>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</si>
  <si>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</si>
  <si>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</si>
  <si>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</si>
  <si>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</si>
  <si>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</si>
  <si>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</si>
  <si>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</si>
  <si>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</si>
  <si>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</si>
  <si>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</si>
  <si>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</si>
  <si>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</si>
  <si>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</si>
  <si>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</si>
  <si>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</si>
  <si>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</si>
  <si>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</si>
  <si>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</si>
  <si>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</si>
  <si>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</si>
  <si>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</si>
  <si>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</si>
  <si>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</si>
  <si>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</si>
  <si>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</si>
  <si>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</si>
  <si>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</si>
  <si>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</si>
  <si>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</si>
  <si>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</si>
  <si>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</si>
  <si>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</si>
  <si>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</si>
  <si>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</si>
  <si>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</si>
  <si>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</si>
  <si>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</si>
  <si>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</si>
  <si>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</si>
  <si>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</si>
  <si>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</si>
  <si>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</si>
  <si>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</si>
  <si>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</si>
  <si>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</si>
  <si>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</si>
  <si>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</si>
  <si>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</si>
  <si>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</si>
  <si>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</si>
  <si>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</si>
  <si>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</si>
  <si>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</si>
  <si>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</si>
  <si>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</si>
  <si>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</si>
  <si>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</si>
  <si>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</si>
  <si>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</si>
  <si>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</si>
  <si>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</si>
  <si>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</si>
  <si>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</si>
  <si>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</si>
  <si>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</si>
  <si>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</si>
  <si>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</si>
  <si>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</si>
  <si>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</si>
  <si>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</si>
  <si>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</si>
  <si>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</si>
  <si>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</si>
  <si>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</si>
  <si>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</si>
  <si>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</si>
  <si>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</si>
  <si>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</si>
  <si>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</si>
  <si>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</si>
  <si>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</si>
  <si>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</si>
  <si>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</si>
  <si>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</si>
  <si>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</si>
  <si>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</si>
  <si>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</si>
  <si>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</si>
  <si>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</si>
  <si>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</si>
  <si>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</si>
  <si>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</si>
  <si>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</si>
  <si>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</si>
  <si>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</si>
  <si>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</si>
  <si>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</si>
  <si>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</si>
  <si>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</si>
  <si>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</si>
  <si>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</si>
  <si>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</si>
  <si>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</si>
  <si>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</si>
  <si>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</si>
  <si>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</si>
  <si>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</si>
  <si>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</si>
  <si>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</si>
  <si>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</si>
  <si>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</si>
  <si>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</si>
  <si>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</si>
  <si>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</si>
  <si>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</si>
  <si>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</si>
  <si>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</si>
  <si>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</si>
  <si>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</si>
  <si>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</si>
  <si>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</si>
  <si>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</si>
  <si>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</si>
  <si>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</si>
  <si>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</si>
  <si>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</si>
  <si>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</si>
  <si>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</si>
  <si>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</si>
  <si>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</si>
  <si>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</si>
  <si>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</si>
  <si>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</si>
  <si>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</si>
  <si>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</si>
  <si>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</si>
  <si>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</si>
  <si>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</si>
  <si>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</si>
  <si>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</si>
  <si>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</si>
  <si>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</si>
  <si>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</si>
  <si>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</si>
  <si>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</si>
  <si>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</si>
  <si>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</si>
  <si>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</si>
  <si>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</si>
  <si>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</si>
  <si>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</si>
  <si>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</si>
  <si>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</si>
  <si>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</si>
  <si>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</si>
  <si>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</si>
  <si>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</si>
  <si>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</si>
  <si>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</si>
  <si>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</si>
  <si>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</si>
  <si>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</si>
  <si>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</si>
  <si>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</si>
  <si>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</si>
  <si>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</si>
  <si>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</si>
  <si>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</si>
  <si>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</si>
  <si>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</si>
  <si>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</si>
  <si>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</si>
  <si>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</si>
  <si>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</si>
  <si>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</si>
  <si>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</si>
  <si>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</si>
  <si>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</si>
  <si>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</si>
  <si>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</si>
  <si>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</si>
  <si>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</si>
  <si>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</si>
  <si>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</si>
  <si>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</si>
  <si>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</si>
  <si>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</si>
  <si>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</si>
  <si>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</si>
  <si>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</si>
  <si>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</si>
  <si>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</si>
  <si>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</si>
  <si>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</si>
  <si>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</si>
  <si>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</si>
  <si>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</si>
  <si>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</si>
  <si>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</si>
  <si>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</si>
  <si>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</si>
  <si>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</si>
  <si>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</si>
  <si>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</si>
  <si>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</si>
  <si>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</si>
  <si>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</si>
  <si>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</si>
  <si>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</si>
  <si>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</si>
  <si>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</si>
  <si>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</si>
  <si>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</si>
  <si>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</si>
  <si>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</si>
  <si>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</si>
  <si>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</si>
  <si>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</si>
  <si>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</si>
  <si>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</si>
  <si>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</si>
  <si>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</si>
  <si>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</si>
  <si>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</si>
  <si>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</si>
  <si>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</si>
  <si>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</si>
  <si>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</si>
  <si>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</si>
  <si>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</si>
  <si>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</si>
  <si>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</si>
  <si>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</si>
  <si>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</si>
  <si>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</si>
  <si>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</si>
  <si>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</si>
  <si>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</si>
  <si>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</si>
  <si>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</si>
  <si>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</si>
  <si>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</si>
  <si>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</si>
  <si>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</si>
  <si>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</si>
  <si>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</si>
  <si>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</si>
  <si>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</si>
  <si>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</si>
  <si>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</si>
  <si>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</si>
  <si>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</si>
  <si>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</si>
  <si>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</si>
  <si>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</si>
  <si>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</si>
  <si>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</si>
  <si>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</si>
  <si>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</si>
  <si>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</si>
  <si>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</si>
  <si>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</si>
  <si>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</si>
  <si>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</si>
  <si>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</si>
  <si>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</si>
  <si>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</si>
  <si>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</si>
  <si>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</si>
  <si>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</si>
  <si>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</si>
  <si>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</si>
  <si>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</si>
  <si>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</si>
  <si>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</si>
  <si>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</si>
  <si>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</si>
  <si>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</si>
  <si>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</si>
  <si>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</si>
  <si>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</si>
  <si>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</si>
  <si>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</si>
  <si>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</si>
  <si>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</si>
  <si>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</si>
  <si>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</si>
  <si>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</si>
  <si>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</si>
  <si>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</si>
  <si>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</si>
  <si>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</si>
  <si>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</si>
  <si>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</si>
  <si>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</si>
  <si>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</si>
  <si>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</si>
  <si>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</si>
  <si>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</si>
  <si>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</si>
  <si>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</si>
  <si>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</si>
  <si>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</si>
  <si>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</si>
  <si>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</si>
  <si>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</si>
  <si>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</si>
  <si>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</si>
  <si>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</si>
  <si>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</si>
  <si>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</si>
  <si>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</si>
  <si>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</si>
  <si>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</si>
  <si>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</si>
  <si>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</si>
  <si>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</si>
  <si>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</si>
  <si>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</si>
  <si>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</si>
  <si>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</si>
  <si>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</si>
  <si>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</si>
  <si>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</si>
  <si>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</si>
  <si>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</si>
  <si>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</si>
  <si>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</si>
  <si>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</si>
  <si>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</si>
  <si>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</si>
  <si>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</si>
  <si>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</si>
  <si>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</si>
  <si>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</si>
  <si>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</si>
  <si>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</si>
  <si>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</si>
  <si>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</si>
  <si>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</si>
  <si>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</si>
  <si>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</si>
  <si>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</si>
  <si>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</si>
  <si>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</si>
  <si>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</si>
  <si>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</si>
  <si>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</si>
  <si>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</si>
  <si>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</si>
  <si>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</si>
  <si>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</si>
  <si>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</si>
  <si>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</si>
  <si>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</si>
  <si>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</si>
  <si>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</si>
  <si>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</si>
  <si>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</si>
  <si>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</si>
  <si>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</si>
  <si>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</si>
  <si>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</si>
  <si>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</si>
  <si>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</si>
  <si>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</si>
  <si>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</si>
  <si>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</si>
  <si>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</si>
  <si>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</si>
  <si>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</si>
  <si>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</si>
  <si>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</si>
  <si>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</si>
  <si>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</si>
  <si>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</si>
  <si>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</si>
  <si>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</si>
  <si>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</si>
  <si>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</si>
  <si>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</si>
  <si>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</si>
  <si>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</si>
  <si>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</si>
  <si>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</si>
  <si>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</si>
  <si>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</si>
  <si>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</si>
  <si>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</si>
  <si>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</si>
  <si>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</si>
  <si>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</si>
  <si>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</si>
  <si>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</si>
  <si>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</si>
  <si>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</si>
  <si>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</si>
  <si>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</si>
  <si>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</si>
  <si>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</si>
  <si>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</si>
  <si>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</si>
  <si>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</si>
  <si>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</si>
  <si>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</si>
  <si>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</si>
  <si>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</si>
  <si>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</si>
  <si>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</si>
  <si>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</si>
  <si>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</si>
  <si>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</si>
  <si>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</si>
  <si>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</si>
  <si>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</si>
  <si>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</si>
  <si>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</si>
  <si>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</si>
  <si>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</si>
  <si>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</si>
  <si>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</si>
  <si>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</si>
  <si>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</si>
  <si>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</si>
  <si>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</si>
  <si>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</si>
  <si>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</si>
  <si>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</si>
  <si>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</si>
  <si>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</si>
  <si>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</si>
  <si>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</si>
  <si>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</si>
  <si>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</si>
  <si>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</si>
  <si>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</si>
  <si>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</si>
  <si>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</si>
  <si>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</si>
  <si>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</si>
  <si>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</si>
  <si>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</si>
  <si>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</si>
  <si>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</si>
  <si>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</si>
  <si>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</si>
  <si>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</si>
  <si>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</si>
  <si>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</si>
  <si>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</si>
  <si>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</si>
  <si>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</si>
  <si>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</si>
  <si>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</si>
  <si>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</si>
  <si>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</si>
  <si>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</si>
  <si>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</si>
  <si>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</si>
  <si>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</si>
  <si>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</si>
  <si>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</si>
  <si>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</si>
  <si>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</si>
  <si>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</si>
  <si>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</si>
  <si>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</si>
  <si>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</si>
  <si>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</si>
  <si>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</si>
  <si>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</si>
  <si>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</si>
  <si>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</si>
  <si>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</si>
  <si>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</si>
  <si>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</si>
  <si>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</si>
  <si>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</si>
  <si>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</si>
  <si>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</si>
  <si>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</si>
  <si>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</si>
  <si>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</si>
  <si>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</si>
  <si>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</si>
  <si>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</si>
  <si>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</si>
  <si>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</si>
  <si>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</si>
  <si>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</si>
  <si>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</si>
  <si>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</si>
  <si>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</si>
  <si>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</si>
  <si>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</si>
  <si>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</si>
  <si>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</si>
  <si>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</si>
  <si>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</si>
  <si>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</si>
  <si>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</si>
  <si>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</si>
  <si>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</si>
  <si>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</si>
  <si>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</si>
  <si>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</si>
  <si>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</si>
  <si>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</si>
  <si>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</si>
  <si>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</si>
  <si>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</si>
  <si>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</si>
  <si>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</si>
  <si>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</si>
  <si>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</si>
  <si>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</si>
  <si>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</si>
  <si>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</si>
  <si>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</si>
  <si>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</si>
  <si>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</si>
  <si>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</si>
  <si>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</si>
  <si>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</si>
  <si>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</si>
  <si>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</si>
  <si>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</si>
  <si>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</si>
  <si>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</si>
  <si>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</si>
  <si>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</si>
  <si>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</si>
  <si>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</si>
  <si>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</si>
  <si>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</si>
  <si>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</si>
  <si>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</si>
  <si>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</si>
  <si>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</si>
  <si>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</si>
  <si>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</si>
  <si>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</si>
  <si>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</si>
  <si>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</si>
  <si>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</si>
  <si>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</si>
  <si>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</si>
  <si>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</si>
  <si>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</si>
  <si>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</si>
  <si>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</si>
  <si>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</si>
  <si>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</si>
  <si>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</si>
  <si>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</si>
  <si>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</si>
  <si>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</si>
  <si>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</si>
  <si>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</si>
  <si>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</si>
  <si>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</si>
  <si>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</si>
  <si>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</si>
  <si>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</si>
  <si>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</si>
  <si>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</si>
  <si>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</si>
  <si>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</si>
  <si>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</si>
  <si>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</si>
  <si>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</si>
  <si>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</si>
  <si>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</si>
  <si>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</si>
  <si>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</si>
  <si>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</si>
  <si>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</si>
  <si>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</si>
  <si>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</si>
  <si>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</si>
  <si>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</si>
  <si>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</si>
  <si>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</si>
  <si>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</si>
  <si>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</si>
  <si>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</si>
  <si>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</si>
  <si>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</si>
  <si>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</si>
  <si>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</si>
  <si>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</si>
  <si>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</si>
  <si>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</si>
  <si>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</si>
  <si>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</si>
  <si>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</si>
  <si>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</si>
  <si>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</si>
  <si>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</si>
  <si>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</si>
  <si>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</si>
  <si>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</si>
  <si>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</si>
  <si>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</si>
  <si>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</si>
  <si>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</si>
  <si>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</si>
  <si>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</si>
  <si>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</si>
  <si>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</si>
  <si>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</si>
  <si>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</si>
  <si>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</si>
  <si>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</si>
  <si>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</si>
  <si>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</si>
  <si>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</si>
  <si>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</si>
  <si>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</si>
  <si>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</si>
  <si>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</si>
  <si>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</si>
  <si>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</si>
  <si>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</si>
  <si>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</si>
  <si>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</si>
  <si>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</si>
  <si>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</si>
  <si>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</si>
  <si>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</si>
  <si>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</si>
  <si>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</si>
  <si>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</si>
  <si>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</si>
  <si>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</si>
  <si>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</si>
  <si>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</si>
  <si>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</si>
  <si>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</si>
  <si>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</si>
  <si>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</si>
  <si>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</si>
  <si>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</si>
  <si>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</si>
  <si>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</si>
  <si>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</si>
  <si>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</si>
  <si>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</si>
  <si>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</si>
  <si>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</si>
  <si>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</si>
  <si>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</si>
  <si>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</si>
  <si>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</si>
  <si>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</si>
  <si>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</si>
  <si>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</si>
  <si>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</si>
  <si>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</si>
  <si>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</si>
  <si>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</si>
  <si>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</si>
  <si>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</si>
  <si>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</si>
  <si>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</si>
  <si>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</si>
  <si>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</si>
  <si>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</si>
  <si>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</si>
  <si>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</si>
  <si>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</si>
  <si>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</si>
  <si>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</si>
  <si>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</si>
  <si>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</si>
  <si>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</si>
  <si>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</si>
  <si>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</si>
  <si>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</si>
  <si>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</si>
  <si>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</si>
  <si>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</si>
  <si>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</si>
  <si>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</si>
  <si>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</si>
  <si>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</si>
  <si>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</si>
  <si>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</si>
  <si>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</si>
  <si>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</si>
  <si>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</si>
  <si>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</si>
  <si>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</si>
  <si>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</si>
  <si>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</si>
  <si>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</si>
  <si>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</si>
  <si>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</si>
  <si>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</si>
  <si>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</si>
  <si>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</si>
  <si>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</si>
  <si>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</si>
  <si>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</si>
  <si>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</si>
  <si>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</si>
  <si>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</si>
  <si>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</si>
  <si>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</si>
  <si>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</si>
  <si>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</si>
  <si>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</si>
  <si>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</si>
  <si>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</si>
  <si>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</si>
  <si>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</si>
  <si>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</si>
  <si>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</si>
  <si>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</si>
  <si>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</si>
  <si>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</si>
  <si>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</si>
  <si>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</si>
  <si>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</si>
  <si>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</si>
  <si>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</si>
  <si>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</si>
  <si>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</si>
  <si>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</si>
  <si>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</si>
  <si>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</si>
  <si>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</si>
  <si>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</si>
  <si>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</si>
  <si>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</si>
  <si>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</si>
  <si>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</si>
  <si>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</si>
  <si>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</si>
  <si>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</si>
  <si>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</si>
  <si>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</si>
  <si>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</si>
  <si>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</si>
  <si>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</si>
  <si>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</si>
  <si>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</si>
  <si>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</si>
  <si>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</si>
  <si>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</si>
  <si>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</si>
  <si>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</si>
  <si>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</si>
  <si>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</si>
  <si>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</si>
  <si>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</si>
  <si>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</si>
  <si>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</si>
  <si>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</si>
  <si>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</si>
  <si>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</si>
  <si>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</si>
  <si>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</si>
  <si>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</si>
  <si>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</si>
  <si>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</si>
  <si>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</si>
  <si>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</si>
  <si>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</si>
  <si>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</si>
  <si>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</si>
  <si>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</si>
  <si>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</si>
  <si>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</si>
  <si>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</si>
  <si>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</si>
  <si>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</si>
  <si>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</si>
  <si>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</si>
  <si>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</si>
  <si>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</si>
  <si>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</si>
  <si>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</si>
  <si>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</si>
  <si>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</si>
  <si>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</si>
  <si>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</si>
  <si>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</si>
  <si>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</si>
  <si>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</si>
  <si>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</si>
  <si>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</si>
  <si>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</si>
  <si>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</si>
  <si>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</si>
  <si>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</si>
  <si>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</si>
  <si>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</si>
  <si>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</si>
  <si>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</si>
  <si>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</si>
  <si>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</si>
  <si>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</si>
  <si>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</si>
  <si>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</si>
  <si>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</si>
  <si>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</si>
  <si>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</si>
  <si>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</si>
  <si>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</si>
  <si>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</si>
  <si>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</si>
  <si>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</si>
  <si>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</si>
  <si>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</si>
  <si>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</si>
  <si>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</si>
  <si>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</si>
  <si>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</si>
  <si>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</si>
  <si>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</si>
  <si>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</si>
  <si>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</si>
  <si>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</si>
  <si>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</si>
  <si>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</si>
  <si>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</si>
  <si>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</si>
  <si>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</si>
  <si>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</si>
  <si>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</si>
  <si>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</si>
  <si>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</si>
  <si>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</si>
  <si>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</si>
  <si>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</si>
  <si>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</si>
  <si>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</si>
  <si>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</si>
  <si>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</si>
  <si>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</si>
  <si>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</si>
  <si>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</si>
  <si>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</si>
  <si>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</si>
  <si>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</si>
  <si>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</si>
  <si>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</si>
  <si>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</si>
  <si>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</si>
  <si>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</si>
  <si>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</si>
  <si>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</si>
  <si>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</si>
  <si>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</si>
  <si>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</si>
  <si>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</si>
  <si>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</si>
  <si>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</si>
  <si>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</si>
  <si>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</si>
  <si>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</si>
  <si>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</si>
  <si>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</si>
  <si>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</si>
  <si>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</si>
  <si>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</si>
  <si>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</si>
  <si>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</si>
  <si>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</si>
  <si>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</si>
  <si>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</si>
  <si>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</si>
  <si>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</si>
  <si>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</si>
  <si>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</si>
  <si>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</si>
  <si>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</si>
  <si>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</si>
  <si>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</si>
  <si>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</si>
  <si>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</si>
  <si>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</si>
  <si>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</si>
  <si>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</si>
  <si>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</si>
  <si>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</si>
  <si>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</si>
  <si>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</si>
  <si>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</si>
  <si>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</si>
  <si>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</si>
  <si>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</si>
  <si>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</si>
  <si>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</si>
  <si>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</si>
  <si>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</si>
  <si>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</si>
  <si>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</si>
  <si>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</si>
  <si>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</si>
  <si>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</si>
  <si>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</si>
  <si>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</si>
  <si>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</si>
  <si>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</si>
  <si>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</si>
  <si>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</si>
  <si>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</si>
  <si>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</si>
  <si>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</si>
  <si>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</si>
  <si>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</si>
  <si>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</si>
  <si>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</si>
  <si>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</si>
  <si>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</si>
  <si>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</si>
  <si>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</si>
  <si>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</si>
  <si>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</si>
  <si>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</si>
  <si>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</si>
  <si>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</si>
  <si>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</si>
  <si>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</si>
  <si>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</si>
  <si>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</si>
  <si>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</si>
  <si>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</si>
  <si>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</si>
  <si>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</si>
  <si>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</si>
  <si>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</si>
  <si>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</si>
  <si>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</si>
  <si>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</si>
  <si>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</si>
  <si>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</si>
  <si>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</si>
  <si>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</si>
  <si>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</si>
  <si>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</si>
  <si>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</si>
  <si>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</si>
  <si>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</si>
  <si>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</si>
  <si>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</si>
  <si>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</si>
  <si>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</si>
  <si>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</si>
  <si>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</si>
  <si>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</si>
  <si>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</si>
  <si>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</si>
  <si>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</si>
  <si>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</si>
  <si>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</si>
  <si>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</si>
  <si>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</si>
  <si>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</si>
  <si>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</si>
  <si>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</si>
  <si>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</si>
  <si>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</si>
  <si>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</si>
  <si>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</si>
  <si>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</si>
  <si>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</si>
  <si>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</si>
  <si>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</si>
  <si>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</si>
  <si>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</si>
  <si>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</si>
  <si>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</si>
  <si>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</si>
  <si>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</si>
  <si>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</si>
  <si>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</si>
  <si>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</si>
  <si>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</si>
  <si>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</si>
  <si>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</si>
  <si>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</si>
  <si>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</si>
  <si>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</si>
  <si>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</si>
  <si>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</si>
  <si>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</si>
  <si>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</si>
  <si>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</si>
  <si>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</si>
  <si>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</si>
  <si>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</si>
  <si>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</si>
  <si>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</si>
  <si>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</si>
  <si>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</si>
  <si>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</si>
  <si>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</si>
  <si>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</si>
  <si>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</si>
  <si>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</si>
  <si>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</si>
  <si>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</si>
  <si>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</si>
  <si>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</si>
  <si>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</si>
  <si>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</si>
  <si>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</si>
  <si>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</si>
  <si>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</si>
  <si>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</si>
  <si>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</si>
  <si>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</si>
  <si>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</si>
  <si>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</si>
  <si>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</si>
  <si>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</si>
  <si>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</si>
  <si>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</si>
  <si>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</si>
  <si>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</si>
  <si>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</si>
  <si>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</si>
  <si>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</si>
  <si>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</si>
  <si>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</si>
  <si>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</si>
  <si>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</si>
  <si>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</si>
  <si>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</si>
  <si>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</si>
  <si>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</si>
  <si>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</si>
  <si>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</si>
  <si>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</si>
  <si>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</si>
  <si>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</si>
  <si>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</si>
  <si>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</si>
  <si>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</si>
  <si>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</si>
  <si>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</si>
  <si>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</si>
  <si>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</si>
  <si>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</si>
  <si>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</si>
  <si>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</si>
  <si>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</si>
  <si>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</si>
  <si>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</si>
  <si>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</si>
  <si>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</si>
  <si>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</si>
  <si>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</si>
  <si>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</si>
  <si>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</si>
  <si>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</si>
  <si>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</si>
  <si>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</si>
  <si>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</si>
  <si>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</si>
  <si>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</si>
  <si>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</si>
  <si>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</si>
  <si>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</si>
  <si>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</si>
  <si>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</si>
  <si>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</si>
  <si>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</si>
  <si>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</si>
  <si>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</si>
  <si>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</si>
  <si>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</si>
  <si>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</si>
  <si>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</si>
  <si>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</si>
  <si>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</si>
  <si>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</si>
  <si>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</si>
  <si>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</si>
  <si>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</si>
  <si>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</si>
  <si>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</si>
  <si>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</si>
  <si>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</si>
  <si>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</si>
  <si>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</si>
  <si>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</si>
  <si>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</si>
  <si>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</si>
  <si>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</si>
  <si>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</si>
  <si>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</si>
  <si>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</si>
  <si>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</si>
  <si>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</si>
  <si>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</si>
  <si>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</si>
  <si>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</si>
  <si>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</si>
  <si>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</si>
  <si>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</si>
  <si>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</si>
  <si>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</si>
  <si>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</si>
  <si>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</si>
  <si>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</si>
  <si>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</si>
  <si>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</si>
  <si>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</si>
  <si>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</si>
  <si>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</si>
  <si>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</si>
  <si>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</si>
  <si>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</si>
  <si>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</si>
  <si>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</si>
  <si>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</si>
  <si>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</si>
  <si>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</si>
  <si>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</si>
  <si>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</si>
  <si>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</si>
  <si>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</si>
  <si>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</si>
  <si>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</si>
  <si>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</si>
  <si>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</si>
  <si>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</si>
  <si>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</si>
  <si>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</si>
  <si>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</si>
  <si>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</si>
  <si>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</si>
  <si>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</si>
  <si>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</si>
  <si>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</si>
  <si>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</si>
  <si>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</si>
  <si>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</si>
  <si>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</si>
  <si>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</si>
  <si>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</si>
  <si>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</si>
  <si>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</si>
  <si>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</si>
  <si>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</si>
  <si>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</si>
  <si>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</si>
  <si>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</si>
  <si>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</si>
  <si>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</si>
  <si>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</si>
  <si>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</si>
  <si>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</si>
  <si>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</si>
  <si>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</si>
  <si>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</si>
  <si>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</si>
  <si>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</si>
  <si>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</si>
  <si>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</si>
  <si>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</si>
  <si>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</si>
  <si>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</si>
  <si>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</si>
  <si>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</si>
  <si>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</si>
  <si>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</si>
  <si>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</si>
  <si>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</si>
  <si>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</si>
  <si>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</si>
  <si>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</si>
  <si>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</si>
  <si>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</si>
  <si>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</si>
  <si>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</si>
  <si>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</si>
  <si>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</si>
  <si>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</si>
  <si>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</si>
  <si>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</si>
  <si>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</si>
  <si>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</si>
  <si>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</si>
  <si>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</si>
  <si>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</si>
  <si>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</si>
  <si>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</si>
  <si>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</si>
  <si>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</si>
  <si>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</si>
  <si>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</si>
  <si>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</si>
  <si>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</si>
  <si>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</si>
  <si>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</si>
  <si>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</si>
  <si>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</si>
  <si>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</si>
  <si>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</si>
  <si>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</si>
  <si>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</si>
  <si>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</si>
  <si>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</si>
  <si>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</si>
  <si>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</si>
  <si>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</si>
  <si>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</si>
  <si>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</si>
  <si>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</si>
  <si>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</si>
  <si>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</si>
  <si>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</si>
  <si>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</si>
  <si>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</si>
  <si>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</si>
  <si>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</si>
  <si>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</si>
  <si>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</si>
  <si>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</si>
  <si>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</si>
  <si>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</si>
  <si>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</si>
  <si>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</si>
  <si>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</si>
  <si>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</si>
  <si>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</si>
  <si>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</si>
  <si>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</si>
  <si>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</si>
  <si>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</si>
  <si>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</si>
  <si>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</si>
  <si>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</si>
  <si>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</si>
  <si>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</si>
  <si>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</si>
  <si>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</si>
  <si>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</si>
  <si>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</si>
  <si>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</si>
  <si>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</si>
  <si>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</si>
  <si>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</si>
  <si>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</si>
  <si>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</si>
  <si>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</si>
  <si>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</si>
  <si>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</si>
  <si>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</si>
  <si>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</si>
  <si>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</si>
  <si>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</si>
  <si>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</si>
  <si>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</si>
  <si>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</si>
  <si>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</si>
  <si>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</si>
  <si>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</si>
  <si>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</si>
  <si>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</si>
  <si>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</si>
  <si>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</si>
  <si>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</si>
  <si>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</si>
  <si>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</si>
  <si>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</si>
  <si>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</si>
  <si>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</si>
  <si>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</si>
  <si>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</si>
  <si>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</si>
  <si>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</si>
  <si>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</si>
  <si>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</si>
  <si>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</si>
  <si>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</si>
  <si>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</si>
  <si>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</si>
  <si>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</si>
  <si>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</si>
  <si>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</si>
  <si>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</si>
  <si>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</si>
  <si>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</si>
  <si>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</si>
  <si>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</si>
  <si>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</si>
  <si>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</si>
  <si>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</si>
  <si>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</si>
  <si>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</si>
  <si>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</si>
  <si>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</si>
  <si>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</si>
  <si>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</si>
  <si>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</si>
  <si>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</si>
  <si>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</si>
  <si>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</si>
  <si>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</si>
  <si>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</si>
  <si>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</si>
  <si>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</si>
  <si>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</si>
  <si>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</si>
  <si>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</si>
  <si>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</si>
  <si>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</si>
  <si>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</si>
  <si>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</si>
  <si>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</si>
  <si>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</si>
  <si>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</si>
  <si>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</si>
  <si>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</si>
  <si>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</si>
  <si>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</si>
  <si>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</si>
  <si>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</si>
  <si>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</si>
  <si>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</si>
  <si>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</si>
  <si>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</si>
  <si>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</si>
  <si>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</si>
  <si>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</si>
  <si>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</si>
  <si>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</si>
  <si>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</si>
  <si>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</si>
  <si>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</si>
  <si>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</si>
  <si>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</si>
  <si>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</si>
  <si>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</si>
  <si>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</si>
  <si>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</si>
  <si>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</si>
  <si>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</si>
  <si>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</si>
  <si>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</si>
  <si>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</si>
  <si>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</si>
  <si>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</si>
  <si>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</si>
  <si>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</si>
  <si>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</si>
  <si>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</si>
  <si>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</si>
  <si>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</si>
  <si>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</si>
  <si>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</si>
  <si>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</si>
  <si>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</si>
  <si>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</si>
  <si>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</si>
  <si>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</si>
  <si>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</si>
  <si>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</si>
  <si>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</si>
  <si>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</si>
  <si>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</si>
  <si>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</si>
  <si>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</si>
  <si>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</si>
  <si>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</si>
  <si>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</si>
  <si>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</si>
  <si>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</si>
  <si>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</si>
  <si>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</si>
  <si>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</si>
  <si>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</si>
  <si>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</si>
  <si>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</si>
  <si>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</si>
  <si>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</si>
  <si>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</si>
  <si>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</si>
  <si>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</si>
  <si>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</si>
  <si>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</si>
  <si>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</si>
  <si>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</si>
  <si>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</si>
  <si>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</si>
  <si>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</si>
  <si>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</si>
  <si>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</si>
  <si>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</si>
  <si>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</si>
  <si>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</si>
  <si>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</si>
  <si>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</si>
  <si>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</si>
  <si>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</si>
  <si>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</si>
  <si>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</si>
  <si>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</si>
  <si>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</si>
  <si>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</si>
  <si>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</si>
  <si>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</si>
  <si>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</si>
  <si>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</si>
  <si>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</si>
  <si>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</si>
  <si>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</si>
  <si>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</si>
  <si>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</si>
  <si>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</si>
  <si>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</si>
  <si>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</si>
  <si>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</si>
  <si>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</si>
  <si>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</si>
  <si>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</si>
  <si>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</si>
  <si>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</si>
  <si>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</si>
  <si>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</si>
  <si>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</si>
  <si>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</si>
  <si>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</si>
  <si>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</si>
  <si>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</si>
  <si>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</si>
  <si>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</si>
  <si>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</si>
  <si>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</si>
  <si>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</si>
  <si>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</si>
  <si>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</si>
  <si>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</si>
  <si>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</si>
  <si>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</si>
  <si>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</si>
  <si>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</si>
  <si>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</si>
  <si>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</si>
  <si>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</si>
  <si>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</si>
  <si>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</si>
  <si>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</si>
  <si>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</si>
  <si>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</si>
  <si>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</si>
  <si>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</si>
  <si>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</si>
  <si>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</si>
  <si>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</si>
  <si>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</si>
  <si>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</si>
  <si>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</si>
  <si>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</si>
  <si>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</si>
  <si>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</si>
  <si>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</si>
  <si>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</si>
  <si>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</si>
  <si>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</si>
  <si>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</si>
  <si>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</si>
  <si>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</si>
  <si>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</si>
  <si>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</si>
  <si>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</si>
  <si>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</si>
  <si>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</si>
  <si>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</si>
  <si>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</si>
  <si>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</si>
  <si>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</si>
  <si>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</si>
  <si>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</si>
  <si>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</si>
  <si>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</si>
  <si>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</si>
  <si>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</si>
  <si>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</si>
  <si>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</si>
  <si>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</si>
  <si>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</si>
  <si>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</si>
  <si>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</si>
  <si>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</si>
  <si>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</si>
  <si>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</si>
  <si>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</si>
  <si>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</si>
  <si>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</si>
  <si>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</si>
  <si>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</si>
  <si>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</si>
  <si>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</si>
  <si>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</si>
  <si>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</si>
  <si>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</si>
  <si>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</si>
  <si>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</si>
  <si>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</si>
  <si>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</si>
  <si>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</si>
  <si>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</si>
  <si>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</si>
  <si>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</si>
  <si>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</si>
  <si>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</si>
  <si>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</si>
  <si>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</si>
  <si>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</si>
  <si>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</si>
  <si>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</si>
  <si>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</si>
  <si>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</si>
  <si>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</si>
  <si>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</si>
  <si>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</si>
  <si>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</si>
  <si>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</si>
  <si>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</si>
  <si>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</si>
  <si>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</si>
  <si>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</si>
  <si>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</si>
  <si>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</si>
  <si>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</si>
  <si>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</si>
  <si>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</si>
  <si>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</si>
  <si>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</si>
  <si>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</si>
  <si>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</si>
  <si>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</si>
  <si>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</si>
  <si>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</si>
  <si>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</si>
  <si>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</si>
  <si>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</si>
  <si>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</si>
  <si>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</si>
  <si>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</si>
  <si>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</si>
  <si>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</si>
  <si>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</si>
  <si>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</si>
  <si>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</si>
  <si>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</si>
  <si>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</si>
  <si>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</si>
  <si>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</si>
  <si>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</si>
  <si>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</si>
  <si>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</si>
  <si>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</si>
  <si>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</si>
  <si>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</si>
  <si>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</si>
  <si>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</si>
  <si>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</si>
  <si>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</si>
  <si>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</si>
  <si>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</si>
  <si>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</si>
  <si>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</si>
  <si>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</si>
  <si>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</si>
  <si>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</si>
  <si>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</si>
  <si>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</si>
  <si>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</si>
  <si>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</si>
  <si>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</si>
  <si>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</si>
  <si>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</si>
  <si>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</si>
  <si>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</si>
  <si>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</si>
  <si>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</si>
  <si>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</si>
  <si>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</si>
  <si>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</si>
  <si>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</si>
  <si>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</si>
  <si>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</si>
  <si>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</si>
  <si>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</si>
  <si>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</si>
  <si>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</si>
  <si>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</si>
  <si>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</si>
  <si>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</si>
  <si>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</si>
  <si>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</si>
  <si>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</si>
  <si>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</si>
  <si>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</si>
  <si>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</si>
  <si>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</si>
  <si>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</si>
  <si>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</si>
  <si>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</si>
  <si>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</si>
  <si>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</si>
  <si>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</si>
  <si>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</si>
  <si>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</si>
  <si>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</si>
  <si>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</si>
  <si>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</si>
  <si>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</si>
  <si>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</si>
  <si>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</si>
  <si>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</si>
  <si>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</si>
  <si>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</si>
  <si>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</si>
  <si>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</si>
  <si>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</si>
  <si>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</si>
  <si>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</si>
  <si>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</si>
  <si>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</si>
  <si>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</si>
  <si>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</si>
  <si>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</si>
  <si>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</si>
  <si>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</si>
  <si>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</si>
  <si>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</si>
  <si>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</si>
  <si>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</si>
  <si>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</si>
  <si>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</si>
  <si>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</si>
  <si>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</si>
  <si>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</si>
  <si>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</si>
  <si>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</si>
  <si>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</si>
  <si>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</si>
  <si>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</si>
  <si>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</si>
  <si>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</si>
  <si>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</si>
  <si>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</si>
  <si>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</si>
  <si>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</si>
  <si>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</si>
  <si>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</si>
  <si>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</si>
  <si>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</si>
  <si>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</si>
  <si>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</si>
  <si>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</si>
  <si>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</si>
  <si>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</si>
  <si>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</si>
  <si>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</si>
  <si>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</si>
  <si>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</si>
  <si>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</si>
  <si>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</si>
  <si>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</si>
  <si>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</si>
  <si>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</si>
  <si>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</si>
  <si>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</si>
  <si>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</si>
  <si>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</si>
  <si>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</si>
  <si>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</si>
  <si>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</si>
  <si>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</si>
  <si>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</si>
  <si>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</si>
  <si>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</si>
  <si>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</si>
  <si>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</si>
  <si>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</si>
  <si>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</si>
  <si>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</si>
  <si>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</si>
  <si>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</si>
  <si>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</si>
  <si>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</si>
  <si>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</si>
  <si>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</si>
  <si>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</si>
  <si>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</si>
  <si>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</si>
  <si>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</si>
  <si>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</si>
  <si>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</si>
  <si>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</si>
  <si>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</si>
  <si>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</si>
  <si>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</si>
  <si>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</si>
  <si>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</si>
  <si>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</si>
  <si>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</si>
  <si>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</si>
  <si>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</si>
  <si>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</si>
  <si>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</si>
  <si>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</si>
  <si>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</si>
  <si>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</si>
  <si>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</si>
  <si>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</si>
  <si>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</si>
  <si>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</si>
  <si>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</si>
  <si>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</si>
  <si>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</si>
  <si>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</si>
  <si>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</si>
  <si>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</si>
  <si>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</si>
  <si>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</si>
  <si>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</si>
  <si>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</si>
  <si>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</si>
  <si>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</si>
  <si>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</si>
  <si>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</si>
  <si>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</si>
  <si>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</si>
  <si>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</si>
  <si>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</si>
  <si>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</si>
  <si>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</si>
  <si>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</si>
  <si>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</si>
  <si>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</si>
  <si>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</si>
  <si>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</si>
  <si>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</si>
  <si>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</si>
  <si>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</si>
  <si>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</si>
  <si>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</si>
  <si>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</si>
  <si>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</si>
  <si>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</si>
  <si>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</si>
  <si>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</si>
  <si>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</si>
  <si>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</si>
  <si>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</si>
  <si>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</si>
  <si>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</si>
  <si>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</si>
  <si>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</si>
  <si>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</si>
  <si>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</si>
  <si>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</si>
  <si>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</si>
  <si>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</si>
  <si>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</si>
  <si>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</si>
  <si>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</si>
  <si>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</si>
  <si>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</si>
  <si>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</si>
  <si>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</si>
  <si>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</si>
  <si>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</si>
  <si>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</si>
  <si>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</si>
  <si>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</si>
  <si>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</si>
  <si>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</si>
  <si>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</si>
  <si>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</si>
  <si>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</si>
  <si>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</si>
  <si>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</si>
  <si>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</si>
  <si>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</si>
  <si>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</si>
  <si>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</si>
  <si>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</si>
  <si>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</si>
  <si>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</si>
  <si>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</si>
  <si>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</si>
  <si>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</si>
  <si>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</si>
  <si>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</si>
  <si>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</si>
  <si>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</si>
  <si>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</si>
  <si>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</si>
  <si>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</si>
  <si>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</si>
  <si>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</si>
  <si>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</si>
  <si>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</si>
  <si>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</si>
  <si>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</si>
  <si>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</si>
  <si>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</si>
  <si>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</si>
  <si>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</si>
  <si>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</si>
  <si>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</si>
  <si>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</si>
  <si>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</si>
  <si>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</si>
  <si>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</si>
  <si>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</si>
  <si>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</si>
  <si>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</si>
  <si>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</si>
  <si>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</si>
  <si>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</si>
  <si>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</si>
  <si>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</si>
  <si>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</si>
  <si>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</si>
  <si>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</si>
  <si>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</si>
  <si>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</si>
  <si>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</si>
  <si>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</si>
  <si>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</si>
  <si>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</si>
  <si>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</si>
  <si>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</si>
  <si>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</si>
  <si>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</si>
  <si>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</si>
  <si>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</si>
  <si>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</si>
  <si>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</si>
  <si>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</si>
  <si>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</si>
  <si>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</si>
  <si>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</si>
  <si>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</si>
  <si>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</si>
  <si>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</si>
  <si>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</si>
  <si>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</si>
  <si>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</si>
  <si>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</si>
  <si>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</si>
  <si>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</si>
  <si>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</si>
  <si>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</si>
  <si>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</si>
  <si>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</si>
  <si>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</si>
  <si>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</si>
  <si>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</si>
  <si>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</si>
  <si>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</si>
  <si>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</si>
  <si>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</si>
  <si>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</si>
  <si>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</si>
  <si>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</si>
  <si>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</si>
  <si>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</si>
  <si>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</si>
  <si>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</si>
  <si>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</si>
  <si>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</si>
  <si>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</si>
  <si>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</si>
  <si>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</si>
  <si>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</si>
  <si>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</si>
  <si>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</si>
  <si>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</si>
  <si>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</si>
  <si>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</si>
  <si>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</si>
  <si>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</si>
  <si>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</si>
  <si>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</si>
  <si>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</si>
  <si>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</si>
  <si>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</si>
  <si>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</si>
  <si>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</si>
  <si>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</si>
  <si>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</si>
  <si>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</si>
  <si>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</si>
  <si>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</si>
  <si>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</si>
  <si>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</si>
  <si>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</si>
  <si>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</si>
  <si>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</si>
  <si>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</si>
  <si>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</si>
  <si>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</si>
  <si>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</si>
  <si>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</si>
  <si>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</si>
  <si>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</si>
  <si>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</si>
  <si>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</si>
  <si>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</si>
  <si>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</si>
  <si>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</si>
  <si>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</si>
  <si>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</si>
  <si>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</si>
  <si>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</si>
  <si>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</si>
  <si>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</si>
  <si>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</si>
  <si>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</si>
  <si>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</si>
  <si>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</si>
  <si>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</si>
  <si>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</si>
  <si>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</si>
  <si>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</si>
  <si>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</si>
  <si>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</si>
  <si>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</si>
  <si>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</si>
  <si>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</si>
  <si>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</si>
  <si>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</si>
  <si>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</si>
  <si>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</si>
  <si>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</si>
  <si>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</si>
  <si>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</si>
  <si>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</si>
  <si>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</si>
  <si>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</si>
  <si>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</si>
  <si>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</si>
  <si>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</si>
  <si>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</si>
  <si>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</si>
  <si>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</si>
  <si>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</si>
  <si>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</si>
  <si>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</si>
  <si>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</si>
  <si>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</si>
  <si>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</si>
  <si>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</si>
  <si>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</si>
  <si>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</si>
  <si>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</si>
  <si>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</si>
  <si>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</si>
  <si>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</si>
  <si>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</si>
  <si>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</si>
  <si>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</si>
  <si>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</si>
  <si>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</si>
  <si>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</si>
  <si>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</si>
  <si>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</si>
  <si>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</si>
  <si>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</si>
  <si>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</si>
  <si>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</si>
  <si>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</si>
  <si>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</si>
  <si>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</si>
  <si>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</si>
  <si>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</si>
  <si>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</si>
  <si>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</si>
  <si>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</si>
  <si>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</si>
  <si>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</si>
  <si>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</si>
  <si>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</si>
  <si>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</si>
  <si>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</si>
  <si>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</si>
  <si>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</si>
  <si>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</si>
  <si>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</si>
  <si>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</si>
  <si>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</si>
  <si>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</si>
  <si>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</si>
  <si>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</si>
  <si>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</si>
  <si>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</si>
  <si>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</si>
  <si>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</si>
  <si>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</si>
  <si>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</si>
  <si>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</si>
  <si>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</si>
  <si>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</si>
  <si>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</si>
  <si>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</si>
  <si>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</si>
  <si>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</si>
  <si>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</si>
  <si>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</si>
  <si>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</si>
  <si>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</si>
  <si>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</si>
  <si>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</si>
  <si>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</si>
  <si>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</si>
  <si>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</si>
  <si>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</si>
  <si>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</si>
  <si>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</si>
  <si>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</si>
  <si>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</si>
  <si>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</si>
  <si>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</si>
  <si>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</si>
  <si>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</si>
  <si>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</si>
  <si>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</si>
  <si>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</si>
  <si>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</si>
  <si>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</si>
  <si>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</si>
  <si>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</si>
  <si>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</si>
  <si>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</si>
  <si>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</si>
  <si>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</si>
  <si>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</si>
  <si>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</si>
  <si>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</si>
  <si>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</si>
  <si>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</si>
  <si>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</si>
  <si>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</si>
  <si>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</si>
  <si>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</si>
  <si>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</si>
  <si>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</si>
  <si>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</si>
  <si>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</si>
  <si>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</si>
  <si>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</si>
  <si>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</si>
  <si>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</si>
  <si>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</si>
  <si>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</si>
  <si>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</si>
  <si>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</si>
  <si>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</si>
  <si>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</si>
  <si>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</si>
  <si>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</si>
  <si>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</si>
  <si>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</si>
  <si>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</si>
  <si>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</si>
  <si>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</si>
  <si>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</si>
  <si>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</si>
  <si>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</si>
  <si>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</si>
  <si>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</si>
  <si>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</si>
  <si>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</si>
  <si>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</si>
  <si>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</si>
  <si>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</si>
  <si>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</si>
  <si>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</si>
  <si>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</si>
  <si>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</si>
  <si>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</si>
  <si>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</si>
  <si>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</si>
  <si>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</si>
  <si>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</si>
  <si>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</si>
  <si>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</si>
  <si>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</si>
  <si>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</si>
  <si>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</si>
  <si>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</si>
  <si>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</si>
  <si>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</si>
  <si>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</si>
  <si>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</si>
  <si>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</si>
  <si>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</si>
  <si>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</si>
  <si>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</si>
  <si>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</si>
  <si>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</si>
  <si>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</si>
  <si>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</si>
  <si>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</si>
  <si>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</si>
  <si>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</si>
  <si>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</si>
  <si>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</si>
  <si>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</si>
  <si>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</si>
  <si>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</si>
  <si>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</si>
  <si>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</si>
  <si>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</si>
  <si>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</si>
  <si>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</si>
  <si>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</si>
  <si>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</si>
  <si>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</si>
  <si>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</si>
  <si>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</si>
  <si>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</si>
  <si>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</si>
  <si>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</si>
  <si>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</si>
  <si>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</si>
  <si>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</si>
  <si>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</si>
  <si>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</si>
  <si>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</si>
  <si>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</si>
  <si>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</si>
  <si>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</si>
  <si>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</si>
  <si>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</si>
  <si>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91-634-48</t>
  </si>
  <si>
    <t>91-635-20</t>
  </si>
  <si>
    <t>91-636-16</t>
  </si>
  <si>
    <t>91-637-03</t>
  </si>
  <si>
    <t>91-638-09</t>
  </si>
  <si>
    <t>91-639-09</t>
  </si>
  <si>
    <t>91-640-72</t>
  </si>
  <si>
    <t>91-641-72</t>
  </si>
  <si>
    <t>91-642-00</t>
  </si>
  <si>
    <t>91-643-09</t>
  </si>
  <si>
    <t>91-643-00</t>
  </si>
  <si>
    <t>91-643-12</t>
  </si>
  <si>
    <t>91-643-13</t>
  </si>
  <si>
    <t>91-643-17</t>
  </si>
  <si>
    <t>91-644-09</t>
  </si>
  <si>
    <t>91-645-09</t>
  </si>
  <si>
    <t>91-645-06</t>
  </si>
  <si>
    <t>91-645-00</t>
  </si>
  <si>
    <t>91-645-03</t>
  </si>
  <si>
    <t>91-645-72</t>
  </si>
  <si>
    <t>91-645-20</t>
  </si>
  <si>
    <t>91-646-09</t>
  </si>
  <si>
    <t>91-647-72</t>
  </si>
  <si>
    <t>91-647-17</t>
  </si>
  <si>
    <t>91-648-72</t>
  </si>
  <si>
    <t>91-648-14</t>
  </si>
  <si>
    <t>91-649-09</t>
  </si>
  <si>
    <t>91-649-16</t>
  </si>
  <si>
    <t>91-649-08</t>
  </si>
  <si>
    <t>91-649-17</t>
  </si>
  <si>
    <t>91-650-08</t>
  </si>
  <si>
    <t>91-650-16</t>
  </si>
  <si>
    <t>91-651-09</t>
  </si>
  <si>
    <t>91-651-17</t>
  </si>
  <si>
    <t>91-652-09</t>
  </si>
  <si>
    <t>91-652-17</t>
  </si>
  <si>
    <t>91-653-09</t>
  </si>
  <si>
    <t>91-653-17</t>
  </si>
  <si>
    <t>91-654-06</t>
  </si>
  <si>
    <t>91-654-35</t>
  </si>
  <si>
    <t>91-654-72</t>
  </si>
  <si>
    <t>91-655-00</t>
  </si>
  <si>
    <t>91-656-06</t>
  </si>
  <si>
    <t>91-657-09</t>
  </si>
  <si>
    <t>91-658-03</t>
  </si>
  <si>
    <t>91-659-73</t>
  </si>
  <si>
    <t>91-660-12</t>
  </si>
  <si>
    <t>91-661-16</t>
  </si>
  <si>
    <t>91-662-09</t>
  </si>
  <si>
    <t>91-662-06</t>
  </si>
  <si>
    <t>91-662-16</t>
  </si>
  <si>
    <t>91-663-09</t>
  </si>
  <si>
    <t>91-663-16</t>
  </si>
  <si>
    <t>91-663-03</t>
  </si>
  <si>
    <t>91-664-05</t>
  </si>
  <si>
    <t>91-665-01</t>
  </si>
  <si>
    <t>91-666-08</t>
  </si>
  <si>
    <t>91-667-09</t>
  </si>
  <si>
    <t>91-668-00</t>
  </si>
  <si>
    <t>91-669-17</t>
  </si>
  <si>
    <t>91-670-03</t>
  </si>
  <si>
    <t>91-671-00</t>
  </si>
  <si>
    <t>91-671-08</t>
  </si>
  <si>
    <t>91-672-09</t>
  </si>
  <si>
    <t>91-673-62</t>
  </si>
  <si>
    <t>91-673-78</t>
  </si>
  <si>
    <t>91-673-17</t>
  </si>
  <si>
    <t>91-674-06</t>
  </si>
  <si>
    <t>91-674-53</t>
  </si>
  <si>
    <t>91-675-17</t>
  </si>
  <si>
    <t>91-676-20</t>
  </si>
  <si>
    <t>91-677-09</t>
  </si>
  <si>
    <t>91-678-00</t>
  </si>
  <si>
    <t>91-679-09</t>
  </si>
  <si>
    <t>91-680-14</t>
  </si>
  <si>
    <t>91-681-00</t>
  </si>
  <si>
    <t>91-682-09</t>
  </si>
  <si>
    <t>91-683-09</t>
  </si>
  <si>
    <t>91-683-03</t>
  </si>
  <si>
    <t>91-684-11</t>
  </si>
  <si>
    <t>91-685-09</t>
  </si>
  <si>
    <t>91-686-10</t>
  </si>
  <si>
    <t>91-686-72</t>
  </si>
  <si>
    <t>91-687-36</t>
  </si>
  <si>
    <t>91-688-09</t>
  </si>
  <si>
    <t>91-689-00</t>
  </si>
  <si>
    <t>91-690-09</t>
  </si>
  <si>
    <t>91-530-09</t>
  </si>
  <si>
    <t>91-530-71</t>
  </si>
  <si>
    <t>91-691-16</t>
  </si>
  <si>
    <t>91-692-34</t>
  </si>
  <si>
    <t>91-693-09</t>
  </si>
  <si>
    <t>91-694-09</t>
  </si>
  <si>
    <t>91-695-09</t>
  </si>
  <si>
    <t>91-696-09</t>
  </si>
  <si>
    <t>91-697-02</t>
  </si>
  <si>
    <t>91-698-02</t>
  </si>
  <si>
    <t>91-699-14</t>
  </si>
  <si>
    <t>91-700-09</t>
  </si>
  <si>
    <t>91-701-09</t>
  </si>
  <si>
    <t>91-702-03</t>
  </si>
  <si>
    <t>91-703-19</t>
  </si>
  <si>
    <t>91-704-20</t>
  </si>
  <si>
    <t>91-643-34</t>
  </si>
  <si>
    <t>91-651-18</t>
  </si>
  <si>
    <t>91-705-09</t>
  </si>
  <si>
    <t>91-705-72</t>
  </si>
  <si>
    <t>91-705-53</t>
  </si>
  <si>
    <t>91-706-19</t>
  </si>
  <si>
    <t>91-706-72</t>
  </si>
  <si>
    <t>91-707-13</t>
  </si>
  <si>
    <t>91-707-16</t>
  </si>
  <si>
    <t>91-708-14</t>
  </si>
  <si>
    <t>91-709-71</t>
  </si>
  <si>
    <t>91-709-09</t>
  </si>
  <si>
    <t>42-624-00</t>
  </si>
  <si>
    <t>91-710-00</t>
  </si>
  <si>
    <t>91-711-09</t>
  </si>
  <si>
    <t>91-711-72</t>
  </si>
  <si>
    <t>91-687-72</t>
  </si>
  <si>
    <t>91-712-14</t>
  </si>
  <si>
    <t>91-713-14</t>
  </si>
  <si>
    <t>91-682-00</t>
  </si>
  <si>
    <t>91-714-09</t>
  </si>
  <si>
    <t>91-715-09</t>
  </si>
  <si>
    <t>91-716-53</t>
  </si>
  <si>
    <t>91-717-00</t>
  </si>
  <si>
    <t>91-589-34</t>
  </si>
  <si>
    <t>91-594-36</t>
  </si>
  <si>
    <t>91-594-34</t>
  </si>
  <si>
    <t>91-718-14</t>
  </si>
  <si>
    <t>91-718-09</t>
  </si>
  <si>
    <t>91-719-09</t>
  </si>
  <si>
    <t>91-720-09</t>
  </si>
  <si>
    <t>91-721-09</t>
  </si>
  <si>
    <t>91-722-36</t>
  </si>
  <si>
    <t>91-723-34</t>
  </si>
  <si>
    <t>91-724-07</t>
  </si>
  <si>
    <t>91-725-12</t>
  </si>
  <si>
    <t>91-726-14</t>
  </si>
  <si>
    <t>91-727-09</t>
  </si>
  <si>
    <t>91-728-09</t>
  </si>
  <si>
    <t>91-729-02</t>
  </si>
  <si>
    <t>91-730-09</t>
  </si>
  <si>
    <t>91-731-92</t>
  </si>
  <si>
    <t>91-732-09</t>
  </si>
  <si>
    <t>91-733-09</t>
  </si>
  <si>
    <t>91-734-48</t>
  </si>
  <si>
    <t>91-735-34</t>
  </si>
  <si>
    <t>91-736-09</t>
  </si>
  <si>
    <t>91-737-19</t>
  </si>
  <si>
    <t>91-738-72</t>
  </si>
  <si>
    <t>91-739-16</t>
  </si>
  <si>
    <t>101-0003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</si>
  <si>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</si>
  <si>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</si>
  <si>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</si>
  <si>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</si>
  <si>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</si>
  <si>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</si>
  <si>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</si>
  <si>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</si>
  <si>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</si>
  <si>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</si>
  <si>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</si>
  <si>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</si>
  <si>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</si>
  <si>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</si>
  <si>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</si>
  <si>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</si>
  <si>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101-0381</t>
  </si>
  <si>
    <t>101-0382</t>
  </si>
  <si>
    <t>101-0384</t>
  </si>
  <si>
    <t>101-0386</t>
  </si>
  <si>
    <t>101-0387</t>
  </si>
  <si>
    <t>101-0388</t>
  </si>
  <si>
    <t>101-0389</t>
  </si>
  <si>
    <t>101-0390</t>
  </si>
  <si>
    <t>101-0391</t>
  </si>
  <si>
    <t>101-0392</t>
  </si>
  <si>
    <t>101-0393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</si>
  <si>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</si>
  <si>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</si>
  <si>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</si>
  <si>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</si>
  <si>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</si>
  <si>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</si>
  <si>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</si>
  <si>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</si>
  <si>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</si>
  <si>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</si>
  <si>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</si>
  <si>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</si>
  <si>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</si>
  <si>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</si>
  <si>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</si>
  <si>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</si>
  <si>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</si>
  <si>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</si>
  <si>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</si>
  <si>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</si>
  <si>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</si>
  <si>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</si>
  <si>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</si>
  <si>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</si>
  <si>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</si>
  <si>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</si>
  <si>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</si>
  <si>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</si>
  <si>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101-0473</t>
  </si>
  <si>
    <t>101-0479</t>
  </si>
  <si>
    <t>101-0480</t>
  </si>
  <si>
    <t>101-0482</t>
  </si>
  <si>
    <t>101-0483</t>
  </si>
  <si>
    <t>101-0484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</si>
  <si>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</si>
  <si>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</si>
  <si>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</si>
  <si>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</si>
  <si>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</si>
  <si>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</si>
  <si>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</si>
  <si>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</si>
  <si>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</si>
  <si>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</si>
  <si>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</si>
  <si>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</si>
  <si>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</si>
  <si>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</si>
  <si>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</si>
  <si>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</si>
  <si>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</si>
  <si>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</si>
  <si>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</si>
  <si>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</si>
  <si>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</si>
  <si>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</si>
  <si>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101-0380</t>
  </si>
  <si>
    <t>101-0383</t>
  </si>
  <si>
    <t>101-0385</t>
  </si>
  <si>
    <t>101-0528</t>
  </si>
  <si>
    <t>101-0378</t>
  </si>
  <si>
    <t>101-0337</t>
  </si>
  <si>
    <t>101-0512</t>
  </si>
  <si>
    <t>101-0493</t>
  </si>
  <si>
    <t>101-0505</t>
  </si>
  <si>
    <t>101-0522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</si>
  <si>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</si>
  <si>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</si>
  <si>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</si>
  <si>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</si>
  <si>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</si>
  <si>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</si>
  <si>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</si>
  <si>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</si>
  <si>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</si>
  <si>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</si>
  <si>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</si>
  <si>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</si>
  <si>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</si>
  <si>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</si>
  <si>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</si>
  <si>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</si>
  <si>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</si>
  <si>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</si>
  <si>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</si>
  <si>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</si>
  <si>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</si>
  <si>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</si>
  <si>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</si>
  <si>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</si>
  <si>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</si>
  <si>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</si>
  <si>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</si>
  <si>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</si>
  <si>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</si>
  <si>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</si>
  <si>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Goorin Brothers</t>
  </si>
  <si>
    <t>WHI</t>
  </si>
  <si>
    <t>YEL</t>
  </si>
  <si>
    <t>NVY</t>
  </si>
  <si>
    <t>OLI</t>
  </si>
  <si>
    <t>BLK</t>
  </si>
  <si>
    <t>ORA</t>
  </si>
  <si>
    <t>TEA</t>
  </si>
  <si>
    <t>GRY</t>
  </si>
  <si>
    <t>CAM</t>
  </si>
  <si>
    <t>камуфляж / черный</t>
  </si>
  <si>
    <t>MAR</t>
  </si>
  <si>
    <t>BLU</t>
  </si>
  <si>
    <t>IVO</t>
  </si>
  <si>
    <t>WKY</t>
  </si>
  <si>
    <t>SLA</t>
  </si>
  <si>
    <t>COR</t>
  </si>
  <si>
    <t>коралловый / черный</t>
  </si>
  <si>
    <t>камуфляж / белый</t>
  </si>
  <si>
    <t>EBO</t>
  </si>
  <si>
    <t>TAN</t>
  </si>
  <si>
    <t>BRO</t>
  </si>
  <si>
    <t>GRE</t>
  </si>
  <si>
    <t>RED</t>
  </si>
  <si>
    <t>коралловый / белый</t>
  </si>
  <si>
    <t>MIN</t>
  </si>
  <si>
    <t>PIN</t>
  </si>
  <si>
    <t>CRE</t>
  </si>
  <si>
    <t>CML</t>
  </si>
  <si>
    <t>KHA</t>
  </si>
  <si>
    <t>WIN</t>
  </si>
  <si>
    <t>HUN</t>
  </si>
  <si>
    <t>BUR</t>
  </si>
  <si>
    <t>CHA</t>
  </si>
  <si>
    <t>55% полиэстер - 40% полиуретан - 5% спандекс</t>
  </si>
  <si>
    <t>57% полиэстер - 43% полиуретан</t>
  </si>
  <si>
    <t>77% полиэстер - 20% кожа - 3% спандекс</t>
  </si>
  <si>
    <t>79% полиэстер - 19% полиуретан - 2% спандекс</t>
  </si>
  <si>
    <t>57% хлопок - 43% полиэстер</t>
  </si>
  <si>
    <t>100% Акрил</t>
  </si>
  <si>
    <t>Особенности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</si>
</sst>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17"/>
  <sheetViews>
    <sheetView zoomScaleNormal="100" workbookViewId="0">
      <pane ySplit="1" topLeftCell="A95" activePane="bottomLeft" state="frozen"/>
      <selection pane="bottomLeft" activeCell="K9" sqref="K9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2.7109375" style="117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28416</v>
      </c>
      <c r="O1" s="87" t="s">
        <v>28417</v>
      </c>
      <c r="P1" s="69" t="s">
        <v>28746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117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91-704-20</v>
      </c>
      <c r="B2" s="107" t="str">
        <f ca="1">_xlfn.LET(_xlpm.CAPS,0,_xlpm.Style,TRIM(_xlfn.XLOOKUP($A2,Строчный!$A:$A,Строчный!B:B,"ERR",0)),IF(_xlpm.CAPS=0,_xlpm.Style,UPPER(_xlpm.Style)))</f>
        <v>101-0143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Animal Farm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GOORIN BROTHERS</v>
      </c>
      <c r="H2" s="81" t="str">
        <f ca="1">LOWER(TRIM(_xlfn.XLOOKUP($A2,Строчный!$A:$A,Строчный!H:H,"ERR",0)))</f>
        <v>yel</v>
      </c>
      <c r="I2" s="81" t="str">
        <f ca="1">LOWER(TRIM(_xlfn.XLOOKUP($A2,Строчный!$A:$A,Строчный!I:I,"ERR",0)))</f>
        <v>желтый / белый</v>
      </c>
      <c r="J2" s="81" t="str">
        <f ca="1">SUBSTITUTE(LOWER(TRIM(_xlfn.XLOOKUP($A2,Строчный!$A:$A,Строчный!J:J,"ERR",0))),"подклад","Подклад")</f>
        <v>79% полиэстер - 19% полиуретан - 2% спандекс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936.00000000000011</v>
      </c>
      <c r="R2" s="89" t="str">
        <f ca="1">_xlfn.XLOOKUP($G2,Фабрика!A:A,Фабрика!B:B,"ERR",0)</f>
        <v>Goorin Brothers Inc; 1269 Howard street, San Fancisco, CA 94103, USA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GOORIN BROTHERS арт. 101-0143 (желтый / белый)</v>
      </c>
      <c r="W2" s="100" t="str">
        <f ca="1">TRIM(CONCATENATE(AB2," ",G2," арт. ",B2," (",I2,") {",H2,"}"))</f>
        <v>Бейсболка GOORIN BROTHERS арт. 101-0143 (желтый / белый) {yel}</v>
      </c>
      <c r="X2" s="18" t="str">
        <f t="shared" ref="X2:X33" ca="1" si="0">IFERROR(MID(I2,FIND("-",I2)+1,LEN(I2)),IFERROR(MID(I2,1,FIND("/",I2)-2),I2))</f>
        <v>желтый</v>
      </c>
      <c r="Y2" s="18" t="str">
        <f t="shared" ref="Y2:Y33" ca="1" si="1">IFERROR(MID(I2,FIND("-",I2)+1,LEN(I2)),IFERROR(MID(I2,FIND("/",I2)+2,LEN(I2)),I2))</f>
        <v>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91-704-20-00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SUMIF(Марка!A:A,G2,Марка!B:B)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91-703-19</v>
      </c>
      <c r="B3" s="107" t="str">
        <f ca="1">_xlfn.LET(_xlpm.CAPS,0,_xlpm.Style,TRIM(_xlfn.XLOOKUP($A3,Строчный!$A:$A,Строчный!B:B,"ERR",0)),IF(_xlpm.CAPS=0,_xlpm.Style,LOWER(_xlpm.Style)))</f>
        <v>101-0144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Animal Farm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GOORIN BROTHERS</v>
      </c>
      <c r="H3" s="81" t="str">
        <f ca="1">LOWER(TRIM(_xlfn.XLOOKUP($A3,Строчный!$A:$A,Строчный!H:H,"ERR",0)))</f>
        <v>sla</v>
      </c>
      <c r="I3" s="81" t="str">
        <f ca="1">LOWER(TRIM(_xlfn.XLOOKUP($A3,Строчный!$A:$A,Строчный!I:I,"ERR",0)))</f>
        <v>голубой / красный</v>
      </c>
      <c r="J3" s="81" t="str">
        <f ca="1">SUBSTITUTE(LOWER(TRIM(_xlfn.XLOOKUP($A3,Строчный!$A:$A,Строчный!J:J,"ERR",0))),"подклад","Подклад")</f>
        <v>77% полиэстер - 20% кожа - 3% спандекс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936.00000000000011</v>
      </c>
      <c r="R3" s="89" t="str">
        <f ca="1">_xlfn.XLOOKUP($G3,Фабрика!A:A,Фабрика!B:B,"ERR",0)</f>
        <v>Goorin Brothers Inc; 1269 Howard street, San Fancisco, CA 94103, USA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GOORIN BROTHERS арт. 101-0144 (голубой / красный)</v>
      </c>
      <c r="W3" s="100" t="str">
        <f t="shared" ref="W3:W66" ca="1" si="4">TRIM(CONCATENATE(AB3," ",G3," арт. ",B3," (",I3,") {",H3,"}"))</f>
        <v>Бейсболка GOORIN BROTHERS арт. 101-0144 (голубой / красный) {sla}</v>
      </c>
      <c r="X3" s="18" t="str">
        <f t="shared" ca="1" si="0"/>
        <v>голубой</v>
      </c>
      <c r="Y3" s="18" t="str">
        <f t="shared" ca="1" si="1"/>
        <v>красный</v>
      </c>
      <c r="Z3" s="117" t="s">
        <v>27</v>
      </c>
      <c r="AA3" s="73" t="str">
        <f ca="1"/>
        <v>91-703-19-00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19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>SUMIF(Цвет!A:A,Z3,Цвет!B:B)</f>
        <v>1</v>
      </c>
      <c r="AQ3" s="97">
        <f ca="1">_xlfn.XLOOKUP(L3,Пол!A:A,Пол!B:B,0,0)</f>
        <v>1</v>
      </c>
      <c r="AR3" s="97">
        <f ca="1">SUMIF(Марка!A:A,G3,Марка!B:B)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91-702-03</v>
      </c>
      <c r="B4" s="107" t="str">
        <f ca="1">_xlfn.LET(_xlpm.CAPS,0,_xlpm.Style,TRIM(_xlfn.XLOOKUP($A4,Строчный!$A:$A,Строчный!B:B,"ERR",0)),IF(_xlpm.CAPS=0,_xlpm.Style,LOWER(_xlpm.Style)))</f>
        <v>101-0146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Animal Farm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GOORIN BROTHERS</v>
      </c>
      <c r="H4" s="81" t="str">
        <f ca="1">LOWER(TRIM(_xlfn.XLOOKUP($A4,Строчный!$A:$A,Строчный!H:H,"ERR",0)))</f>
        <v>oli</v>
      </c>
      <c r="I4" s="81" t="str">
        <f ca="1">LOWER(TRIM(_xlfn.XLOOKUP($A4,Строчный!$A:$A,Строчный!I:I,"ERR",0)))</f>
        <v>оливковый / красный</v>
      </c>
      <c r="J4" s="81" t="str">
        <f ca="1">SUBSTITUTE(LOWER(TRIM(_xlfn.XLOOKUP($A4,Строчный!$A:$A,Строчный!J:J,"ERR",0))),"подклад","Подклад")</f>
        <v>79% полиэстер - 19% полиуретан - 2% спандекс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936.00000000000011</v>
      </c>
      <c r="R4" s="89" t="str">
        <f ca="1">_xlfn.XLOOKUP($G4,Фабрика!A:A,Фабрика!B:B,"ERR",0)</f>
        <v>Goorin Brothers Inc; 1269 Howard street, San Fancisco, CA 94103, USA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GOORIN BROTHERS арт. 101-0146 (оливковый / красный)</v>
      </c>
      <c r="W4" s="100" t="str">
        <f t="shared" ca="1" si="4"/>
        <v>Бейсболка GOORIN BROTHERS арт. 101-0146 (оливковый / красный) {oli}</v>
      </c>
      <c r="X4" s="18" t="str">
        <f t="shared" ca="1" si="0"/>
        <v>оливковый</v>
      </c>
      <c r="Y4" s="18" t="str">
        <f t="shared" ca="1" si="1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91-702-03-00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SUMIF(Марка!A:A,G4,Марка!B:B)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91-701-09</v>
      </c>
      <c r="B5" s="107" t="str">
        <f ca="1">_xlfn.LET(_xlpm.CAPS,0,_xlpm.Style,TRIM(_xlfn.XLOOKUP($A5,Строчный!$A:$A,Строчный!B:B,"ERR",0)),IF(_xlpm.CAPS=0,_xlpm.Style,LOWER(_xlpm.Style)))</f>
        <v>101-0141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Animal Farm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GOORIN BROTHERS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77% полиэстер - 20% кожа - 3% спандекс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936.00000000000011</v>
      </c>
      <c r="R5" s="89" t="str">
        <f ca="1">_xlfn.XLOOKUP($G5,Фабрика!A:A,Фабрика!B:B,"ERR",0)</f>
        <v>Goorin Brothers Inc; 1269 Howard street, San Fancisco, CA 94103, USA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GOORIN BROTHERS арт. 101-0141 (черный)</v>
      </c>
      <c r="W5" s="100" t="str">
        <f t="shared" ca="1" si="4"/>
        <v>Бейсболка GOORIN BROTHERS арт. 101-0141 (черный) {blk}</v>
      </c>
      <c r="X5" s="18" t="str">
        <f t="shared" ca="1" si="0"/>
        <v>черный</v>
      </c>
      <c r="Y5" s="18" t="str">
        <f t="shared" ca="1" si="1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91-701-09-00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SUMIF(Марка!A:A,G5,Марка!B:B)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91-700-09</v>
      </c>
      <c r="B6" s="107" t="str">
        <f ca="1">_xlfn.LET(_xlpm.CAPS,0,_xlpm.Style,TRIM(_xlfn.XLOOKUP($A6,Строчный!$A:$A,Строчный!B:B,"ERR",0)),IF(_xlpm.CAPS=0,_xlpm.Style,LOWER(_xlpm.Style)))</f>
        <v>101-0107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Animal Farm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GOORIN BROTHERS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1040</v>
      </c>
      <c r="R6" s="89" t="str">
        <f ca="1">_xlfn.XLOOKUP($G6,Фабрика!A:A,Фабрика!B:B,"ERR",0)</f>
        <v>Goorin Brothers Inc; 1269 Howard street, San Fancisco, CA 94103, USA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GOORIN BROTHERS арт. 101-0107 (черный)</v>
      </c>
      <c r="W6" s="100" t="str">
        <f t="shared" ca="1" si="4"/>
        <v>Бейсболка GOORIN BROTHERS арт. 101-0107 (черный) {blk}</v>
      </c>
      <c r="X6" s="18" t="str">
        <f t="shared" ca="1" si="0"/>
        <v>черный</v>
      </c>
      <c r="Y6" s="18" t="str">
        <f t="shared" ca="1" si="1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91-700-09-00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SUMIF(Марка!A:A,G6,Марка!B:B)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91-699-14</v>
      </c>
      <c r="B7" s="107" t="str">
        <f ca="1">_xlfn.LET(_xlpm.CAPS,0,_xlpm.Style,TRIM(_xlfn.XLOOKUP($A7,Строчный!$A:$A,Строчный!B:B,"ERR",0)),IF(_xlpm.CAPS=0,_xlpm.Style,LOWER(_xlpm.Style)))</f>
        <v>101-0104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Animal Farm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GOORIN BROTHERS</v>
      </c>
      <c r="H7" s="81" t="str">
        <f ca="1">LOWER(TRIM(_xlfn.XLOOKUP($A7,Строчный!$A:$A,Строчный!H:H,"ERR",0)))</f>
        <v>bro</v>
      </c>
      <c r="I7" s="81" t="str">
        <f ca="1">LOWER(TRIM(_xlfn.XLOOKUP($A7,Строчный!$A:$A,Строчный!I:I,"ERR",0)))</f>
        <v>коричневый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1040</v>
      </c>
      <c r="R7" s="89" t="str">
        <f ca="1">_xlfn.XLOOKUP($G7,Фабрика!A:A,Фабрика!B:B,"ERR",0)</f>
        <v>Goorin Brothers Inc; 1269 Howard street, San Fancisco, CA 94103, USA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GOORIN BROTHERS арт. 101-0104 (коричневый)</v>
      </c>
      <c r="W7" s="100" t="str">
        <f t="shared" ca="1" si="4"/>
        <v>Бейсболка GOORIN BROTHERS арт. 101-0104 (коричневый) {bro}</v>
      </c>
      <c r="X7" s="18" t="str">
        <f t="shared" ca="1" si="0"/>
        <v>коричневый</v>
      </c>
      <c r="Y7" s="18" t="str">
        <f t="shared" ca="1" si="1"/>
        <v>коричневый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коричневый</v>
      </c>
      <c r="AA7" s="73" t="str">
        <f ca="1"/>
        <v>91-699-14-00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14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SUMIF(Марка!A:A,G7,Марка!B:B)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91-698-02</v>
      </c>
      <c r="B8" s="107" t="str">
        <f ca="1">_xlfn.LET(_xlpm.CAPS,0,_xlpm.Style,TRIM(_xlfn.XLOOKUP($A8,Строчный!$A:$A,Строчный!B:B,"ERR",0)),IF(_xlpm.CAPS=0,_xlpm.Style,LOWER(_xlpm.Style)))</f>
        <v>101-0103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Animal Farm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GOORIN BROTHERS</v>
      </c>
      <c r="H8" s="81" t="str">
        <f ca="1">LOWER(TRIM(_xlfn.XLOOKUP($A8,Строчный!$A:$A,Строчный!H:H,"ERR",0)))</f>
        <v>cml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100% полиэстер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1040</v>
      </c>
      <c r="R8" s="89" t="str">
        <f ca="1">_xlfn.XLOOKUP($G8,Фабрика!A:A,Фабрика!B:B,"ERR",0)</f>
        <v>Goorin Brothers Inc; 1269 Howard street, San Fancisco, CA 94103, USA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GOORIN BROTHERS арт. 101-0103 (бежевый)</v>
      </c>
      <c r="W8" s="100" t="str">
        <f t="shared" ca="1" si="4"/>
        <v>Бейсболка GOORIN BROTHERS арт. 101-0103 (бежевый) {cml}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91-698-02-00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02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SUMIF(Марка!A:A,G8,Марка!B:B)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91-697-02</v>
      </c>
      <c r="B9" s="107" t="str">
        <f ca="1">_xlfn.LET(_xlpm.CAPS,0,_xlpm.Style,TRIM(_xlfn.XLOOKUP($A9,Строчный!$A:$A,Строчный!B:B,"ERR",0)),IF(_xlpm.CAPS=0,_xlpm.Style,LOWER(_xlpm.Style)))</f>
        <v>101-0102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Animal Farm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GOORIN BROTHERS</v>
      </c>
      <c r="H9" s="81" t="str">
        <f ca="1">LOWER(TRIM(_xlfn.XLOOKUP($A9,Строчный!$A:$A,Строчный!H:H,"ERR",0)))</f>
        <v>cre</v>
      </c>
      <c r="I9" s="81" t="str">
        <f ca="1">LOWER(TRIM(_xlfn.XLOOKUP($A9,Строчный!$A:$A,Строчный!I:I,"ERR",0)))</f>
        <v>песочный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1040</v>
      </c>
      <c r="R9" s="89" t="str">
        <f ca="1">_xlfn.XLOOKUP($G9,Фабрика!A:A,Фабрика!B:B,"ERR",0)</f>
        <v>Goorin Brothers Inc; 1269 Howard street, San Fancisco, CA 94103, USA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GOORIN BROTHERS арт. 101-0102 (песочный)</v>
      </c>
      <c r="W9" s="100" t="str">
        <f t="shared" ca="1" si="4"/>
        <v>Бейсболка GOORIN BROTHERS арт. 101-0102 (песочный) {cre}</v>
      </c>
      <c r="X9" s="18" t="str">
        <f t="shared" ca="1" si="0"/>
        <v>песочный</v>
      </c>
      <c r="Y9" s="18" t="str">
        <f t="shared" ca="1" si="1"/>
        <v>песочный</v>
      </c>
      <c r="Z9" s="117" t="s">
        <v>52</v>
      </c>
      <c r="AA9" s="73" t="str">
        <f ca="1"/>
        <v>91-697-02-00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02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SUMIF(Марка!A:A,G9,Марка!B:B)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91-696-09</v>
      </c>
      <c r="B10" s="107" t="str">
        <f ca="1">_xlfn.LET(_xlpm.CAPS,0,_xlpm.Style,TRIM(_xlfn.XLOOKUP($A10,Строчный!$A:$A,Строчный!B:B,"ERR",0)),IF(_xlpm.CAPS=0,_xlpm.Style,LOWER(_xlpm.Style)))</f>
        <v>101-0548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Animal Farm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GOORIN BROTHERS</v>
      </c>
      <c r="H10" s="81" t="str">
        <f ca="1">LOWER(TRIM(_xlfn.XLOOKUP($A10,Строчный!$A:$A,Строчный!H:H,"ERR",0)))</f>
        <v>blk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80% полиэстер - 20% шерсть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936.00000000000011</v>
      </c>
      <c r="R10" s="89" t="str">
        <f ca="1">_xlfn.XLOOKUP($G10,Фабрика!A:A,Фабрика!B:B,"ERR",0)</f>
        <v>Goorin Brothers Inc; 1269 Howard street, San Fancisco, CA 94103, USA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GOORIN BROTHERS арт. 101-0548 (черный)</v>
      </c>
      <c r="W10" s="100" t="str">
        <f t="shared" ca="1" si="4"/>
        <v>Бейсболка GOORIN BROTHERS арт. 101-0548 (черный) {blk}</v>
      </c>
      <c r="X10" s="18" t="str">
        <f t="shared" ca="1" si="0"/>
        <v>черный</v>
      </c>
      <c r="Y10" s="18" t="str">
        <f t="shared" ca="1" si="1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91-696-09-00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SUMIF(Марка!A:A,G10,Марка!B:B)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91-695-09</v>
      </c>
      <c r="B11" s="107" t="str">
        <f ca="1">_xlfn.LET(_xlpm.CAPS,0,_xlpm.Style,TRIM(_xlfn.XLOOKUP($A11,Строчный!$A:$A,Строчный!B:B,"ERR",0)),IF(_xlpm.CAPS=0,_xlpm.Style,LOWER(_xlpm.Style)))</f>
        <v>101-0457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Animal Farm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GOORIN BROTHERS</v>
      </c>
      <c r="H11" s="81" t="str">
        <f ca="1">LOWER(TRIM(_xlfn.XLOOKUP($A11,Строчный!$A:$A,Строчный!H:H,"ERR",0)))</f>
        <v>blk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80% полиэстер - 20% шерсть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936.00000000000011</v>
      </c>
      <c r="R11" s="89" t="str">
        <f ca="1">_xlfn.XLOOKUP($G11,Фабрика!A:A,Фабрика!B:B,"ERR",0)</f>
        <v>Goorin Brothers Inc; 1269 Howard street, San Fancisco, CA 94103, USA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GOORIN BROTHERS арт. 101-0457 (черный)</v>
      </c>
      <c r="W11" s="100" t="str">
        <f t="shared" ca="1" si="4"/>
        <v>Бейсболка GOORIN BROTHERS арт. 101-0457 (черный) {blk}</v>
      </c>
      <c r="X11" s="18" t="str">
        <f t="shared" ca="1" si="0"/>
        <v>черный</v>
      </c>
      <c r="Y11" s="18" t="str">
        <f t="shared" ca="1" si="1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91-695-09-00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SUMIF(Марка!A:A,G11,Марка!B:B)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91-694-09</v>
      </c>
      <c r="B12" s="107" t="str">
        <f ca="1">_xlfn.LET(_xlpm.CAPS,0,_xlpm.Style,TRIM(_xlfn.XLOOKUP($A12,Строчный!$A:$A,Строчный!B:B,"ERR",0)),IF(_xlpm.CAPS=0,_xlpm.Style,LOWER(_xlpm.Style)))</f>
        <v>101-0549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Animal Farm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GOORIN BROTHERS</v>
      </c>
      <c r="H12" s="81" t="str">
        <f ca="1">LOWER(TRIM(_xlfn.XLOOKUP($A12,Строчный!$A:$A,Строчный!H:H,"ERR",0)))</f>
        <v>blk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полиэстер - 20% шерсть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936.00000000000011</v>
      </c>
      <c r="R12" s="89" t="str">
        <f ca="1">_xlfn.XLOOKUP($G12,Фабрика!A:A,Фабрика!B:B,"ERR",0)</f>
        <v>Goorin Brothers Inc; 1269 Howard street, San Fancisco, CA 94103, USA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GOORIN BROTHERS арт. 101-0549 (черный)</v>
      </c>
      <c r="W12" s="100" t="str">
        <f t="shared" ca="1" si="4"/>
        <v>Бейсболка GOORIN BROTHERS арт. 101-0549 (черный) {blk}</v>
      </c>
      <c r="X12" s="18" t="str">
        <f t="shared" ca="1" si="0"/>
        <v>черный</v>
      </c>
      <c r="Y12" s="18" t="str">
        <f t="shared" ca="1" si="1"/>
        <v>черный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3" t="str">
        <f ca="1"/>
        <v>91-694-09-00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SUMIF(Марка!A:A,G12,Марка!B:B)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91-693-09</v>
      </c>
      <c r="B13" s="107" t="str">
        <f ca="1">_xlfn.LET(_xlpm.CAPS,0,_xlpm.Style,TRIM(_xlfn.XLOOKUP($A13,Строчный!$A:$A,Строчный!B:B,"ERR",0)),IF(_xlpm.CAPS=0,_xlpm.Style,LOWER(_xlpm.Style)))</f>
        <v>101-0576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Animal Farm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GOORIN BROTHERS</v>
      </c>
      <c r="H13" s="81" t="str">
        <f ca="1">LOWER(TRIM(_xlfn.XLOOKUP($A13,Строчный!$A:$A,Строчный!H:H,"ERR",0)))</f>
        <v>blk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80% полиэстер - 20%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936.00000000000011</v>
      </c>
      <c r="R13" s="89" t="str">
        <f ca="1">_xlfn.XLOOKUP($G13,Фабрика!A:A,Фабрика!B:B,"ERR",0)</f>
        <v>Goorin Brothers Inc; 1269 Howard street, San Fancisco, CA 94103, USA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3"/>
        <v>Бейсболка GOORIN BROTHERS арт. 101-0576 (черный)</v>
      </c>
      <c r="W13" s="100" t="str">
        <f t="shared" ca="1" si="4"/>
        <v>Бейсболка GOORIN BROTHERS арт. 101-0576 (черный) {blk}</v>
      </c>
      <c r="X13" s="18" t="str">
        <f t="shared" ca="1" si="0"/>
        <v>черный</v>
      </c>
      <c r="Y13" s="18" t="str">
        <f t="shared" ca="1" si="1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91-693-09-00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SUMIF(Марка!A:A,G13,Марка!B:B)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91-692-34</v>
      </c>
      <c r="B14" s="107" t="str">
        <f ca="1">_xlfn.LET(_xlpm.CAPS,0,_xlpm.Style,TRIM(_xlfn.XLOOKUP($A14,Строчный!$A:$A,Строчный!B:B,"ERR",0)),IF(_xlpm.CAPS=0,_xlpm.Style,LOWER(_xlpm.Style)))</f>
        <v>201-0015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Animal Farm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GOORIN BROTHERS</v>
      </c>
      <c r="H14" s="81" t="str">
        <f ca="1">LOWER(TRIM(_xlfn.XLOOKUP($A14,Строчный!$A:$A,Строчный!H:H,"ERR",0)))</f>
        <v>pin</v>
      </c>
      <c r="I14" s="81" t="str">
        <f ca="1">LOWER(TRIM(_xlfn.XLOOKUP($A14,Строчный!$A:$A,Строчный!I:I,"ERR",0)))</f>
        <v>розовый</v>
      </c>
      <c r="J14" s="81" t="str">
        <f ca="1">SUBSTITUTE(LOWER(TRIM(_xlfn.XLOOKUP($A14,Строчный!$A:$A,Строчный!J:J,"ERR",0))),"подклад","Подклад")</f>
        <v>57% полиэстер - 43%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Детские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717.6</v>
      </c>
      <c r="R14" s="89" t="str">
        <f ca="1">_xlfn.XLOOKUP($G14,Фабрика!A:A,Фабрика!B:B,"ERR",0)</f>
        <v>Goorin Brothers Inc; 1269 Howard street, San Fancisco, CA 94103, USA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144</v>
      </c>
      <c r="U14" s="14" t="s">
        <v>265</v>
      </c>
      <c r="V14" s="101" t="str">
        <f t="shared" ca="1" si="3"/>
        <v>Бейсболка GOORIN BROTHERS арт. 201-0015 (розовый)</v>
      </c>
      <c r="W14" s="100" t="str">
        <f t="shared" ca="1" si="4"/>
        <v>Бейсболка GOORIN BROTHERS арт. 201-0015 (розовый) {pin}</v>
      </c>
      <c r="X14" s="18" t="str">
        <f t="shared" ca="1" si="0"/>
        <v>розовый</v>
      </c>
      <c r="Y14" s="18" t="str">
        <f t="shared" ca="1" si="1"/>
        <v>розовый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розовый</v>
      </c>
      <c r="AA14" s="73" t="str">
        <f ca="1"/>
        <v>91-692-34-00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34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SUMIF(Марка!A:A,G14,Марка!B:B)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91-691-16</v>
      </c>
      <c r="B15" s="107" t="str">
        <f ca="1">_xlfn.LET(_xlpm.CAPS,0,_xlpm.Style,TRIM(_xlfn.XLOOKUP($A15,Строчный!$A:$A,Строчный!B:B,"ERR",0)),IF(_xlpm.CAPS=0,_xlpm.Style,LOWER(_xlpm.Style)))</f>
        <v>201-0009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Animal Farm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GOORIN BROTHERS</v>
      </c>
      <c r="H15" s="81" t="str">
        <f ca="1">LOWER(TRIM(_xlfn.XLOOKUP($A15,Строчный!$A:$A,Строчный!H:H,"ERR",0)))</f>
        <v>nvy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57% полиэстер - 43%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Детские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717.6</v>
      </c>
      <c r="R15" s="89" t="str">
        <f ca="1">_xlfn.XLOOKUP($G15,Фабрика!A:A,Фабрика!B:B,"ERR",0)</f>
        <v>Goorin Brothers Inc; 1269 Howard street, San Fancisco, CA 94103, USA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144</v>
      </c>
      <c r="U15" s="14" t="s">
        <v>265</v>
      </c>
      <c r="V15" s="101" t="str">
        <f t="shared" ca="1" si="3"/>
        <v>Бейсболка GOORIN BROTHERS арт. 201-0009 (темно-синий)</v>
      </c>
      <c r="W15" s="100" t="str">
        <f t="shared" ca="1" si="4"/>
        <v>Бейсболка GOORIN BROTHERS арт. 201-0009 (темно-синий) {nvy}</v>
      </c>
      <c r="X15" s="18" t="str">
        <f t="shared" ca="1" si="0"/>
        <v>синий</v>
      </c>
      <c r="Y15" s="18" t="str">
        <f t="shared" ca="1" si="1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91-691-16-00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16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SUMIF(Марка!A:A,G15,Марка!B:B)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91-690-09</v>
      </c>
      <c r="B16" s="107" t="str">
        <f ca="1">_xlfn.LET(_xlpm.CAPS,0,_xlpm.Style,TRIM(_xlfn.XLOOKUP($A16,Строчный!$A:$A,Строчный!B:B,"ERR",0)),IF(_xlpm.CAPS=0,_xlpm.Style,LOWER(_xlpm.Style)))</f>
        <v>101-0508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Animal Farm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GOORIN BROTHERS</v>
      </c>
      <c r="H16" s="81" t="str">
        <f ca="1">LOWER(TRIM(_xlfn.XLOOKUP($A16,Строчный!$A:$A,Строчный!H:H,"ERR",0)))</f>
        <v>blk</v>
      </c>
      <c r="I16" s="81" t="str">
        <f ca="1">LOWER(TRIM(_xlfn.XLOOKUP($A16,Строчный!$A:$A,Строчный!I:I,"ERR",0)))</f>
        <v>черный / желтый</v>
      </c>
      <c r="J16" s="81" t="str">
        <f ca="1">SUBSTITUTE(LOWER(TRIM(_xlfn.XLOOKUP($A16,Строчный!$A:$A,Строчный!J:J,"ERR",0))),"подклад","Подклад")</f>
        <v>57% полиэстер - 43%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832</v>
      </c>
      <c r="R16" s="89" t="str">
        <f ca="1">_xlfn.XLOOKUP($G16,Фабрика!A:A,Фабрика!B:B,"ERR",0)</f>
        <v>Goorin Brothers Inc; 1269 Howard street, San Fancisco, CA 94103, USA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144</v>
      </c>
      <c r="U16" s="14" t="s">
        <v>265</v>
      </c>
      <c r="V16" s="101" t="str">
        <f t="shared" ca="1" si="3"/>
        <v>Бейсболка GOORIN BROTHERS арт. 101-0508 (черный / желтый)</v>
      </c>
      <c r="W16" s="100" t="str">
        <f t="shared" ca="1" si="4"/>
        <v>Бейсболка GOORIN BROTHERS арт. 101-0508 (черный / желтый) {blk}</v>
      </c>
      <c r="X16" s="18" t="str">
        <f t="shared" ca="1" si="0"/>
        <v>черный</v>
      </c>
      <c r="Y16" s="18" t="str">
        <f t="shared" ca="1" si="1"/>
        <v>желтый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91-690-09-00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SUMIF(Марка!A:A,G16,Марка!B:B)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91-689-00</v>
      </c>
      <c r="B17" s="107" t="str">
        <f ca="1">_xlfn.LET(_xlpm.CAPS,0,_xlpm.Style,TRIM(_xlfn.XLOOKUP($A17,Строчный!$A:$A,Строчный!B:B,"ERR",0)),IF(_xlpm.CAPS=0,_xlpm.Style,LOWER(_xlpm.Style)))</f>
        <v>101-0503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Animal Farm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GOORIN BROTHERS</v>
      </c>
      <c r="H17" s="81" t="str">
        <f ca="1">LOWER(TRIM(_xlfn.XLOOKUP($A17,Строчный!$A:$A,Строчный!H:H,"ERR",0)))</f>
        <v>mar</v>
      </c>
      <c r="I17" s="81" t="str">
        <f ca="1">LOWER(TRIM(_xlfn.XLOOKUP($A17,Строчный!$A:$A,Строчный!I:I,"ERR",0)))</f>
        <v>бордовый / черный</v>
      </c>
      <c r="J17" s="81" t="str">
        <f ca="1">SUBSTITUTE(LOWER(TRIM(_xlfn.XLOOKUP($A17,Строчный!$A:$A,Строчный!J:J,"ERR",0))),"подклад","Подклад")</f>
        <v>57% полиэстер - 43%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936.00000000000011</v>
      </c>
      <c r="R17" s="89" t="str">
        <f ca="1">_xlfn.XLOOKUP($G17,Фабрика!A:A,Фабрика!B:B,"ERR",0)</f>
        <v>Goorin Brothers Inc; 1269 Howard street, San Fancisco, CA 94103, USA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168</v>
      </c>
      <c r="U17" s="14" t="s">
        <v>265</v>
      </c>
      <c r="V17" s="101" t="str">
        <f t="shared" ca="1" si="3"/>
        <v>Бейсболка GOORIN BROTHERS арт. 101-0503 (бордовый / черный)</v>
      </c>
      <c r="W17" s="100" t="str">
        <f t="shared" ca="1" si="4"/>
        <v>Бейсболка GOORIN BROTHERS арт. 101-0503 (бордовый / черный) {mar}</v>
      </c>
      <c r="X17" s="18" t="str">
        <f t="shared" ca="1" si="0"/>
        <v>бордовый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бордовый</v>
      </c>
      <c r="AA17" s="73" t="str">
        <f ca="1"/>
        <v>91-689-00-00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00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SUMIF(Марка!A:A,G17,Марка!B:B)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91-688-09</v>
      </c>
      <c r="B18" s="107" t="str">
        <f ca="1">_xlfn.LET(_xlpm.CAPS,0,_xlpm.Style,TRIM(_xlfn.XLOOKUP($A18,Строчный!$A:$A,Строчный!B:B,"ERR",0)),IF(_xlpm.CAPS=0,_xlpm.Style,LOWER(_xlpm.Style)))</f>
        <v>101-0495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81" t="str">
        <f ca="1">PROPER(TRIM(_xlfn.XLOOKUP($A18,Строчный!$A:$A,Строчный!E:E,"ERR",0)))</f>
        <v>Animal Farm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GOORIN BROTHERS</v>
      </c>
      <c r="H18" s="81" t="str">
        <f ca="1">LOWER(TRIM(_xlfn.XLOOKUP($A18,Строчный!$A:$A,Строчный!H:H,"ERR",0)))</f>
        <v>blk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57% полиэстер - 43%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832</v>
      </c>
      <c r="R18" s="89" t="str">
        <f ca="1">_xlfn.XLOOKUP($G18,Фабрика!A:A,Фабрика!B:B,"ERR",0)</f>
        <v>Goorin Brothers Inc; 1269 Howard street, San Fancisco, CA 94103, USA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432</v>
      </c>
      <c r="U18" s="14" t="s">
        <v>265</v>
      </c>
      <c r="V18" s="101" t="str">
        <f t="shared" ca="1" si="3"/>
        <v>Бейсболка GOORIN BROTHERS арт. 101-0495 (черный)</v>
      </c>
      <c r="W18" s="100" t="str">
        <f t="shared" ca="1" si="4"/>
        <v>Бейсболка GOORIN BROTHERS арт. 101-0495 (черный) {blk}</v>
      </c>
      <c r="X18" s="18" t="str">
        <f t="shared" ca="1" si="0"/>
        <v>черный</v>
      </c>
      <c r="Y18" s="18" t="str">
        <f t="shared" ca="1" si="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91-688-09-00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SUMIF(Марка!A:A,G18,Марка!B:B)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91-687-36</v>
      </c>
      <c r="B19" s="107" t="str">
        <f ca="1">_xlfn.LET(_xlpm.CAPS,0,_xlpm.Style,TRIM(_xlfn.XLOOKUP($A19,Строчный!$A:$A,Строчный!B:B,"ERR",0)),IF(_xlpm.CAPS=0,_xlpm.Style,LOWER(_xlpm.Style)))</f>
        <v>101-0484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Animal Farm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GOORIN BROTHERS</v>
      </c>
      <c r="H19" s="81" t="str">
        <f ca="1">LOWER(TRIM(_xlfn.XLOOKUP($A19,Строчный!$A:$A,Строчный!H:H,"ERR",0)))</f>
        <v>cor</v>
      </c>
      <c r="I19" s="81" t="str">
        <f ca="1">LOWER(TRIM(_xlfn.XLOOKUP($A19,Строчный!$A:$A,Строчный!I:I,"ERR",0)))</f>
        <v>коралловый / белый</v>
      </c>
      <c r="J19" s="81" t="str">
        <f ca="1">SUBSTITUTE(LOWER(TRIM(_xlfn.XLOOKUP($A19,Строчный!$A:$A,Строчный!J:J,"ERR",0))),"подклад","Подклад")</f>
        <v>57% полиэстер - 43%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832</v>
      </c>
      <c r="R19" s="89" t="str">
        <f ca="1">_xlfn.XLOOKUP($G19,Фабрика!A:A,Фабрика!B:B,"ERR",0)</f>
        <v>Goorin Brothers Inc; 1269 Howard street, San Fancisco, CA 94103, USA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168</v>
      </c>
      <c r="U19" s="14" t="s">
        <v>265</v>
      </c>
      <c r="V19" s="101" t="str">
        <f t="shared" ca="1" si="3"/>
        <v>Бейсболка GOORIN BROTHERS арт. 101-0484 (коралловый / белый)</v>
      </c>
      <c r="W19" s="100" t="str">
        <f t="shared" ca="1" si="4"/>
        <v>Бейсболка GOORIN BROTHERS арт. 101-0484 (коралловый / белый) {cor}</v>
      </c>
      <c r="X19" s="18" t="str">
        <f t="shared" ca="1" si="0"/>
        <v>коралловый</v>
      </c>
      <c r="Y19" s="18" t="str">
        <f t="shared" ca="1" si="1"/>
        <v>белый</v>
      </c>
      <c r="Z19" s="117" t="s">
        <v>123</v>
      </c>
      <c r="AA19" s="73" t="str">
        <f ca="1"/>
        <v>91-687-36-00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36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SUMIF(Марка!A:A,G19,Марка!B:B)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91-686-72</v>
      </c>
      <c r="B20" s="107" t="str">
        <f ca="1">_xlfn.LET(_xlpm.CAPS,0,_xlpm.Style,TRIM(_xlfn.XLOOKUP($A20,Строчный!$A:$A,Строчный!B:B,"ERR",0)),IF(_xlpm.CAPS=0,_xlpm.Style,LOWER(_xlpm.Style)))</f>
        <v>101-0483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Animal Farm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GOORIN BROTHERS</v>
      </c>
      <c r="H20" s="81" t="str">
        <f ca="1">LOWER(TRIM(_xlfn.XLOOKUP($A20,Строчный!$A:$A,Строчный!H:H,"ERR",0)))</f>
        <v>red</v>
      </c>
      <c r="I20" s="81" t="str">
        <f ca="1">LOWER(TRIM(_xlfn.XLOOKUP($A20,Строчный!$A:$A,Строчный!I:I,"ERR",0)))</f>
        <v>черный / красный</v>
      </c>
      <c r="J20" s="81" t="str">
        <f ca="1">SUBSTITUTE(LOWER(TRIM(_xlfn.XLOOKUP($A20,Строчный!$A:$A,Строчный!J:J,"ERR",0))),"подклад","Подклад")</f>
        <v>57% полиэстер - 43%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832</v>
      </c>
      <c r="R20" s="89" t="str">
        <f ca="1">_xlfn.XLOOKUP($G20,Фабрика!A:A,Фабрика!B:B,"ERR",0)</f>
        <v>Goorin Brothers Inc; 1269 Howard street, San Fancisco, CA 94103, USA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144</v>
      </c>
      <c r="U20" s="14" t="s">
        <v>265</v>
      </c>
      <c r="V20" s="101" t="str">
        <f t="shared" ca="1" si="3"/>
        <v>Бейсболка GOORIN BROTHERS арт. 101-0483 (черный / красный)</v>
      </c>
      <c r="W20" s="100" t="str">
        <f t="shared" ca="1" si="4"/>
        <v>Бейсболка GOORIN BROTHERS арт. 101-0483 (черный / красный) {red}</v>
      </c>
      <c r="X20" s="18" t="str">
        <f t="shared" ca="1" si="0"/>
        <v>черный</v>
      </c>
      <c r="Y20" s="18" t="str">
        <f t="shared" ca="1" si="1"/>
        <v>красный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91-686-72-00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72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SUMIF(Марка!A:A,G20,Марка!B:B)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91-686-10</v>
      </c>
      <c r="B21" s="107" t="str">
        <f ca="1">_xlfn.LET(_xlpm.CAPS,0,_xlpm.Style,TRIM(_xlfn.XLOOKUP($A21,Строчный!$A:$A,Строчный!B:B,"ERR",0)),IF(_xlpm.CAPS=0,_xlpm.Style,LOWER(_xlpm.Style)))</f>
        <v>101-0483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Animal Farm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GOORIN BROTHERS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 / серый</v>
      </c>
      <c r="J21" s="81" t="str">
        <f ca="1">SUBSTITUTE(LOWER(TRIM(_xlfn.XLOOKUP($A21,Строчный!$A:$A,Строчный!J:J,"ERR",0))),"подклад","Подклад")</f>
        <v>57% полиэстер - 43% хлопок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832</v>
      </c>
      <c r="R21" s="89" t="str">
        <f ca="1">_xlfn.XLOOKUP($G21,Фабрика!A:A,Фабрика!B:B,"ERR",0)</f>
        <v>Goorin Brothers Inc; 1269 Howard street, San Fancisco, CA 94103, USA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144</v>
      </c>
      <c r="U21" s="14" t="s">
        <v>265</v>
      </c>
      <c r="V21" s="101" t="str">
        <f t="shared" ca="1" si="3"/>
        <v>Бейсболка GOORIN BROTHERS арт. 101-0483 (черный / серый)</v>
      </c>
      <c r="W21" s="100" t="str">
        <f t="shared" ca="1" si="4"/>
        <v>Бейсболка GOORIN BROTHERS арт. 101-0483 (черный / серый) {blk}</v>
      </c>
      <c r="X21" s="18" t="str">
        <f t="shared" ca="1" si="0"/>
        <v>черный</v>
      </c>
      <c r="Y21" s="18" t="str">
        <f t="shared" ca="1" si="1"/>
        <v>серый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91-686-10-00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10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SUMIF(Марка!A:A,G21,Марка!B:B)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91-685-09</v>
      </c>
      <c r="B22" s="107" t="str">
        <f ca="1">_xlfn.LET(_xlpm.CAPS,0,_xlpm.Style,TRIM(_xlfn.XLOOKUP($A22,Строчный!$A:$A,Строчный!B:B,"ERR",0)),IF(_xlpm.CAPS=0,_xlpm.Style,LOWER(_xlpm.Style)))</f>
        <v>101-0482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Animal Farm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GOORIN BROTHERS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 / бордовый</v>
      </c>
      <c r="J22" s="81" t="str">
        <f ca="1">SUBSTITUTE(LOWER(TRIM(_xlfn.XLOOKUP($A22,Строчный!$A:$A,Строчный!J:J,"ERR",0))),"подклад","Подклад")</f>
        <v>57% полиэстер - 43%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936.00000000000011</v>
      </c>
      <c r="R22" s="89" t="str">
        <f ca="1">_xlfn.XLOOKUP($G22,Фабрика!A:A,Фабрика!B:B,"ERR",0)</f>
        <v>Goorin Brothers Inc; 1269 Howard street, San Fancisco, CA 94103, USA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144</v>
      </c>
      <c r="U22" s="14" t="s">
        <v>265</v>
      </c>
      <c r="V22" s="101" t="str">
        <f t="shared" ca="1" si="3"/>
        <v>Бейсболка GOORIN BROTHERS арт. 101-0482 (черный / бордовый)</v>
      </c>
      <c r="W22" s="100" t="str">
        <f t="shared" ca="1" si="4"/>
        <v>Бейсболка GOORIN BROTHERS арт. 101-0482 (черный / бордовый) {blk}</v>
      </c>
      <c r="X22" s="18" t="str">
        <f t="shared" ca="1" si="0"/>
        <v>черный</v>
      </c>
      <c r="Y22" s="18" t="str">
        <f t="shared" ca="1" si="1"/>
        <v>бордовый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91-685-09-00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SUMIF(Марка!A:A,G22,Марка!B:B)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91-684-11</v>
      </c>
      <c r="B23" s="107" t="str">
        <f ca="1">_xlfn.LET(_xlpm.CAPS,0,_xlpm.Style,TRIM(_xlfn.XLOOKUP($A23,Строчный!$A:$A,Строчный!B:B,"ERR",0)),IF(_xlpm.CAPS=0,_xlpm.Style,LOWER(_xlpm.Style)))</f>
        <v>101-0480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81" t="str">
        <f ca="1">PROPER(TRIM(_xlfn.XLOOKUP($A23,Строчный!$A:$A,Строчный!E:E,"ERR",0)))</f>
        <v>Animal Farm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GOORIN BROTHERS</v>
      </c>
      <c r="H23" s="81" t="str">
        <f ca="1">LOWER(TRIM(_xlfn.XLOOKUP($A23,Строчный!$A:$A,Строчный!H:H,"ERR",0)))</f>
        <v>gre</v>
      </c>
      <c r="I23" s="81" t="str">
        <f ca="1">LOWER(TRIM(_xlfn.XLOOKUP($A23,Строчный!$A:$A,Строчный!I:I,"ERR",0)))</f>
        <v>зеленый / черный</v>
      </c>
      <c r="J23" s="81" t="str">
        <f ca="1">SUBSTITUTE(LOWER(TRIM(_xlfn.XLOOKUP($A23,Строчный!$A:$A,Строчный!J:J,"ERR",0))),"подклад","Подклад")</f>
        <v>57% полиэстер - 43%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936.00000000000011</v>
      </c>
      <c r="R23" s="89" t="str">
        <f ca="1">_xlfn.XLOOKUP($G23,Фабрика!A:A,Фабрика!B:B,"ERR",0)</f>
        <v>Goorin Brothers Inc; 1269 Howard street, San Fancisco, CA 94103, USA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144</v>
      </c>
      <c r="U23" s="14" t="s">
        <v>265</v>
      </c>
      <c r="V23" s="101" t="str">
        <f t="shared" ca="1" si="3"/>
        <v>Бейсболка GOORIN BROTHERS арт. 101-0480 (зеленый / черный)</v>
      </c>
      <c r="W23" s="100" t="str">
        <f t="shared" ca="1" si="4"/>
        <v>Бейсболка GOORIN BROTHERS арт. 101-0480 (зеленый / черный) {gre}</v>
      </c>
      <c r="X23" s="18" t="str">
        <f t="shared" ca="1" si="0"/>
        <v>зеленый</v>
      </c>
      <c r="Y23" s="18" t="str">
        <f t="shared" ca="1" si="1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зеленый</v>
      </c>
      <c r="AA23" s="73" t="str">
        <f ca="1"/>
        <v>91-684-11-00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11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SUMIF(Марка!A:A,G23,Марка!B:B)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91-683-09</v>
      </c>
      <c r="B24" s="107" t="str">
        <f ca="1">_xlfn.LET(_xlpm.CAPS,0,_xlpm.Style,TRIM(_xlfn.XLOOKUP($A24,Строчный!$A:$A,Строчный!B:B,"ERR",0)),IF(_xlpm.CAPS=0,_xlpm.Style,LOWER(_xlpm.Style)))</f>
        <v>101-0479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Animal Farm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GOORIN BROTHERS</v>
      </c>
      <c r="H24" s="81" t="str">
        <f ca="1">LOWER(TRIM(_xlfn.XLOOKUP($A24,Строчный!$A:$A,Строчный!H:H,"ERR",0)))</f>
        <v>blk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57% полиэстер - 43%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832</v>
      </c>
      <c r="R24" s="89" t="str">
        <f ca="1">_xlfn.XLOOKUP($G24,Фабрика!A:A,Фабрика!B:B,"ERR",0)</f>
        <v>Goorin Brothers Inc; 1269 Howard street, San Fancisco, CA 94103, USA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384</v>
      </c>
      <c r="U24" s="14" t="s">
        <v>265</v>
      </c>
      <c r="V24" s="101" t="str">
        <f t="shared" ca="1" si="3"/>
        <v>Бейсболка GOORIN BROTHERS арт. 101-0479 (черный)</v>
      </c>
      <c r="W24" s="100" t="str">
        <f t="shared" ca="1" si="4"/>
        <v>Бейсболка GOORIN BROTHERS арт. 101-0479 (черный) {blk}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91-683-09-00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SUMIF(Марка!A:A,G24,Марка!B:B)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91-683-03</v>
      </c>
      <c r="B25" s="107" t="str">
        <f ca="1">_xlfn.LET(_xlpm.CAPS,0,_xlpm.Style,TRIM(_xlfn.XLOOKUP($A25,Строчный!$A:$A,Строчный!B:B,"ERR",0)),IF(_xlpm.CAPS=0,_xlpm.Style,LOWER(_xlpm.Style)))</f>
        <v>101-0479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Animal Farm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GOORIN BROTHERS</v>
      </c>
      <c r="H25" s="81" t="str">
        <f ca="1">LOWER(TRIM(_xlfn.XLOOKUP($A25,Строчный!$A:$A,Строчный!H:H,"ERR",0)))</f>
        <v>oli</v>
      </c>
      <c r="I25" s="81" t="str">
        <f ca="1">LOWER(TRIM(_xlfn.XLOOKUP($A25,Строчный!$A:$A,Строчный!I:I,"ERR",0)))</f>
        <v>оливковый</v>
      </c>
      <c r="J25" s="81" t="str">
        <f ca="1">SUBSTITUTE(LOWER(TRIM(_xlfn.XLOOKUP($A25,Строчный!$A:$A,Строчный!J:J,"ERR",0))),"подклад","Подклад")</f>
        <v>57% полиэстер - 43%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832</v>
      </c>
      <c r="R25" s="89" t="str">
        <f ca="1">_xlfn.XLOOKUP($G25,Фабрика!A:A,Фабрика!B:B,"ERR",0)</f>
        <v>Goorin Brothers Inc; 1269 Howard street, San Fancisco, CA 94103, USA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360</v>
      </c>
      <c r="U25" s="14" t="s">
        <v>265</v>
      </c>
      <c r="V25" s="101" t="str">
        <f t="shared" ca="1" si="3"/>
        <v>Бейсболка GOORIN BROTHERS арт. 101-0479 (оливковый)</v>
      </c>
      <c r="W25" s="100" t="str">
        <f t="shared" ca="1" si="4"/>
        <v>Бейсболка GOORIN BROTHERS арт. 101-0479 (оливковый) {oli}</v>
      </c>
      <c r="X25" s="18" t="str">
        <f t="shared" ca="1" si="0"/>
        <v>оливковый</v>
      </c>
      <c r="Y25" s="18" t="str">
        <f t="shared" ca="1" si="1"/>
        <v>оливковый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оливковый</v>
      </c>
      <c r="AA25" s="73" t="str">
        <f ca="1"/>
        <v>91-683-03-00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03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SUMIF(Марка!A:A,G25,Марка!B:B)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91-682-09</v>
      </c>
      <c r="B26" s="107" t="str">
        <f ca="1">_xlfn.LET(_xlpm.CAPS,0,_xlpm.Style,TRIM(_xlfn.XLOOKUP($A26,Строчный!$A:$A,Строчный!B:B,"ERR",0)),IF(_xlpm.CAPS=0,_xlpm.Style,LOWER(_xlpm.Style)))</f>
        <v>101-0473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Animal Farm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GOORIN BROTHERS</v>
      </c>
      <c r="H26" s="81" t="str">
        <f ca="1">LOWER(TRIM(_xlfn.XLOOKUP($A26,Строчный!$A:$A,Строчный!H:H,"ERR",0)))</f>
        <v>blk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57% полиэстер - 43%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832</v>
      </c>
      <c r="R26" s="89" t="str">
        <f ca="1">_xlfn.XLOOKUP($G26,Фабрика!A:A,Фабрика!B:B,"ERR",0)</f>
        <v>Goorin Brothers Inc; 1269 Howard street, San Fancisco, CA 94103, USA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264</v>
      </c>
      <c r="U26" s="14" t="s">
        <v>265</v>
      </c>
      <c r="V26" s="101" t="str">
        <f t="shared" ca="1" si="3"/>
        <v>Бейсболка GOORIN BROTHERS арт. 101-0473 (черный)</v>
      </c>
      <c r="W26" s="100" t="str">
        <f t="shared" ca="1" si="4"/>
        <v>Бейсболка GOORIN BROTHERS арт. 101-0473 (черный) {blk}</v>
      </c>
      <c r="X26" s="18" t="str">
        <f t="shared" ca="1" si="0"/>
        <v>черный</v>
      </c>
      <c r="Y26" s="18" t="str">
        <f t="shared" ca="1" si="1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91-682-09-00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SUMIF(Марка!A:A,G26,Марка!B:B)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91-681-00</v>
      </c>
      <c r="B27" s="107" t="str">
        <f ca="1">_xlfn.LET(_xlpm.CAPS,0,_xlpm.Style,TRIM(_xlfn.XLOOKUP($A27,Строчный!$A:$A,Строчный!B:B,"ERR",0)),IF(_xlpm.CAPS=0,_xlpm.Style,LOWER(_xlpm.Style)))</f>
        <v>101-0455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Animal Farm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GOORIN BROTHERS</v>
      </c>
      <c r="H27" s="81" t="str">
        <f ca="1">LOWER(TRIM(_xlfn.XLOOKUP($A27,Строчный!$A:$A,Строчный!H:H,"ERR",0)))</f>
        <v>whi</v>
      </c>
      <c r="I27" s="81" t="str">
        <f ca="1">LOWER(TRIM(_xlfn.XLOOKUP($A27,Строчный!$A:$A,Строчный!I:I,"ERR",0)))</f>
        <v>белый / бежевый</v>
      </c>
      <c r="J27" s="81" t="str">
        <f ca="1">SUBSTITUTE(LOWER(TRIM(_xlfn.XLOOKUP($A27,Строчный!$A:$A,Строчный!J:J,"ERR",0))),"подклад","Подклад")</f>
        <v>57% полиэстер - 43%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832</v>
      </c>
      <c r="R27" s="89" t="str">
        <f ca="1">_xlfn.XLOOKUP($G27,Фабрика!A:A,Фабрика!B:B,"ERR",0)</f>
        <v>Goorin Brothers Inc; 1269 Howard street, San Fancisco, CA 94103, USA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480</v>
      </c>
      <c r="U27" s="14" t="s">
        <v>265</v>
      </c>
      <c r="V27" s="101" t="str">
        <f t="shared" ca="1" si="3"/>
        <v>Бейсболка GOORIN BROTHERS арт. 101-0455 (белый / бежевый)</v>
      </c>
      <c r="W27" s="100" t="str">
        <f t="shared" ca="1" si="4"/>
        <v>Бейсболка GOORIN BROTHERS арт. 101-0455 (белый / бежевый) {whi}</v>
      </c>
      <c r="X27" s="18" t="str">
        <f t="shared" ca="1" si="0"/>
        <v>белый</v>
      </c>
      <c r="Y27" s="18" t="str">
        <f t="shared" ca="1" si="1"/>
        <v>бежевый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белый</v>
      </c>
      <c r="AA27" s="73" t="str">
        <f ca="1"/>
        <v>91-681-00-00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00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SUMIF(Марка!A:A,G27,Марка!B:B)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91-680-14</v>
      </c>
      <c r="B28" s="107" t="str">
        <f ca="1">_xlfn.LET(_xlpm.CAPS,0,_xlpm.Style,TRIM(_xlfn.XLOOKUP($A28,Строчный!$A:$A,Строчный!B:B,"ERR",0)),IF(_xlpm.CAPS=0,_xlpm.Style,LOWER(_xlpm.Style)))</f>
        <v>101-0454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Animal Farm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GOORIN BROTHERS</v>
      </c>
      <c r="H28" s="81" t="str">
        <f ca="1">LOWER(TRIM(_xlfn.XLOOKUP($A28,Строчный!$A:$A,Строчный!H:H,"ERR",0)))</f>
        <v>bro</v>
      </c>
      <c r="I28" s="81" t="str">
        <f ca="1">LOWER(TRIM(_xlfn.XLOOKUP($A28,Строчный!$A:$A,Строчный!I:I,"ERR",0)))</f>
        <v>коричневый</v>
      </c>
      <c r="J28" s="81" t="str">
        <f ca="1">SUBSTITUTE(LOWER(TRIM(_xlfn.XLOOKUP($A28,Строчный!$A:$A,Строчный!J:J,"ERR",0))),"подклад","Подклад")</f>
        <v>57% полиэстер - 43%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832</v>
      </c>
      <c r="R28" s="89" t="str">
        <f ca="1">_xlfn.XLOOKUP($G28,Фабрика!A:A,Фабрика!B:B,"ERR",0)</f>
        <v>Goorin Brothers Inc; 1269 Howard street, San Fancisco, CA 94103, USA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144</v>
      </c>
      <c r="U28" s="14" t="s">
        <v>265</v>
      </c>
      <c r="V28" s="101" t="str">
        <f t="shared" ca="1" si="3"/>
        <v>Бейсболка GOORIN BROTHERS арт. 101-0454 (коричневый)</v>
      </c>
      <c r="W28" s="100" t="str">
        <f t="shared" ca="1" si="4"/>
        <v>Бейсболка GOORIN BROTHERS арт. 101-0454 (коричневый) {bro}</v>
      </c>
      <c r="X28" s="18" t="str">
        <f t="shared" ca="1" si="0"/>
        <v>коричневый</v>
      </c>
      <c r="Y28" s="18" t="str">
        <f t="shared" ca="1" si="1"/>
        <v>коричневый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коричневый</v>
      </c>
      <c r="AA28" s="73" t="str">
        <f ca="1"/>
        <v>91-680-14-00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14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SUMIF(Марка!A:A,G28,Марка!B:B)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91-679-09</v>
      </c>
      <c r="B29" s="107" t="str">
        <f ca="1">_xlfn.LET(_xlpm.CAPS,0,_xlpm.Style,TRIM(_xlfn.XLOOKUP($A29,Строчный!$A:$A,Строчный!B:B,"ERR",0)),IF(_xlpm.CAPS=0,_xlpm.Style,LOWER(_xlpm.Style)))</f>
        <v>101-0448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Animal Farm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GOORIN BROTHERS</v>
      </c>
      <c r="H29" s="81" t="str">
        <f ca="1">LOWER(TRIM(_xlfn.XLOOKUP($A29,Строчный!$A:$A,Строчный!H:H,"ERR",0)))</f>
        <v>blk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57% полиэстер - 43%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832</v>
      </c>
      <c r="R29" s="89" t="str">
        <f ca="1">_xlfn.XLOOKUP($G29,Фабрика!A:A,Фабрика!B:B,"ERR",0)</f>
        <v>Goorin Brothers Inc; 1269 Howard street, San Fancisco, CA 94103, USA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288</v>
      </c>
      <c r="U29" s="14" t="s">
        <v>265</v>
      </c>
      <c r="V29" s="101" t="str">
        <f t="shared" ca="1" si="3"/>
        <v>Бейсболка GOORIN BROTHERS арт. 101-0448 (черный)</v>
      </c>
      <c r="W29" s="100" t="str">
        <f t="shared" ca="1" si="4"/>
        <v>Бейсболка GOORIN BROTHERS арт. 101-0448 (черный) {blk}</v>
      </c>
      <c r="X29" s="18" t="str">
        <f t="shared" ca="1" si="0"/>
        <v>черный</v>
      </c>
      <c r="Y29" s="18" t="str">
        <f t="shared" ca="1" si="1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91-679-09-00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SUMIF(Марка!A:A,G29,Марка!B:B)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91-678-00</v>
      </c>
      <c r="B30" s="107" t="str">
        <f ca="1">_xlfn.LET(_xlpm.CAPS,0,_xlpm.Style,TRIM(_xlfn.XLOOKUP($A30,Строчный!$A:$A,Строчный!B:B,"ERR",0)),IF(_xlpm.CAPS=0,_xlpm.Style,LOWER(_xlpm.Style)))</f>
        <v>101-0444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Animal Farm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GOORIN BROTHERS</v>
      </c>
      <c r="H30" s="81" t="str">
        <f ca="1">LOWER(TRIM(_xlfn.XLOOKUP($A30,Строчный!$A:$A,Строчный!H:H,"ERR",0)))</f>
        <v>blk</v>
      </c>
      <c r="I30" s="81" t="str">
        <f ca="1">LOWER(TRIM(_xlfn.XLOOKUP($A30,Строчный!$A:$A,Строчный!I:I,"ERR",0)))</f>
        <v>черный / бежевый</v>
      </c>
      <c r="J30" s="81" t="str">
        <f ca="1">SUBSTITUTE(LOWER(TRIM(_xlfn.XLOOKUP($A30,Строчный!$A:$A,Строчный!J:J,"ERR",0))),"подклад","Подклад")</f>
        <v>57% полиэстер - 43%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832</v>
      </c>
      <c r="R30" s="89" t="str">
        <f ca="1">_xlfn.XLOOKUP($G30,Фабрика!A:A,Фабрика!B:B,"ERR",0)</f>
        <v>Goorin Brothers Inc; 1269 Howard street, San Fancisco, CA 94103, USA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144</v>
      </c>
      <c r="U30" s="14" t="s">
        <v>265</v>
      </c>
      <c r="V30" s="101" t="str">
        <f t="shared" ca="1" si="3"/>
        <v>Бейсболка GOORIN BROTHERS арт. 101-0444 (черный / бежевый)</v>
      </c>
      <c r="W30" s="100" t="str">
        <f t="shared" ca="1" si="4"/>
        <v>Бейсболка GOORIN BROTHERS арт. 101-0444 (черный / бежевый) {blk}</v>
      </c>
      <c r="X30" s="18" t="str">
        <f t="shared" ca="1" si="0"/>
        <v>черный</v>
      </c>
      <c r="Y30" s="18" t="str">
        <f t="shared" ca="1" si="1"/>
        <v>бежевый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91-678-00-00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00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SUMIF(Марка!A:A,G30,Марка!B:B)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91-677-09</v>
      </c>
      <c r="B31" s="107" t="str">
        <f ca="1">_xlfn.LET(_xlpm.CAPS,0,_xlpm.Style,TRIM(_xlfn.XLOOKUP($A31,Строчный!$A:$A,Строчный!B:B,"ERR",0)),IF(_xlpm.CAPS=0,_xlpm.Style,LOWER(_xlpm.Style)))</f>
        <v>101-0442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Animal Farm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GOORIN BROTHERS</v>
      </c>
      <c r="H31" s="81" t="str">
        <f ca="1">LOWER(TRIM(_xlfn.XLOOKUP($A31,Строчный!$A:$A,Строчный!H:H,"ERR",0)))</f>
        <v>blk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57% полиэстер - 43%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832</v>
      </c>
      <c r="R31" s="89" t="str">
        <f ca="1">_xlfn.XLOOKUP($G31,Фабрика!A:A,Фабрика!B:B,"ERR",0)</f>
        <v>Goorin Brothers Inc; 1269 Howard street, San Fancisco, CA 94103, USA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144</v>
      </c>
      <c r="U31" s="14" t="s">
        <v>265</v>
      </c>
      <c r="V31" s="101" t="str">
        <f t="shared" ca="1" si="3"/>
        <v>Бейсболка GOORIN BROTHERS арт. 101-0442 (черный)</v>
      </c>
      <c r="W31" s="100" t="str">
        <f t="shared" ca="1" si="4"/>
        <v>Бейсболка GOORIN BROTHERS арт. 101-0442 (черный) {blk}</v>
      </c>
      <c r="X31" s="18" t="str">
        <f t="shared" ca="1" si="0"/>
        <v>черный</v>
      </c>
      <c r="Y31" s="18" t="str">
        <f t="shared" ca="1" si="1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91-677-09-00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SUMIF(Марка!A:A,G31,Марка!B:B)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91-676-20</v>
      </c>
      <c r="B32" s="107" t="str">
        <f ca="1">_xlfn.LET(_xlpm.CAPS,0,_xlpm.Style,TRIM(_xlfn.XLOOKUP($A32,Строчный!$A:$A,Строчный!B:B,"ERR",0)),IF(_xlpm.CAPS=0,_xlpm.Style,LOWER(_xlpm.Style)))</f>
        <v>101-0441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Animal Farm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GOORIN BROTHERS</v>
      </c>
      <c r="H32" s="81" t="str">
        <f ca="1">LOWER(TRIM(_xlfn.XLOOKUP($A32,Строчный!$A:$A,Строчный!H:H,"ERR",0)))</f>
        <v>yel</v>
      </c>
      <c r="I32" s="81" t="str">
        <f ca="1">LOWER(TRIM(_xlfn.XLOOKUP($A32,Строчный!$A:$A,Строчный!I:I,"ERR",0)))</f>
        <v>желтый</v>
      </c>
      <c r="J32" s="81" t="str">
        <f ca="1">SUBSTITUTE(LOWER(TRIM(_xlfn.XLOOKUP($A32,Строчный!$A:$A,Строчный!J:J,"ERR",0))),"подклад","Подклад")</f>
        <v>57% полиэстер - 43%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832</v>
      </c>
      <c r="R32" s="89" t="str">
        <f ca="1">_xlfn.XLOOKUP($G32,Фабрика!A:A,Фабрика!B:B,"ERR",0)</f>
        <v>Goorin Brothers Inc; 1269 Howard street, San Fancisco, CA 94103, USA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168</v>
      </c>
      <c r="U32" s="14" t="s">
        <v>265</v>
      </c>
      <c r="V32" s="101" t="str">
        <f t="shared" ca="1" si="3"/>
        <v>Бейсболка GOORIN BROTHERS арт. 101-0441 (желтый)</v>
      </c>
      <c r="W32" s="100" t="str">
        <f t="shared" ca="1" si="4"/>
        <v>Бейсболка GOORIN BROTHERS арт. 101-0441 (желтый) {yel}</v>
      </c>
      <c r="X32" s="18" t="str">
        <f t="shared" ca="1" si="0"/>
        <v>желтый</v>
      </c>
      <c r="Y32" s="18" t="str">
        <f t="shared" ca="1" si="1"/>
        <v>желтый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желтый</v>
      </c>
      <c r="AA32" s="73" t="str">
        <f ca="1"/>
        <v>91-676-20-00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20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SUMIF(Марка!A:A,G32,Марка!B:B)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91-675-17</v>
      </c>
      <c r="B33" s="107" t="str">
        <f ca="1">_xlfn.LET(_xlpm.CAPS,0,_xlpm.Style,TRIM(_xlfn.XLOOKUP($A33,Строчный!$A:$A,Строчный!B:B,"ERR",0)),IF(_xlpm.CAPS=0,_xlpm.Style,LOWER(_xlpm.Style)))</f>
        <v>101-0438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Animal Farm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GOORIN BROTHERS</v>
      </c>
      <c r="H33" s="81" t="str">
        <f ca="1">LOWER(TRIM(_xlfn.XLOOKUP($A33,Строчный!$A:$A,Строчный!H:H,"ERR",0)))</f>
        <v>whi</v>
      </c>
      <c r="I33" s="81" t="str">
        <f ca="1">LOWER(TRIM(_xlfn.XLOOKUP($A33,Строчный!$A:$A,Строчный!I:I,"ERR",0)))</f>
        <v>белый</v>
      </c>
      <c r="J33" s="81" t="str">
        <f ca="1">SUBSTITUTE(LOWER(TRIM(_xlfn.XLOOKUP($A33,Строчный!$A:$A,Строчный!J:J,"ERR",0))),"подклад","Подклад")</f>
        <v>57% полиэстер - 43%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832</v>
      </c>
      <c r="R33" s="89" t="str">
        <f ca="1">_xlfn.XLOOKUP($G33,Фабрика!A:A,Фабрика!B:B,"ERR",0)</f>
        <v>Goorin Brothers Inc; 1269 Howard street, San Fancisco, CA 94103, USA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288</v>
      </c>
      <c r="U33" s="14" t="s">
        <v>265</v>
      </c>
      <c r="V33" s="101" t="str">
        <f t="shared" ca="1" si="3"/>
        <v>Бейсболка GOORIN BROTHERS арт. 101-0438 (белый)</v>
      </c>
      <c r="W33" s="100" t="str">
        <f t="shared" ca="1" si="4"/>
        <v>Бейсболка GOORIN BROTHERS арт. 101-0438 (белый) {whi}</v>
      </c>
      <c r="X33" s="18" t="str">
        <f t="shared" ca="1" si="0"/>
        <v>белый</v>
      </c>
      <c r="Y33" s="18" t="str">
        <f t="shared" ca="1" si="1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белый</v>
      </c>
      <c r="AA33" s="73" t="str">
        <f ca="1"/>
        <v>91-675-17-00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17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SUMIF(Марка!A:A,G33,Марка!B:B)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91-674-53</v>
      </c>
      <c r="B34" s="107" t="str">
        <f ca="1">_xlfn.LET(_xlpm.CAPS,0,_xlpm.Style,TRIM(_xlfn.XLOOKUP($A34,Строчный!$A:$A,Строчный!B:B,"ERR",0)),IF(_xlpm.CAPS=0,_xlpm.Style,LOWER(_xlpm.Style)))</f>
        <v>101-0426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Animal Farm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GOORIN BROTHERS</v>
      </c>
      <c r="H34" s="81" t="str">
        <f ca="1">LOWER(TRIM(_xlfn.XLOOKUP($A34,Строчный!$A:$A,Строчный!H:H,"ERR",0)))</f>
        <v>tan</v>
      </c>
      <c r="I34" s="81" t="str">
        <f ca="1">LOWER(TRIM(_xlfn.XLOOKUP($A34,Строчный!$A:$A,Строчный!I:I,"ERR",0)))</f>
        <v>бежевый / черный</v>
      </c>
      <c r="J34" s="81" t="str">
        <f ca="1">SUBSTITUTE(LOWER(TRIM(_xlfn.XLOOKUP($A34,Строчный!$A:$A,Строчный!J:J,"ERR",0))),"подклад","Подклад")</f>
        <v>57% полиэстер - 43%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832</v>
      </c>
      <c r="R34" s="89" t="str">
        <f ca="1">_xlfn.XLOOKUP($G34,Фабрика!A:A,Фабрика!B:B,"ERR",0)</f>
        <v>Goorin Brothers Inc; 1269 Howard street, San Fancisco, CA 94103, USA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144</v>
      </c>
      <c r="U34" s="14" t="s">
        <v>265</v>
      </c>
      <c r="V34" s="101" t="str">
        <f t="shared" ca="1" si="3"/>
        <v>Бейсболка GOORIN BROTHERS арт. 101-0426 (бежевый / черный)</v>
      </c>
      <c r="W34" s="100" t="str">
        <f t="shared" ca="1" si="4"/>
        <v>Бейсболка GOORIN BROTHERS арт. 101-0426 (бежевый / черный) {tan}</v>
      </c>
      <c r="X34" s="18" t="str">
        <f t="shared" ref="X34:X51" ca="1" si="5">IFERROR(MID(I34,FIND("-",I34)+1,LEN(I34)),IFERROR(MID(I34,1,FIND("/",I34)-2),I34))</f>
        <v>бежевый</v>
      </c>
      <c r="Y34" s="18" t="str">
        <f t="shared" ref="Y34:Y51" ca="1" si="6">IFERROR(MID(I34,FIND("-",I34)+1,LEN(I34)),IFERROR(MID(I34,FIND("/",I34)+2,LEN(I34)),I34))</f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бежевый</v>
      </c>
      <c r="AA34" s="73" t="str">
        <f ca="1"/>
        <v>91-674-53-00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53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SUMIF(Марка!A:A,G34,Марка!B:B)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91-674-06</v>
      </c>
      <c r="B35" s="107" t="str">
        <f ca="1">_xlfn.LET(_xlpm.CAPS,0,_xlpm.Style,TRIM(_xlfn.XLOOKUP($A35,Строчный!$A:$A,Строчный!B:B,"ERR",0)),IF(_xlpm.CAPS=0,_xlpm.Style,LOWER(_xlpm.Style)))</f>
        <v>101-0426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Animal Farm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GOORIN BROTHERS</v>
      </c>
      <c r="H35" s="81" t="str">
        <f ca="1">LOWER(TRIM(_xlfn.XLOOKUP($A35,Строчный!$A:$A,Строчный!H:H,"ERR",0)))</f>
        <v>blu</v>
      </c>
      <c r="I35" s="81" t="str">
        <f ca="1">LOWER(TRIM(_xlfn.XLOOKUP($A35,Строчный!$A:$A,Строчный!I:I,"ERR",0)))</f>
        <v>синий</v>
      </c>
      <c r="J35" s="81" t="str">
        <f ca="1">SUBSTITUTE(LOWER(TRIM(_xlfn.XLOOKUP($A35,Строчный!$A:$A,Строчный!J:J,"ERR",0))),"подклад","Подклад")</f>
        <v>57% полиэстер - 43%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832</v>
      </c>
      <c r="R35" s="89" t="str">
        <f ca="1">_xlfn.XLOOKUP($G35,Фабрика!A:A,Фабрика!B:B,"ERR",0)</f>
        <v>Goorin Brothers Inc; 1269 Howard street, San Fancisco, CA 94103, USA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168</v>
      </c>
      <c r="U35" s="14" t="s">
        <v>265</v>
      </c>
      <c r="V35" s="101" t="str">
        <f t="shared" ca="1" si="3"/>
        <v>Бейсболка GOORIN BROTHERS арт. 101-0426 (синий)</v>
      </c>
      <c r="W35" s="100" t="str">
        <f t="shared" ca="1" si="4"/>
        <v>Бейсболка GOORIN BROTHERS арт. 101-0426 (синий) {blu}</v>
      </c>
      <c r="X35" s="18" t="str">
        <f t="shared" ca="1" si="5"/>
        <v>синий</v>
      </c>
      <c r="Y35" s="18" t="str">
        <f t="shared" ca="1" si="6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91-674-06-00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06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SUMIF(Марка!A:A,G35,Марка!B:B)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91-673-78</v>
      </c>
      <c r="B36" s="107" t="str">
        <f ca="1">_xlfn.LET(_xlpm.CAPS,0,_xlpm.Style,TRIM(_xlfn.XLOOKUP($A36,Строчный!$A:$A,Строчный!B:B,"ERR",0)),IF(_xlpm.CAPS=0,_xlpm.Style,LOWER(_xlpm.Style)))</f>
        <v>101-0425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Animal Farm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GOORIN BROTHERS</v>
      </c>
      <c r="H36" s="81" t="str">
        <f ca="1">LOWER(TRIM(_xlfn.XLOOKUP($A36,Строчный!$A:$A,Строчный!H:H,"ERR",0)))</f>
        <v>ebo</v>
      </c>
      <c r="I36" s="81" t="str">
        <f ca="1">LOWER(TRIM(_xlfn.XLOOKUP($A36,Строчный!$A:$A,Строчный!I:I,"ERR",0)))</f>
        <v>черный / синий</v>
      </c>
      <c r="J36" s="81" t="str">
        <f ca="1">SUBSTITUTE(LOWER(TRIM(_xlfn.XLOOKUP($A36,Строчный!$A:$A,Строчный!J:J,"ERR",0))),"подклад","Подклад")</f>
        <v>57% полиэстер - 43%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832</v>
      </c>
      <c r="R36" s="89" t="str">
        <f ca="1">_xlfn.XLOOKUP($G36,Фабрика!A:A,Фабрика!B:B,"ERR",0)</f>
        <v>Goorin Brothers Inc; 1269 Howard street, San Fancisco, CA 94103, USA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144</v>
      </c>
      <c r="U36" s="14" t="s">
        <v>265</v>
      </c>
      <c r="V36" s="101" t="str">
        <f t="shared" ca="1" si="3"/>
        <v>Бейсболка GOORIN BROTHERS арт. 101-0425 (черный / синий)</v>
      </c>
      <c r="W36" s="100" t="str">
        <f t="shared" ca="1" si="4"/>
        <v>Бейсболка GOORIN BROTHERS арт. 101-0425 (черный / синий) {ebo}</v>
      </c>
      <c r="X36" s="18" t="str">
        <f t="shared" ca="1" si="5"/>
        <v>черный</v>
      </c>
      <c r="Y36" s="18" t="str">
        <f t="shared" ca="1" si="6"/>
        <v>синий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91-673-78-00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78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SUMIF(Марка!A:A,G36,Марка!B:B)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91-673-62</v>
      </c>
      <c r="B37" s="107" t="str">
        <f ca="1">_xlfn.LET(_xlpm.CAPS,0,_xlpm.Style,TRIM(_xlfn.XLOOKUP($A37,Строчный!$A:$A,Строчный!B:B,"ERR",0)),IF(_xlpm.CAPS=0,_xlpm.Style,LOWER(_xlpm.Style)))</f>
        <v>101-0425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Animal Farm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GOORIN BROTHERS</v>
      </c>
      <c r="H37" s="81" t="str">
        <f ca="1">LOWER(TRIM(_xlfn.XLOOKUP($A37,Строчный!$A:$A,Строчный!H:H,"ERR",0)))</f>
        <v>blu</v>
      </c>
      <c r="I37" s="81" t="str">
        <f ca="1">LOWER(TRIM(_xlfn.XLOOKUP($A37,Строчный!$A:$A,Строчный!I:I,"ERR",0)))</f>
        <v>черный / голубой</v>
      </c>
      <c r="J37" s="81" t="str">
        <f ca="1">SUBSTITUTE(LOWER(TRIM(_xlfn.XLOOKUP($A37,Строчный!$A:$A,Строчный!J:J,"ERR",0))),"подклад","Подклад")</f>
        <v>57% полиэстер - 43%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832</v>
      </c>
      <c r="R37" s="89" t="str">
        <f ca="1">_xlfn.XLOOKUP($G37,Фабрика!A:A,Фабрика!B:B,"ERR",0)</f>
        <v>Goorin Brothers Inc; 1269 Howard street, San Fancisco, CA 94103, USA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408</v>
      </c>
      <c r="U37" s="14" t="s">
        <v>265</v>
      </c>
      <c r="V37" s="101" t="str">
        <f t="shared" ca="1" si="3"/>
        <v>Бейсболка GOORIN BROTHERS арт. 101-0425 (черный / голубой)</v>
      </c>
      <c r="W37" s="100" t="str">
        <f t="shared" ca="1" si="4"/>
        <v>Бейсболка GOORIN BROTHERS арт. 101-0425 (черный / голубой) {blu}</v>
      </c>
      <c r="X37" s="18" t="str">
        <f t="shared" ca="1" si="5"/>
        <v>черный</v>
      </c>
      <c r="Y37" s="18" t="str">
        <f t="shared" ca="1" si="6"/>
        <v>голубой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91-673-62-00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62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SUMIF(Марка!A:A,G37,Марка!B:B)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91-673-17</v>
      </c>
      <c r="B38" s="107" t="str">
        <f ca="1">_xlfn.LET(_xlpm.CAPS,0,_xlpm.Style,TRIM(_xlfn.XLOOKUP($A38,Строчный!$A:$A,Строчный!B:B,"ERR",0)),IF(_xlpm.CAPS=0,_xlpm.Style,LOWER(_xlpm.Style)))</f>
        <v>101-0425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Animal Farm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GOORIN BROTHERS</v>
      </c>
      <c r="H38" s="81" t="str">
        <f ca="1">LOWER(TRIM(_xlfn.XLOOKUP($A38,Строчный!$A:$A,Строчный!H:H,"ERR",0)))</f>
        <v>whi</v>
      </c>
      <c r="I38" s="81" t="str">
        <f ca="1">LOWER(TRIM(_xlfn.XLOOKUP($A38,Строчный!$A:$A,Строчный!I:I,"ERR",0)))</f>
        <v>белый</v>
      </c>
      <c r="J38" s="81" t="str">
        <f ca="1">SUBSTITUTE(LOWER(TRIM(_xlfn.XLOOKUP($A38,Строчный!$A:$A,Строчный!J:J,"ERR",0))),"подклад","Подклад")</f>
        <v>57% полиэстер - 43%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832</v>
      </c>
      <c r="R38" s="89" t="str">
        <f ca="1">_xlfn.XLOOKUP($G38,Фабрика!A:A,Фабрика!B:B,"ERR",0)</f>
        <v>Goorin Brothers Inc; 1269 Howard street, San Fancisco, CA 94103, USA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600</v>
      </c>
      <c r="U38" s="14" t="s">
        <v>265</v>
      </c>
      <c r="V38" s="101" t="str">
        <f t="shared" ca="1" si="3"/>
        <v>Бейсболка GOORIN BROTHERS арт. 101-0425 (белый)</v>
      </c>
      <c r="W38" s="100" t="str">
        <f t="shared" ca="1" si="4"/>
        <v>Бейсболка GOORIN BROTHERS арт. 101-0425 (белый) {whi}</v>
      </c>
      <c r="X38" s="18" t="str">
        <f t="shared" ca="1" si="5"/>
        <v>белый</v>
      </c>
      <c r="Y38" s="18" t="str">
        <f t="shared" ca="1" si="6"/>
        <v>белый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91-673-17-00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17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SUMIF(Марка!A:A,G38,Марка!B:B)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91-672-09</v>
      </c>
      <c r="B39" s="107" t="str">
        <f ca="1">_xlfn.LET(_xlpm.CAPS,0,_xlpm.Style,TRIM(_xlfn.XLOOKUP($A39,Строчный!$A:$A,Строчный!B:B,"ERR",0)),IF(_xlpm.CAPS=0,_xlpm.Style,LOWER(_xlpm.Style)))</f>
        <v>101-0424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Animal Farm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GOORIN BROTHERS</v>
      </c>
      <c r="H39" s="81" t="str">
        <f ca="1">LOWER(TRIM(_xlfn.XLOOKUP($A39,Строчный!$A:$A,Строчный!H:H,"ERR",0)))</f>
        <v>blk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57% полиэстер - 43% хлопок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936.00000000000011</v>
      </c>
      <c r="R39" s="89" t="str">
        <f ca="1">_xlfn.XLOOKUP($G39,Фабрика!A:A,Фабрика!B:B,"ERR",0)</f>
        <v>Goorin Brothers Inc; 1269 Howard street, San Fancisco, CA 94103, USA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144</v>
      </c>
      <c r="U39" s="14" t="s">
        <v>265</v>
      </c>
      <c r="V39" s="101" t="str">
        <f t="shared" ca="1" si="3"/>
        <v>Бейсболка GOORIN BROTHERS арт. 101-0424 (черный)</v>
      </c>
      <c r="W39" s="100" t="str">
        <f t="shared" ca="1" si="4"/>
        <v>Бейсболка GOORIN BROTHERS арт. 101-0424 (черный) {blk}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91-672-09-00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SUMIF(Марка!A:A,G39,Марка!B:B)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91-671-08</v>
      </c>
      <c r="B40" s="107" t="str">
        <f ca="1">_xlfn.LET(_xlpm.CAPS,0,_xlpm.Style,TRIM(_xlfn.XLOOKUP($A40,Строчный!$A:$A,Строчный!B:B,"ERR",0)),IF(_xlpm.CAPS=0,_xlpm.Style,LOWER(_xlpm.Style)))</f>
        <v>101-0423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Animal Farm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GOORIN BROTHERS</v>
      </c>
      <c r="H40" s="81" t="str">
        <f ca="1">LOWER(TRIM(_xlfn.XLOOKUP($A40,Строчный!$A:$A,Строчный!H:H,"ERR",0)))</f>
        <v>gry</v>
      </c>
      <c r="I40" s="81" t="str">
        <f ca="1">LOWER(TRIM(_xlfn.XLOOKUP($A40,Строчный!$A:$A,Строчный!I:I,"ERR",0)))</f>
        <v>серый</v>
      </c>
      <c r="J40" s="81" t="str">
        <f ca="1">SUBSTITUTE(LOWER(TRIM(_xlfn.XLOOKUP($A40,Строчный!$A:$A,Строчный!J:J,"ERR",0))),"подклад","Подклад")</f>
        <v>57% полиэстер - 43% хлопок</v>
      </c>
      <c r="K40" s="81" t="str">
        <f ca="1">LOWER(TRIM(_xlfn.XLOOKUP($A40,Строчный!$A:$A,Строчный!K:K,"ERR",0)))</f>
        <v>хлопковые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832</v>
      </c>
      <c r="R40" s="89" t="str">
        <f ca="1">_xlfn.XLOOKUP($G40,Фабрика!A:A,Фабрика!B:B,"ERR",0)</f>
        <v>Goorin Brothers Inc; 1269 Howard street, San Fancisco, CA 94103, USA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144</v>
      </c>
      <c r="U40" s="14" t="s">
        <v>265</v>
      </c>
      <c r="V40" s="101" t="str">
        <f t="shared" ca="1" si="3"/>
        <v>Бейсболка GOORIN BROTHERS арт. 101-0423 (серый)</v>
      </c>
      <c r="W40" s="100" t="str">
        <f t="shared" ca="1" si="4"/>
        <v>Бейсболка GOORIN BROTHERS арт. 101-0423 (серый) {gry}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91-671-08-00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08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SUMIF(Марка!A:A,G40,Марка!B:B)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91-671-00</v>
      </c>
      <c r="B41" s="107" t="str">
        <f ca="1">_xlfn.LET(_xlpm.CAPS,0,_xlpm.Style,TRIM(_xlfn.XLOOKUP($A41,Строчный!$A:$A,Строчный!B:B,"ERR",0)),IF(_xlpm.CAPS=0,_xlpm.Style,LOWER(_xlpm.Style)))</f>
        <v>101-0423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Animal Farm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GOORIN BROTHERS</v>
      </c>
      <c r="H41" s="81" t="str">
        <f ca="1">LOWER(TRIM(_xlfn.XLOOKUP($A41,Строчный!$A:$A,Строчный!H:H,"ERR",0)))</f>
        <v>cam</v>
      </c>
      <c r="I41" s="81" t="str">
        <f ca="1">LOWER(TRIM(_xlfn.XLOOKUP($A41,Строчный!$A:$A,Строчный!I:I,"ERR",0)))</f>
        <v>камуфляж</v>
      </c>
      <c r="J41" s="81" t="str">
        <f ca="1">SUBSTITUTE(LOWER(TRIM(_xlfn.XLOOKUP($A41,Строчный!$A:$A,Строчный!J:J,"ERR",0))),"подклад","Подклад")</f>
        <v>57% полиэстер - 43% хлопок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832</v>
      </c>
      <c r="R41" s="89" t="str">
        <f ca="1">_xlfn.XLOOKUP($G41,Фабрика!A:A,Фабрика!B:B,"ERR",0)</f>
        <v>Goorin Brothers Inc; 1269 Howard street, San Fancisco, CA 94103, USA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144</v>
      </c>
      <c r="U41" s="14" t="s">
        <v>265</v>
      </c>
      <c r="V41" s="101" t="str">
        <f t="shared" ca="1" si="3"/>
        <v>Бейсболка GOORIN BROTHERS арт. 101-0423 (камуфляж)</v>
      </c>
      <c r="W41" s="100" t="str">
        <f t="shared" ca="1" si="4"/>
        <v>Бейсболка GOORIN BROTHERS арт. 101-0423 (камуфляж) {cam}</v>
      </c>
      <c r="X41" s="18" t="str">
        <f t="shared" ca="1" si="5"/>
        <v>камуфляж</v>
      </c>
      <c r="Y41" s="18" t="str">
        <f t="shared" ca="1" si="6"/>
        <v>камуфляж</v>
      </c>
      <c r="Z41" s="117" t="s">
        <v>54</v>
      </c>
      <c r="AA41" s="73" t="str">
        <f ca="1"/>
        <v>91-671-00-00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00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SUMIF(Марка!A:A,G41,Марка!B:B)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91-670-03</v>
      </c>
      <c r="B42" s="107" t="str">
        <f ca="1">_xlfn.LET(_xlpm.CAPS,0,_xlpm.Style,TRIM(_xlfn.XLOOKUP($A42,Строчный!$A:$A,Строчный!B:B,"ERR",0)),IF(_xlpm.CAPS=0,_xlpm.Style,LOWER(_xlpm.Style)))</f>
        <v>101-0422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Animal Farm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GOORIN BROTHERS</v>
      </c>
      <c r="H42" s="81" t="str">
        <f ca="1">LOWER(TRIM(_xlfn.XLOOKUP($A42,Строчный!$A:$A,Строчный!H:H,"ERR",0)))</f>
        <v>oli</v>
      </c>
      <c r="I42" s="81" t="str">
        <f ca="1">LOWER(TRIM(_xlfn.XLOOKUP($A42,Строчный!$A:$A,Строчный!I:I,"ERR",0)))</f>
        <v>оливковый</v>
      </c>
      <c r="J42" s="81" t="str">
        <f ca="1">SUBSTITUTE(LOWER(TRIM(_xlfn.XLOOKUP($A42,Строчный!$A:$A,Строчный!J:J,"ERR",0))),"подклад","Подклад")</f>
        <v>57% полиэстер - 43% хлопок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832</v>
      </c>
      <c r="R42" s="89" t="str">
        <f ca="1">_xlfn.XLOOKUP($G42,Фабрика!A:A,Фабрика!B:B,"ERR",0)</f>
        <v>Goorin Brothers Inc; 1269 Howard street, San Fancisco, CA 94103, USA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192</v>
      </c>
      <c r="U42" s="14" t="s">
        <v>265</v>
      </c>
      <c r="V42" s="101" t="str">
        <f t="shared" ca="1" si="3"/>
        <v>Бейсболка GOORIN BROTHERS арт. 101-0422 (оливковый)</v>
      </c>
      <c r="W42" s="100" t="str">
        <f t="shared" ca="1" si="4"/>
        <v>Бейсболка GOORIN BROTHERS арт. 101-0422 (оливковый) {oli}</v>
      </c>
      <c r="X42" s="18" t="str">
        <f t="shared" ca="1" si="5"/>
        <v>оливковый</v>
      </c>
      <c r="Y42" s="18" t="str">
        <f t="shared" ca="1" si="6"/>
        <v>оливковый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оливковый</v>
      </c>
      <c r="AA42" s="73" t="str">
        <f ca="1"/>
        <v>91-670-03-00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03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SUMIF(Марка!A:A,G42,Марка!B:B)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91-669-17</v>
      </c>
      <c r="B43" s="107" t="str">
        <f ca="1">_xlfn.LET(_xlpm.CAPS,0,_xlpm.Style,TRIM(_xlfn.XLOOKUP($A43,Строчный!$A:$A,Строчный!B:B,"ERR",0)),IF(_xlpm.CAPS=0,_xlpm.Style,LOWER(_xlpm.Style)))</f>
        <v>101-0421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Animal Farm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GOORIN BROTHERS</v>
      </c>
      <c r="H43" s="81" t="str">
        <f ca="1">LOWER(TRIM(_xlfn.XLOOKUP($A43,Строчный!$A:$A,Строчный!H:H,"ERR",0)))</f>
        <v>whi</v>
      </c>
      <c r="I43" s="81" t="str">
        <f ca="1">LOWER(TRIM(_xlfn.XLOOKUP($A43,Строчный!$A:$A,Строчный!I:I,"ERR",0)))</f>
        <v>белый</v>
      </c>
      <c r="J43" s="81" t="str">
        <f ca="1">SUBSTITUTE(LOWER(TRIM(_xlfn.XLOOKUP($A43,Строчный!$A:$A,Строчный!J:J,"ERR",0))),"подклад","Подклад")</f>
        <v>57% полиэстер - 43% полиуретан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936.00000000000011</v>
      </c>
      <c r="R43" s="89" t="str">
        <f ca="1">_xlfn.XLOOKUP($G43,Фабрика!A:A,Фабрика!B:B,"ERR",0)</f>
        <v>Goorin Brothers Inc; 1269 Howard street, San Fancisco, CA 94103, USA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192</v>
      </c>
      <c r="U43" s="14" t="s">
        <v>265</v>
      </c>
      <c r="V43" s="101" t="str">
        <f t="shared" ca="1" si="3"/>
        <v>Бейсболка GOORIN BROTHERS арт. 101-0421 (белый)</v>
      </c>
      <c r="W43" s="100" t="str">
        <f t="shared" ca="1" si="4"/>
        <v>Бейсболка GOORIN BROTHERS арт. 101-0421 (белый) {whi}</v>
      </c>
      <c r="X43" s="18" t="str">
        <f t="shared" ca="1" si="5"/>
        <v>белый</v>
      </c>
      <c r="Y43" s="18" t="str">
        <f t="shared" ca="1" si="6"/>
        <v>белый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белый</v>
      </c>
      <c r="AA43" s="73" t="str">
        <f ca="1"/>
        <v>91-669-17-00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17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SUMIF(Марка!A:A,G43,Марка!B:B)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91-668-00</v>
      </c>
      <c r="B44" s="107" t="str">
        <f ca="1">_xlfn.LET(_xlpm.CAPS,0,_xlpm.Style,TRIM(_xlfn.XLOOKUP($A44,Строчный!$A:$A,Строчный!B:B,"ERR",0)),IF(_xlpm.CAPS=0,_xlpm.Style,LOWER(_xlpm.Style)))</f>
        <v>101-0420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Animal Farm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GOORIN BROTHERS</v>
      </c>
      <c r="H44" s="81" t="str">
        <f ca="1">LOWER(TRIM(_xlfn.XLOOKUP($A44,Строчный!$A:$A,Строчный!H:H,"ERR",0)))</f>
        <v>gry</v>
      </c>
      <c r="I44" s="81" t="str">
        <f ca="1">LOWER(TRIM(_xlfn.XLOOKUP($A44,Строчный!$A:$A,Строчный!I:I,"ERR",0)))</f>
        <v>серый / бежевый</v>
      </c>
      <c r="J44" s="81" t="str">
        <f ca="1">SUBSTITUTE(LOWER(TRIM(_xlfn.XLOOKUP($A44,Строчный!$A:$A,Строчный!J:J,"ERR",0))),"подклад","Подклад")</f>
        <v>57% полиэстер - 43% хлопок</v>
      </c>
      <c r="K44" s="81" t="str">
        <f ca="1">LOWER(TRIM(_xlfn.XLOOKUP($A44,Строчный!$A:$A,Строчный!K:K,"ERR",0)))</f>
        <v>хлопковые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832</v>
      </c>
      <c r="R44" s="89" t="str">
        <f ca="1">_xlfn.XLOOKUP($G44,Фабрика!A:A,Фабрика!B:B,"ERR",0)</f>
        <v>Goorin Brothers Inc; 1269 Howard street, San Fancisco, CA 94103, USA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288</v>
      </c>
      <c r="U44" s="14" t="s">
        <v>265</v>
      </c>
      <c r="V44" s="101" t="str">
        <f t="shared" ca="1" si="3"/>
        <v>Бейсболка GOORIN BROTHERS арт. 101-0420 (серый / бежевый)</v>
      </c>
      <c r="W44" s="100" t="str">
        <f t="shared" ca="1" si="4"/>
        <v>Бейсболка GOORIN BROTHERS арт. 101-0420 (серый / бежевый) {gry}</v>
      </c>
      <c r="X44" s="18" t="str">
        <f t="shared" ca="1" si="5"/>
        <v>серый</v>
      </c>
      <c r="Y44" s="18" t="str">
        <f t="shared" ca="1" si="6"/>
        <v>бежевый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91-668-00-00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SUMIF(Марка!A:A,G44,Марка!B:B)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91-667-09</v>
      </c>
      <c r="B45" s="107" t="str">
        <f ca="1">_xlfn.LET(_xlpm.CAPS,0,_xlpm.Style,TRIM(_xlfn.XLOOKUP($A45,Строчный!$A:$A,Строчный!B:B,"ERR",0)),IF(_xlpm.CAPS=0,_xlpm.Style,LOWER(_xlpm.Style)))</f>
        <v>101-0419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Animal Farm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GOORIN BROTHERS</v>
      </c>
      <c r="H45" s="81" t="str">
        <f ca="1">LOWER(TRIM(_xlfn.XLOOKUP($A45,Строчный!$A:$A,Строчный!H:H,"ERR",0)))</f>
        <v>blk</v>
      </c>
      <c r="I45" s="81" t="str">
        <f ca="1">LOWER(TRIM(_xlfn.XLOOKUP($A45,Строчный!$A:$A,Строчный!I:I,"ERR",0)))</f>
        <v>черный / оранжевый</v>
      </c>
      <c r="J45" s="81" t="str">
        <f ca="1">SUBSTITUTE(LOWER(TRIM(_xlfn.XLOOKUP($A45,Строчный!$A:$A,Строчный!J:J,"ERR",0))),"подклад","Подклад")</f>
        <v>57% полиэстер - 43%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832</v>
      </c>
      <c r="R45" s="89" t="str">
        <f ca="1">_xlfn.XLOOKUP($G45,Фабрика!A:A,Фабрика!B:B,"ERR",0)</f>
        <v>Goorin Brothers Inc; 1269 Howard street, San Fancisco, CA 94103, USA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144</v>
      </c>
      <c r="U45" s="14" t="s">
        <v>265</v>
      </c>
      <c r="V45" s="101" t="str">
        <f t="shared" ca="1" si="3"/>
        <v>Бейсболка GOORIN BROTHERS арт. 101-0419 (черный / оранжевый)</v>
      </c>
      <c r="W45" s="100" t="str">
        <f t="shared" ca="1" si="4"/>
        <v>Бейсболка GOORIN BROTHERS арт. 101-0419 (черный / оранжевый) {blk}</v>
      </c>
      <c r="X45" s="18" t="str">
        <f t="shared" ca="1" si="5"/>
        <v>черный</v>
      </c>
      <c r="Y45" s="18" t="str">
        <f t="shared" ca="1" si="6"/>
        <v>оранжевый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91-667-09-00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SUMIF(Марка!A:A,G45,Марка!B:B)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91-666-08</v>
      </c>
      <c r="B46" s="107" t="str">
        <f ca="1">_xlfn.LET(_xlpm.CAPS,0,_xlpm.Style,TRIM(_xlfn.XLOOKUP($A46,Строчный!$A:$A,Строчный!B:B,"ERR",0)),IF(_xlpm.CAPS=0,_xlpm.Style,LOWER(_xlpm.Style)))</f>
        <v>101-0418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Animal Farm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GOORIN BROTHERS</v>
      </c>
      <c r="H46" s="81" t="str">
        <f ca="1">LOWER(TRIM(_xlfn.XLOOKUP($A46,Строчный!$A:$A,Строчный!H:H,"ERR",0)))</f>
        <v>gry</v>
      </c>
      <c r="I46" s="81" t="str">
        <f ca="1">LOWER(TRIM(_xlfn.XLOOKUP($A46,Строчный!$A:$A,Строчный!I:I,"ERR",0)))</f>
        <v>серый / желтый</v>
      </c>
      <c r="J46" s="81" t="str">
        <f ca="1">SUBSTITUTE(LOWER(TRIM(_xlfn.XLOOKUP($A46,Строчный!$A:$A,Строчный!J:J,"ERR",0))),"подклад","Подклад")</f>
        <v>57% полиэстер - 43% хлопок</v>
      </c>
      <c r="K46" s="81" t="str">
        <f ca="1">LOWER(TRIM(_xlfn.XLOOKUP($A46,Строчный!$A:$A,Строчный!K:K,"ERR",0)))</f>
        <v>хлопковые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832</v>
      </c>
      <c r="R46" s="89" t="str">
        <f ca="1">_xlfn.XLOOKUP($G46,Фабрика!A:A,Фабрика!B:B,"ERR",0)</f>
        <v>Goorin Brothers Inc; 1269 Howard street, San Fancisco, CA 94103, USA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480</v>
      </c>
      <c r="U46" s="14" t="s">
        <v>265</v>
      </c>
      <c r="V46" s="101" t="str">
        <f t="shared" ca="1" si="3"/>
        <v>Бейсболка GOORIN BROTHERS арт. 101-0418 (серый / желтый)</v>
      </c>
      <c r="W46" s="100" t="str">
        <f t="shared" ca="1" si="4"/>
        <v>Бейсболка GOORIN BROTHERS арт. 101-0418 (серый / желтый) {gry}</v>
      </c>
      <c r="X46" s="18" t="str">
        <f t="shared" ca="1" si="5"/>
        <v>серый</v>
      </c>
      <c r="Y46" s="18" t="str">
        <f t="shared" ca="1" si="6"/>
        <v>желтый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73" t="str">
        <f ca="1"/>
        <v>91-666-08-00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08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SUMIF(Марка!A:A,G46,Марка!B:B)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91-665-01</v>
      </c>
      <c r="B47" s="107" t="str">
        <f ca="1">_xlfn.LET(_xlpm.CAPS,0,_xlpm.Style,TRIM(_xlfn.XLOOKUP($A47,Строчный!$A:$A,Строчный!B:B,"ERR",0)),IF(_xlpm.CAPS=0,_xlpm.Style,LOWER(_xlpm.Style)))</f>
        <v>101-0416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Animal Farm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GOORIN BROTHERS</v>
      </c>
      <c r="H47" s="81" t="str">
        <f ca="1">LOWER(TRIM(_xlfn.XLOOKUP($A47,Строчный!$A:$A,Строчный!H:H,"ERR",0)))</f>
        <v>gry</v>
      </c>
      <c r="I47" s="81" t="str">
        <f ca="1">LOWER(TRIM(_xlfn.XLOOKUP($A47,Строчный!$A:$A,Строчный!I:I,"ERR",0)))</f>
        <v>светло-серый</v>
      </c>
      <c r="J47" s="81" t="str">
        <f ca="1">SUBSTITUTE(LOWER(TRIM(_xlfn.XLOOKUP($A47,Строчный!$A:$A,Строчный!J:J,"ERR",0))),"подклад","Подклад")</f>
        <v>55% полиэстер - 40% полиуретан - 5% спандекс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936.00000000000011</v>
      </c>
      <c r="R47" s="89" t="str">
        <f ca="1">_xlfn.XLOOKUP($G47,Фабрика!A:A,Фабрика!B:B,"ERR",0)</f>
        <v>Goorin Brothers Inc; 1269 Howard street, San Fancisco, CA 94103, USA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432</v>
      </c>
      <c r="U47" s="14" t="s">
        <v>265</v>
      </c>
      <c r="V47" s="101" t="str">
        <f t="shared" ca="1" si="3"/>
        <v>Бейсболка GOORIN BROTHERS арт. 101-0416 (светло-серый)</v>
      </c>
      <c r="W47" s="100" t="str">
        <f t="shared" ca="1" si="4"/>
        <v>Бейсболка GOORIN BROTHERS арт. 101-0416 (светло-серый) {gry}</v>
      </c>
      <c r="X47" s="18" t="str">
        <f t="shared" ca="1" si="5"/>
        <v>серый</v>
      </c>
      <c r="Y47" s="18" t="str">
        <f t="shared" ca="1" si="6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91-665-01-00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SUMIF(Марка!A:A,G47,Марка!B:B)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91-664-05</v>
      </c>
      <c r="B48" s="107" t="str">
        <f ca="1">_xlfn.LET(_xlpm.CAPS,0,_xlpm.Style,TRIM(_xlfn.XLOOKUP($A48,Строчный!$A:$A,Строчный!B:B,"ERR",0)),IF(_xlpm.CAPS=0,_xlpm.Style,LOWER(_xlpm.Style)))</f>
        <v>101-0415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Animal Farm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GOORIN BROTHERS</v>
      </c>
      <c r="H48" s="81" t="str">
        <f ca="1">LOWER(TRIM(_xlfn.XLOOKUP($A48,Строчный!$A:$A,Строчный!H:H,"ERR",0)))</f>
        <v>gry</v>
      </c>
      <c r="I48" s="81" t="str">
        <f ca="1">LOWER(TRIM(_xlfn.XLOOKUP($A48,Строчный!$A:$A,Строчный!I:I,"ERR",0)))</f>
        <v>темно-серый</v>
      </c>
      <c r="J48" s="81" t="str">
        <f ca="1">SUBSTITUTE(LOWER(TRIM(_xlfn.XLOOKUP($A48,Строчный!$A:$A,Строчный!J:J,"ERR",0))),"подклад","Подклад")</f>
        <v>57% полиэстер - 43% хлопок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832</v>
      </c>
      <c r="R48" s="89" t="str">
        <f ca="1">_xlfn.XLOOKUP($G48,Фабрика!A:A,Фабрика!B:B,"ERR",0)</f>
        <v>Goorin Brothers Inc; 1269 Howard street, San Fancisco, CA 94103, USA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336</v>
      </c>
      <c r="U48" s="14" t="s">
        <v>265</v>
      </c>
      <c r="V48" s="101" t="str">
        <f t="shared" ca="1" si="3"/>
        <v>Бейсболка GOORIN BROTHERS арт. 101-0415 (темно-серый)</v>
      </c>
      <c r="W48" s="100" t="str">
        <f t="shared" ca="1" si="4"/>
        <v>Бейсболка GOORIN BROTHERS арт. 101-0415 (темно-серый) {gry}</v>
      </c>
      <c r="X48" s="18" t="str">
        <f t="shared" ca="1" si="5"/>
        <v>серый</v>
      </c>
      <c r="Y48" s="18" t="str">
        <f t="shared" ca="1" si="6"/>
        <v>серый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3" t="str">
        <f ca="1"/>
        <v>91-664-05-00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05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SUMIF(Марка!A:A,G48,Марка!B:B)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91-663-16</v>
      </c>
      <c r="B49" s="107" t="str">
        <f ca="1">_xlfn.LET(_xlpm.CAPS,0,_xlpm.Style,TRIM(_xlfn.XLOOKUP($A49,Строчный!$A:$A,Строчный!B:B,"ERR",0)),IF(_xlpm.CAPS=0,_xlpm.Style,LOWER(_xlpm.Style)))</f>
        <v>101-0414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Animal Farm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GOORIN BROTHERS</v>
      </c>
      <c r="H49" s="81" t="str">
        <f ca="1">LOWER(TRIM(_xlfn.XLOOKUP($A49,Строчный!$A:$A,Строчный!H:H,"ERR",0)))</f>
        <v>nvy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57% полиэстер - 43%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832</v>
      </c>
      <c r="R49" s="89" t="str">
        <f ca="1">_xlfn.XLOOKUP($G49,Фабрика!A:A,Фабрика!B:B,"ERR",0)</f>
        <v>Goorin Brothers Inc; 1269 Howard street, San Fancisco, CA 94103, USA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144</v>
      </c>
      <c r="U49" s="14" t="s">
        <v>265</v>
      </c>
      <c r="V49" s="101" t="str">
        <f t="shared" ca="1" si="3"/>
        <v>Бейсболка GOORIN BROTHERS арт. 101-0414 (темно-синий)</v>
      </c>
      <c r="W49" s="100" t="str">
        <f t="shared" ca="1" si="4"/>
        <v>Бейсболка GOORIN BROTHERS арт. 101-0414 (темно-синий) {nvy}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91-663-16-00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SUMIF(Марка!A:A,G49,Марка!B:B)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91-663-09</v>
      </c>
      <c r="B50" s="107" t="str">
        <f ca="1">_xlfn.LET(_xlpm.CAPS,0,_xlpm.Style,TRIM(_xlfn.XLOOKUP($A50,Строчный!$A:$A,Строчный!B:B,"ERR",0)),IF(_xlpm.CAPS=0,_xlpm.Style,LOWER(_xlpm.Style)))</f>
        <v>101-0414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Animal Farm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GOORIN BROTHERS</v>
      </c>
      <c r="H50" s="81" t="str">
        <f ca="1">LOWER(TRIM(_xlfn.XLOOKUP($A50,Строчный!$A:$A,Строчный!H:H,"ERR",0)))</f>
        <v>blk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57% полиэстер - 43%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717.6</v>
      </c>
      <c r="R50" s="89" t="str">
        <f ca="1">_xlfn.XLOOKUP($G50,Фабрика!A:A,Фабрика!B:B,"ERR",0)</f>
        <v>Goorin Brothers Inc; 1269 Howard street, San Fancisco, CA 94103, USA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216</v>
      </c>
      <c r="U50" s="14" t="s">
        <v>265</v>
      </c>
      <c r="V50" s="101" t="str">
        <f t="shared" ca="1" si="3"/>
        <v>Бейсболка GOORIN BROTHERS арт. 101-0414 (черный)</v>
      </c>
      <c r="W50" s="100" t="str">
        <f t="shared" ca="1" si="4"/>
        <v>Бейсболка GOORIN BROTHERS арт. 101-0414 (черный) {blk}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91-663-09-00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SUMIF(Марка!A:A,G50,Марка!B:B)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91-663-03</v>
      </c>
      <c r="B51" s="107" t="str">
        <f ca="1">_xlfn.LET(_xlpm.CAPS,0,_xlpm.Style,TRIM(_xlfn.XLOOKUP($A51,Строчный!$A:$A,Строчный!B:B,"ERR",0)),IF(_xlpm.CAPS=0,_xlpm.Style,LOWER(_xlpm.Style)))</f>
        <v>101-0414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Animal Farm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GOORIN BROTHERS</v>
      </c>
      <c r="H51" s="81" t="str">
        <f ca="1">LOWER(TRIM(_xlfn.XLOOKUP($A51,Строчный!$A:$A,Строчный!H:H,"ERR",0)))</f>
        <v>oli</v>
      </c>
      <c r="I51" s="81" t="str">
        <f ca="1">LOWER(TRIM(_xlfn.XLOOKUP($A51,Строчный!$A:$A,Строчный!I:I,"ERR",0)))</f>
        <v>оливковый</v>
      </c>
      <c r="J51" s="81" t="str">
        <f ca="1">SUBSTITUTE(LOWER(TRIM(_xlfn.XLOOKUP($A51,Строчный!$A:$A,Строчный!J:J,"ERR",0))),"подклад","Подклад")</f>
        <v>57% полиэстер - 43%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832</v>
      </c>
      <c r="R51" s="89" t="str">
        <f ca="1">_xlfn.XLOOKUP($G51,Фабрика!A:A,Фабрика!B:B,"ERR",0)</f>
        <v>Goorin Brothers Inc; 1269 Howard street, San Fancisco, CA 94103, USA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144</v>
      </c>
      <c r="U51" s="14" t="s">
        <v>265</v>
      </c>
      <c r="V51" s="101" t="str">
        <f t="shared" ca="1" si="3"/>
        <v>Бейсболка GOORIN BROTHERS арт. 101-0414 (оливковый)</v>
      </c>
      <c r="W51" s="100" t="str">
        <f t="shared" ca="1" si="4"/>
        <v>Бейсболка GOORIN BROTHERS арт. 101-0414 (оливковый) {oli}</v>
      </c>
      <c r="X51" s="18" t="str">
        <f t="shared" ca="1" si="5"/>
        <v>оливковый</v>
      </c>
      <c r="Y51" s="18" t="str">
        <f t="shared" ca="1" si="6"/>
        <v>оливковый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оливковый</v>
      </c>
      <c r="AA51" s="73" t="str">
        <f ca="1"/>
        <v>91-663-03-00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03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SUMIF(Марка!A:A,G51,Марка!B:B)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91-662-16</v>
      </c>
      <c r="B52" s="107" t="str">
        <f ca="1">_xlfn.LET(_xlpm.CAPS,0,_xlpm.Style,TRIM(_xlfn.XLOOKUP($A52,Строчный!$A:$A,Строчный!B:B,"ERR",0)),IF(_xlpm.CAPS=0,_xlpm.Style,LOWER(_xlpm.Style)))</f>
        <v>101-0413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Animal Farm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GOORIN BROTHERS</v>
      </c>
      <c r="H52" s="81" t="str">
        <f ca="1">LOWER(TRIM(_xlfn.XLOOKUP($A52,Строчный!$A:$A,Строчный!H:H,"ERR",0)))</f>
        <v>nvy</v>
      </c>
      <c r="I52" s="81" t="str">
        <f ca="1">LOWER(TRIM(_xlfn.XLOOKUP($A52,Строчный!$A:$A,Строчный!I:I,"ERR",0)))</f>
        <v>темно-синий</v>
      </c>
      <c r="J52" s="81" t="str">
        <f ca="1">SUBSTITUTE(LOWER(TRIM(_xlfn.XLOOKUP($A52,Строчный!$A:$A,Строчный!J:J,"ERR",0))),"подклад","Подклад")</f>
        <v>57% полиэстер - 43%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832</v>
      </c>
      <c r="R52" s="89" t="str">
        <f ca="1">_xlfn.XLOOKUP($G52,Фабрика!A:A,Фабрика!B:B,"ERR",0)</f>
        <v>Goorin Brothers Inc; 1269 Howard street, San Fancisco, CA 94103, USA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600</v>
      </c>
      <c r="U52" s="14" t="s">
        <v>265</v>
      </c>
      <c r="V52" s="101" t="str">
        <f t="shared" ca="1" si="3"/>
        <v>Бейсболка GOORIN BROTHERS арт. 101-0413 (темно-синий)</v>
      </c>
      <c r="W52" s="100" t="str">
        <f t="shared" ca="1" si="4"/>
        <v>Бейсболка GOORIN BROTHERS арт. 101-0413 (темно-синий) {nvy}</v>
      </c>
      <c r="X52" s="18" t="str">
        <f t="shared" ref="X52:X53" ca="1" si="7">IFERROR(MID(I52,FIND("-",I52)+1,LEN(I52)),IFERROR(MID(I52,1,FIND("/",I52)-2),I52))</f>
        <v>синий</v>
      </c>
      <c r="Y52" s="18" t="str">
        <f t="shared" ref="Y52:Y53" ca="1" si="8">IFERROR(MID(I52,FIND("-",I52)+1,LEN(I52)),IFERROR(MID(I52,FIND("/",I52)+2,LEN(I52)),I52))</f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91-662-16-00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16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SUMIF(Марка!A:A,G52,Марка!B:B)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91-662-09</v>
      </c>
      <c r="B53" s="107" t="str">
        <f ca="1">_xlfn.LET(_xlpm.CAPS,0,_xlpm.Style,TRIM(_xlfn.XLOOKUP($A53,Строчный!$A:$A,Строчный!B:B,"ERR",0)),IF(_xlpm.CAPS=0,_xlpm.Style,LOWER(_xlpm.Style)))</f>
        <v>101-0413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сеточкой</v>
      </c>
      <c r="E53" s="81" t="str">
        <f ca="1">PROPER(TRIM(_xlfn.XLOOKUP($A53,Строчный!$A:$A,Строчный!E:E,"ERR",0)))</f>
        <v>Animal Farm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GOORIN BROTHERS</v>
      </c>
      <c r="H53" s="81" t="str">
        <f ca="1">LOWER(TRIM(_xlfn.XLOOKUP($A53,Строчный!$A:$A,Строчный!H:H,"ERR",0)))</f>
        <v>blk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57% полиэстер - 43%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832</v>
      </c>
      <c r="R53" s="89" t="str">
        <f ca="1">_xlfn.XLOOKUP($G53,Фабрика!A:A,Фабрика!B:B,"ERR",0)</f>
        <v>Goorin Brothers Inc; 1269 Howard street, San Fancisco, CA 94103, USA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288</v>
      </c>
      <c r="U53" s="14" t="s">
        <v>265</v>
      </c>
      <c r="V53" s="101" t="str">
        <f t="shared" ca="1" si="3"/>
        <v>Бейсболка GOORIN BROTHERS арт. 101-0413 (черный)</v>
      </c>
      <c r="W53" s="100" t="str">
        <f t="shared" ca="1" si="4"/>
        <v>Бейсболка GOORIN BROTHERS арт. 101-0413 (черный) {blk}</v>
      </c>
      <c r="X53" s="18" t="str">
        <f t="shared" ca="1" si="7"/>
        <v>черный</v>
      </c>
      <c r="Y53" s="18" t="str">
        <f t="shared" ca="1" si="8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91-662-09-00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SUMIF(Марка!A:A,G53,Марка!B:B)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91-662-06</v>
      </c>
      <c r="B54" s="107" t="str">
        <f ca="1">_xlfn.LET(_xlpm.CAPS,0,_xlpm.Style,TRIM(_xlfn.XLOOKUP($A54,Строчный!$A:$A,Строчный!B:B,"ERR",0)),IF(_xlpm.CAPS=0,_xlpm.Style,LOWER(_xlpm.Style)))</f>
        <v>101-0413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81" t="str">
        <f ca="1">PROPER(TRIM(_xlfn.XLOOKUP($A54,Строчный!$A:$A,Строчный!E:E,"ERR",0)))</f>
        <v>Animal Farm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GOORIN BROTHERS</v>
      </c>
      <c r="H54" s="81" t="str">
        <f ca="1">LOWER(TRIM(_xlfn.XLOOKUP($A54,Строчный!$A:$A,Строчный!H:H,"ERR",0)))</f>
        <v>blu</v>
      </c>
      <c r="I54" s="81" t="str">
        <f ca="1">LOWER(TRIM(_xlfn.XLOOKUP($A54,Строчный!$A:$A,Строчный!I:I,"ERR",0)))</f>
        <v>синий</v>
      </c>
      <c r="J54" s="81" t="str">
        <f ca="1">SUBSTITUTE(LOWER(TRIM(_xlfn.XLOOKUP($A54,Строчный!$A:$A,Строчный!J:J,"ERR",0))),"подклад","Подклад")</f>
        <v>57% полиэстер - 43%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832</v>
      </c>
      <c r="R54" s="89" t="str">
        <f ca="1">_xlfn.XLOOKUP($G54,Фабрика!A:A,Фабрика!B:B,"ERR",0)</f>
        <v>Goorin Brothers Inc; 1269 Howard street, San Fancisco, CA 94103, USA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288</v>
      </c>
      <c r="U54" s="14" t="s">
        <v>265</v>
      </c>
      <c r="V54" s="101" t="str">
        <f t="shared" ca="1" si="3"/>
        <v>Бейсболка GOORIN BROTHERS арт. 101-0413 (синий)</v>
      </c>
      <c r="W54" s="100" t="str">
        <f t="shared" ca="1" si="4"/>
        <v>Бейсболка GOORIN BROTHERS арт. 101-0413 (синий) {blu}</v>
      </c>
      <c r="X54" s="18" t="str">
        <f t="shared" ref="X54:X117" ca="1" si="9">IFERROR(MID(I54,FIND("-",I54)+1,LEN(I54)),IFERROR(MID(I54,1,FIND("/",I54)-2),I54))</f>
        <v>синий</v>
      </c>
      <c r="Y54" s="18" t="str">
        <f t="shared" ref="Y54:Y117" ca="1" si="10">IFERROR(MID(I54,FIND("-",I54)+1,LEN(I54)),IFERROR(MID(I54,FIND("/",I54)+2,LEN(I54)),I54))</f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91-662-06-00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06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SUMIF(Марка!A:A,G54,Марка!B:B)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91-661-16</v>
      </c>
      <c r="B55" s="107" t="str">
        <f ca="1">_xlfn.LET(_xlpm.CAPS,0,_xlpm.Style,TRIM(_xlfn.XLOOKUP($A55,Строчный!$A:$A,Строчный!B:B,"ERR",0)),IF(_xlpm.CAPS=0,_xlpm.Style,LOWER(_xlpm.Style)))</f>
        <v>101-0411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81" t="str">
        <f ca="1">PROPER(TRIM(_xlfn.XLOOKUP($A55,Строчный!$A:$A,Строчный!E:E,"ERR",0)))</f>
        <v>Animal Farm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GOORIN BROTHERS</v>
      </c>
      <c r="H55" s="81" t="str">
        <f ca="1">LOWER(TRIM(_xlfn.XLOOKUP($A55,Строчный!$A:$A,Строчный!H:H,"ERR",0)))</f>
        <v>nvy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57% полиэстер - 43%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832</v>
      </c>
      <c r="R55" s="89" t="str">
        <f ca="1">_xlfn.XLOOKUP($G55,Фабрика!A:A,Фабрика!B:B,"ERR",0)</f>
        <v>Goorin Brothers Inc; 1269 Howard street, San Fancisco, CA 94103, USA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144</v>
      </c>
      <c r="U55" s="14" t="s">
        <v>265</v>
      </c>
      <c r="V55" s="101" t="str">
        <f t="shared" ca="1" si="3"/>
        <v>Бейсболка GOORIN BROTHERS арт. 101-0411 (темно-синий)</v>
      </c>
      <c r="W55" s="100" t="str">
        <f t="shared" ca="1" si="4"/>
        <v>Бейсболка GOORIN BROTHERS арт. 101-0411 (темно-синий) {nvy}</v>
      </c>
      <c r="X55" s="18" t="str">
        <f t="shared" ca="1" si="9"/>
        <v>синий</v>
      </c>
      <c r="Y55" s="18" t="str">
        <f t="shared" ca="1" si="10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91-661-16-00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SUMIF(Марка!A:A,G55,Марка!B:B)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91-660-12</v>
      </c>
      <c r="B56" s="107" t="str">
        <f ca="1">_xlfn.LET(_xlpm.CAPS,0,_xlpm.Style,TRIM(_xlfn.XLOOKUP($A56,Строчный!$A:$A,Строчный!B:B,"ERR",0)),IF(_xlpm.CAPS=0,_xlpm.Style,LOWER(_xlpm.Style)))</f>
        <v>101-0409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Animal Farm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GOORIN BROTHERS</v>
      </c>
      <c r="H56" s="81" t="str">
        <f ca="1">LOWER(TRIM(_xlfn.XLOOKUP($A56,Строчный!$A:$A,Строчный!H:H,"ERR",0)))</f>
        <v>mar</v>
      </c>
      <c r="I56" s="81" t="str">
        <f ca="1">LOWER(TRIM(_xlfn.XLOOKUP($A56,Строчный!$A:$A,Строчный!I:I,"ERR",0)))</f>
        <v>бордовый</v>
      </c>
      <c r="J56" s="81" t="str">
        <f ca="1">SUBSTITUTE(LOWER(TRIM(_xlfn.XLOOKUP($A56,Строчный!$A:$A,Строчный!J:J,"ERR",0))),"подклад","Подклад")</f>
        <v>57% полиэстер - 43%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832</v>
      </c>
      <c r="R56" s="89" t="str">
        <f ca="1">_xlfn.XLOOKUP($G56,Фабрика!A:A,Фабрика!B:B,"ERR",0)</f>
        <v>Goorin Brothers Inc; 1269 Howard street, San Fancisco, CA 94103, USA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192</v>
      </c>
      <c r="U56" s="14" t="s">
        <v>265</v>
      </c>
      <c r="V56" s="101" t="str">
        <f t="shared" ca="1" si="3"/>
        <v>Бейсболка GOORIN BROTHERS арт. 101-0409 (бордовый)</v>
      </c>
      <c r="W56" s="100" t="str">
        <f t="shared" ca="1" si="4"/>
        <v>Бейсболка GOORIN BROTHERS арт. 101-0409 (бордовый) {mar}</v>
      </c>
      <c r="X56" s="18" t="str">
        <f t="shared" ca="1" si="9"/>
        <v>бордовый</v>
      </c>
      <c r="Y56" s="18" t="str">
        <f t="shared" ca="1" si="10"/>
        <v>бордовый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бордовый</v>
      </c>
      <c r="AA56" s="73" t="str">
        <f ca="1"/>
        <v>91-660-12-00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12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SUMIF(Марка!A:A,G56,Марка!B:B)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91-659-73</v>
      </c>
      <c r="B57" s="107" t="str">
        <f ca="1">_xlfn.LET(_xlpm.CAPS,0,_xlpm.Style,TRIM(_xlfn.XLOOKUP($A57,Строчный!$A:$A,Строчный!B:B,"ERR",0)),IF(_xlpm.CAPS=0,_xlpm.Style,LOWER(_xlpm.Style)))</f>
        <v>101-0408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Animal Farm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GOORIN BROTHERS</v>
      </c>
      <c r="H57" s="81" t="str">
        <f ca="1">LOWER(TRIM(_xlfn.XLOOKUP($A57,Строчный!$A:$A,Строчный!H:H,"ERR",0)))</f>
        <v>oli</v>
      </c>
      <c r="I57" s="81" t="str">
        <f ca="1">LOWER(TRIM(_xlfn.XLOOKUP($A57,Строчный!$A:$A,Строчный!I:I,"ERR",0)))</f>
        <v>оливковый / кремовый</v>
      </c>
      <c r="J57" s="81" t="str">
        <f ca="1">SUBSTITUTE(LOWER(TRIM(_xlfn.XLOOKUP($A57,Строчный!$A:$A,Строчный!J:J,"ERR",0))),"подклад","Подклад")</f>
        <v>57% полиэстер - 43%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832</v>
      </c>
      <c r="R57" s="89" t="str">
        <f ca="1">_xlfn.XLOOKUP($G57,Фабрика!A:A,Фабрика!B:B,"ERR",0)</f>
        <v>Goorin Brothers Inc; 1269 Howard street, San Fancisco, CA 94103, USA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168</v>
      </c>
      <c r="U57" s="14" t="s">
        <v>265</v>
      </c>
      <c r="V57" s="101" t="str">
        <f t="shared" ca="1" si="3"/>
        <v>Бейсболка GOORIN BROTHERS арт. 101-0408 (оливковый / кремовый)</v>
      </c>
      <c r="W57" s="100" t="str">
        <f t="shared" ca="1" si="4"/>
        <v>Бейсболка GOORIN BROTHERS арт. 101-0408 (оливковый / кремовый) {oli}</v>
      </c>
      <c r="X57" s="18" t="str">
        <f t="shared" ca="1" si="9"/>
        <v>оливковый</v>
      </c>
      <c r="Y57" s="18" t="str">
        <f t="shared" ca="1" si="10"/>
        <v>кремовый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оливковый</v>
      </c>
      <c r="AA57" s="73" t="str">
        <f ca="1"/>
        <v>91-659-73-00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73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SUMIF(Марка!A:A,G57,Марка!B:B)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91-658-03</v>
      </c>
      <c r="B58" s="107" t="str">
        <f ca="1">_xlfn.LET(_xlpm.CAPS,0,_xlpm.Style,TRIM(_xlfn.XLOOKUP($A58,Строчный!$A:$A,Строчный!B:B,"ERR",0)),IF(_xlpm.CAPS=0,_xlpm.Style,LOWER(_xlpm.Style)))</f>
        <v>101-0407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Animal Farm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GOORIN BROTHERS</v>
      </c>
      <c r="H58" s="81" t="str">
        <f ca="1">LOWER(TRIM(_xlfn.XLOOKUP($A58,Строчный!$A:$A,Строчный!H:H,"ERR",0)))</f>
        <v>oli</v>
      </c>
      <c r="I58" s="81" t="str">
        <f ca="1">LOWER(TRIM(_xlfn.XLOOKUP($A58,Строчный!$A:$A,Строчный!I:I,"ERR",0)))</f>
        <v>оливковый</v>
      </c>
      <c r="J58" s="81" t="str">
        <f ca="1">SUBSTITUTE(LOWER(TRIM(_xlfn.XLOOKUP($A58,Строчный!$A:$A,Строчный!J:J,"ERR",0))),"подклад","Подклад")</f>
        <v>57% полиэстер - 43%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832</v>
      </c>
      <c r="R58" s="89" t="str">
        <f ca="1">_xlfn.XLOOKUP($G58,Фабрика!A:A,Фабрика!B:B,"ERR",0)</f>
        <v>Goorin Brothers Inc; 1269 Howard street, San Fancisco, CA 94103, USA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144</v>
      </c>
      <c r="U58" s="14" t="s">
        <v>265</v>
      </c>
      <c r="V58" s="101" t="str">
        <f t="shared" ca="1" si="3"/>
        <v>Бейсболка GOORIN BROTHERS арт. 101-0407 (оливковый)</v>
      </c>
      <c r="W58" s="100" t="str">
        <f t="shared" ca="1" si="4"/>
        <v>Бейсболка GOORIN BROTHERS арт. 101-0407 (оливковый) {oli}</v>
      </c>
      <c r="X58" s="18" t="str">
        <f t="shared" ca="1" si="9"/>
        <v>оливковый</v>
      </c>
      <c r="Y58" s="18" t="str">
        <f t="shared" ca="1" si="10"/>
        <v>оливковый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оливковый</v>
      </c>
      <c r="AA58" s="73" t="str">
        <f ca="1"/>
        <v>91-658-03-00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03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SUMIF(Марка!A:A,G58,Марка!B:B)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91-657-09</v>
      </c>
      <c r="B59" s="107" t="str">
        <f ca="1">_xlfn.LET(_xlpm.CAPS,0,_xlpm.Style,TRIM(_xlfn.XLOOKUP($A59,Строчный!$A:$A,Строчный!B:B,"ERR",0)),IF(_xlpm.CAPS=0,_xlpm.Style,LOWER(_xlpm.Style)))</f>
        <v>101-0399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Animal Farm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GOORIN BROTHERS</v>
      </c>
      <c r="H59" s="81" t="str">
        <f ca="1">LOWER(TRIM(_xlfn.XLOOKUP($A59,Строчный!$A:$A,Строчный!H:H,"ERR",0)))</f>
        <v>blk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57% полиэстер - 43%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832</v>
      </c>
      <c r="R59" s="89" t="str">
        <f ca="1">_xlfn.XLOOKUP($G59,Фабрика!A:A,Фабрика!B:B,"ERR",0)</f>
        <v>Goorin Brothers Inc; 1269 Howard street, San Fancisco, CA 94103, USA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336</v>
      </c>
      <c r="U59" s="14" t="s">
        <v>265</v>
      </c>
      <c r="V59" s="101" t="str">
        <f t="shared" ca="1" si="3"/>
        <v>Бейсболка GOORIN BROTHERS арт. 101-0399 (черный)</v>
      </c>
      <c r="W59" s="100" t="str">
        <f t="shared" ca="1" si="4"/>
        <v>Бейсболка GOORIN BROTHERS арт. 101-0399 (черный) {blk}</v>
      </c>
      <c r="X59" s="18" t="str">
        <f t="shared" ca="1" si="9"/>
        <v>черный</v>
      </c>
      <c r="Y59" s="18" t="str">
        <f t="shared" ca="1" si="10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91-657-09-00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09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SUMIF(Марка!A:A,G59,Марка!B:B)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91-656-06</v>
      </c>
      <c r="B60" s="107" t="str">
        <f ca="1">_xlfn.LET(_xlpm.CAPS,0,_xlpm.Style,TRIM(_xlfn.XLOOKUP($A60,Строчный!$A:$A,Строчный!B:B,"ERR",0)),IF(_xlpm.CAPS=0,_xlpm.Style,LOWER(_xlpm.Style)))</f>
        <v>101-0397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Animal Farm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GOORIN BROTHERS</v>
      </c>
      <c r="H60" s="81" t="str">
        <f ca="1">LOWER(TRIM(_xlfn.XLOOKUP($A60,Строчный!$A:$A,Строчный!H:H,"ERR",0)))</f>
        <v>blu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57% полиэстер - 43%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832</v>
      </c>
      <c r="R60" s="89" t="str">
        <f ca="1">_xlfn.XLOOKUP($G60,Фабрика!A:A,Фабрика!B:B,"ERR",0)</f>
        <v>Goorin Brothers Inc; 1269 Howard street, San Fancisco, CA 94103, USA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240</v>
      </c>
      <c r="U60" s="14" t="s">
        <v>265</v>
      </c>
      <c r="V60" s="101" t="str">
        <f t="shared" ca="1" si="3"/>
        <v>Бейсболка GOORIN BROTHERS арт. 101-0397 (синий)</v>
      </c>
      <c r="W60" s="100" t="str">
        <f t="shared" ca="1" si="4"/>
        <v>Бейсболка GOORIN BROTHERS арт. 101-0397 (синий) {blu}</v>
      </c>
      <c r="X60" s="18" t="str">
        <f t="shared" ca="1" si="9"/>
        <v>синий</v>
      </c>
      <c r="Y60" s="18" t="str">
        <f t="shared" ca="1" si="10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91-656-06-00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06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SUMIF(Марка!A:A,G60,Марка!B:B)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91-655-00</v>
      </c>
      <c r="B61" s="107" t="str">
        <f ca="1">_xlfn.LET(_xlpm.CAPS,0,_xlpm.Style,TRIM(_xlfn.XLOOKUP($A61,Строчный!$A:$A,Строчный!B:B,"ERR",0)),IF(_xlpm.CAPS=0,_xlpm.Style,LOWER(_xlpm.Style)))</f>
        <v>101-0396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сеточкой</v>
      </c>
      <c r="E61" s="81" t="str">
        <f ca="1">PROPER(TRIM(_xlfn.XLOOKUP($A61,Строчный!$A:$A,Строчный!E:E,"ERR",0)))</f>
        <v>Animal Farm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GOORIN BROTHERS</v>
      </c>
      <c r="H61" s="81" t="str">
        <f ca="1">LOWER(TRIM(_xlfn.XLOOKUP($A61,Строчный!$A:$A,Строчный!H:H,"ERR",0)))</f>
        <v>whi</v>
      </c>
      <c r="I61" s="81" t="str">
        <f ca="1">LOWER(TRIM(_xlfn.XLOOKUP($A61,Строчный!$A:$A,Строчный!I:I,"ERR",0)))</f>
        <v>камуфляж / белый</v>
      </c>
      <c r="J61" s="81" t="str">
        <f ca="1">SUBSTITUTE(LOWER(TRIM(_xlfn.XLOOKUP($A61,Строчный!$A:$A,Строчный!J:J,"ERR",0))),"подклад","Подклад")</f>
        <v>57% полиэстер - 43%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832</v>
      </c>
      <c r="R61" s="89" t="str">
        <f ca="1">_xlfn.XLOOKUP($G61,Фабрика!A:A,Фабрика!B:B,"ERR",0)</f>
        <v>Goorin Brothers Inc; 1269 Howard street, San Fancisco, CA 94103, USA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144</v>
      </c>
      <c r="U61" s="14" t="s">
        <v>265</v>
      </c>
      <c r="V61" s="101" t="str">
        <f t="shared" ca="1" si="3"/>
        <v>Бейсболка GOORIN BROTHERS арт. 101-0396 (камуфляж / белый)</v>
      </c>
      <c r="W61" s="100" t="str">
        <f t="shared" ca="1" si="4"/>
        <v>Бейсболка GOORIN BROTHERS арт. 101-0396 (камуфляж / белый) {whi}</v>
      </c>
      <c r="X61" s="18" t="str">
        <f t="shared" ca="1" si="9"/>
        <v>камуфляж</v>
      </c>
      <c r="Y61" s="18" t="str">
        <f t="shared" ca="1" si="10"/>
        <v>белый</v>
      </c>
      <c r="Z61" s="117" t="s">
        <v>54</v>
      </c>
      <c r="AA61" s="73" t="str">
        <f ca="1"/>
        <v>91-655-00-00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00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>SUMIF(Цвет!A:A,Z61,Цвет!B:B)</f>
        <v>1</v>
      </c>
      <c r="AQ61" s="97">
        <f ca="1">_xlfn.XLOOKUP(L61,Пол!A:A,Пол!B:B,0,0)</f>
        <v>1</v>
      </c>
      <c r="AR61" s="97">
        <f ca="1">SUMIF(Марка!A:A,G61,Марка!B:B)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91-654-72</v>
      </c>
      <c r="B62" s="107" t="str">
        <f ca="1">_xlfn.LET(_xlpm.CAPS,0,_xlpm.Style,TRIM(_xlfn.XLOOKUP($A62,Строчный!$A:$A,Строчный!B:B,"ERR",0)),IF(_xlpm.CAPS=0,_xlpm.Style,LOWER(_xlpm.Style)))</f>
        <v>101-0395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сеточкой</v>
      </c>
      <c r="E62" s="81" t="str">
        <f ca="1">PROPER(TRIM(_xlfn.XLOOKUP($A62,Строчный!$A:$A,Строчный!E:E,"ERR",0)))</f>
        <v>Animal Farm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GOORIN BROTHERS</v>
      </c>
      <c r="H62" s="81" t="str">
        <f ca="1">LOWER(TRIM(_xlfn.XLOOKUP($A62,Строчный!$A:$A,Строчный!H:H,"ERR",0)))</f>
        <v>whi</v>
      </c>
      <c r="I62" s="81" t="str">
        <f ca="1">LOWER(TRIM(_xlfn.XLOOKUP($A62,Строчный!$A:$A,Строчный!I:I,"ERR",0)))</f>
        <v>черный / белый</v>
      </c>
      <c r="J62" s="81" t="str">
        <f ca="1">SUBSTITUTE(LOWER(TRIM(_xlfn.XLOOKUP($A62,Строчный!$A:$A,Строчный!J:J,"ERR",0))),"подклад","Подклад")</f>
        <v>57% полиэстер - 43%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832</v>
      </c>
      <c r="R62" s="89" t="str">
        <f ca="1">_xlfn.XLOOKUP($G62,Фабрика!A:A,Фабрика!B:B,"ERR",0)</f>
        <v>Goorin Brothers Inc; 1269 Howard street, San Fancisco, CA 94103, USA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360</v>
      </c>
      <c r="U62" s="14" t="s">
        <v>265</v>
      </c>
      <c r="V62" s="101" t="str">
        <f t="shared" ca="1" si="3"/>
        <v>Бейсболка GOORIN BROTHERS арт. 101-0395 (черный / белый)</v>
      </c>
      <c r="W62" s="100" t="str">
        <f t="shared" ca="1" si="4"/>
        <v>Бейсболка GOORIN BROTHERS арт. 101-0395 (черный / белый) {whi}</v>
      </c>
      <c r="X62" s="18" t="str">
        <f t="shared" ca="1" si="9"/>
        <v>черный</v>
      </c>
      <c r="Y62" s="18" t="str">
        <f t="shared" ca="1" si="10"/>
        <v>белый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91-654-72-00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72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SUMIF(Марка!A:A,G62,Марка!B:B)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91-654-35</v>
      </c>
      <c r="B63" s="107" t="str">
        <f ca="1">_xlfn.LET(_xlpm.CAPS,0,_xlpm.Style,TRIM(_xlfn.XLOOKUP($A63,Строчный!$A:$A,Строчный!B:B,"ERR",0)),IF(_xlpm.CAPS=0,_xlpm.Style,LOWER(_xlpm.Style)))</f>
        <v>101-0395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81" t="str">
        <f ca="1">PROPER(TRIM(_xlfn.XLOOKUP($A63,Строчный!$A:$A,Строчный!E:E,"ERR",0)))</f>
        <v>Animal Farm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GOORIN BROTHERS</v>
      </c>
      <c r="H63" s="81" t="str">
        <f ca="1">LOWER(TRIM(_xlfn.XLOOKUP($A63,Строчный!$A:$A,Строчный!H:H,"ERR",0)))</f>
        <v>cor</v>
      </c>
      <c r="I63" s="81" t="str">
        <f ca="1">LOWER(TRIM(_xlfn.XLOOKUP($A63,Строчный!$A:$A,Строчный!I:I,"ERR",0)))</f>
        <v>коралловый / черный</v>
      </c>
      <c r="J63" s="81" t="str">
        <f ca="1">SUBSTITUTE(LOWER(TRIM(_xlfn.XLOOKUP($A63,Строчный!$A:$A,Строчный!J:J,"ERR",0))),"подклад","Подклад")</f>
        <v>57% полиэстер - 43%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832</v>
      </c>
      <c r="R63" s="89" t="str">
        <f ca="1">_xlfn.XLOOKUP($G63,Фабрика!A:A,Фабрика!B:B,"ERR",0)</f>
        <v>Goorin Brothers Inc; 1269 Howard street, San Fancisco, CA 94103, USA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144</v>
      </c>
      <c r="U63" s="14" t="s">
        <v>265</v>
      </c>
      <c r="V63" s="101" t="str">
        <f t="shared" ca="1" si="3"/>
        <v>Бейсболка GOORIN BROTHERS арт. 101-0395 (коралловый / черный)</v>
      </c>
      <c r="W63" s="100" t="str">
        <f t="shared" ca="1" si="4"/>
        <v>Бейсболка GOORIN BROTHERS арт. 101-0395 (коралловый / черный) {cor}</v>
      </c>
      <c r="X63" s="18" t="str">
        <f t="shared" ca="1" si="9"/>
        <v>коралловый</v>
      </c>
      <c r="Y63" s="18" t="str">
        <f t="shared" ca="1" si="10"/>
        <v>черный</v>
      </c>
      <c r="Z63" s="117" t="s">
        <v>123</v>
      </c>
      <c r="AA63" s="73" t="str">
        <f ca="1"/>
        <v>91-654-35-00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35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>SUMIF(Цвет!A:A,Z63,Цвет!B:B)</f>
        <v>1</v>
      </c>
      <c r="AQ63" s="97">
        <f ca="1">_xlfn.XLOOKUP(L63,Пол!A:A,Пол!B:B,0,0)</f>
        <v>1</v>
      </c>
      <c r="AR63" s="97">
        <f ca="1">SUMIF(Марка!A:A,G63,Марка!B:B)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91-654-06</v>
      </c>
      <c r="B64" s="107" t="str">
        <f ca="1">_xlfn.LET(_xlpm.CAPS,0,_xlpm.Style,TRIM(_xlfn.XLOOKUP($A64,Строчный!$A:$A,Строчный!B:B,"ERR",0)),IF(_xlpm.CAPS=0,_xlpm.Style,LOWER(_xlpm.Style)))</f>
        <v>101-0395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Animal Farm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GOORIN BROTHERS</v>
      </c>
      <c r="H64" s="81" t="str">
        <f ca="1">LOWER(TRIM(_xlfn.XLOOKUP($A64,Строчный!$A:$A,Строчный!H:H,"ERR",0)))</f>
        <v>blu</v>
      </c>
      <c r="I64" s="81" t="str">
        <f ca="1">LOWER(TRIM(_xlfn.XLOOKUP($A64,Строчный!$A:$A,Строчный!I:I,"ERR",0)))</f>
        <v>синий</v>
      </c>
      <c r="J64" s="81" t="str">
        <f ca="1">SUBSTITUTE(LOWER(TRIM(_xlfn.XLOOKUP($A64,Строчный!$A:$A,Строчный!J:J,"ERR",0))),"подклад","Подклад")</f>
        <v>57% полиэстер - 43%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832</v>
      </c>
      <c r="R64" s="89" t="str">
        <f ca="1">_xlfn.XLOOKUP($G64,Фабрика!A:A,Фабрика!B:B,"ERR",0)</f>
        <v>Goorin Brothers Inc; 1269 Howard street, San Fancisco, CA 94103, USA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168</v>
      </c>
      <c r="U64" s="14" t="s">
        <v>265</v>
      </c>
      <c r="V64" s="101" t="str">
        <f t="shared" ca="1" si="3"/>
        <v>Бейсболка GOORIN BROTHERS арт. 101-0395 (синий)</v>
      </c>
      <c r="W64" s="100" t="str">
        <f t="shared" ca="1" si="4"/>
        <v>Бейсболка GOORIN BROTHERS арт. 101-0395 (синий) {blu}</v>
      </c>
      <c r="X64" s="18" t="str">
        <f t="shared" ca="1" si="9"/>
        <v>синий</v>
      </c>
      <c r="Y64" s="18" t="str">
        <f t="shared" ca="1" si="10"/>
        <v>синий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синий</v>
      </c>
      <c r="AA64" s="73" t="str">
        <f ca="1"/>
        <v>91-654-06-00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06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SUMIF(Марка!A:A,G64,Марка!B:B)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91-653-17</v>
      </c>
      <c r="B65" s="107" t="str">
        <f ca="1">_xlfn.LET(_xlpm.CAPS,0,_xlpm.Style,TRIM(_xlfn.XLOOKUP($A65,Строчный!$A:$A,Строчный!B:B,"ERR",0)),IF(_xlpm.CAPS=0,_xlpm.Style,LOWER(_xlpm.Style)))</f>
        <v>101-0393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Animal Farm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GOORIN BROTHERS</v>
      </c>
      <c r="H65" s="81" t="str">
        <f ca="1">LOWER(TRIM(_xlfn.XLOOKUP($A65,Строчный!$A:$A,Строчный!H:H,"ERR",0)))</f>
        <v>whi</v>
      </c>
      <c r="I65" s="81" t="str">
        <f ca="1">LOWER(TRIM(_xlfn.XLOOKUP($A65,Строчный!$A:$A,Строчный!I:I,"ERR",0)))</f>
        <v>белый</v>
      </c>
      <c r="J65" s="81" t="str">
        <f ca="1">SUBSTITUTE(LOWER(TRIM(_xlfn.XLOOKUP($A65,Строчный!$A:$A,Строчный!J:J,"ERR",0))),"подклад","Подклад")</f>
        <v>57% полиэстер - 43%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832</v>
      </c>
      <c r="R65" s="89" t="str">
        <f ca="1">_xlfn.XLOOKUP($G65,Фабрика!A:A,Фабрика!B:B,"ERR",0)</f>
        <v>Goorin Brothers Inc; 1269 Howard street, San Fancisco, CA 94103, USA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266</v>
      </c>
      <c r="U65" s="14" t="s">
        <v>265</v>
      </c>
      <c r="V65" s="101" t="str">
        <f t="shared" ca="1" si="3"/>
        <v>Бейсболка GOORIN BROTHERS арт. 101-0393 (белый)</v>
      </c>
      <c r="W65" s="100" t="str">
        <f t="shared" ca="1" si="4"/>
        <v>Бейсболка GOORIN BROTHERS арт. 101-0393 (белый) {whi}</v>
      </c>
      <c r="X65" s="18" t="str">
        <f t="shared" ca="1" si="9"/>
        <v>белый</v>
      </c>
      <c r="Y65" s="18" t="str">
        <f t="shared" ca="1" si="10"/>
        <v>белый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белый</v>
      </c>
      <c r="AA65" s="73" t="str">
        <f ca="1"/>
        <v>91-653-17-00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17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SUMIF(Марка!A:A,G65,Марка!B:B)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91-653-09</v>
      </c>
      <c r="B66" s="107" t="str">
        <f ca="1">_xlfn.LET(_xlpm.CAPS,0,_xlpm.Style,TRIM(_xlfn.XLOOKUP($A66,Строчный!$A:$A,Строчный!B:B,"ERR",0)),IF(_xlpm.CAPS=0,_xlpm.Style,LOWER(_xlpm.Style)))</f>
        <v>101-0393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Animal Farm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GOORIN BROTHERS</v>
      </c>
      <c r="H66" s="81" t="str">
        <f ca="1">LOWER(TRIM(_xlfn.XLOOKUP($A66,Строчный!$A:$A,Строчный!H:H,"ERR",0)))</f>
        <v>blk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57% полиэстер - 43%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832</v>
      </c>
      <c r="R66" s="89" t="str">
        <f ca="1">_xlfn.XLOOKUP($G66,Фабрика!A:A,Фабрика!B:B,"ERR",0)</f>
        <v>Goorin Brothers Inc; 1269 Howard street, San Fancisco, CA 94103, USA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436</v>
      </c>
      <c r="U66" s="14" t="s">
        <v>265</v>
      </c>
      <c r="V66" s="101" t="str">
        <f t="shared" ca="1" si="3"/>
        <v>Бейсболка GOORIN BROTHERS арт. 101-0393 (черный)</v>
      </c>
      <c r="W66" s="100" t="str">
        <f t="shared" ca="1" si="4"/>
        <v>Бейсболка GOORIN BROTHERS арт. 101-0393 (черный) {blk}</v>
      </c>
      <c r="X66" s="18" t="str">
        <f t="shared" ca="1" si="9"/>
        <v>черный</v>
      </c>
      <c r="Y66" s="18" t="str">
        <f t="shared" ca="1" si="10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91-653-09-00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09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SUMIF(Марка!A:A,G66,Марка!B:B)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91-652-17</v>
      </c>
      <c r="B67" s="107" t="str">
        <f ca="1">_xlfn.LET(_xlpm.CAPS,0,_xlpm.Style,TRIM(_xlfn.XLOOKUP($A67,Строчный!$A:$A,Строчный!B:B,"ERR",0)),IF(_xlpm.CAPS=0,_xlpm.Style,LOWER(_xlpm.Style)))</f>
        <v>101-0392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Animal Farm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GOORIN BROTHERS</v>
      </c>
      <c r="H67" s="81" t="str">
        <f ca="1">LOWER(TRIM(_xlfn.XLOOKUP($A67,Строчный!$A:$A,Строчный!H:H,"ERR",0)))</f>
        <v>whi</v>
      </c>
      <c r="I67" s="81" t="str">
        <f ca="1">LOWER(TRIM(_xlfn.XLOOKUP($A67,Строчный!$A:$A,Строчный!I:I,"ERR",0)))</f>
        <v>белый</v>
      </c>
      <c r="J67" s="81" t="str">
        <f ca="1">SUBSTITUTE(LOWER(TRIM(_xlfn.XLOOKUP($A67,Строчный!$A:$A,Строчный!J:J,"ERR",0))),"подклад","Подклад")</f>
        <v>57% полиэстер - 43%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832</v>
      </c>
      <c r="R67" s="89" t="str">
        <f ca="1">_xlfn.XLOOKUP($G67,Фабрика!A:A,Фабрика!B:B,"ERR",0)</f>
        <v>Goorin Brothers Inc; 1269 Howard street, San Fancisco, CA 94103, USA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314</v>
      </c>
      <c r="U67" s="14" t="s">
        <v>265</v>
      </c>
      <c r="V67" s="101" t="str">
        <f t="shared" ref="V67:V117" ca="1" si="12">TRIM(CONCATENATE(AB67," ",G67," арт. ",B67," (",I67,")"))</f>
        <v>Бейсболка GOORIN BROTHERS арт. 101-0392 (белый)</v>
      </c>
      <c r="W67" s="100" t="str">
        <f t="shared" ref="W67:W117" ca="1" si="13">TRIM(CONCATENATE(AB67," ",G67," арт. ",B67," (",I67,") {",H67,"}"))</f>
        <v>Бейсболка GOORIN BROTHERS арт. 101-0392 (белый) {whi}</v>
      </c>
      <c r="X67" s="18" t="str">
        <f t="shared" ca="1" si="9"/>
        <v>белый</v>
      </c>
      <c r="Y67" s="18" t="str">
        <f t="shared" ca="1" si="10"/>
        <v>белый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белый</v>
      </c>
      <c r="AA67" s="73" t="str">
        <f ca="1"/>
        <v>91-652-17-00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17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SUMIF(Марка!A:A,G67,Марка!B:B)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91-652-09</v>
      </c>
      <c r="B68" s="107" t="str">
        <f ca="1">_xlfn.LET(_xlpm.CAPS,0,_xlpm.Style,TRIM(_xlfn.XLOOKUP($A68,Строчный!$A:$A,Строчный!B:B,"ERR",0)),IF(_xlpm.CAPS=0,_xlpm.Style,LOWER(_xlpm.Style)))</f>
        <v>101-0392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Animal Farm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GOORIN BROTHERS</v>
      </c>
      <c r="H68" s="81" t="str">
        <f ca="1">LOWER(TRIM(_xlfn.XLOOKUP($A68,Строчный!$A:$A,Строчный!H:H,"ERR",0)))</f>
        <v>blk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57% полиэстер - 43%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832</v>
      </c>
      <c r="R68" s="89" t="str">
        <f ca="1">_xlfn.XLOOKUP($G68,Фабрика!A:A,Фабрика!B:B,"ERR",0)</f>
        <v>Goorin Brothers Inc; 1269 Howard street, San Fancisco, CA 94103, USA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144</v>
      </c>
      <c r="U68" s="14" t="s">
        <v>265</v>
      </c>
      <c r="V68" s="101" t="str">
        <f t="shared" ca="1" si="12"/>
        <v>Бейсболка GOORIN BROTHERS арт. 101-0392 (черный)</v>
      </c>
      <c r="W68" s="100" t="str">
        <f t="shared" ca="1" si="13"/>
        <v>Бейсболка GOORIN BROTHERS арт. 101-0392 (черный) {blk}</v>
      </c>
      <c r="X68" s="18" t="str">
        <f t="shared" ca="1" si="9"/>
        <v>черный</v>
      </c>
      <c r="Y68" s="18" t="str">
        <f t="shared" ca="1" si="10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91-652-09-00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SUMIF(Марка!A:A,G68,Марка!B:B)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91-651-17</v>
      </c>
      <c r="B69" s="107" t="str">
        <f ca="1">_xlfn.LET(_xlpm.CAPS,0,_xlpm.Style,TRIM(_xlfn.XLOOKUP($A69,Строчный!$A:$A,Строчный!B:B,"ERR",0)),IF(_xlpm.CAPS=0,_xlpm.Style,LOWER(_xlpm.Style)))</f>
        <v>101-0391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Animal Farm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GOORIN BROTHERS</v>
      </c>
      <c r="H69" s="81" t="str">
        <f ca="1">LOWER(TRIM(_xlfn.XLOOKUP($A69,Строчный!$A:$A,Строчный!H:H,"ERR",0)))</f>
        <v>whi</v>
      </c>
      <c r="I69" s="81" t="str">
        <f ca="1">LOWER(TRIM(_xlfn.XLOOKUP($A69,Строчный!$A:$A,Строчный!I:I,"ERR",0)))</f>
        <v>белый</v>
      </c>
      <c r="J69" s="81" t="str">
        <f ca="1">SUBSTITUTE(LOWER(TRIM(_xlfn.XLOOKUP($A69,Строчный!$A:$A,Строчный!J:J,"ERR",0))),"подклад","Подклад")</f>
        <v>57% полиэстер - 43%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832</v>
      </c>
      <c r="R69" s="89" t="str">
        <f ca="1">_xlfn.XLOOKUP($G69,Фабрика!A:A,Фабрика!B:B,"ERR",0)</f>
        <v>Goorin Brothers Inc; 1269 Howard street, San Fancisco, CA 94103, USA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290</v>
      </c>
      <c r="U69" s="14" t="s">
        <v>265</v>
      </c>
      <c r="V69" s="101" t="str">
        <f t="shared" ca="1" si="12"/>
        <v>Бейсболка GOORIN BROTHERS арт. 101-0391 (белый)</v>
      </c>
      <c r="W69" s="100" t="str">
        <f t="shared" ca="1" si="13"/>
        <v>Бейсболка GOORIN BROTHERS арт. 101-0391 (белый) {whi}</v>
      </c>
      <c r="X69" s="18" t="str">
        <f t="shared" ca="1" si="9"/>
        <v>белый</v>
      </c>
      <c r="Y69" s="18" t="str">
        <f t="shared" ca="1" si="10"/>
        <v>белый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73" t="str">
        <f ca="1"/>
        <v>91-651-17-00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17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SUMIF(Марка!A:A,G69,Марка!B:B)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91-651-09</v>
      </c>
      <c r="B70" s="107" t="str">
        <f ca="1">_xlfn.LET(_xlpm.CAPS,0,_xlpm.Style,TRIM(_xlfn.XLOOKUP($A70,Строчный!$A:$A,Строчный!B:B,"ERR",0)),IF(_xlpm.CAPS=0,_xlpm.Style,LOWER(_xlpm.Style)))</f>
        <v>101-0391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Animal Farm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GOORIN BROTHERS</v>
      </c>
      <c r="H70" s="81" t="str">
        <f ca="1">LOWER(TRIM(_xlfn.XLOOKUP($A70,Строчный!$A:$A,Строчный!H:H,"ERR",0)))</f>
        <v>blk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57% полиэстер - 43%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832</v>
      </c>
      <c r="R70" s="89" t="str">
        <f ca="1">_xlfn.XLOOKUP($G70,Фабрика!A:A,Фабрика!B:B,"ERR",0)</f>
        <v>Goorin Brothers Inc; 1269 Howard street, San Fancisco, CA 94103, USA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146</v>
      </c>
      <c r="U70" s="14" t="s">
        <v>265</v>
      </c>
      <c r="V70" s="101" t="str">
        <f t="shared" ca="1" si="12"/>
        <v>Бейсболка GOORIN BROTHERS арт. 101-0391 (черный)</v>
      </c>
      <c r="W70" s="100" t="str">
        <f t="shared" ca="1" si="13"/>
        <v>Бейсболка GOORIN BROTHERS арт. 101-0391 (черный) {blk}</v>
      </c>
      <c r="X70" s="18" t="str">
        <f t="shared" ca="1" si="9"/>
        <v>черный</v>
      </c>
      <c r="Y70" s="18" t="str">
        <f t="shared" ca="1" si="10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91-651-09-00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SUMIF(Марка!A:A,G70,Марка!B:B)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91-650-16</v>
      </c>
      <c r="B71" s="107" t="str">
        <f ca="1">_xlfn.LET(_xlpm.CAPS,0,_xlpm.Style,TRIM(_xlfn.XLOOKUP($A71,Строчный!$A:$A,Строчный!B:B,"ERR",0)),IF(_xlpm.CAPS=0,_xlpm.Style,LOWER(_xlpm.Style)))</f>
        <v>101-0390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Animal Farm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GOORIN BROTHERS</v>
      </c>
      <c r="H71" s="81" t="str">
        <f ca="1">LOWER(TRIM(_xlfn.XLOOKUP($A71,Строчный!$A:$A,Строчный!H:H,"ERR",0)))</f>
        <v>nvy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57% полиэстер - 43%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832</v>
      </c>
      <c r="R71" s="89" t="str">
        <f ca="1">_xlfn.XLOOKUP($G71,Фабрика!A:A,Фабрика!B:B,"ERR",0)</f>
        <v>Goorin Brothers Inc; 1269 Howard street, San Fancisco, CA 94103, USA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144</v>
      </c>
      <c r="U71" s="14" t="s">
        <v>265</v>
      </c>
      <c r="V71" s="101" t="str">
        <f t="shared" ca="1" si="12"/>
        <v>Бейсболка GOORIN BROTHERS арт. 101-0390 (темно-синий)</v>
      </c>
      <c r="W71" s="100" t="str">
        <f t="shared" ca="1" si="13"/>
        <v>Бейсболка GOORIN BROTHERS арт. 101-0390 (темно-синий) {nvy}</v>
      </c>
      <c r="X71" s="18" t="str">
        <f t="shared" ca="1" si="9"/>
        <v>синий</v>
      </c>
      <c r="Y71" s="18" t="str">
        <f t="shared" ca="1" si="10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91-650-16-00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SUMIF(Марка!A:A,G71,Марка!B:B)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91-650-08</v>
      </c>
      <c r="B72" s="107" t="str">
        <f ca="1">_xlfn.LET(_xlpm.CAPS,0,_xlpm.Style,TRIM(_xlfn.XLOOKUP($A72,Строчный!$A:$A,Строчный!B:B,"ERR",0)),IF(_xlpm.CAPS=0,_xlpm.Style,LOWER(_xlpm.Style)))</f>
        <v>101-0390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Animal Farm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GOORIN BROTHERS</v>
      </c>
      <c r="H72" s="81" t="str">
        <f ca="1">LOWER(TRIM(_xlfn.XLOOKUP($A72,Строчный!$A:$A,Строчный!H:H,"ERR",0)))</f>
        <v>gry</v>
      </c>
      <c r="I72" s="81" t="str">
        <f ca="1">LOWER(TRIM(_xlfn.XLOOKUP($A72,Строчный!$A:$A,Строчный!I:I,"ERR",0)))</f>
        <v>серый</v>
      </c>
      <c r="J72" s="81" t="str">
        <f ca="1">SUBSTITUTE(LOWER(TRIM(_xlfn.XLOOKUP($A72,Строчный!$A:$A,Строчный!J:J,"ERR",0))),"подклад","Подклад")</f>
        <v>57% полиэстер - 43%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832</v>
      </c>
      <c r="R72" s="89" t="str">
        <f ca="1">_xlfn.XLOOKUP($G72,Фабрика!A:A,Фабрика!B:B,"ERR",0)</f>
        <v>Goorin Brothers Inc; 1269 Howard street, San Fancisco, CA 94103, USA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290</v>
      </c>
      <c r="U72" s="14" t="s">
        <v>265</v>
      </c>
      <c r="V72" s="101" t="str">
        <f t="shared" ca="1" si="12"/>
        <v>Бейсболка GOORIN BROTHERS арт. 101-0390 (серый)</v>
      </c>
      <c r="W72" s="100" t="str">
        <f t="shared" ca="1" si="13"/>
        <v>Бейсболка GOORIN BROTHERS арт. 101-0390 (серый) {gry}</v>
      </c>
      <c r="X72" s="18" t="str">
        <f t="shared" ca="1" si="9"/>
        <v>серый</v>
      </c>
      <c r="Y72" s="18" t="str">
        <f t="shared" ca="1" si="10"/>
        <v>серый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серый</v>
      </c>
      <c r="AA72" s="73" t="str">
        <f ca="1"/>
        <v>91-650-08-00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08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SUMIF(Марка!A:A,G72,Марка!B:B)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91-649-17</v>
      </c>
      <c r="B73" s="107" t="str">
        <f ca="1">_xlfn.LET(_xlpm.CAPS,0,_xlpm.Style,TRIM(_xlfn.XLOOKUP($A73,Строчный!$A:$A,Строчный!B:B,"ERR",0)),IF(_xlpm.CAPS=0,_xlpm.Style,LOWER(_xlpm.Style)))</f>
        <v>101-0389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Animal Farm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GOORIN BROTHERS</v>
      </c>
      <c r="H73" s="81" t="str">
        <f ca="1">LOWER(TRIM(_xlfn.XLOOKUP($A73,Строчный!$A:$A,Строчный!H:H,"ERR",0)))</f>
        <v>whi</v>
      </c>
      <c r="I73" s="81" t="str">
        <f ca="1">LOWER(TRIM(_xlfn.XLOOKUP($A73,Строчный!$A:$A,Строчный!I:I,"ERR",0)))</f>
        <v>белый</v>
      </c>
      <c r="J73" s="81" t="str">
        <f ca="1">SUBSTITUTE(LOWER(TRIM(_xlfn.XLOOKUP($A73,Строчный!$A:$A,Строчный!J:J,"ERR",0))),"подклад","Подклад")</f>
        <v>57% полиэстер - 43%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832</v>
      </c>
      <c r="R73" s="89" t="str">
        <f ca="1">_xlfn.XLOOKUP($G73,Фабрика!A:A,Фабрика!B:B,"ERR",0)</f>
        <v>Goorin Brothers Inc; 1269 Howard street, San Fancisco, CA 94103, USA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240</v>
      </c>
      <c r="U73" s="14" t="s">
        <v>265</v>
      </c>
      <c r="V73" s="101" t="str">
        <f t="shared" ca="1" si="12"/>
        <v>Бейсболка GOORIN BROTHERS арт. 101-0389 (белый)</v>
      </c>
      <c r="W73" s="100" t="str">
        <f t="shared" ca="1" si="13"/>
        <v>Бейсболка GOORIN BROTHERS арт. 101-0389 (белый) {whi}</v>
      </c>
      <c r="X73" s="18" t="str">
        <f t="shared" ca="1" si="9"/>
        <v>белый</v>
      </c>
      <c r="Y73" s="18" t="str">
        <f t="shared" ca="1" si="10"/>
        <v>белый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белый</v>
      </c>
      <c r="AA73" s="73" t="str">
        <f ca="1"/>
        <v>91-649-17-00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17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SUMIF(Марка!A:A,G73,Марка!B:B)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91-649-16</v>
      </c>
      <c r="B74" s="107" t="str">
        <f ca="1">_xlfn.LET(_xlpm.CAPS,0,_xlpm.Style,TRIM(_xlfn.XLOOKUP($A74,Строчный!$A:$A,Строчный!B:B,"ERR",0)),IF(_xlpm.CAPS=0,_xlpm.Style,LOWER(_xlpm.Style)))</f>
        <v>101-0389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Animal Farm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GOORIN BROTHERS</v>
      </c>
      <c r="H74" s="81" t="str">
        <f ca="1">LOWER(TRIM(_xlfn.XLOOKUP($A74,Строчный!$A:$A,Строчный!H:H,"ERR",0)))</f>
        <v>nvy</v>
      </c>
      <c r="I74" s="81" t="str">
        <f ca="1">LOWER(TRIM(_xlfn.XLOOKUP($A74,Строчный!$A:$A,Строчный!I:I,"ERR",0)))</f>
        <v>темно-синий</v>
      </c>
      <c r="J74" s="81" t="str">
        <f ca="1">SUBSTITUTE(LOWER(TRIM(_xlfn.XLOOKUP($A74,Строчный!$A:$A,Строчный!J:J,"ERR",0))),"подклад","Подклад")</f>
        <v>57% полиэстер - 43%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832</v>
      </c>
      <c r="R74" s="89" t="str">
        <f ca="1">_xlfn.XLOOKUP($G74,Фабрика!A:A,Фабрика!B:B,"ERR",0)</f>
        <v>Goorin Brothers Inc; 1269 Howard street, San Fancisco, CA 94103, USA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290</v>
      </c>
      <c r="U74" s="14" t="s">
        <v>265</v>
      </c>
      <c r="V74" s="101" t="str">
        <f t="shared" ca="1" si="12"/>
        <v>Бейсболка GOORIN BROTHERS арт. 101-0389 (темно-синий)</v>
      </c>
      <c r="W74" s="100" t="str">
        <f t="shared" ca="1" si="13"/>
        <v>Бейсболка GOORIN BROTHERS арт. 101-0389 (темно-синий) {nvy}</v>
      </c>
      <c r="X74" s="18" t="str">
        <f t="shared" ca="1" si="9"/>
        <v>синий</v>
      </c>
      <c r="Y74" s="18" t="str">
        <f t="shared" ca="1" si="10"/>
        <v>синий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синий</v>
      </c>
      <c r="AA74" s="73" t="str">
        <f ca="1"/>
        <v>91-649-16-00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16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SUMIF(Марка!A:A,G74,Марка!B:B)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91-649-09</v>
      </c>
      <c r="B75" s="107" t="str">
        <f ca="1">_xlfn.LET(_xlpm.CAPS,0,_xlpm.Style,TRIM(_xlfn.XLOOKUP($A75,Строчный!$A:$A,Строчный!B:B,"ERR",0)),IF(_xlpm.CAPS=0,_xlpm.Style,LOWER(_xlpm.Style)))</f>
        <v>101-0389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Animal Farm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GOORIN BROTHERS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57% полиэстер - 43%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832</v>
      </c>
      <c r="R75" s="89" t="str">
        <f ca="1">_xlfn.XLOOKUP($G75,Фабрика!A:A,Фабрика!B:B,"ERR",0)</f>
        <v>Goorin Brothers Inc; 1269 Howard street, San Fancisco, CA 94103, USA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146</v>
      </c>
      <c r="U75" s="14" t="s">
        <v>265</v>
      </c>
      <c r="V75" s="101" t="str">
        <f t="shared" ca="1" si="12"/>
        <v>Бейсболка GOORIN BROTHERS арт. 101-0389 (черный)</v>
      </c>
      <c r="W75" s="100" t="str">
        <f t="shared" ca="1" si="13"/>
        <v>Бейсболка GOORIN BROTHERS арт. 101-0389 (черный) {blk}</v>
      </c>
      <c r="X75" s="18" t="str">
        <f t="shared" ca="1" si="9"/>
        <v>черный</v>
      </c>
      <c r="Y75" s="18" t="str">
        <f t="shared" ca="1" si="10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91-649-09-00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09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SUMIF(Марка!A:A,G75,Марка!B:B)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91-649-08</v>
      </c>
      <c r="B76" s="107" t="str">
        <f ca="1">_xlfn.LET(_xlpm.CAPS,0,_xlpm.Style,TRIM(_xlfn.XLOOKUP($A76,Строчный!$A:$A,Строчный!B:B,"ERR",0)),IF(_xlpm.CAPS=0,_xlpm.Style,LOWER(_xlpm.Style)))</f>
        <v>101-0389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Animal Farm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GOORIN BROTHERS</v>
      </c>
      <c r="H76" s="81" t="str">
        <f ca="1">LOWER(TRIM(_xlfn.XLOOKUP($A76,Строчный!$A:$A,Строчный!H:H,"ERR",0)))</f>
        <v>sla</v>
      </c>
      <c r="I76" s="81" t="str">
        <f ca="1">LOWER(TRIM(_xlfn.XLOOKUP($A76,Строчный!$A:$A,Строчный!I:I,"ERR",0)))</f>
        <v>серый</v>
      </c>
      <c r="J76" s="81" t="str">
        <f ca="1">SUBSTITUTE(LOWER(TRIM(_xlfn.XLOOKUP($A76,Строчный!$A:$A,Строчный!J:J,"ERR",0))),"подклад","Подклад")</f>
        <v>57% полиэстер - 43%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832</v>
      </c>
      <c r="R76" s="89" t="str">
        <f ca="1">_xlfn.XLOOKUP($G76,Фабрика!A:A,Фабрика!B:B,"ERR",0)</f>
        <v>Goorin Brothers Inc; 1269 Howard street, San Fancisco, CA 94103, USA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144</v>
      </c>
      <c r="U76" s="14" t="s">
        <v>265</v>
      </c>
      <c r="V76" s="101" t="str">
        <f t="shared" ca="1" si="12"/>
        <v>Бейсболка GOORIN BROTHERS арт. 101-0389 (серый)</v>
      </c>
      <c r="W76" s="100" t="str">
        <f t="shared" ca="1" si="13"/>
        <v>Бейсболка GOORIN BROTHERS арт. 101-0389 (серый) {sla}</v>
      </c>
      <c r="X76" s="18" t="str">
        <f t="shared" ca="1" si="9"/>
        <v>серый</v>
      </c>
      <c r="Y76" s="18" t="str">
        <f t="shared" ca="1" si="10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91-649-08-00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08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SUMIF(Марка!A:A,G76,Марка!B:B)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91-648-72</v>
      </c>
      <c r="B77" s="107" t="str">
        <f ca="1">_xlfn.LET(_xlpm.CAPS,0,_xlpm.Style,TRIM(_xlfn.XLOOKUP($A77,Строчный!$A:$A,Строчный!B:B,"ERR",0)),IF(_xlpm.CAPS=0,_xlpm.Style,LOWER(_xlpm.Style)))</f>
        <v>101-0388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Animal Farm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GOORIN BROTHERS</v>
      </c>
      <c r="H77" s="81" t="str">
        <f ca="1">LOWER(TRIM(_xlfn.XLOOKUP($A77,Строчный!$A:$A,Строчный!H:H,"ERR",0)))</f>
        <v>blk</v>
      </c>
      <c r="I77" s="81" t="str">
        <f ca="1">LOWER(TRIM(_xlfn.XLOOKUP($A77,Строчный!$A:$A,Строчный!I:I,"ERR",0)))</f>
        <v>черный / белый</v>
      </c>
      <c r="J77" s="81" t="str">
        <f ca="1">SUBSTITUTE(LOWER(TRIM(_xlfn.XLOOKUP($A77,Строчный!$A:$A,Строчный!J:J,"ERR",0))),"подклад","Подклад")</f>
        <v>57% полиэстер - 43%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832</v>
      </c>
      <c r="R77" s="89" t="str">
        <f ca="1">_xlfn.XLOOKUP($G77,Фабрика!A:A,Фабрика!B:B,"ERR",0)</f>
        <v>Goorin Brothers Inc; 1269 Howard street, San Fancisco, CA 94103, USA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266</v>
      </c>
      <c r="U77" s="14" t="s">
        <v>265</v>
      </c>
      <c r="V77" s="101" t="str">
        <f t="shared" ca="1" si="12"/>
        <v>Бейсболка GOORIN BROTHERS арт. 101-0388 (черный / белый)</v>
      </c>
      <c r="W77" s="100" t="str">
        <f t="shared" ca="1" si="13"/>
        <v>Бейсболка GOORIN BROTHERS арт. 101-0388 (черный / белый) {blk}</v>
      </c>
      <c r="X77" s="18" t="str">
        <f t="shared" ca="1" si="9"/>
        <v>черный</v>
      </c>
      <c r="Y77" s="18" t="str">
        <f t="shared" ca="1" si="10"/>
        <v>белый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91-648-72-00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72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SUMIF(Марка!A:A,G77,Марка!B:B)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91-648-14</v>
      </c>
      <c r="B78" s="107" t="str">
        <f ca="1">_xlfn.LET(_xlpm.CAPS,0,_xlpm.Style,TRIM(_xlfn.XLOOKUP($A78,Строчный!$A:$A,Строчный!B:B,"ERR",0)),IF(_xlpm.CAPS=0,_xlpm.Style,LOWER(_xlpm.Style)))</f>
        <v>101-0388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Animal Farm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GOORIN BROTHERS</v>
      </c>
      <c r="H78" s="81" t="str">
        <f ca="1">LOWER(TRIM(_xlfn.XLOOKUP($A78,Строчный!$A:$A,Строчный!H:H,"ERR",0)))</f>
        <v>wky</v>
      </c>
      <c r="I78" s="81" t="str">
        <f ca="1">LOWER(TRIM(_xlfn.XLOOKUP($A78,Строчный!$A:$A,Строчный!I:I,"ERR",0)))</f>
        <v>коричневый</v>
      </c>
      <c r="J78" s="81" t="str">
        <f ca="1">SUBSTITUTE(LOWER(TRIM(_xlfn.XLOOKUP($A78,Строчный!$A:$A,Строчный!J:J,"ERR",0))),"подклад","Подклад")</f>
        <v>57% полиэстер - 43%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832</v>
      </c>
      <c r="R78" s="89" t="str">
        <f ca="1">_xlfn.XLOOKUP($G78,Фабрика!A:A,Фабрика!B:B,"ERR",0)</f>
        <v>Goorin Brothers Inc; 1269 Howard street, San Fancisco, CA 94103, USA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146</v>
      </c>
      <c r="U78" s="14" t="s">
        <v>265</v>
      </c>
      <c r="V78" s="101" t="str">
        <f t="shared" ca="1" si="12"/>
        <v>Бейсболка GOORIN BROTHERS арт. 101-0388 (коричневый)</v>
      </c>
      <c r="W78" s="100" t="str">
        <f t="shared" ca="1" si="13"/>
        <v>Бейсболка GOORIN BROTHERS арт. 101-0388 (коричневый) {wky}</v>
      </c>
      <c r="X78" s="18" t="str">
        <f t="shared" ca="1" si="9"/>
        <v>коричневый</v>
      </c>
      <c r="Y78" s="18" t="str">
        <f t="shared" ca="1" si="10"/>
        <v>коричневый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AA78" s="73" t="str">
        <f ca="1"/>
        <v>91-648-14-00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14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SUMIF(Марка!A:A,G78,Марка!B:B)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91-647-72</v>
      </c>
      <c r="B79" s="107" t="str">
        <f ca="1">_xlfn.LET(_xlpm.CAPS,0,_xlpm.Style,TRIM(_xlfn.XLOOKUP($A79,Строчный!$A:$A,Строчный!B:B,"ERR",0)),IF(_xlpm.CAPS=0,_xlpm.Style,LOWER(_xlpm.Style)))</f>
        <v>101-0387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Animal Farm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GOORIN BROTHERS</v>
      </c>
      <c r="H79" s="81" t="str">
        <f ca="1">LOWER(TRIM(_xlfn.XLOOKUP($A79,Строчный!$A:$A,Строчный!H:H,"ERR",0)))</f>
        <v>blk</v>
      </c>
      <c r="I79" s="81" t="str">
        <f ca="1">LOWER(TRIM(_xlfn.XLOOKUP($A79,Строчный!$A:$A,Строчный!I:I,"ERR",0)))</f>
        <v>черный / белый</v>
      </c>
      <c r="J79" s="81" t="str">
        <f ca="1">SUBSTITUTE(LOWER(TRIM(_xlfn.XLOOKUP($A79,Строчный!$A:$A,Строчный!J:J,"ERR",0))),"подклад","Подклад")</f>
        <v>57% полиэстер - 43%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832</v>
      </c>
      <c r="R79" s="89" t="str">
        <f ca="1">_xlfn.XLOOKUP($G79,Фабрика!A:A,Фабрика!B:B,"ERR",0)</f>
        <v>Goorin Brothers Inc; 1269 Howard street, San Fancisco, CA 94103, USA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168</v>
      </c>
      <c r="U79" s="14" t="s">
        <v>265</v>
      </c>
      <c r="V79" s="101" t="str">
        <f t="shared" ca="1" si="12"/>
        <v>Бейсболка GOORIN BROTHERS арт. 101-0387 (черный / белый)</v>
      </c>
      <c r="W79" s="100" t="str">
        <f t="shared" ca="1" si="13"/>
        <v>Бейсболка GOORIN BROTHERS арт. 101-0387 (черный / белый) {blk}</v>
      </c>
      <c r="X79" s="18" t="str">
        <f t="shared" ca="1" si="9"/>
        <v>черный</v>
      </c>
      <c r="Y79" s="18" t="str">
        <f t="shared" ca="1" si="10"/>
        <v>белый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91-647-72-00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72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SUMIF(Марка!A:A,G79,Марка!B:B)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91-647-17</v>
      </c>
      <c r="B80" s="107" t="str">
        <f ca="1">_xlfn.LET(_xlpm.CAPS,0,_xlpm.Style,TRIM(_xlfn.XLOOKUP($A80,Строчный!$A:$A,Строчный!B:B,"ERR",0)),IF(_xlpm.CAPS=0,_xlpm.Style,LOWER(_xlpm.Style)))</f>
        <v>101-0387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Animal Farm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GOORIN BROTHERS</v>
      </c>
      <c r="H80" s="81" t="str">
        <f ca="1">LOWER(TRIM(_xlfn.XLOOKUP($A80,Строчный!$A:$A,Строчный!H:H,"ERR",0)))</f>
        <v>ivo</v>
      </c>
      <c r="I80" s="81" t="str">
        <f ca="1">LOWER(TRIM(_xlfn.XLOOKUP($A80,Строчный!$A:$A,Строчный!I:I,"ERR",0)))</f>
        <v>белый</v>
      </c>
      <c r="J80" s="81" t="str">
        <f ca="1">SUBSTITUTE(LOWER(TRIM(_xlfn.XLOOKUP($A80,Строчный!$A:$A,Строчный!J:J,"ERR",0))),"подклад","Подклад")</f>
        <v>57% полиэстер - 43%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832</v>
      </c>
      <c r="R80" s="89" t="str">
        <f ca="1">_xlfn.XLOOKUP($G80,Фабрика!A:A,Фабрика!B:B,"ERR",0)</f>
        <v>Goorin Brothers Inc; 1269 Howard street, San Fancisco, CA 94103, USA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144</v>
      </c>
      <c r="U80" s="14" t="s">
        <v>265</v>
      </c>
      <c r="V80" s="101" t="str">
        <f t="shared" ca="1" si="12"/>
        <v>Бейсболка GOORIN BROTHERS арт. 101-0387 (белый)</v>
      </c>
      <c r="W80" s="100" t="str">
        <f t="shared" ca="1" si="13"/>
        <v>Бейсболка GOORIN BROTHERS арт. 101-0387 (белый) {ivo}</v>
      </c>
      <c r="X80" s="18" t="str">
        <f t="shared" ca="1" si="9"/>
        <v>белый</v>
      </c>
      <c r="Y80" s="18" t="str">
        <f t="shared" ca="1" si="10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белый</v>
      </c>
      <c r="AA80" s="73" t="str">
        <f ca="1"/>
        <v>91-647-17-00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17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SUMIF(Марка!A:A,G80,Марка!B:B)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91-646-09</v>
      </c>
      <c r="B81" s="107" t="str">
        <f ca="1">_xlfn.LET(_xlpm.CAPS,0,_xlpm.Style,TRIM(_xlfn.XLOOKUP($A81,Строчный!$A:$A,Строчный!B:B,"ERR",0)),IF(_xlpm.CAPS=0,_xlpm.Style,LOWER(_xlpm.Style)))</f>
        <v>101-0386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Animal Farm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GOORIN BROTHERS</v>
      </c>
      <c r="H81" s="81" t="str">
        <f ca="1">LOWER(TRIM(_xlfn.XLOOKUP($A81,Строчный!$A:$A,Строчный!H:H,"ERR",0)))</f>
        <v>blk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57% полиэстер - 43% хлопок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832</v>
      </c>
      <c r="R81" s="89" t="str">
        <f ca="1">_xlfn.XLOOKUP($G81,Фабрика!A:A,Фабрика!B:B,"ERR",0)</f>
        <v>Goorin Brothers Inc; 1269 Howard street, San Fancisco, CA 94103, USA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600</v>
      </c>
      <c r="U81" s="14" t="s">
        <v>265</v>
      </c>
      <c r="V81" s="101" t="str">
        <f t="shared" ca="1" si="12"/>
        <v>Бейсболка GOORIN BROTHERS арт. 101-0386 (черный)</v>
      </c>
      <c r="W81" s="100" t="str">
        <f t="shared" ca="1" si="13"/>
        <v>Бейсболка GOORIN BROTHERS арт. 101-0386 (черный) {blk}</v>
      </c>
      <c r="X81" s="18" t="str">
        <f t="shared" ca="1" si="9"/>
        <v>черный</v>
      </c>
      <c r="Y81" s="18" t="str">
        <f t="shared" ca="1" si="10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91-646-09-00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SUMIF(Марка!A:A,G81,Марка!B:B)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91-645-72</v>
      </c>
      <c r="B82" s="107" t="str">
        <f ca="1">_xlfn.LET(_xlpm.CAPS,0,_xlpm.Style,TRIM(_xlfn.XLOOKUP($A82,Строчный!$A:$A,Строчный!B:B,"ERR",0)),IF(_xlpm.CAPS=0,_xlpm.Style,LOWER(_xlpm.Style)))</f>
        <v>101-0384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Animal Farm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GOORIN BROTHERS</v>
      </c>
      <c r="H82" s="81" t="str">
        <f ca="1">LOWER(TRIM(_xlfn.XLOOKUP($A82,Строчный!$A:$A,Строчный!H:H,"ERR",0)))</f>
        <v>whi</v>
      </c>
      <c r="I82" s="81" t="str">
        <f ca="1">LOWER(TRIM(_xlfn.XLOOKUP($A82,Строчный!$A:$A,Строчный!I:I,"ERR",0)))</f>
        <v>черный / белый</v>
      </c>
      <c r="J82" s="81" t="str">
        <f ca="1">SUBSTITUTE(LOWER(TRIM(_xlfn.XLOOKUP($A82,Строчный!$A:$A,Строчный!J:J,"ERR",0))),"подклад","Подклад")</f>
        <v>57% полиэстер - 43% хлопок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832</v>
      </c>
      <c r="R82" s="89" t="str">
        <f ca="1">_xlfn.XLOOKUP($G82,Фабрика!A:A,Фабрика!B:B,"ERR",0)</f>
        <v>Goorin Brothers Inc; 1269 Howard street, San Fancisco, CA 94103, USA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384</v>
      </c>
      <c r="U82" s="14" t="s">
        <v>265</v>
      </c>
      <c r="V82" s="101" t="str">
        <f t="shared" ca="1" si="12"/>
        <v>Бейсболка GOORIN BROTHERS арт. 101-0384 (черный / белый)</v>
      </c>
      <c r="W82" s="100" t="str">
        <f t="shared" ca="1" si="13"/>
        <v>Бейсболка GOORIN BROTHERS арт. 101-0384 (черный / белый) {whi}</v>
      </c>
      <c r="X82" s="18" t="str">
        <f t="shared" ca="1" si="9"/>
        <v>черный</v>
      </c>
      <c r="Y82" s="18" t="str">
        <f t="shared" ca="1" si="10"/>
        <v>белый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3" t="str">
        <f ca="1"/>
        <v>91-645-72-00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72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SUMIF(Марка!A:A,G82,Марка!B:B)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91-645-20</v>
      </c>
      <c r="B83" s="107" t="str">
        <f ca="1">_xlfn.LET(_xlpm.CAPS,0,_xlpm.Style,TRIM(_xlfn.XLOOKUP($A83,Строчный!$A:$A,Строчный!B:B,"ERR",0)),IF(_xlpm.CAPS=0,_xlpm.Style,LOWER(_xlpm.Style)))</f>
        <v>101-0384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Animal Farm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GOORIN BROTHERS</v>
      </c>
      <c r="H83" s="81" t="str">
        <f ca="1">LOWER(TRIM(_xlfn.XLOOKUP($A83,Строчный!$A:$A,Строчный!H:H,"ERR",0)))</f>
        <v>yel</v>
      </c>
      <c r="I83" s="81" t="str">
        <f ca="1">LOWER(TRIM(_xlfn.XLOOKUP($A83,Строчный!$A:$A,Строчный!I:I,"ERR",0)))</f>
        <v>желтый</v>
      </c>
      <c r="J83" s="81" t="str">
        <f ca="1">SUBSTITUTE(LOWER(TRIM(_xlfn.XLOOKUP($A83,Строчный!$A:$A,Строчный!J:J,"ERR",0))),"подклад","Подклад")</f>
        <v>57% полиэстер - 43% хлопок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832</v>
      </c>
      <c r="R83" s="89" t="str">
        <f ca="1">_xlfn.XLOOKUP($G83,Фабрика!A:A,Фабрика!B:B,"ERR",0)</f>
        <v>Goorin Brothers Inc; 1269 Howard street, San Fancisco, CA 94103, USA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144</v>
      </c>
      <c r="U83" s="14" t="s">
        <v>265</v>
      </c>
      <c r="V83" s="101" t="str">
        <f t="shared" ca="1" si="12"/>
        <v>Бейсболка GOORIN BROTHERS арт. 101-0384 (желтый)</v>
      </c>
      <c r="W83" s="100" t="str">
        <f t="shared" ca="1" si="13"/>
        <v>Бейсболка GOORIN BROTHERS арт. 101-0384 (желтый) {yel}</v>
      </c>
      <c r="X83" s="18" t="str">
        <f t="shared" ca="1" si="9"/>
        <v>желтый</v>
      </c>
      <c r="Y83" s="18" t="str">
        <f t="shared" ca="1" si="10"/>
        <v>желтый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желтый</v>
      </c>
      <c r="AA83" s="73" t="str">
        <f ca="1"/>
        <v>91-645-20-00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20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SUMIF(Марка!A:A,G83,Марка!B:B)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91-645-09</v>
      </c>
      <c r="B84" s="107" t="str">
        <f ca="1">_xlfn.LET(_xlpm.CAPS,0,_xlpm.Style,TRIM(_xlfn.XLOOKUP($A84,Строчный!$A:$A,Строчный!B:B,"ERR",0)),IF(_xlpm.CAPS=0,_xlpm.Style,LOWER(_xlpm.Style)))</f>
        <v>101-0384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Animal Farm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GOORIN BROTHERS</v>
      </c>
      <c r="H84" s="81" t="str">
        <f ca="1">LOWER(TRIM(_xlfn.XLOOKUP($A84,Строчный!$A:$A,Строчный!H:H,"ERR",0)))</f>
        <v>blk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57% полиэстер - 43%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832</v>
      </c>
      <c r="R84" s="89" t="str">
        <f ca="1">_xlfn.XLOOKUP($G84,Фабрика!A:A,Фабрика!B:B,"ERR",0)</f>
        <v>Goorin Brothers Inc; 1269 Howard street, San Fancisco, CA 94103, USA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146</v>
      </c>
      <c r="U84" s="14" t="s">
        <v>265</v>
      </c>
      <c r="V84" s="101" t="str">
        <f t="shared" ca="1" si="12"/>
        <v>Бейсболка GOORIN BROTHERS арт. 101-0384 (черный)</v>
      </c>
      <c r="W84" s="100" t="str">
        <f t="shared" ca="1" si="13"/>
        <v>Бейсболка GOORIN BROTHERS арт. 101-0384 (черный) {blk}</v>
      </c>
      <c r="X84" s="18" t="str">
        <f t="shared" ca="1" si="9"/>
        <v>черный</v>
      </c>
      <c r="Y84" s="18" t="str">
        <f t="shared" ca="1" si="10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91-645-09-00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SUMIF(Марка!A:A,G84,Марка!B:B)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91-645-06</v>
      </c>
      <c r="B85" s="107" t="str">
        <f ca="1">_xlfn.LET(_xlpm.CAPS,0,_xlpm.Style,TRIM(_xlfn.XLOOKUP($A85,Строчный!$A:$A,Строчный!B:B,"ERR",0)),IF(_xlpm.CAPS=0,_xlpm.Style,LOWER(_xlpm.Style)))</f>
        <v>101-0384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Animal Farm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GOORIN BROTHERS</v>
      </c>
      <c r="H85" s="81" t="str">
        <f ca="1">LOWER(TRIM(_xlfn.XLOOKUP($A85,Строчный!$A:$A,Строчный!H:H,"ERR",0)))</f>
        <v>blu</v>
      </c>
      <c r="I85" s="81" t="str">
        <f ca="1">LOWER(TRIM(_xlfn.XLOOKUP($A85,Строчный!$A:$A,Строчный!I:I,"ERR",0)))</f>
        <v>синий</v>
      </c>
      <c r="J85" s="81" t="str">
        <f ca="1">SUBSTITUTE(LOWER(TRIM(_xlfn.XLOOKUP($A85,Строчный!$A:$A,Строчный!J:J,"ERR",0))),"подклад","Подклад")</f>
        <v>57% полиэстер - 43% хлопок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832</v>
      </c>
      <c r="R85" s="89" t="str">
        <f ca="1">_xlfn.XLOOKUP($G85,Фабрика!A:A,Фабрика!B:B,"ERR",0)</f>
        <v>Goorin Brothers Inc; 1269 Howard street, San Fancisco, CA 94103, USA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144</v>
      </c>
      <c r="U85" s="14" t="s">
        <v>265</v>
      </c>
      <c r="V85" s="101" t="str">
        <f t="shared" ca="1" si="12"/>
        <v>Бейсболка GOORIN BROTHERS арт. 101-0384 (синий)</v>
      </c>
      <c r="W85" s="100" t="str">
        <f t="shared" ca="1" si="13"/>
        <v>Бейсболка GOORIN BROTHERS арт. 101-0384 (синий) {blu}</v>
      </c>
      <c r="X85" s="18" t="str">
        <f t="shared" ca="1" si="9"/>
        <v>синий</v>
      </c>
      <c r="Y85" s="18" t="str">
        <f t="shared" ca="1" si="10"/>
        <v>синий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синий</v>
      </c>
      <c r="AA85" s="73" t="str">
        <f ca="1"/>
        <v>91-645-06-00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06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SUMIF(Марка!A:A,G85,Марка!B:B)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91-645-03</v>
      </c>
      <c r="B86" s="107" t="str">
        <f ca="1">_xlfn.LET(_xlpm.CAPS,0,_xlpm.Style,TRIM(_xlfn.XLOOKUP($A86,Строчный!$A:$A,Строчный!B:B,"ERR",0)),IF(_xlpm.CAPS=0,_xlpm.Style,LOWER(_xlpm.Style)))</f>
        <v>101-0384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Animal Farm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GOORIN BROTHERS</v>
      </c>
      <c r="H86" s="81" t="str">
        <f ca="1">LOWER(TRIM(_xlfn.XLOOKUP($A86,Строчный!$A:$A,Строчный!H:H,"ERR",0)))</f>
        <v>oli</v>
      </c>
      <c r="I86" s="81" t="str">
        <f ca="1">LOWER(TRIM(_xlfn.XLOOKUP($A86,Строчный!$A:$A,Строчный!I:I,"ERR",0)))</f>
        <v>оливковый</v>
      </c>
      <c r="J86" s="81" t="str">
        <f ca="1">SUBSTITUTE(LOWER(TRIM(_xlfn.XLOOKUP($A86,Строчный!$A:$A,Строчный!J:J,"ERR",0))),"подклад","Подклад")</f>
        <v>57% полиэстер - 43%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832</v>
      </c>
      <c r="R86" s="89" t="str">
        <f ca="1">_xlfn.XLOOKUP($G86,Фабрика!A:A,Фабрика!B:B,"ERR",0)</f>
        <v>Goorin Brothers Inc; 1269 Howard street, San Fancisco, CA 94103, USA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144</v>
      </c>
      <c r="U86" s="14" t="s">
        <v>265</v>
      </c>
      <c r="V86" s="101" t="str">
        <f t="shared" ca="1" si="12"/>
        <v>Бейсболка GOORIN BROTHERS арт. 101-0384 (оливковый)</v>
      </c>
      <c r="W86" s="100" t="str">
        <f t="shared" ca="1" si="13"/>
        <v>Бейсболка GOORIN BROTHERS арт. 101-0384 (оливковый) {oli}</v>
      </c>
      <c r="X86" s="18" t="str">
        <f t="shared" ca="1" si="9"/>
        <v>оливковый</v>
      </c>
      <c r="Y86" s="18" t="str">
        <f t="shared" ca="1" si="10"/>
        <v>оливковый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оливковый</v>
      </c>
      <c r="AA86" s="73" t="str">
        <f ca="1"/>
        <v>91-645-03-00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03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SUMIF(Марка!A:A,G86,Марка!B:B)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91-645-00</v>
      </c>
      <c r="B87" s="107" t="str">
        <f ca="1">_xlfn.LET(_xlpm.CAPS,0,_xlpm.Style,TRIM(_xlfn.XLOOKUP($A87,Строчный!$A:$A,Строчный!B:B,"ERR",0)),IF(_xlpm.CAPS=0,_xlpm.Style,LOWER(_xlpm.Style)))</f>
        <v>101-0384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Animal Farm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GOORIN BROTHERS</v>
      </c>
      <c r="H87" s="81" t="str">
        <f ca="1">LOWER(TRIM(_xlfn.XLOOKUP($A87,Строчный!$A:$A,Строчный!H:H,"ERR",0)))</f>
        <v>cam</v>
      </c>
      <c r="I87" s="81" t="str">
        <f ca="1">LOWER(TRIM(_xlfn.XLOOKUP($A87,Строчный!$A:$A,Строчный!I:I,"ERR",0)))</f>
        <v>камуфляж</v>
      </c>
      <c r="J87" s="81" t="str">
        <f ca="1">SUBSTITUTE(LOWER(TRIM(_xlfn.XLOOKUP($A87,Строчный!$A:$A,Строчный!J:J,"ERR",0))),"подклад","Подклад")</f>
        <v>57% полиэстер - 43% хлопок</v>
      </c>
      <c r="K87" s="81" t="str">
        <f ca="1">LOWER(TRIM(_xlfn.XLOOKUP($A87,Строчный!$A:$A,Строчный!K:K,"ERR",0)))</f>
        <v>хлопковые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832</v>
      </c>
      <c r="R87" s="89" t="str">
        <f ca="1">_xlfn.XLOOKUP($G87,Фабрика!A:A,Фабрика!B:B,"ERR",0)</f>
        <v>Goorin Brothers Inc; 1269 Howard street, San Fancisco, CA 94103, USA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144</v>
      </c>
      <c r="U87" s="14" t="s">
        <v>265</v>
      </c>
      <c r="V87" s="101" t="str">
        <f t="shared" ca="1" si="12"/>
        <v>Бейсболка GOORIN BROTHERS арт. 101-0384 (камуфляж)</v>
      </c>
      <c r="W87" s="100" t="str">
        <f t="shared" ca="1" si="13"/>
        <v>Бейсболка GOORIN BROTHERS арт. 101-0384 (камуфляж) {cam}</v>
      </c>
      <c r="X87" s="18" t="str">
        <f t="shared" ca="1" si="9"/>
        <v>камуфляж</v>
      </c>
      <c r="Y87" s="18" t="str">
        <f t="shared" ca="1" si="10"/>
        <v>камуфляж</v>
      </c>
      <c r="Z87" s="117" t="s">
        <v>54</v>
      </c>
      <c r="AA87" s="73" t="str">
        <f ca="1"/>
        <v>91-645-00-00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00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SUMIF(Марка!A:A,G87,Марка!B:B)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91-644-09</v>
      </c>
      <c r="B88" s="107" t="str">
        <f ca="1">_xlfn.LET(_xlpm.CAPS,0,_xlpm.Style,TRIM(_xlfn.XLOOKUP($A88,Строчный!$A:$A,Строчный!B:B,"ERR",0)),IF(_xlpm.CAPS=0,_xlpm.Style,LOWER(_xlpm.Style)))</f>
        <v>101-0382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Animal Farm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GOORIN BROTHERS</v>
      </c>
      <c r="H88" s="81" t="str">
        <f ca="1">LOWER(TRIM(_xlfn.XLOOKUP($A88,Строчный!$A:$A,Строчный!H:H,"ERR",0)))</f>
        <v>blk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57% полиэстер - 43% хлопок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832</v>
      </c>
      <c r="R88" s="89" t="str">
        <f ca="1">_xlfn.XLOOKUP($G88,Фабрика!A:A,Фабрика!B:B,"ERR",0)</f>
        <v>Goorin Brothers Inc; 1269 Howard street, San Fancisco, CA 94103, USA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168</v>
      </c>
      <c r="U88" s="14" t="s">
        <v>265</v>
      </c>
      <c r="V88" s="101" t="str">
        <f t="shared" ca="1" si="12"/>
        <v>Бейсболка GOORIN BROTHERS арт. 101-0382 (черный)</v>
      </c>
      <c r="W88" s="100" t="str">
        <f t="shared" ca="1" si="13"/>
        <v>Бейсболка GOORIN BROTHERS арт. 101-0382 (черный) {blk}</v>
      </c>
      <c r="X88" s="18" t="str">
        <f t="shared" ca="1" si="9"/>
        <v>черный</v>
      </c>
      <c r="Y88" s="18" t="str">
        <f t="shared" ca="1" si="10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91-644-09-00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SUMIF(Марка!A:A,G88,Марка!B:B)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91-643-17</v>
      </c>
      <c r="B89" s="107" t="str">
        <f ca="1">_xlfn.LET(_xlpm.CAPS,0,_xlpm.Style,TRIM(_xlfn.XLOOKUP($A89,Строчный!$A:$A,Строчный!B:B,"ERR",0)),IF(_xlpm.CAPS=0,_xlpm.Style,LOWER(_xlpm.Style)))</f>
        <v>101-0381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Animal Farm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GOORIN BROTHERS</v>
      </c>
      <c r="H89" s="81" t="str">
        <f ca="1">LOWER(TRIM(_xlfn.XLOOKUP($A89,Строчный!$A:$A,Строчный!H:H,"ERR",0)))</f>
        <v>whi</v>
      </c>
      <c r="I89" s="81" t="str">
        <f ca="1">LOWER(TRIM(_xlfn.XLOOKUP($A89,Строчный!$A:$A,Строчный!I:I,"ERR",0)))</f>
        <v>белый</v>
      </c>
      <c r="J89" s="81" t="str">
        <f ca="1">SUBSTITUTE(LOWER(TRIM(_xlfn.XLOOKUP($A89,Строчный!$A:$A,Строчный!J:J,"ERR",0))),"подклад","Подклад")</f>
        <v>57% полиэстер - 43%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832</v>
      </c>
      <c r="R89" s="89" t="str">
        <f ca="1">_xlfn.XLOOKUP($G89,Фабрика!A:A,Фабрика!B:B,"ERR",0)</f>
        <v>Goorin Brothers Inc; 1269 Howard street, San Fancisco, CA 94103, USA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290</v>
      </c>
      <c r="U89" s="14" t="s">
        <v>265</v>
      </c>
      <c r="V89" s="101" t="str">
        <f t="shared" ca="1" si="12"/>
        <v>Бейсболка GOORIN BROTHERS арт. 101-0381 (белый)</v>
      </c>
      <c r="W89" s="100" t="str">
        <f t="shared" ca="1" si="13"/>
        <v>Бейсболка GOORIN BROTHERS арт. 101-0381 (белый) {whi}</v>
      </c>
      <c r="X89" s="18" t="str">
        <f t="shared" ca="1" si="9"/>
        <v>белый</v>
      </c>
      <c r="Y89" s="18" t="str">
        <f t="shared" ca="1" si="10"/>
        <v>белый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белый</v>
      </c>
      <c r="AA89" s="73" t="str">
        <f ca="1"/>
        <v>91-643-17-00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17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SUMIF(Марка!A:A,G89,Марка!B:B)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91-643-13</v>
      </c>
      <c r="B90" s="107" t="str">
        <f ca="1">_xlfn.LET(_xlpm.CAPS,0,_xlpm.Style,TRIM(_xlfn.XLOOKUP($A90,Строчный!$A:$A,Строчный!B:B,"ERR",0)),IF(_xlpm.CAPS=0,_xlpm.Style,LOWER(_xlpm.Style)))</f>
        <v>101-0381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Animal Farm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GOORIN BROTHERS</v>
      </c>
      <c r="H90" s="81" t="str">
        <f ca="1">LOWER(TRIM(_xlfn.XLOOKUP($A90,Строчный!$A:$A,Строчный!H:H,"ERR",0)))</f>
        <v>ora</v>
      </c>
      <c r="I90" s="81" t="str">
        <f ca="1">LOWER(TRIM(_xlfn.XLOOKUP($A90,Строчный!$A:$A,Строчный!I:I,"ERR",0)))</f>
        <v>оранжевый</v>
      </c>
      <c r="J90" s="81" t="str">
        <f ca="1">SUBSTITUTE(LOWER(TRIM(_xlfn.XLOOKUP($A90,Строчный!$A:$A,Строчный!J:J,"ERR",0))),"подклад","Подклад")</f>
        <v>57% полиэстер - 43% хлопок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832</v>
      </c>
      <c r="R90" s="89" t="str">
        <f ca="1">_xlfn.XLOOKUP($G90,Фабрика!A:A,Фабрика!B:B,"ERR",0)</f>
        <v>Goorin Brothers Inc; 1269 Howard street, San Fancisco, CA 94103, USA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144</v>
      </c>
      <c r="U90" s="14" t="s">
        <v>265</v>
      </c>
      <c r="V90" s="101" t="str">
        <f t="shared" ca="1" si="12"/>
        <v>Бейсболка GOORIN BROTHERS арт. 101-0381 (оранжевый)</v>
      </c>
      <c r="W90" s="100" t="str">
        <f t="shared" ca="1" si="13"/>
        <v>Бейсболка GOORIN BROTHERS арт. 101-0381 (оранжевый) {ora}</v>
      </c>
      <c r="X90" s="18" t="str">
        <f t="shared" ca="1" si="9"/>
        <v>оранжевый</v>
      </c>
      <c r="Y90" s="18" t="str">
        <f t="shared" ca="1" si="10"/>
        <v>оранжевый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оранжевый</v>
      </c>
      <c r="AA90" s="73" t="str">
        <f ca="1"/>
        <v>91-643-13-00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13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SUMIF(Марка!A:A,G90,Марка!B:B)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91-643-12</v>
      </c>
      <c r="B91" s="107" t="str">
        <f ca="1">_xlfn.LET(_xlpm.CAPS,0,_xlpm.Style,TRIM(_xlfn.XLOOKUP($A91,Строчный!$A:$A,Строчный!B:B,"ERR",0)),IF(_xlpm.CAPS=0,_xlpm.Style,LOWER(_xlpm.Style)))</f>
        <v>101-0381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Animal Farm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GOORIN BROTHERS</v>
      </c>
      <c r="H91" s="81" t="str">
        <f ca="1">LOWER(TRIM(_xlfn.XLOOKUP($A91,Строчный!$A:$A,Строчный!H:H,"ERR",0)))</f>
        <v>mar</v>
      </c>
      <c r="I91" s="81" t="str">
        <f ca="1">LOWER(TRIM(_xlfn.XLOOKUP($A91,Строчный!$A:$A,Строчный!I:I,"ERR",0)))</f>
        <v>бордовый</v>
      </c>
      <c r="J91" s="81" t="str">
        <f ca="1">SUBSTITUTE(LOWER(TRIM(_xlfn.XLOOKUP($A91,Строчный!$A:$A,Строчный!J:J,"ERR",0))),"подклад","Подклад")</f>
        <v>57% полиэстер - 43% хлопок</v>
      </c>
      <c r="K91" s="81" t="str">
        <f ca="1">LOWER(TRIM(_xlfn.XLOOKUP($A91,Строчный!$A:$A,Строчный!K:K,"ERR",0)))</f>
        <v>хлопковые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832</v>
      </c>
      <c r="R91" s="89" t="str">
        <f ca="1">_xlfn.XLOOKUP($G91,Фабрика!A:A,Фабрика!B:B,"ERR",0)</f>
        <v>Goorin Brothers Inc; 1269 Howard street, San Fancisco, CA 94103, USA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240</v>
      </c>
      <c r="U91" s="14" t="s">
        <v>265</v>
      </c>
      <c r="V91" s="101" t="str">
        <f t="shared" ca="1" si="12"/>
        <v>Бейсболка GOORIN BROTHERS арт. 101-0381 (бордовый)</v>
      </c>
      <c r="W91" s="100" t="str">
        <f t="shared" ca="1" si="13"/>
        <v>Бейсболка GOORIN BROTHERS арт. 101-0381 (бордовый) {mar}</v>
      </c>
      <c r="X91" s="18" t="str">
        <f t="shared" ca="1" si="9"/>
        <v>бордовый</v>
      </c>
      <c r="Y91" s="18" t="str">
        <f t="shared" ca="1" si="10"/>
        <v>бордовый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бордовый</v>
      </c>
      <c r="AA91" s="73" t="str">
        <f ca="1"/>
        <v>91-643-12-00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12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SUMIF(Марка!A:A,G91,Марка!B:B)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91-643-09</v>
      </c>
      <c r="B92" s="107" t="str">
        <f ca="1">_xlfn.LET(_xlpm.CAPS,0,_xlpm.Style,TRIM(_xlfn.XLOOKUP($A92,Строчный!$A:$A,Строчный!B:B,"ERR",0)),IF(_xlpm.CAPS=0,_xlpm.Style,LOWER(_xlpm.Style)))</f>
        <v>101-0381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 с сеточкой</v>
      </c>
      <c r="E92" s="81" t="str">
        <f ca="1">PROPER(TRIM(_xlfn.XLOOKUP($A92,Строчный!$A:$A,Строчный!E:E,"ERR",0)))</f>
        <v>Animal Farm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GOORIN BROTHERS</v>
      </c>
      <c r="H92" s="81" t="str">
        <f ca="1">LOWER(TRIM(_xlfn.XLOOKUP($A92,Строчный!$A:$A,Строчный!H:H,"ERR",0)))</f>
        <v>blk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57% полиэстер - 43% хлопок</v>
      </c>
      <c r="K92" s="81" t="str">
        <f ca="1">LOWER(TRIM(_xlfn.XLOOKUP($A92,Строчный!$A:$A,Строчный!K:K,"ERR",0)))</f>
        <v>хлопковые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832</v>
      </c>
      <c r="R92" s="89" t="str">
        <f ca="1">_xlfn.XLOOKUP($G92,Фабрика!A:A,Фабрика!B:B,"ERR",0)</f>
        <v>Goorin Brothers Inc; 1269 Howard street, San Fancisco, CA 94103, USA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1418</v>
      </c>
      <c r="U92" s="14" t="s">
        <v>265</v>
      </c>
      <c r="V92" s="101" t="str">
        <f t="shared" ca="1" si="12"/>
        <v>Бейсболка GOORIN BROTHERS арт. 101-0381 (черный)</v>
      </c>
      <c r="W92" s="100" t="str">
        <f t="shared" ca="1" si="13"/>
        <v>Бейсболка GOORIN BROTHERS арт. 101-0381 (черный) {blk}</v>
      </c>
      <c r="X92" s="18" t="str">
        <f t="shared" ca="1" si="9"/>
        <v>черный</v>
      </c>
      <c r="Y92" s="18" t="str">
        <f t="shared" ca="1" si="10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91-643-09-00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SUMIF(Марка!A:A,G92,Марка!B:B)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91-643-00</v>
      </c>
      <c r="B93" s="107" t="str">
        <f ca="1">_xlfn.LET(_xlpm.CAPS,0,_xlpm.Style,TRIM(_xlfn.XLOOKUP($A93,Строчный!$A:$A,Строчный!B:B,"ERR",0)),IF(_xlpm.CAPS=0,_xlpm.Style,LOWER(_xlpm.Style)))</f>
        <v>101-0381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 с сеточкой</v>
      </c>
      <c r="E93" s="81" t="str">
        <f ca="1">PROPER(TRIM(_xlfn.XLOOKUP($A93,Строчный!$A:$A,Строчный!E:E,"ERR",0)))</f>
        <v>Animal Farm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GOORIN BROTHERS</v>
      </c>
      <c r="H93" s="81" t="str">
        <f ca="1">LOWER(TRIM(_xlfn.XLOOKUP($A93,Строчный!$A:$A,Строчный!H:H,"ERR",0)))</f>
        <v>cam</v>
      </c>
      <c r="I93" s="81" t="str">
        <f ca="1">LOWER(TRIM(_xlfn.XLOOKUP($A93,Строчный!$A:$A,Строчный!I:I,"ERR",0)))</f>
        <v>камуфляж / черный</v>
      </c>
      <c r="J93" s="81" t="str">
        <f ca="1">SUBSTITUTE(LOWER(TRIM(_xlfn.XLOOKUP($A93,Строчный!$A:$A,Строчный!J:J,"ERR",0))),"подклад","Подклад")</f>
        <v>57% полиэстер - 43% хлопок</v>
      </c>
      <c r="K93" s="81" t="str">
        <f ca="1">LOWER(TRIM(_xlfn.XLOOKUP($A93,Строчный!$A:$A,Строчный!K:K,"ERR",0)))</f>
        <v>хлопковые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832</v>
      </c>
      <c r="R93" s="89" t="str">
        <f ca="1">_xlfn.XLOOKUP($G93,Фабрика!A:A,Фабрика!B:B,"ERR",0)</f>
        <v>Goorin Brothers Inc; 1269 Howard street, San Fancisco, CA 94103, USA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362</v>
      </c>
      <c r="U93" s="14" t="s">
        <v>265</v>
      </c>
      <c r="V93" s="101" t="str">
        <f t="shared" ca="1" si="12"/>
        <v>Бейсболка GOORIN BROTHERS арт. 101-0381 (камуфляж / черный)</v>
      </c>
      <c r="W93" s="100" t="str">
        <f t="shared" ca="1" si="13"/>
        <v>Бейсболка GOORIN BROTHERS арт. 101-0381 (камуфляж / черный) {cam}</v>
      </c>
      <c r="X93" s="18" t="str">
        <f t="shared" ca="1" si="9"/>
        <v>камуфляж</v>
      </c>
      <c r="Y93" s="18" t="str">
        <f t="shared" ca="1" si="10"/>
        <v>черный</v>
      </c>
      <c r="Z93" s="117" t="s">
        <v>54</v>
      </c>
      <c r="AA93" s="73" t="str">
        <f ca="1"/>
        <v>91-643-00-00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00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SUMIF(Марка!A:A,G93,Марка!B:B)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91-642-00</v>
      </c>
      <c r="B94" s="107" t="str">
        <f ca="1">_xlfn.LET(_xlpm.CAPS,0,_xlpm.Style,TRIM(_xlfn.XLOOKUP($A94,Строчный!$A:$A,Строчный!B:B,"ERR",0)),IF(_xlpm.CAPS=0,_xlpm.Style,LOWER(_xlpm.Style)))</f>
        <v>101-0379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Animal Farm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GOORIN BROTHERS</v>
      </c>
      <c r="H94" s="81" t="str">
        <f ca="1">LOWER(TRIM(_xlfn.XLOOKUP($A94,Строчный!$A:$A,Строчный!H:H,"ERR",0)))</f>
        <v>nvy</v>
      </c>
      <c r="I94" s="81" t="str">
        <f ca="1">LOWER(TRIM(_xlfn.XLOOKUP($A94,Строчный!$A:$A,Строчный!I:I,"ERR",0)))</f>
        <v>черный / бежевый</v>
      </c>
      <c r="J94" s="81" t="str">
        <f ca="1">SUBSTITUTE(LOWER(TRIM(_xlfn.XLOOKUP($A94,Строчный!$A:$A,Строчный!J:J,"ERR",0))),"подклад","Подклад")</f>
        <v>57% полиэстер - 43% хлопок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PROPER(TRIM(_xlfn.XLOOKUP($A94,Строчный!$A:$A,Строчный!Q:Q,"ERR",0)))</f>
        <v/>
      </c>
      <c r="Q94" s="90">
        <f ca="1">VALUE(_xlfn.XLOOKUP($A94,Строчный!$A:$A,Строчный!N:N,"ERR",0))</f>
        <v>832</v>
      </c>
      <c r="R94" s="89" t="str">
        <f ca="1">_xlfn.XLOOKUP($G94,Фабрика!A:A,Фабрика!B:B,"ERR",0)</f>
        <v>Goorin Brothers Inc; 1269 Howard street, San Fancisco, CA 94103, USA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144</v>
      </c>
      <c r="U94" s="14" t="s">
        <v>265</v>
      </c>
      <c r="V94" s="101" t="str">
        <f t="shared" ca="1" si="12"/>
        <v>Бейсболка GOORIN BROTHERS арт. 101-0379 (черный / бежевый)</v>
      </c>
      <c r="W94" s="100" t="str">
        <f t="shared" ca="1" si="13"/>
        <v>Бейсболка GOORIN BROTHERS арт. 101-0379 (черный / бежевый) {nvy}</v>
      </c>
      <c r="X94" s="18" t="str">
        <f t="shared" ca="1" si="9"/>
        <v>черный</v>
      </c>
      <c r="Y94" s="18" t="str">
        <f t="shared" ca="1" si="10"/>
        <v>бежевый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91-642-00-00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00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SUMIF(Марка!A:A,G94,Марка!B:B)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91-641-72</v>
      </c>
      <c r="B95" s="107" t="str">
        <f ca="1">_xlfn.LET(_xlpm.CAPS,0,_xlpm.Style,TRIM(_xlfn.XLOOKUP($A95,Строчный!$A:$A,Строчный!B:B,"ERR",0)),IF(_xlpm.CAPS=0,_xlpm.Style,LOWER(_xlpm.Style)))</f>
        <v>101-0214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Animal Farm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GOORIN BROTHERS</v>
      </c>
      <c r="H95" s="81" t="str">
        <f ca="1">LOWER(TRIM(_xlfn.XLOOKUP($A95,Строчный!$A:$A,Строчный!H:H,"ERR",0)))</f>
        <v>whi</v>
      </c>
      <c r="I95" s="81" t="str">
        <f ca="1">LOWER(TRIM(_xlfn.XLOOKUP($A95,Строчный!$A:$A,Строчный!I:I,"ERR",0)))</f>
        <v>черный / белый</v>
      </c>
      <c r="J95" s="81" t="str">
        <f ca="1">SUBSTITUTE(LOWER(TRIM(_xlfn.XLOOKUP($A95,Строчный!$A:$A,Строчный!J:J,"ERR",0))),"подклад","Подклад")</f>
        <v>57% полиэстер - 43% хлопок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PROPER(TRIM(_xlfn.XLOOKUP($A95,Строчный!$A:$A,Строчный!Q:Q,"ERR",0)))</f>
        <v/>
      </c>
      <c r="Q95" s="90">
        <f ca="1">VALUE(_xlfn.XLOOKUP($A95,Строчный!$A:$A,Строчный!N:N,"ERR",0))</f>
        <v>884</v>
      </c>
      <c r="R95" s="89" t="str">
        <f ca="1">_xlfn.XLOOKUP($G95,Фабрика!A:A,Фабрика!B:B,"ERR",0)</f>
        <v>Goorin Brothers Inc; 1269 Howard street, San Fancisco, CA 94103, USA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168</v>
      </c>
      <c r="U95" s="14" t="s">
        <v>265</v>
      </c>
      <c r="V95" s="101" t="str">
        <f t="shared" ca="1" si="12"/>
        <v>Бейсболка GOORIN BROTHERS арт. 101-0214 (черный / белый)</v>
      </c>
      <c r="W95" s="100" t="str">
        <f t="shared" ca="1" si="13"/>
        <v>Бейсболка GOORIN BROTHERS арт. 101-0214 (черный / белый) {whi}</v>
      </c>
      <c r="X95" s="18" t="str">
        <f t="shared" ca="1" si="9"/>
        <v>черный</v>
      </c>
      <c r="Y95" s="18" t="str">
        <f t="shared" ca="1" si="10"/>
        <v>белый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91-641-72-00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72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SUMIF(Марка!A:A,G95,Марка!B:B)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91-640-72</v>
      </c>
      <c r="B96" s="107" t="str">
        <f ca="1">_xlfn.LET(_xlpm.CAPS,0,_xlpm.Style,TRIM(_xlfn.XLOOKUP($A96,Строчный!$A:$A,Строчный!B:B,"ERR",0)),IF(_xlpm.CAPS=0,_xlpm.Style,LOWER(_xlpm.Style)))</f>
        <v>101-0213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Animal Farm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GOORIN BROTHERS</v>
      </c>
      <c r="H96" s="81" t="str">
        <f ca="1">LOWER(TRIM(_xlfn.XLOOKUP($A96,Строчный!$A:$A,Строчный!H:H,"ERR",0)))</f>
        <v>whi</v>
      </c>
      <c r="I96" s="81" t="str">
        <f ca="1">LOWER(TRIM(_xlfn.XLOOKUP($A96,Строчный!$A:$A,Строчный!I:I,"ERR",0)))</f>
        <v>черный / белый</v>
      </c>
      <c r="J96" s="81" t="str">
        <f ca="1">SUBSTITUTE(LOWER(TRIM(_xlfn.XLOOKUP($A96,Строчный!$A:$A,Строчный!J:J,"ERR",0))),"подклад","Подклад")</f>
        <v>57% полиэстер - 43% хлопок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PROPER(TRIM(_xlfn.XLOOKUP($A96,Строчный!$A:$A,Строчный!Q:Q,"ERR",0)))</f>
        <v/>
      </c>
      <c r="Q96" s="90">
        <f ca="1">VALUE(_xlfn.XLOOKUP($A96,Строчный!$A:$A,Строчный!N:N,"ERR",0))</f>
        <v>884</v>
      </c>
      <c r="R96" s="89" t="str">
        <f ca="1">_xlfn.XLOOKUP($G96,Фабрика!A:A,Фабрика!B:B,"ERR",0)</f>
        <v>Goorin Brothers Inc; 1269 Howard street, San Fancisco, CA 94103, USA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264</v>
      </c>
      <c r="U96" s="14" t="s">
        <v>265</v>
      </c>
      <c r="V96" s="101" t="str">
        <f t="shared" ca="1" si="12"/>
        <v>Бейсболка GOORIN BROTHERS арт. 101-0213 (черный / белый)</v>
      </c>
      <c r="W96" s="100" t="str">
        <f t="shared" ca="1" si="13"/>
        <v>Бейсболка GOORIN BROTHERS арт. 101-0213 (черный / белый) {whi}</v>
      </c>
      <c r="X96" s="18" t="str">
        <f t="shared" ca="1" si="9"/>
        <v>черный</v>
      </c>
      <c r="Y96" s="18" t="str">
        <f t="shared" ca="1" si="10"/>
        <v>белый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91-640-72-00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72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SUMIF(Марка!A:A,G96,Марка!B:B)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91-639-09</v>
      </c>
      <c r="B97" s="107" t="str">
        <f ca="1">_xlfn.LET(_xlpm.CAPS,0,_xlpm.Style,TRIM(_xlfn.XLOOKUP($A97,Строчный!$A:$A,Строчный!B:B,"ERR",0)),IF(_xlpm.CAPS=0,_xlpm.Style,LOWER(_xlpm.Style)))</f>
        <v>101-0212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Animal Farm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GOORIN BROTHERS</v>
      </c>
      <c r="H97" s="81" t="str">
        <f ca="1">LOWER(TRIM(_xlfn.XLOOKUP($A97,Строчный!$A:$A,Строчный!H:H,"ERR",0)))</f>
        <v>blk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57% полиэстер - 43%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PROPER(TRIM(_xlfn.XLOOKUP($A97,Строчный!$A:$A,Строчный!Q:Q,"ERR",0)))</f>
        <v/>
      </c>
      <c r="Q97" s="90">
        <f ca="1">VALUE(_xlfn.XLOOKUP($A97,Строчный!$A:$A,Строчный!N:N,"ERR",0))</f>
        <v>884</v>
      </c>
      <c r="R97" s="89" t="str">
        <f ca="1">_xlfn.XLOOKUP($G97,Фабрика!A:A,Фабрика!B:B,"ERR",0)</f>
        <v>Goorin Brothers Inc; 1269 Howard street, San Fancisco, CA 94103, USA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216</v>
      </c>
      <c r="U97" s="14" t="s">
        <v>265</v>
      </c>
      <c r="V97" s="101" t="str">
        <f t="shared" ca="1" si="12"/>
        <v>Бейсболка GOORIN BROTHERS арт. 101-0212 (черный)</v>
      </c>
      <c r="W97" s="100" t="str">
        <f t="shared" ca="1" si="13"/>
        <v>Бейсболка GOORIN BROTHERS арт. 101-0212 (черный) {blk}</v>
      </c>
      <c r="X97" s="18" t="str">
        <f t="shared" ca="1" si="9"/>
        <v>черный</v>
      </c>
      <c r="Y97" s="18" t="str">
        <f t="shared" ca="1" si="10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91-639-09-00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SUMIF(Марка!A:A,G97,Марка!B:B)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91-638-09</v>
      </c>
      <c r="B98" s="107" t="str">
        <f ca="1">_xlfn.LET(_xlpm.CAPS,0,_xlpm.Style,TRIM(_xlfn.XLOOKUP($A98,Строчный!$A:$A,Строчный!B:B,"ERR",0)),IF(_xlpm.CAPS=0,_xlpm.Style,LOWER(_xlpm.Style)))</f>
        <v>101-0211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Animal Farm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GOORIN BROTHERS</v>
      </c>
      <c r="H98" s="81" t="str">
        <f ca="1">LOWER(TRIM(_xlfn.XLOOKUP($A98,Строчный!$A:$A,Строчный!H:H,"ERR",0)))</f>
        <v>blk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57% полиэстер - 43%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PROPER(TRIM(_xlfn.XLOOKUP($A98,Строчный!$A:$A,Строчный!Q:Q,"ERR",0)))</f>
        <v/>
      </c>
      <c r="Q98" s="90">
        <f ca="1">VALUE(_xlfn.XLOOKUP($A98,Строчный!$A:$A,Строчный!N:N,"ERR",0))</f>
        <v>884</v>
      </c>
      <c r="R98" s="89" t="str">
        <f ca="1">_xlfn.XLOOKUP($G98,Фабрика!A:A,Фабрика!B:B,"ERR",0)</f>
        <v>Goorin Brothers Inc; 1269 Howard street, San Fancisco, CA 94103, USA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168</v>
      </c>
      <c r="U98" s="14" t="s">
        <v>265</v>
      </c>
      <c r="V98" s="101" t="str">
        <f t="shared" ca="1" si="12"/>
        <v>Бейсболка GOORIN BROTHERS арт. 101-0211 (черный)</v>
      </c>
      <c r="W98" s="100" t="str">
        <f t="shared" ca="1" si="13"/>
        <v>Бейсболка GOORIN BROTHERS арт. 101-0211 (черный) {blk}</v>
      </c>
      <c r="X98" s="18" t="str">
        <f t="shared" ca="1" si="9"/>
        <v>черный</v>
      </c>
      <c r="Y98" s="18" t="str">
        <f t="shared" ca="1" si="10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91-638-09-00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SUMIF(Марка!A:A,G98,Марка!B:B)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91-637-03</v>
      </c>
      <c r="B99" s="107" t="str">
        <f ca="1">_xlfn.LET(_xlpm.CAPS,0,_xlpm.Style,TRIM(_xlfn.XLOOKUP($A99,Строчный!$A:$A,Строчный!B:B,"ERR",0)),IF(_xlpm.CAPS=0,_xlpm.Style,LOWER(_xlpm.Style)))</f>
        <v>101-0013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Animal Farm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GOORIN BROTHERS</v>
      </c>
      <c r="H99" s="81" t="str">
        <f ca="1">LOWER(TRIM(_xlfn.XLOOKUP($A99,Строчный!$A:$A,Строчный!H:H,"ERR",0)))</f>
        <v>oli</v>
      </c>
      <c r="I99" s="81" t="str">
        <f ca="1">LOWER(TRIM(_xlfn.XLOOKUP($A99,Строчный!$A:$A,Строчный!I:I,"ERR",0)))</f>
        <v>оливковый</v>
      </c>
      <c r="J99" s="81" t="str">
        <f ca="1">SUBSTITUTE(LOWER(TRIM(_xlfn.XLOOKUP($A99,Строчный!$A:$A,Строчный!J:J,"ERR",0))),"подклад","Подклад")</f>
        <v>57% полиэстер - 43%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PROPER(TRIM(_xlfn.XLOOKUP($A99,Строчный!$A:$A,Строчный!Q:Q,"ERR",0)))</f>
        <v/>
      </c>
      <c r="Q99" s="90">
        <f ca="1">VALUE(_xlfn.XLOOKUP($A99,Строчный!$A:$A,Строчный!N:N,"ERR",0))</f>
        <v>832</v>
      </c>
      <c r="R99" s="89" t="str">
        <f ca="1">_xlfn.XLOOKUP($G99,Фабрика!A:A,Фабрика!B:B,"ERR",0)</f>
        <v>Goorin Brothers Inc; 1269 Howard street, San Fancisco, CA 94103, USA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120</v>
      </c>
      <c r="U99" s="14" t="s">
        <v>265</v>
      </c>
      <c r="V99" s="101" t="str">
        <f t="shared" ca="1" si="12"/>
        <v>Бейсболка GOORIN BROTHERS арт. 101-0013 (оливковый)</v>
      </c>
      <c r="W99" s="100" t="str">
        <f t="shared" ca="1" si="13"/>
        <v>Бейсболка GOORIN BROTHERS арт. 101-0013 (оливковый) {oli}</v>
      </c>
      <c r="X99" s="18" t="str">
        <f t="shared" ca="1" si="9"/>
        <v>оливковый</v>
      </c>
      <c r="Y99" s="18" t="str">
        <f t="shared" ca="1" si="10"/>
        <v>оливковый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оливковый</v>
      </c>
      <c r="AA99" s="73" t="str">
        <f ca="1"/>
        <v>91-637-03-00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03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SUMIF(Марка!A:A,G99,Марка!B:B)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91-636-16</v>
      </c>
      <c r="B100" s="107" t="str">
        <f ca="1">_xlfn.LET(_xlpm.CAPS,0,_xlpm.Style,TRIM(_xlfn.XLOOKUP($A100,Строчный!$A:$A,Строчный!B:B,"ERR",0)),IF(_xlpm.CAPS=0,_xlpm.Style,LOWER(_xlpm.Style)))</f>
        <v>101-0011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Animal Farm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GOORIN BROTHERS</v>
      </c>
      <c r="H100" s="81" t="str">
        <f ca="1">LOWER(TRIM(_xlfn.XLOOKUP($A100,Строчный!$A:$A,Строчный!H:H,"ERR",0)))</f>
        <v>nvy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57% полиэстер - 43%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PROPER(TRIM(_xlfn.XLOOKUP($A100,Строчный!$A:$A,Строчный!Q:Q,"ERR",0)))</f>
        <v/>
      </c>
      <c r="Q100" s="90">
        <f ca="1">VALUE(_xlfn.XLOOKUP($A100,Строчный!$A:$A,Строчный!N:N,"ERR",0))</f>
        <v>832</v>
      </c>
      <c r="R100" s="89" t="str">
        <f ca="1">_xlfn.XLOOKUP($G100,Фабрика!A:A,Фабрика!B:B,"ERR",0)</f>
        <v>Goorin Brothers Inc; 1269 Howard street, San Fancisco, CA 94103, USA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168</v>
      </c>
      <c r="U100" s="14" t="s">
        <v>265</v>
      </c>
      <c r="V100" s="101" t="str">
        <f t="shared" ca="1" si="12"/>
        <v>Бейсболка GOORIN BROTHERS арт. 101-0011 (темно-синий)</v>
      </c>
      <c r="W100" s="100" t="str">
        <f t="shared" ca="1" si="13"/>
        <v>Бейсболка GOORIN BROTHERS арт. 101-0011 (темно-синий) {nvy}</v>
      </c>
      <c r="X100" s="18" t="str">
        <f t="shared" ca="1" si="9"/>
        <v>синий</v>
      </c>
      <c r="Y100" s="18" t="str">
        <f t="shared" ca="1" si="10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91-636-16-00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SUMIF(Марка!A:A,G100,Марка!B:B)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91-635-20</v>
      </c>
      <c r="B101" s="107" t="str">
        <f ca="1">_xlfn.LET(_xlpm.CAPS,0,_xlpm.Style,TRIM(_xlfn.XLOOKUP($A101,Строчный!$A:$A,Строчный!B:B,"ERR",0)),IF(_xlpm.CAPS=0,_xlpm.Style,LOWER(_xlpm.Style)))</f>
        <v>101-0004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 с сеточкой</v>
      </c>
      <c r="E101" s="81" t="str">
        <f ca="1">PROPER(TRIM(_xlfn.XLOOKUP($A101,Строчный!$A:$A,Строчный!E:E,"ERR",0)))</f>
        <v>Animal Farm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GOORIN BROTHERS</v>
      </c>
      <c r="H101" s="81" t="str">
        <f ca="1">LOWER(TRIM(_xlfn.XLOOKUP($A101,Строчный!$A:$A,Строчный!H:H,"ERR",0)))</f>
        <v>yel</v>
      </c>
      <c r="I101" s="81" t="str">
        <f ca="1">LOWER(TRIM(_xlfn.XLOOKUP($A101,Строчный!$A:$A,Строчный!I:I,"ERR",0)))</f>
        <v>желтый</v>
      </c>
      <c r="J101" s="81" t="str">
        <f ca="1">SUBSTITUTE(LOWER(TRIM(_xlfn.XLOOKUP($A101,Строчный!$A:$A,Строчный!J:J,"ERR",0))),"подклад","Подклад")</f>
        <v>57% полиэстер - 43%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PROPER(TRIM(_xlfn.XLOOKUP($A101,Строчный!$A:$A,Строчный!Q:Q,"ERR",0)))</f>
        <v/>
      </c>
      <c r="Q101" s="90">
        <f ca="1">VALUE(_xlfn.XLOOKUP($A101,Строчный!$A:$A,Строчный!N:N,"ERR",0))</f>
        <v>832</v>
      </c>
      <c r="R101" s="89" t="str">
        <f ca="1">_xlfn.XLOOKUP($G101,Фабрика!A:A,Фабрика!B:B,"ERR",0)</f>
        <v>Goorin Brothers Inc; 1269 Howard street, San Fancisco, CA 94103, USA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264</v>
      </c>
      <c r="U101" s="14" t="s">
        <v>265</v>
      </c>
      <c r="V101" s="101" t="str">
        <f t="shared" ca="1" si="12"/>
        <v>Бейсболка GOORIN BROTHERS арт. 101-0004 (желтый)</v>
      </c>
      <c r="W101" s="100" t="str">
        <f t="shared" ca="1" si="13"/>
        <v>Бейсболка GOORIN BROTHERS арт. 101-0004 (желтый) {yel}</v>
      </c>
      <c r="X101" s="18" t="str">
        <f t="shared" ca="1" si="9"/>
        <v>желтый</v>
      </c>
      <c r="Y101" s="18" t="str">
        <f t="shared" ca="1" si="10"/>
        <v>желтый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желтый</v>
      </c>
      <c r="AA101" s="73" t="str">
        <f ca="1"/>
        <v>91-635-20-00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20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SUMIF(Марка!A:A,G101,Марка!B:B)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91-634-48</v>
      </c>
      <c r="B102" s="107" t="str">
        <f ca="1">_xlfn.LET(_xlpm.CAPS,0,_xlpm.Style,TRIM(_xlfn.XLOOKUP($A102,Строчный!$A:$A,Строчный!B:B,"ERR",0)),IF(_xlpm.CAPS=0,_xlpm.Style,LOWER(_xlpm.Style)))</f>
        <v>101-0003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Animal Farm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GOORIN BROTHERS</v>
      </c>
      <c r="H102" s="81" t="str">
        <f ca="1">LOWER(TRIM(_xlfn.XLOOKUP($A102,Строчный!$A:$A,Строчный!H:H,"ERR",0)))</f>
        <v>whi</v>
      </c>
      <c r="I102" s="81" t="str">
        <f ca="1">LOWER(TRIM(_xlfn.XLOOKUP($A102,Строчный!$A:$A,Строчный!I:I,"ERR",0)))</f>
        <v>белый / черный</v>
      </c>
      <c r="J102" s="81" t="str">
        <f ca="1">SUBSTITUTE(LOWER(TRIM(_xlfn.XLOOKUP($A102,Строчный!$A:$A,Строчный!J:J,"ERR",0))),"подклад","Подклад")</f>
        <v>57% полиэстер - 43%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PROPER(TRIM(_xlfn.XLOOKUP($A102,Строчный!$A:$A,Строчный!Q:Q,"ERR",0)))</f>
        <v/>
      </c>
      <c r="Q102" s="90">
        <f ca="1">VALUE(_xlfn.XLOOKUP($A102,Строчный!$A:$A,Строчный!N:N,"ERR",0))</f>
        <v>832</v>
      </c>
      <c r="R102" s="89" t="str">
        <f ca="1">_xlfn.XLOOKUP($G102,Фабрика!A:A,Фабрика!B:B,"ERR",0)</f>
        <v>Goorin Brothers Inc; 1269 Howard street, San Fancisco, CA 94103, USA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338</v>
      </c>
      <c r="U102" s="14" t="s">
        <v>265</v>
      </c>
      <c r="V102" s="101" t="str">
        <f t="shared" ca="1" si="12"/>
        <v>Бейсболка GOORIN BROTHERS арт. 101-0003 (белый / черный)</v>
      </c>
      <c r="W102" s="100" t="str">
        <f t="shared" ca="1" si="13"/>
        <v>Бейсболка GOORIN BROTHERS арт. 101-0003 (белый / черный) {whi}</v>
      </c>
      <c r="X102" s="18" t="str">
        <f t="shared" ca="1" si="9"/>
        <v>белый</v>
      </c>
      <c r="Y102" s="18" t="str">
        <f t="shared" ca="1" si="10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AA102" s="73" t="str">
        <f ca="1"/>
        <v>91-634-48-00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48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SUMIF(Марка!A:A,G102,Марка!B:B)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91-629-09</v>
      </c>
      <c r="B103" s="107" t="str">
        <f ca="1">_xlfn.LET(_xlpm.CAPS,0,_xlpm.Style,TRIM(_xlfn.XLOOKUP($A103,Строчный!$A:$A,Строчный!B:B,"ERR",0)),IF(_xlpm.CAPS=0,_xlpm.Style,LOWER(_xlpm.Style)))</f>
        <v>201-0030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Animal Farm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GOORIN BROTHERS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57% полиэстер - 43%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Детские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PROPER(TRIM(_xlfn.XLOOKUP($A103,Строчный!$A:$A,Строчный!Q:Q,"ERR",0)))</f>
        <v>Черный</v>
      </c>
      <c r="Q103" s="90">
        <f ca="1">VALUE(_xlfn.XLOOKUP($A103,Строчный!$A:$A,Строчный!N:N,"ERR",0))</f>
        <v>624</v>
      </c>
      <c r="R103" s="89" t="str">
        <f ca="1">_xlfn.XLOOKUP($G103,Фабрика!A:A,Фабрика!B:B,"ERR",0)</f>
        <v>Goorin Brothers Inc; 1269 Howard street, San Fancisco, CA 94103, USA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192</v>
      </c>
      <c r="U103" s="14" t="s">
        <v>265</v>
      </c>
      <c r="V103" s="101" t="str">
        <f t="shared" ca="1" si="12"/>
        <v>Бейсболка GOORIN BROTHERS арт. 201-0030 (черный)</v>
      </c>
      <c r="W103" s="100" t="str">
        <f t="shared" ca="1" si="13"/>
        <v>Бейсболка GOORIN BROTHERS арт. 201-0030 (черный) {blk}</v>
      </c>
      <c r="X103" s="18" t="str">
        <f t="shared" ca="1" si="9"/>
        <v>черный</v>
      </c>
      <c r="Y103" s="18" t="str">
        <f t="shared" ca="1" si="10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91-629-09-00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SUMIF(Марка!A:A,G103,Марка!B:B)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91-629-09</v>
      </c>
      <c r="AW103" s="94" t="str">
        <f ca="1">VLOOKUP(W103,Товары!A:B,1,FALSE)</f>
        <v>Бейсболка GOORIN BROTHERS арт. 201-0030 (черный) {blk}</v>
      </c>
    </row>
    <row r="104" spans="1:49" x14ac:dyDescent="0.25">
      <c r="A104" s="110" t="str">
        <f t="shared" ca="1" si="11"/>
        <v>91-613-16</v>
      </c>
      <c r="B104" s="107" t="str">
        <f ca="1">_xlfn.LET(_xlpm.CAPS,0,_xlpm.Style,TRIM(_xlfn.XLOOKUP($A104,Строчный!$A:$A,Строчный!B:B,"ERR",0)),IF(_xlpm.CAPS=0,_xlpm.Style,LOWER(_xlpm.Style)))</f>
        <v>101-0204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 с сеточкой</v>
      </c>
      <c r="E104" s="81" t="str">
        <f ca="1">PROPER(TRIM(_xlfn.XLOOKUP($A104,Строчный!$A:$A,Строчный!E:E,"ERR",0)))</f>
        <v>Animal Farm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GOORIN BROTHERS</v>
      </c>
      <c r="H104" s="81" t="str">
        <f ca="1">LOWER(TRIM(_xlfn.XLOOKUP($A104,Строчный!$A:$A,Строчный!H:H,"ERR",0)))</f>
        <v>nvy</v>
      </c>
      <c r="I104" s="81" t="str">
        <f ca="1">LOWER(TRIM(_xlfn.XLOOKUP($A104,Строчный!$A:$A,Строчный!I:I,"ERR",0)))</f>
        <v>темно-синий</v>
      </c>
      <c r="J104" s="81" t="str">
        <f ca="1">SUBSTITUTE(LOWER(TRIM(_xlfn.XLOOKUP($A104,Строчный!$A:$A,Строчный!J:J,"ERR",0))),"подклад","Подклад")</f>
        <v>57% полиэстер - 43%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PROPER(TRIM(_xlfn.XLOOKUP($A104,Строчный!$A:$A,Строчный!Q:Q,"ERR",0)))</f>
        <v>Синий</v>
      </c>
      <c r="Q104" s="90">
        <f ca="1">VALUE(_xlfn.XLOOKUP($A104,Строчный!$A:$A,Строчный!N:N,"ERR",0))</f>
        <v>884</v>
      </c>
      <c r="R104" s="89" t="str">
        <f ca="1">_xlfn.XLOOKUP($G104,Фабрика!A:A,Фабрика!B:B,"ERR",0)</f>
        <v>Goorin Brothers Inc; 1269 Howard street, San Fancisco, CA 94103, USA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144</v>
      </c>
      <c r="U104" s="14" t="s">
        <v>265</v>
      </c>
      <c r="V104" s="101" t="str">
        <f t="shared" ca="1" si="12"/>
        <v>Бейсболка GOORIN BROTHERS арт. 101-0204 (темно-синий)</v>
      </c>
      <c r="W104" s="100" t="str">
        <f t="shared" ca="1" si="13"/>
        <v>Бейсболка GOORIN BROTHERS арт. 101-0204 (темно-синий) {nvy}</v>
      </c>
      <c r="X104" s="18" t="str">
        <f t="shared" ca="1" si="9"/>
        <v>синий</v>
      </c>
      <c r="Y104" s="18" t="str">
        <f t="shared" ca="1" si="10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91-613-16-00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16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SUMIF(Марка!A:A,G104,Марка!B:B)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91-613-16</v>
      </c>
      <c r="AW104" s="94" t="str">
        <f ca="1">VLOOKUP(W104,Товары!A:B,1,FALSE)</f>
        <v>Бейсболка GOORIN BROTHERS арт. 101-0204 (темно-синий) {nvy}</v>
      </c>
    </row>
    <row r="105" spans="1:49" x14ac:dyDescent="0.25">
      <c r="A105" s="110" t="str">
        <f t="shared" ca="1" si="11"/>
        <v>91-612-16</v>
      </c>
      <c r="B105" s="107" t="str">
        <f ca="1">_xlfn.LET(_xlpm.CAPS,0,_xlpm.Style,TRIM(_xlfn.XLOOKUP($A105,Строчный!$A:$A,Строчный!B:B,"ERR",0)),IF(_xlpm.CAPS=0,_xlpm.Style,LOWER(_xlpm.Style)))</f>
        <v>101-0203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сеточкой</v>
      </c>
      <c r="E105" s="81" t="str">
        <f ca="1">PROPER(TRIM(_xlfn.XLOOKUP($A105,Строчный!$A:$A,Строчный!E:E,"ERR",0)))</f>
        <v>Animal Farm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GOORIN BROTHERS</v>
      </c>
      <c r="H105" s="81" t="str">
        <f ca="1">LOWER(TRIM(_xlfn.XLOOKUP($A105,Строчный!$A:$A,Строчный!H:H,"ERR",0)))</f>
        <v>nvy</v>
      </c>
      <c r="I105" s="81" t="str">
        <f ca="1">LOWER(TRIM(_xlfn.XLOOKUP($A105,Строчный!$A:$A,Строчный!I:I,"ERR",0)))</f>
        <v>темно-синий</v>
      </c>
      <c r="J105" s="81" t="str">
        <f ca="1">SUBSTITUTE(LOWER(TRIM(_xlfn.XLOOKUP($A105,Строчный!$A:$A,Строчный!J:J,"ERR",0))),"подклад","Подклад")</f>
        <v>57% полиэстер - 43%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PROPER(TRIM(_xlfn.XLOOKUP($A105,Строчный!$A:$A,Строчный!Q:Q,"ERR",0)))</f>
        <v>Синий</v>
      </c>
      <c r="Q105" s="90">
        <f ca="1">VALUE(_xlfn.XLOOKUP($A105,Строчный!$A:$A,Строчный!N:N,"ERR",0))</f>
        <v>884</v>
      </c>
      <c r="R105" s="89" t="str">
        <f ca="1">_xlfn.XLOOKUP($G105,Фабрика!A:A,Фабрика!B:B,"ERR",0)</f>
        <v>Goorin Brothers Inc; 1269 Howard street, San Fancisco, CA 94103, USA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120</v>
      </c>
      <c r="U105" s="14" t="s">
        <v>265</v>
      </c>
      <c r="V105" s="101" t="str">
        <f t="shared" ca="1" si="12"/>
        <v>Бейсболка GOORIN BROTHERS арт. 101-0203 (темно-синий)</v>
      </c>
      <c r="W105" s="100" t="str">
        <f t="shared" ca="1" si="13"/>
        <v>Бейсболка GOORIN BROTHERS арт. 101-0203 (темно-синий) {nvy}</v>
      </c>
      <c r="X105" s="18" t="str">
        <f t="shared" ca="1" si="9"/>
        <v>синий</v>
      </c>
      <c r="Y105" s="18" t="str">
        <f t="shared" ca="1" si="10"/>
        <v>синий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3" t="str">
        <f ca="1"/>
        <v>91-612-16-00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16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SUMIF(Марка!A:A,G105,Марка!B:B)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91-612-16</v>
      </c>
      <c r="AW105" s="94" t="str">
        <f ca="1">VLOOKUP(W105,Товары!A:B,1,FALSE)</f>
        <v>Бейсболка GOORIN BROTHERS арт. 101-0203 (темно-синий) {nvy}</v>
      </c>
    </row>
    <row r="106" spans="1:49" x14ac:dyDescent="0.25">
      <c r="A106" s="110" t="str">
        <f t="shared" ca="1" si="11"/>
        <v>91-610-08</v>
      </c>
      <c r="B106" s="107" t="str">
        <f ca="1">_xlfn.LET(_xlpm.CAPS,0,_xlpm.Style,TRIM(_xlfn.XLOOKUP($A106,Строчный!$A:$A,Строчный!B:B,"ERR",0)),IF(_xlpm.CAPS=0,_xlpm.Style,LOWER(_xlpm.Style)))</f>
        <v>101-0200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Animal Farm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GOORIN BROTHERS</v>
      </c>
      <c r="H106" s="81" t="str">
        <f ca="1">LOWER(TRIM(_xlfn.XLOOKUP($A106,Строчный!$A:$A,Строчный!H:H,"ERR",0)))</f>
        <v>gry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57% полиэстер - 43%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PROPER(TRIM(_xlfn.XLOOKUP($A106,Строчный!$A:$A,Строчный!Q:Q,"ERR",0)))</f>
        <v>Серый</v>
      </c>
      <c r="Q106" s="90">
        <f ca="1">VALUE(_xlfn.XLOOKUP($A106,Строчный!$A:$A,Строчный!N:N,"ERR",0))</f>
        <v>884</v>
      </c>
      <c r="R106" s="89" t="str">
        <f ca="1">_xlfn.XLOOKUP($G106,Фабрика!A:A,Фабрика!B:B,"ERR",0)</f>
        <v>Goorin Brothers Inc; 1269 Howard street, San Fancisco, CA 94103, USA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144</v>
      </c>
      <c r="U106" s="14" t="s">
        <v>265</v>
      </c>
      <c r="V106" s="101" t="str">
        <f t="shared" ca="1" si="12"/>
        <v>Бейсболка GOORIN BROTHERS арт. 101-0200 (серый)</v>
      </c>
      <c r="W106" s="100" t="str">
        <f t="shared" ca="1" si="13"/>
        <v>Бейсболка GOORIN BROTHERS арт. 101-0200 (серый) {gry}</v>
      </c>
      <c r="X106" s="18" t="str">
        <f t="shared" ca="1" si="9"/>
        <v>серый</v>
      </c>
      <c r="Y106" s="18" t="str">
        <f t="shared" ca="1" si="10"/>
        <v>серый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AA106" s="73" t="str">
        <f ca="1"/>
        <v>91-610-08-00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08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SUMIF(Марка!A:A,G106,Марка!B:B)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91-610-08</v>
      </c>
      <c r="AW106" s="94" t="str">
        <f ca="1">VLOOKUP(W106,Товары!A:B,1,FALSE)</f>
        <v>Бейсболка GOORIN BROTHERS арт. 101-0200 (серый) {gry}</v>
      </c>
    </row>
    <row r="107" spans="1:49" x14ac:dyDescent="0.25">
      <c r="A107" s="110" t="str">
        <f t="shared" ca="1" si="11"/>
        <v>91-609-09</v>
      </c>
      <c r="B107" s="107" t="str">
        <f ca="1">_xlfn.LET(_xlpm.CAPS,0,_xlpm.Style,TRIM(_xlfn.XLOOKUP($A107,Строчный!$A:$A,Строчный!B:B,"ERR",0)),IF(_xlpm.CAPS=0,_xlpm.Style,LOWER(_xlpm.Style)))</f>
        <v>101-0170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Animal Farm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GOORIN BROTHERS</v>
      </c>
      <c r="H107" s="81" t="str">
        <f ca="1">LOWER(TRIM(_xlfn.XLOOKUP($A107,Строчный!$A:$A,Строчный!H:H,"ERR",0)))</f>
        <v>blk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97% полиэстер - 3% спандекс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PROPER(TRIM(_xlfn.XLOOKUP($A107,Строчный!$A:$A,Строчный!Q:Q,"ERR",0)))</f>
        <v>Черный</v>
      </c>
      <c r="Q107" s="90">
        <f ca="1">VALUE(_xlfn.XLOOKUP($A107,Строчный!$A:$A,Строчный!N:N,"ERR",0))</f>
        <v>988</v>
      </c>
      <c r="R107" s="89" t="str">
        <f ca="1">_xlfn.XLOOKUP($G107,Фабрика!A:A,Фабрика!B:B,"ERR",0)</f>
        <v>Goorin Brothers Inc; 1269 Howard street, San Fancisco, CA 94103, USA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120</v>
      </c>
      <c r="U107" s="14" t="s">
        <v>265</v>
      </c>
      <c r="V107" s="101" t="str">
        <f t="shared" ca="1" si="12"/>
        <v>Бейсболка GOORIN BROTHERS арт. 101-0170 (черный)</v>
      </c>
      <c r="W107" s="100" t="str">
        <f t="shared" ca="1" si="13"/>
        <v>Бейсболка GOORIN BROTHERS арт. 101-0170 (черный) {blk}</v>
      </c>
      <c r="X107" s="18" t="str">
        <f t="shared" ca="1" si="9"/>
        <v>черный</v>
      </c>
      <c r="Y107" s="18" t="str">
        <f t="shared" ca="1" si="10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91-609-09-00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SUMIF(Марка!A:A,G107,Марка!B:B)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91-609-09</v>
      </c>
      <c r="AW107" s="94" t="str">
        <f ca="1">VLOOKUP(W107,Товары!A:B,1,FALSE)</f>
        <v>Бейсболка GOORIN BROTHERS арт. 101-0170 (черный) {blk}</v>
      </c>
    </row>
    <row r="108" spans="1:49" x14ac:dyDescent="0.25">
      <c r="A108" s="110" t="str">
        <f t="shared" ca="1" si="11"/>
        <v>91-608-17</v>
      </c>
      <c r="B108" s="107" t="str">
        <f ca="1">_xlfn.LET(_xlpm.CAPS,0,_xlpm.Style,TRIM(_xlfn.XLOOKUP($A108,Строчный!$A:$A,Строчный!B:B,"ERR",0)),IF(_xlpm.CAPS=0,_xlpm.Style,LOWER(_xlpm.Style)))</f>
        <v>101-0169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Animal Farm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GOORIN BROTHERS</v>
      </c>
      <c r="H108" s="81" t="str">
        <f ca="1">LOWER(TRIM(_xlfn.XLOOKUP($A108,Строчный!$A:$A,Строчный!H:H,"ERR",0)))</f>
        <v>whi</v>
      </c>
      <c r="I108" s="81" t="str">
        <f ca="1">LOWER(TRIM(_xlfn.XLOOKUP($A108,Строчный!$A:$A,Строчный!I:I,"ERR",0)))</f>
        <v>белый</v>
      </c>
      <c r="J108" s="81" t="str">
        <f ca="1">SUBSTITUTE(LOWER(TRIM(_xlfn.XLOOKUP($A108,Строчный!$A:$A,Строчный!J:J,"ERR",0))),"подклад","Подклад")</f>
        <v>97% полиэстер - 3% спандекс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PROPER(TRIM(_xlfn.XLOOKUP($A108,Строчный!$A:$A,Строчный!Q:Q,"ERR",0)))</f>
        <v>Белый</v>
      </c>
      <c r="Q108" s="90">
        <f ca="1">VALUE(_xlfn.XLOOKUP($A108,Строчный!$A:$A,Строчный!N:N,"ERR",0))</f>
        <v>988</v>
      </c>
      <c r="R108" s="89" t="str">
        <f ca="1">_xlfn.XLOOKUP($G108,Фабрика!A:A,Фабрика!B:B,"ERR",0)</f>
        <v>Goorin Brothers Inc; 1269 Howard street, San Fancisco, CA 94103, USA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240</v>
      </c>
      <c r="U108" s="14" t="s">
        <v>265</v>
      </c>
      <c r="V108" s="101" t="str">
        <f t="shared" ca="1" si="12"/>
        <v>Бейсболка GOORIN BROTHERS арт. 101-0169 (белый)</v>
      </c>
      <c r="W108" s="100" t="str">
        <f t="shared" ca="1" si="13"/>
        <v>Бейсболка GOORIN BROTHERS арт. 101-0169 (белый) {whi}</v>
      </c>
      <c r="X108" s="18" t="str">
        <f t="shared" ca="1" si="9"/>
        <v>белый</v>
      </c>
      <c r="Y108" s="18" t="str">
        <f t="shared" ca="1" si="10"/>
        <v>белый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белый</v>
      </c>
      <c r="AA108" s="73" t="str">
        <f ca="1"/>
        <v>91-608-17-00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17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SUMIF(Марка!A:A,G108,Марка!B:B)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91-608-17</v>
      </c>
      <c r="AW108" s="94" t="str">
        <f ca="1">VLOOKUP(W108,Товары!A:B,1,FALSE)</f>
        <v>Бейсболка GOORIN BROTHERS арт. 101-0169 (белый) {whi}</v>
      </c>
    </row>
    <row r="109" spans="1:49" x14ac:dyDescent="0.25">
      <c r="A109" s="110" t="str">
        <f t="shared" ca="1" si="11"/>
        <v>91-607-78</v>
      </c>
      <c r="B109" s="107" t="str">
        <f ca="1">_xlfn.LET(_xlpm.CAPS,0,_xlpm.Style,TRIM(_xlfn.XLOOKUP($A109,Строчный!$A:$A,Строчный!B:B,"ERR",0)),IF(_xlpm.CAPS=0,_xlpm.Style,LOWER(_xlpm.Style)))</f>
        <v>101-0167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сеточкой</v>
      </c>
      <c r="E109" s="81" t="str">
        <f ca="1">PROPER(TRIM(_xlfn.XLOOKUP($A109,Строчный!$A:$A,Строчный!E:E,"ERR",0)))</f>
        <v>Animal Farm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GOORIN BROTHERS</v>
      </c>
      <c r="H109" s="81" t="str">
        <f ca="1">LOWER(TRIM(_xlfn.XLOOKUP($A109,Строчный!$A:$A,Строчный!H:H,"ERR",0)))</f>
        <v>tea</v>
      </c>
      <c r="I109" s="81" t="str">
        <f ca="1">LOWER(TRIM(_xlfn.XLOOKUP($A109,Строчный!$A:$A,Строчный!I:I,"ERR",0)))</f>
        <v>голубой / зеленый</v>
      </c>
      <c r="J109" s="81" t="str">
        <f ca="1">SUBSTITUTE(LOWER(TRIM(_xlfn.XLOOKUP($A109,Строчный!$A:$A,Строчный!J:J,"ERR",0))),"подклад","Подклад")</f>
        <v>97% полиэстер - 3% спандекс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PROPER(TRIM(_xlfn.XLOOKUP($A109,Строчный!$A:$A,Строчный!Q:Q,"ERR",0)))</f>
        <v>Голубой</v>
      </c>
      <c r="Q109" s="90">
        <f ca="1">VALUE(_xlfn.XLOOKUP($A109,Строчный!$A:$A,Строчный!N:N,"ERR",0))</f>
        <v>988</v>
      </c>
      <c r="R109" s="89" t="str">
        <f ca="1">_xlfn.XLOOKUP($G109,Фабрика!A:A,Фабрика!B:B,"ERR",0)</f>
        <v>Goorin Brothers Inc; 1269 Howard street, San Fancisco, CA 94103, USA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144</v>
      </c>
      <c r="U109" s="14" t="s">
        <v>265</v>
      </c>
      <c r="V109" s="101" t="str">
        <f t="shared" ca="1" si="12"/>
        <v>Бейсболка GOORIN BROTHERS арт. 101-0167 (голубой / зеленый)</v>
      </c>
      <c r="W109" s="100" t="str">
        <f t="shared" ca="1" si="13"/>
        <v>Бейсболка GOORIN BROTHERS арт. 101-0167 (голубой / зеленый) {tea}</v>
      </c>
      <c r="X109" s="18" t="str">
        <f t="shared" ca="1" si="9"/>
        <v>голубой</v>
      </c>
      <c r="Y109" s="18" t="str">
        <f t="shared" ca="1" si="10"/>
        <v>зеленый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голубой</v>
      </c>
      <c r="AA109" s="73" t="str">
        <f ca="1"/>
        <v>91-607-78-00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SUMIF(Марка!A:A,G109,Марка!B:B)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91-607-78</v>
      </c>
      <c r="AW109" s="94" t="str">
        <f ca="1">VLOOKUP(W109,Товары!A:B,1,FALSE)</f>
        <v>Бейсболка GOORIN BROTHERS арт. 101-0167 (голубой / зеленый) {tea}</v>
      </c>
    </row>
    <row r="110" spans="1:49" x14ac:dyDescent="0.25">
      <c r="A110" s="110" t="str">
        <f t="shared" ca="1" si="11"/>
        <v>91-606-13</v>
      </c>
      <c r="B110" s="107" t="str">
        <f ca="1">_xlfn.LET(_xlpm.CAPS,0,_xlpm.Style,TRIM(_xlfn.XLOOKUP($A110,Строчный!$A:$A,Строчный!B:B,"ERR",0)),IF(_xlpm.CAPS=0,_xlpm.Style,LOWER(_xlpm.Style)))</f>
        <v>101-0166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Animal Farm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GOORIN BROTHERS</v>
      </c>
      <c r="H110" s="81" t="str">
        <f ca="1">LOWER(TRIM(_xlfn.XLOOKUP($A110,Строчный!$A:$A,Строчный!H:H,"ERR",0)))</f>
        <v>ora</v>
      </c>
      <c r="I110" s="81" t="str">
        <f ca="1">LOWER(TRIM(_xlfn.XLOOKUP($A110,Строчный!$A:$A,Строчный!I:I,"ERR",0)))</f>
        <v>оранжевый / черный</v>
      </c>
      <c r="J110" s="81" t="str">
        <f ca="1">SUBSTITUTE(LOWER(TRIM(_xlfn.XLOOKUP($A110,Строчный!$A:$A,Строчный!J:J,"ERR",0))),"подклад","Подклад")</f>
        <v>97% полиэстер - 3% спандекс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PROPER(TRIM(_xlfn.XLOOKUP($A110,Строчный!$A:$A,Строчный!Q:Q,"ERR",0)))</f>
        <v>Оранжевый</v>
      </c>
      <c r="Q110" s="90">
        <f ca="1">VALUE(_xlfn.XLOOKUP($A110,Строчный!$A:$A,Строчный!N:N,"ERR",0))</f>
        <v>988</v>
      </c>
      <c r="R110" s="89" t="str">
        <f ca="1">_xlfn.XLOOKUP($G110,Фабрика!A:A,Фабрика!B:B,"ERR",0)</f>
        <v>Goorin Brothers Inc; 1269 Howard street, San Fancisco, CA 94103, USA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240</v>
      </c>
      <c r="U110" s="14" t="s">
        <v>265</v>
      </c>
      <c r="V110" s="101" t="str">
        <f t="shared" ca="1" si="12"/>
        <v>Бейсболка GOORIN BROTHERS арт. 101-0166 (оранжевый / черный)</v>
      </c>
      <c r="W110" s="100" t="str">
        <f t="shared" ca="1" si="13"/>
        <v>Бейсболка GOORIN BROTHERS арт. 101-0166 (оранжевый / черный) {ora}</v>
      </c>
      <c r="X110" s="18" t="str">
        <f t="shared" ca="1" si="9"/>
        <v>оранжевый</v>
      </c>
      <c r="Y110" s="18" t="str">
        <f t="shared" ca="1" si="10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оранжевый</v>
      </c>
      <c r="AA110" s="73" t="str">
        <f ca="1"/>
        <v>91-606-13-00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13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SUMIF(Марка!A:A,G110,Марка!B:B)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91-606-13</v>
      </c>
      <c r="AW110" s="94" t="str">
        <f ca="1">VLOOKUP(W110,Товары!A:B,1,FALSE)</f>
        <v>Бейсболка GOORIN BROTHERS арт. 101-0166 (оранжевый / черный) {ora}</v>
      </c>
    </row>
    <row r="111" spans="1:49" x14ac:dyDescent="0.25">
      <c r="A111" s="110" t="str">
        <f t="shared" ca="1" si="11"/>
        <v>91-605-09</v>
      </c>
      <c r="B111" s="107" t="str">
        <f ca="1">_xlfn.LET(_xlpm.CAPS,0,_xlpm.Style,TRIM(_xlfn.XLOOKUP($A111,Строчный!$A:$A,Строчный!B:B,"ERR",0)),IF(_xlpm.CAPS=0,_xlpm.Style,LOWER(_xlpm.Style)))</f>
        <v>101-0165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Animal Farm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GOORIN BROTHERS</v>
      </c>
      <c r="H111" s="81" t="str">
        <f ca="1">LOWER(TRIM(_xlfn.XLOOKUP($A111,Строчный!$A:$A,Строчный!H:H,"ERR",0)))</f>
        <v>blk</v>
      </c>
      <c r="I111" s="81" t="str">
        <f ca="1">LOWER(TRIM(_xlfn.XLOOKUP($A111,Строчный!$A:$A,Строчный!I:I,"ERR",0)))</f>
        <v>черный / голубой</v>
      </c>
      <c r="J111" s="81" t="str">
        <f ca="1">SUBSTITUTE(LOWER(TRIM(_xlfn.XLOOKUP($A111,Строчный!$A:$A,Строчный!J:J,"ERR",0))),"подклад","Подклад")</f>
        <v>97% полиэстер - 3% спандекс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PROPER(TRIM(_xlfn.XLOOKUP($A111,Строчный!$A:$A,Строчный!Q:Q,"ERR",0)))</f>
        <v>Черный</v>
      </c>
      <c r="Q111" s="90">
        <f ca="1">VALUE(_xlfn.XLOOKUP($A111,Строчный!$A:$A,Строчный!N:N,"ERR",0))</f>
        <v>988</v>
      </c>
      <c r="R111" s="89" t="str">
        <f ca="1">_xlfn.XLOOKUP($G111,Фабрика!A:A,Фабрика!B:B,"ERR",0)</f>
        <v>Goorin Brothers Inc; 1269 Howard street, San Fancisco, CA 94103, USA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264</v>
      </c>
      <c r="U111" s="14" t="s">
        <v>265</v>
      </c>
      <c r="V111" s="101" t="str">
        <f t="shared" ca="1" si="12"/>
        <v>Бейсболка GOORIN BROTHERS арт. 101-0165 (черный / голубой)</v>
      </c>
      <c r="W111" s="100" t="str">
        <f t="shared" ca="1" si="13"/>
        <v>Бейсболка GOORIN BROTHERS арт. 101-0165 (черный / голубой) {blk}</v>
      </c>
      <c r="X111" s="18" t="str">
        <f t="shared" ca="1" si="9"/>
        <v>черный</v>
      </c>
      <c r="Y111" s="18" t="str">
        <f t="shared" ca="1" si="10"/>
        <v>голубой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91-605-09-00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62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SUMIF(Марка!A:A,G111,Марка!B:B)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91-605-09</v>
      </c>
      <c r="AW111" s="94" t="str">
        <f ca="1">VLOOKUP(W111,Товары!A:B,1,FALSE)</f>
        <v>Бейсболка GOORIN BROTHERS арт. 101-0165 (черный / голубой) {blk}</v>
      </c>
    </row>
    <row r="112" spans="1:49" x14ac:dyDescent="0.25">
      <c r="A112" s="110" t="str">
        <f t="shared" ca="1" si="11"/>
        <v>91-530-71</v>
      </c>
      <c r="B112" s="107" t="str">
        <f ca="1">_xlfn.LET(_xlpm.CAPS,0,_xlpm.Style,TRIM(_xlfn.XLOOKUP($A112,Строчный!$A:$A,Строчный!B:B,"ERR",0)),IF(_xlpm.CAPS=0,_xlpm.Style,LOWER(_xlpm.Style)))</f>
        <v>101-2683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Everyday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GOORIN BROTHERS</v>
      </c>
      <c r="H112" s="81" t="str">
        <f ca="1">LOWER(TRIM(_xlfn.XLOOKUP($A112,Строчный!$A:$A,Строчный!H:H,"ERR",0)))</f>
        <v>min</v>
      </c>
      <c r="I112" s="81" t="str">
        <f ca="1">LOWER(TRIM(_xlfn.XLOOKUP($A112,Строчный!$A:$A,Строчный!I:I,"ERR",0)))</f>
        <v>мятный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PROPER(TRIM(_xlfn.XLOOKUP($A112,Строчный!$A:$A,Строчный!Q:Q,"ERR",0)))</f>
        <v/>
      </c>
      <c r="Q112" s="90">
        <f ca="1">VALUE(_xlfn.XLOOKUP($A112,Строчный!$A:$A,Строчный!N:N,"ERR",0))</f>
        <v>520</v>
      </c>
      <c r="R112" s="89" t="str">
        <f ca="1">_xlfn.XLOOKUP($G112,Фабрика!A:A,Фабрика!B:B,"ERR",0)</f>
        <v>Goorin Brothers Inc; 1269 Howard street, San Fancisco, CA 94103, USA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24</v>
      </c>
      <c r="U112" s="14" t="s">
        <v>265</v>
      </c>
      <c r="V112" s="101" t="str">
        <f t="shared" ca="1" si="12"/>
        <v>Бейсболка GOORIN BROTHERS арт. 101-2683 (мятный)</v>
      </c>
      <c r="W112" s="100" t="str">
        <f t="shared" ca="1" si="13"/>
        <v>Бейсболка GOORIN BROTHERS арт. 101-2683 (мятный) {min}</v>
      </c>
      <c r="X112" s="18" t="str">
        <f t="shared" ca="1" si="9"/>
        <v>мятный</v>
      </c>
      <c r="Y112" s="18" t="str">
        <f t="shared" ca="1" si="10"/>
        <v>мятный</v>
      </c>
      <c r="Z112" s="117" t="s">
        <v>54</v>
      </c>
      <c r="AA112" s="73" t="str">
        <f ca="1"/>
        <v>91-530-71-00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71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SUMIF(Марка!A:A,G112,Марка!B:B)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91-530-09</v>
      </c>
      <c r="B113" s="107" t="str">
        <f ca="1">_xlfn.LET(_xlpm.CAPS,0,_xlpm.Style,TRIM(_xlfn.XLOOKUP($A113,Строчный!$A:$A,Строчный!B:B,"ERR",0)),IF(_xlpm.CAPS=0,_xlpm.Style,LOWER(_xlpm.Style)))</f>
        <v>101-2683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Everyday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GOORIN BROTHERS</v>
      </c>
      <c r="H113" s="81" t="str">
        <f ca="1">LOWER(TRIM(_xlfn.XLOOKUP($A113,Строчный!$A:$A,Строчный!H:H,"ERR",0)))</f>
        <v>blk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PROPER(TRIM(_xlfn.XLOOKUP($A113,Строчный!$A:$A,Строчный!Q:Q,"ERR",0)))</f>
        <v/>
      </c>
      <c r="Q113" s="90">
        <f ca="1">VALUE(_xlfn.XLOOKUP($A113,Строчный!$A:$A,Строчный!N:N,"ERR",0))</f>
        <v>520</v>
      </c>
      <c r="R113" s="89" t="str">
        <f ca="1">_xlfn.XLOOKUP($G113,Фабрика!A:A,Фабрика!B:B,"ERR",0)</f>
        <v>Goorin Brothers Inc; 1269 Howard street, San Fancisco, CA 94103, USA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48</v>
      </c>
      <c r="U113" s="14" t="s">
        <v>265</v>
      </c>
      <c r="V113" s="101" t="str">
        <f t="shared" ca="1" si="12"/>
        <v>Бейсболка GOORIN BROTHERS арт. 101-2683 (черный)</v>
      </c>
      <c r="W113" s="100" t="str">
        <f t="shared" ca="1" si="13"/>
        <v>Бейсболка GOORIN BROTHERS арт. 101-2683 (черный) {blk}</v>
      </c>
      <c r="X113" s="18" t="str">
        <f t="shared" ca="1" si="9"/>
        <v>черный</v>
      </c>
      <c r="Y113" s="18" t="str">
        <f t="shared" ca="1" si="10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91-530-09-00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SUMIF(Марка!A:A,G113,Марка!B:B)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91-530-08</v>
      </c>
      <c r="B114" s="107" t="str">
        <f ca="1">_xlfn.LET(_xlpm.CAPS,0,_xlpm.Style,TRIM(_xlfn.XLOOKUP($A114,Строчный!$A:$A,Строчный!B:B,"ERR",0)),IF(_xlpm.CAPS=0,_xlpm.Style,LOWER(_xlpm.Style)))</f>
        <v>101-2683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Everyday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GOORIN BROTHERS</v>
      </c>
      <c r="H114" s="81" t="str">
        <f ca="1">LOWER(TRIM(_xlfn.XLOOKUP($A114,Строчный!$A:$A,Строчный!H:H,"ERR",0)))</f>
        <v>gry</v>
      </c>
      <c r="I114" s="81" t="str">
        <f ca="1">LOWER(TRIM(_xlfn.XLOOKUP($A114,Строчный!$A:$A,Строчный!I:I,"ERR",0)))</f>
        <v>серый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PROPER(TRIM(_xlfn.XLOOKUP($A114,Строчный!$A:$A,Строчный!Q:Q,"ERR",0)))</f>
        <v>Серый</v>
      </c>
      <c r="Q114" s="90">
        <f ca="1">VALUE(_xlfn.XLOOKUP($A114,Строчный!$A:$A,Строчный!N:N,"ERR",0))</f>
        <v>520</v>
      </c>
      <c r="R114" s="89" t="str">
        <f ca="1">_xlfn.XLOOKUP($G114,Фабрика!A:A,Фабрика!B:B,"ERR",0)</f>
        <v>Goorin Brothers Inc; 1269 Howard street, San Fancisco, CA 94103, USA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24</v>
      </c>
      <c r="U114" s="14" t="s">
        <v>265</v>
      </c>
      <c r="V114" s="101" t="str">
        <f t="shared" ca="1" si="12"/>
        <v>Бейсболка GOORIN BROTHERS арт. 101-2683 (серый)</v>
      </c>
      <c r="W114" s="100" t="str">
        <f t="shared" ca="1" si="13"/>
        <v>Бейсболка GOORIN BROTHERS арт. 101-2683 (серый) {gry}</v>
      </c>
      <c r="X114" s="18" t="str">
        <f t="shared" ca="1" si="9"/>
        <v>серый</v>
      </c>
      <c r="Y114" s="18" t="str">
        <f t="shared" ca="1" si="10"/>
        <v>серый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91-530-08-00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08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SUMIF(Марка!A:A,G114,Марка!B:B)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91-530-08</v>
      </c>
      <c r="AW114" s="94" t="str">
        <f ca="1">VLOOKUP(W114,Товары!A:B,1,FALSE)</f>
        <v>Бейсболка GOORIN BROTHERS арт. 101-2683 (серый) {gry}</v>
      </c>
    </row>
    <row r="115" spans="1:49" x14ac:dyDescent="0.25">
      <c r="A115" s="110" t="str">
        <f t="shared" ca="1" si="11"/>
        <v>91-411-08</v>
      </c>
      <c r="B115" s="107" t="str">
        <f ca="1">_xlfn.LET(_xlpm.CAPS,0,_xlpm.Style,TRIM(_xlfn.XLOOKUP($A115,Строчный!$A:$A,Строчный!B:B,"ERR",0)),IF(_xlpm.CAPS=0,_xlpm.Style,LOWER(_xlpm.Style)))</f>
        <v>201-0012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сеточкой</v>
      </c>
      <c r="E115" s="81" t="str">
        <f ca="1">PROPER(TRIM(_xlfn.XLOOKUP($A115,Строчный!$A:$A,Строчный!E:E,"ERR",0)))</f>
        <v>Animal Farm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GOORIN BROTHERS</v>
      </c>
      <c r="H115" s="81" t="str">
        <f ca="1">LOWER(TRIM(_xlfn.XLOOKUP($A115,Строчный!$A:$A,Строчный!H:H,"ERR",0)))</f>
        <v>gry</v>
      </c>
      <c r="I115" s="81" t="str">
        <f ca="1">LOWER(TRIM(_xlfn.XLOOKUP($A115,Строчный!$A:$A,Строчный!I:I,"ERR",0)))</f>
        <v>серый</v>
      </c>
      <c r="J115" s="81" t="str">
        <f ca="1">SUBSTITUTE(LOWER(TRIM(_xlfn.XLOOKUP($A115,Строчный!$A:$A,Строчный!J:J,"ERR",0))),"подклад","Подклад")</f>
        <v>57% полиэстер - 43%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Детские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PROPER(TRIM(_xlfn.XLOOKUP($A115,Строчный!$A:$A,Строчный!Q:Q,"ERR",0)))</f>
        <v>Серый</v>
      </c>
      <c r="Q115" s="90">
        <f ca="1">VALUE(_xlfn.XLOOKUP($A115,Строчный!$A:$A,Строчный!N:N,"ERR",0))</f>
        <v>717.6</v>
      </c>
      <c r="R115" s="89" t="str">
        <f ca="1">_xlfn.XLOOKUP($G115,Фабрика!A:A,Фабрика!B:B,"ERR",0)</f>
        <v>Goorin Brothers Inc; 1269 Howard street, San Fancisco, CA 94103, USA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144</v>
      </c>
      <c r="U115" s="14" t="s">
        <v>265</v>
      </c>
      <c r="V115" s="101" t="str">
        <f t="shared" ca="1" si="12"/>
        <v>Бейсболка GOORIN BROTHERS арт. 201-0012 (серый)</v>
      </c>
      <c r="W115" s="100" t="str">
        <f t="shared" ca="1" si="13"/>
        <v>Бейсболка GOORIN BROTHERS арт. 201-0012 (серый) {gry}</v>
      </c>
      <c r="X115" s="18" t="str">
        <f t="shared" ca="1" si="9"/>
        <v>серый</v>
      </c>
      <c r="Y115" s="18" t="str">
        <f t="shared" ca="1" si="10"/>
        <v>серый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91-411-08-00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08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SUMIF(Марка!A:A,G115,Марка!B:B)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91-411-08</v>
      </c>
      <c r="AW115" s="94" t="str">
        <f ca="1">VLOOKUP(W115,Товары!A:B,1,FALSE)</f>
        <v>Бейсболка GOORIN BROTHERS арт. 201-0012 (серый) {gry}</v>
      </c>
    </row>
    <row r="116" spans="1:49" x14ac:dyDescent="0.25">
      <c r="A116" s="110" t="str">
        <f t="shared" ca="1" si="11"/>
        <v>91-133-34</v>
      </c>
      <c r="B116" s="107" t="str">
        <f ca="1">_xlfn.LET(_xlpm.CAPS,0,_xlpm.Style,TRIM(_xlfn.XLOOKUP($A116,Строчный!$A:$A,Строчный!B:B,"ERR",0)),IF(_xlpm.CAPS=0,_xlpm.Style,LOWER(_xlpm.Style)))</f>
        <v>201-3002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Animal Farm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GOORIN BROTHERS</v>
      </c>
      <c r="H116" s="81" t="str">
        <f ca="1">LOWER(TRIM(_xlfn.XLOOKUP($A116,Строчный!$A:$A,Строчный!H:H,"ERR",0)))</f>
        <v>pin</v>
      </c>
      <c r="I116" s="81" t="str">
        <f ca="1">LOWER(TRIM(_xlfn.XLOOKUP($A116,Строчный!$A:$A,Строчный!I:I,"ERR",0)))</f>
        <v>розовый</v>
      </c>
      <c r="J116" s="81" t="str">
        <f ca="1">SUBSTITUTE(LOWER(TRIM(_xlfn.XLOOKUP($A116,Строчный!$A:$A,Строчный!J:J,"ERR",0))),"подклад","Подклад")</f>
        <v>57% полиэстер - 43%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Детские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PROPER(TRIM(_xlfn.XLOOKUP($A116,Строчный!$A:$A,Строчный!Q:Q,"ERR",0)))</f>
        <v>Розовый</v>
      </c>
      <c r="Q116" s="90">
        <f ca="1">VALUE(_xlfn.XLOOKUP($A116,Строчный!$A:$A,Строчный!N:N,"ERR",0))</f>
        <v>717.6</v>
      </c>
      <c r="R116" s="89" t="str">
        <f ca="1">_xlfn.XLOOKUP($G116,Фабрика!A:A,Фабрика!B:B,"ERR",0)</f>
        <v>Goorin Brothers Inc; 1269 Howard street, San Fancisco, CA 94103, USA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144</v>
      </c>
      <c r="U116" s="14" t="s">
        <v>265</v>
      </c>
      <c r="V116" s="101" t="str">
        <f t="shared" ca="1" si="12"/>
        <v>Бейсболка GOORIN BROTHERS арт. 201-3002 (розовый)</v>
      </c>
      <c r="W116" s="100" t="str">
        <f t="shared" ca="1" si="13"/>
        <v>Бейсболка GOORIN BROTHERS арт. 201-3002 (розовый) {pin}</v>
      </c>
      <c r="X116" s="18" t="str">
        <f t="shared" ca="1" si="9"/>
        <v>розовый</v>
      </c>
      <c r="Y116" s="18" t="str">
        <f t="shared" ca="1" si="10"/>
        <v>розовый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розовый</v>
      </c>
      <c r="AA116" s="73" t="str">
        <f ca="1"/>
        <v>91-133-34-00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34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SUMIF(Марка!A:A,G116,Марка!B:B)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91-133-34</v>
      </c>
      <c r="AW116" s="94" t="str">
        <f ca="1">VLOOKUP(W116,Товары!A:B,1,FALSE)</f>
        <v>Бейсболка GOORIN BROTHERS арт. 201-3002 (розовый) {pin}</v>
      </c>
    </row>
    <row r="117" spans="1:49" x14ac:dyDescent="0.25">
      <c r="A117" s="110" t="str">
        <f t="shared" ca="1" si="11"/>
        <v>91-132-06</v>
      </c>
      <c r="B117" s="107" t="str">
        <f ca="1">_xlfn.LET(_xlpm.CAPS,0,_xlpm.Style,TRIM(_xlfn.XLOOKUP($A117,Строчный!$A:$A,Строчный!B:B,"ERR",0)),IF(_xlpm.CAPS=0,_xlpm.Style,LOWER(_xlpm.Style)))</f>
        <v>201-3001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Animal Farm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GOORIN BROTHERS</v>
      </c>
      <c r="H117" s="81" t="str">
        <f ca="1">LOWER(TRIM(_xlfn.XLOOKUP($A117,Строчный!$A:$A,Строчный!H:H,"ERR",0)))</f>
        <v>blu</v>
      </c>
      <c r="I117" s="81" t="str">
        <f ca="1">LOWER(TRIM(_xlfn.XLOOKUP($A117,Строчный!$A:$A,Строчный!I:I,"ERR",0)))</f>
        <v>синий</v>
      </c>
      <c r="J117" s="81" t="str">
        <f ca="1">SUBSTITUTE(LOWER(TRIM(_xlfn.XLOOKUP($A117,Строчный!$A:$A,Строчный!J:J,"ERR",0))),"подклад","Подклад")</f>
        <v>100% полиэстер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Детские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PROPER(TRIM(_xlfn.XLOOKUP($A117,Строчный!$A:$A,Строчный!Q:Q,"ERR",0)))</f>
        <v>Синий</v>
      </c>
      <c r="Q117" s="90">
        <f ca="1">VALUE(_xlfn.XLOOKUP($A117,Строчный!$A:$A,Строчный!N:N,"ERR",0))</f>
        <v>717.6</v>
      </c>
      <c r="R117" s="89" t="str">
        <f ca="1">_xlfn.XLOOKUP($G117,Фабрика!A:A,Фабрика!B:B,"ERR",0)</f>
        <v>Goorin Brothers Inc; 1269 Howard street, San Fancisco, CA 94103, USA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144</v>
      </c>
      <c r="U117" s="14" t="s">
        <v>265</v>
      </c>
      <c r="V117" s="101" t="str">
        <f t="shared" ca="1" si="12"/>
        <v>Бейсболка GOORIN BROTHERS арт. 201-3001 (синий)</v>
      </c>
      <c r="W117" s="100" t="str">
        <f t="shared" ca="1" si="13"/>
        <v>Бейсболка GOORIN BROTHERS арт. 201-3001 (синий) {blu}</v>
      </c>
      <c r="X117" s="18" t="str">
        <f t="shared" ca="1" si="9"/>
        <v>синий</v>
      </c>
      <c r="Y117" s="18" t="str">
        <f t="shared" ca="1" si="10"/>
        <v>синий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91-132-06-00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06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SUMIF(Марка!A:A,G117,Марка!B:B)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91-132-06</v>
      </c>
      <c r="AW117" s="94" t="str">
        <f ca="1">VLOOKUP(W117,Товары!A:B,1,FALSE)</f>
        <v>Бейсболка GOORIN BROTHERS арт. 201-3001 (синий) {blu}</v>
      </c>
    </row>
  </sheetData>
  <autoFilter ref="G1:AW117" xr:uid="{00000000-0009-0000-0000-000000000000}"/>
  <conditionalFormatting sqref="AT2">
    <cfRule type="expression" dxfId="51" priority="36">
      <formula>IFERROR(AT2,TRUE)</formula>
    </cfRule>
  </conditionalFormatting>
  <conditionalFormatting sqref="AT3:AT117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17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17 AQ3:AQ117">
    <cfRule type="cellIs" dxfId="46" priority="31" operator="lessThan">
      <formula>1</formula>
    </cfRule>
  </conditionalFormatting>
  <conditionalFormatting sqref="AC3:AN117 AP3:AP117 AR3:AS117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17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17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17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17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28419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28420</v>
      </c>
      <c r="C26" s="119" t="s">
        <v>28420</v>
      </c>
      <c r="D26" s="119" t="s">
        <v>28420</v>
      </c>
      <c r="E26" s="119">
        <v>1</v>
      </c>
    </row>
    <row r="27" spans="1:5" x14ac:dyDescent="0.2">
      <c r="A27" s="119" t="s">
        <v>28421</v>
      </c>
      <c r="C27" s="119" t="s">
        <v>28421</v>
      </c>
      <c r="D27" s="119" t="s">
        <v>28231</v>
      </c>
      <c r="E27" s="119">
        <v>1</v>
      </c>
    </row>
    <row r="28" spans="1:5" x14ac:dyDescent="0.2">
      <c r="A28" s="119" t="s">
        <v>28422</v>
      </c>
      <c r="C28" s="119" t="s">
        <v>28422</v>
      </c>
      <c r="D28" s="119" t="s">
        <v>25332</v>
      </c>
      <c r="E28" s="119">
        <v>1</v>
      </c>
    </row>
    <row r="29" spans="1:5" x14ac:dyDescent="0.2">
      <c r="A29" s="119" t="s">
        <v>28423</v>
      </c>
      <c r="C29" s="119" t="s">
        <v>28423</v>
      </c>
      <c r="D29" s="119" t="s">
        <v>28254</v>
      </c>
      <c r="E29" s="119">
        <v>1</v>
      </c>
    </row>
    <row r="30" spans="1:5" x14ac:dyDescent="0.2">
      <c r="A30" s="119" t="s">
        <v>28424</v>
      </c>
      <c r="C30" s="119" t="s">
        <v>28424</v>
      </c>
      <c r="D30" s="119" t="s">
        <v>25333</v>
      </c>
      <c r="E30" s="119">
        <v>1</v>
      </c>
    </row>
    <row r="31" spans="1:5" x14ac:dyDescent="0.2">
      <c r="A31" s="119" t="s">
        <v>28425</v>
      </c>
      <c r="C31" s="119" t="s">
        <v>28425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28428</v>
      </c>
      <c r="D32" s="119" t="s">
        <v>25334</v>
      </c>
      <c r="E32" s="119">
        <v>1</v>
      </c>
    </row>
    <row r="33" spans="1:5" ht="12.6" customHeight="1" x14ac:dyDescent="0.2">
      <c r="A33" s="119" t="s">
        <v>28426</v>
      </c>
      <c r="C33" s="119" t="s">
        <v>28426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28427</v>
      </c>
      <c r="C35" s="119" t="s">
        <v>28427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28419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28716</v>
      </c>
      <c r="B178" s="125" t="s">
        <v>25308</v>
      </c>
      <c r="C178" s="125">
        <v>1</v>
      </c>
    </row>
    <row r="179" spans="1:3" x14ac:dyDescent="0.25">
      <c r="A179" s="125" t="s">
        <v>28724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28730</v>
      </c>
      <c r="B388" s="125" t="s">
        <v>28223</v>
      </c>
      <c r="C388" s="125">
        <v>1</v>
      </c>
    </row>
    <row r="389" spans="1:3" x14ac:dyDescent="0.25">
      <c r="A389" s="125" t="s">
        <v>28723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A18" sqref="A18:XFD25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28415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14"/>
  <sheetViews>
    <sheetView tabSelected="1" topLeftCell="H1" workbookViewId="0">
      <pane ySplit="1" topLeftCell="A161" activePane="bottomLeft" state="frozen"/>
      <selection pane="bottomLeft" activeCell="O172" sqref="O172"/>
    </sheetView>
  </sheetViews>
  <sheetFormatPr defaultRowHeight="15" customHeight="1" x14ac:dyDescent="0.2"/>
  <cols>
    <col min="1" max="1" width="12.5703125" style="81" customWidth="1"/>
    <col min="2" max="2" width="8.570312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10.5703125" style="81" bestFit="1" customWidth="1"/>
    <col min="18" max="18" width="13.42578125" style="113" bestFit="1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28416</v>
      </c>
      <c r="P1" s="79" t="s">
        <v>28417</v>
      </c>
      <c r="Q1" s="79" t="s">
        <v>2</v>
      </c>
      <c r="R1" s="145" t="s">
        <v>28746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28429</v>
      </c>
      <c r="B2" s="80" t="s">
        <v>28582</v>
      </c>
      <c r="C2" s="80" t="s">
        <v>46</v>
      </c>
      <c r="D2" s="80" t="s">
        <v>92</v>
      </c>
      <c r="E2" s="80" t="s">
        <v>94</v>
      </c>
      <c r="F2" s="80" t="s">
        <v>91</v>
      </c>
      <c r="G2" s="80" t="s">
        <v>28706</v>
      </c>
      <c r="H2" s="80" t="s">
        <v>28707</v>
      </c>
      <c r="I2" s="80" t="s">
        <v>107</v>
      </c>
      <c r="J2" s="83" t="s">
        <v>95</v>
      </c>
      <c r="K2" s="80" t="s">
        <v>25687</v>
      </c>
      <c r="L2" s="80" t="s">
        <v>25607</v>
      </c>
      <c r="M2" s="80" t="s">
        <v>12</v>
      </c>
      <c r="N2" s="80">
        <v>832</v>
      </c>
      <c r="O2" s="80"/>
      <c r="P2" s="80"/>
      <c r="Q2" s="80"/>
      <c r="R2" s="146"/>
      <c r="S2" s="103" t="str">
        <f>A2&amp;"-"&amp;T2</f>
        <v>91-634-48-</v>
      </c>
      <c r="V2" s="81">
        <v>338</v>
      </c>
    </row>
    <row r="3" spans="1:45" ht="15" customHeight="1" x14ac:dyDescent="0.2">
      <c r="A3" s="81" t="s">
        <v>28430</v>
      </c>
      <c r="B3" s="81" t="s">
        <v>28583</v>
      </c>
      <c r="C3" s="81" t="s">
        <v>46</v>
      </c>
      <c r="D3" s="81" t="s">
        <v>92</v>
      </c>
      <c r="E3" s="81" t="s">
        <v>94</v>
      </c>
      <c r="F3" s="81" t="s">
        <v>91</v>
      </c>
      <c r="G3" s="81" t="s">
        <v>28706</v>
      </c>
      <c r="H3" s="81" t="s">
        <v>28708</v>
      </c>
      <c r="I3" s="81" t="s">
        <v>25394</v>
      </c>
      <c r="J3" s="84" t="s">
        <v>95</v>
      </c>
      <c r="K3" s="81" t="s">
        <v>25687</v>
      </c>
      <c r="L3" s="81" t="s">
        <v>25607</v>
      </c>
      <c r="M3" s="81" t="s">
        <v>12</v>
      </c>
      <c r="N3" s="81">
        <v>832</v>
      </c>
      <c r="Q3" s="80"/>
      <c r="R3" s="146"/>
      <c r="S3" s="103" t="str">
        <f t="shared" ref="S3:S66" si="0">A3&amp;"-"&amp;T3</f>
        <v>91-635-20-</v>
      </c>
      <c r="V3" s="81">
        <v>264</v>
      </c>
    </row>
    <row r="4" spans="1:45" ht="15" customHeight="1" x14ac:dyDescent="0.2">
      <c r="A4" s="81" t="s">
        <v>28431</v>
      </c>
      <c r="B4" s="81" t="s">
        <v>28584</v>
      </c>
      <c r="C4" s="81" t="s">
        <v>46</v>
      </c>
      <c r="D4" s="81" t="s">
        <v>92</v>
      </c>
      <c r="E4" s="81" t="s">
        <v>94</v>
      </c>
      <c r="F4" s="81" t="s">
        <v>91</v>
      </c>
      <c r="G4" s="81" t="s">
        <v>28706</v>
      </c>
      <c r="H4" s="81" t="s">
        <v>28709</v>
      </c>
      <c r="I4" s="81" t="s">
        <v>23</v>
      </c>
      <c r="J4" s="84" t="s">
        <v>95</v>
      </c>
      <c r="K4" s="81" t="s">
        <v>25687</v>
      </c>
      <c r="L4" s="81" t="s">
        <v>25607</v>
      </c>
      <c r="M4" s="81" t="s">
        <v>12</v>
      </c>
      <c r="N4" s="81">
        <v>832</v>
      </c>
      <c r="Q4" s="80"/>
      <c r="R4" s="146"/>
      <c r="S4" s="103" t="str">
        <f t="shared" si="0"/>
        <v>91-636-16-</v>
      </c>
      <c r="V4" s="81">
        <v>168</v>
      </c>
    </row>
    <row r="5" spans="1:45" ht="15" customHeight="1" x14ac:dyDescent="0.2">
      <c r="A5" s="81" t="s">
        <v>28432</v>
      </c>
      <c r="B5" s="81" t="s">
        <v>28585</v>
      </c>
      <c r="C5" s="81" t="s">
        <v>46</v>
      </c>
      <c r="D5" s="81" t="s">
        <v>92</v>
      </c>
      <c r="E5" s="81" t="s">
        <v>94</v>
      </c>
      <c r="F5" s="81" t="s">
        <v>91</v>
      </c>
      <c r="G5" s="81" t="s">
        <v>28706</v>
      </c>
      <c r="H5" s="81" t="s">
        <v>28710</v>
      </c>
      <c r="I5" s="81" t="s">
        <v>58</v>
      </c>
      <c r="J5" s="84" t="s">
        <v>95</v>
      </c>
      <c r="K5" s="81" t="s">
        <v>25687</v>
      </c>
      <c r="L5" s="81" t="s">
        <v>25607</v>
      </c>
      <c r="M5" s="81" t="s">
        <v>12</v>
      </c>
      <c r="N5" s="81">
        <v>832</v>
      </c>
      <c r="Q5" s="80"/>
      <c r="R5" s="146"/>
      <c r="S5" s="103" t="str">
        <f t="shared" si="0"/>
        <v>91-637-03-</v>
      </c>
      <c r="V5" s="81">
        <v>120</v>
      </c>
    </row>
    <row r="6" spans="1:45" ht="15" customHeight="1" x14ac:dyDescent="0.2">
      <c r="A6" s="81" t="s">
        <v>27346</v>
      </c>
      <c r="B6" s="81" t="s">
        <v>28586</v>
      </c>
      <c r="C6" s="81" t="s">
        <v>46</v>
      </c>
      <c r="D6" s="81" t="s">
        <v>92</v>
      </c>
      <c r="E6" s="81" t="s">
        <v>94</v>
      </c>
      <c r="F6" s="81" t="s">
        <v>91</v>
      </c>
      <c r="G6" s="81" t="s">
        <v>28706</v>
      </c>
      <c r="H6" s="81" t="s">
        <v>28711</v>
      </c>
      <c r="I6" s="81" t="s">
        <v>97</v>
      </c>
      <c r="J6" s="84" t="s">
        <v>98</v>
      </c>
      <c r="L6" s="81" t="s">
        <v>25607</v>
      </c>
      <c r="M6" s="81" t="s">
        <v>12</v>
      </c>
      <c r="N6" s="81">
        <v>988</v>
      </c>
      <c r="Q6" s="80" t="s">
        <v>1</v>
      </c>
      <c r="R6" s="146"/>
      <c r="S6" s="103" t="str">
        <f t="shared" si="0"/>
        <v>91-605-09-</v>
      </c>
      <c r="V6" s="81">
        <v>264</v>
      </c>
    </row>
    <row r="7" spans="1:45" ht="15" customHeight="1" x14ac:dyDescent="0.2">
      <c r="A7" s="81" t="s">
        <v>27348</v>
      </c>
      <c r="B7" s="81" t="s">
        <v>28587</v>
      </c>
      <c r="C7" s="81" t="s">
        <v>46</v>
      </c>
      <c r="D7" s="81" t="s">
        <v>92</v>
      </c>
      <c r="E7" s="81" t="s">
        <v>94</v>
      </c>
      <c r="F7" s="81" t="s">
        <v>91</v>
      </c>
      <c r="G7" s="81" t="s">
        <v>28706</v>
      </c>
      <c r="H7" s="81" t="s">
        <v>28712</v>
      </c>
      <c r="I7" s="81" t="s">
        <v>28304</v>
      </c>
      <c r="J7" s="84" t="s">
        <v>98</v>
      </c>
      <c r="L7" s="81" t="s">
        <v>25607</v>
      </c>
      <c r="M7" s="81" t="s">
        <v>12</v>
      </c>
      <c r="N7" s="81">
        <v>988</v>
      </c>
      <c r="Q7" s="80" t="s">
        <v>123</v>
      </c>
      <c r="R7" s="146"/>
      <c r="S7" s="103" t="str">
        <f t="shared" si="0"/>
        <v>91-606-13-</v>
      </c>
      <c r="V7" s="81">
        <v>240</v>
      </c>
    </row>
    <row r="8" spans="1:45" ht="15" customHeight="1" x14ac:dyDescent="0.2">
      <c r="A8" s="81" t="s">
        <v>27350</v>
      </c>
      <c r="B8" s="81" t="s">
        <v>28588</v>
      </c>
      <c r="C8" s="81" t="s">
        <v>46</v>
      </c>
      <c r="D8" s="81" t="s">
        <v>92</v>
      </c>
      <c r="E8" s="81" t="s">
        <v>94</v>
      </c>
      <c r="F8" s="81" t="s">
        <v>91</v>
      </c>
      <c r="G8" s="81" t="s">
        <v>28706</v>
      </c>
      <c r="H8" s="81" t="s">
        <v>28713</v>
      </c>
      <c r="I8" s="81" t="s">
        <v>99</v>
      </c>
      <c r="J8" s="84" t="s">
        <v>98</v>
      </c>
      <c r="L8" s="81" t="s">
        <v>25607</v>
      </c>
      <c r="M8" s="81" t="s">
        <v>12</v>
      </c>
      <c r="N8" s="81">
        <v>988</v>
      </c>
      <c r="Q8" s="80" t="s">
        <v>147</v>
      </c>
      <c r="R8" s="146"/>
      <c r="S8" s="103" t="str">
        <f t="shared" si="0"/>
        <v>91-607-78-</v>
      </c>
      <c r="V8" s="81">
        <v>144</v>
      </c>
    </row>
    <row r="9" spans="1:45" ht="15" customHeight="1" x14ac:dyDescent="0.2">
      <c r="A9" s="81" t="s">
        <v>27352</v>
      </c>
      <c r="B9" s="81" t="s">
        <v>28589</v>
      </c>
      <c r="C9" s="81" t="s">
        <v>46</v>
      </c>
      <c r="D9" s="81" t="s">
        <v>92</v>
      </c>
      <c r="E9" s="81" t="s">
        <v>94</v>
      </c>
      <c r="F9" s="81" t="s">
        <v>91</v>
      </c>
      <c r="G9" s="81" t="s">
        <v>28706</v>
      </c>
      <c r="H9" s="81" t="s">
        <v>28707</v>
      </c>
      <c r="I9" s="81" t="s">
        <v>100</v>
      </c>
      <c r="J9" s="84" t="s">
        <v>98</v>
      </c>
      <c r="L9" s="81" t="s">
        <v>25607</v>
      </c>
      <c r="M9" s="81" t="s">
        <v>12</v>
      </c>
      <c r="N9" s="81">
        <v>988</v>
      </c>
      <c r="Q9" s="80" t="s">
        <v>100</v>
      </c>
      <c r="R9" s="146"/>
      <c r="S9" s="103" t="str">
        <f t="shared" si="0"/>
        <v>91-608-17-</v>
      </c>
      <c r="V9" s="81">
        <v>240</v>
      </c>
    </row>
    <row r="10" spans="1:45" ht="15" customHeight="1" x14ac:dyDescent="0.2">
      <c r="A10" s="81" t="s">
        <v>27354</v>
      </c>
      <c r="B10" s="81" t="s">
        <v>28590</v>
      </c>
      <c r="C10" s="81" t="s">
        <v>46</v>
      </c>
      <c r="D10" s="81" t="s">
        <v>92</v>
      </c>
      <c r="E10" s="81" t="s">
        <v>94</v>
      </c>
      <c r="F10" s="81" t="s">
        <v>91</v>
      </c>
      <c r="G10" s="81" t="s">
        <v>28706</v>
      </c>
      <c r="H10" s="81" t="s">
        <v>28711</v>
      </c>
      <c r="I10" s="81" t="s">
        <v>1</v>
      </c>
      <c r="J10" s="84" t="s">
        <v>98</v>
      </c>
      <c r="L10" s="81" t="s">
        <v>25607</v>
      </c>
      <c r="M10" s="81" t="s">
        <v>12</v>
      </c>
      <c r="N10" s="81">
        <v>988</v>
      </c>
      <c r="Q10" s="80" t="s">
        <v>1</v>
      </c>
      <c r="R10" s="146"/>
      <c r="S10" s="103" t="str">
        <f t="shared" si="0"/>
        <v>91-609-09-</v>
      </c>
      <c r="V10" s="81">
        <v>120</v>
      </c>
    </row>
    <row r="11" spans="1:45" ht="15" customHeight="1" x14ac:dyDescent="0.2">
      <c r="A11" s="81" t="s">
        <v>27356</v>
      </c>
      <c r="B11" s="81" t="s">
        <v>28591</v>
      </c>
      <c r="C11" s="81" t="s">
        <v>46</v>
      </c>
      <c r="D11" s="81" t="s">
        <v>92</v>
      </c>
      <c r="E11" s="81" t="s">
        <v>94</v>
      </c>
      <c r="F11" s="81" t="s">
        <v>91</v>
      </c>
      <c r="G11" s="81" t="s">
        <v>28706</v>
      </c>
      <c r="H11" s="81" t="s">
        <v>28714</v>
      </c>
      <c r="I11" s="81" t="s">
        <v>28</v>
      </c>
      <c r="J11" s="84" t="s">
        <v>95</v>
      </c>
      <c r="K11" s="81" t="s">
        <v>25687</v>
      </c>
      <c r="L11" s="81" t="s">
        <v>25607</v>
      </c>
      <c r="M11" s="81" t="s">
        <v>12</v>
      </c>
      <c r="N11" s="81">
        <v>884</v>
      </c>
      <c r="Q11" s="80" t="s">
        <v>28</v>
      </c>
      <c r="R11" s="146"/>
      <c r="S11" s="103" t="str">
        <f t="shared" si="0"/>
        <v>91-610-08-</v>
      </c>
      <c r="V11" s="81">
        <v>144</v>
      </c>
    </row>
    <row r="12" spans="1:45" ht="15" customHeight="1" x14ac:dyDescent="0.2">
      <c r="A12" s="81" t="s">
        <v>27360</v>
      </c>
      <c r="B12" s="81" t="s">
        <v>28592</v>
      </c>
      <c r="C12" s="81" t="s">
        <v>46</v>
      </c>
      <c r="D12" s="81" t="s">
        <v>92</v>
      </c>
      <c r="E12" s="81" t="s">
        <v>94</v>
      </c>
      <c r="F12" s="81" t="s">
        <v>91</v>
      </c>
      <c r="G12" s="81" t="s">
        <v>28706</v>
      </c>
      <c r="H12" s="81" t="s">
        <v>28709</v>
      </c>
      <c r="I12" s="81" t="s">
        <v>23</v>
      </c>
      <c r="J12" s="84" t="s">
        <v>95</v>
      </c>
      <c r="K12" s="81" t="s">
        <v>25687</v>
      </c>
      <c r="L12" s="81" t="s">
        <v>25607</v>
      </c>
      <c r="M12" s="81" t="s">
        <v>12</v>
      </c>
      <c r="N12" s="81">
        <v>884</v>
      </c>
      <c r="Q12" s="80" t="s">
        <v>27</v>
      </c>
      <c r="R12" s="146"/>
      <c r="S12" s="103" t="str">
        <f t="shared" si="0"/>
        <v>91-612-16-</v>
      </c>
      <c r="V12" s="81">
        <v>120</v>
      </c>
    </row>
    <row r="13" spans="1:45" ht="15" customHeight="1" x14ac:dyDescent="0.2">
      <c r="A13" s="80" t="s">
        <v>27362</v>
      </c>
      <c r="B13" s="81" t="s">
        <v>28593</v>
      </c>
      <c r="C13" s="81" t="s">
        <v>46</v>
      </c>
      <c r="D13" s="81" t="s">
        <v>92</v>
      </c>
      <c r="E13" s="81" t="s">
        <v>94</v>
      </c>
      <c r="F13" s="81" t="s">
        <v>91</v>
      </c>
      <c r="G13" s="81" t="s">
        <v>28706</v>
      </c>
      <c r="H13" s="81" t="s">
        <v>28709</v>
      </c>
      <c r="I13" s="80" t="s">
        <v>23</v>
      </c>
      <c r="J13" s="84" t="s">
        <v>95</v>
      </c>
      <c r="K13" s="81" t="s">
        <v>25687</v>
      </c>
      <c r="L13" s="81" t="s">
        <v>25607</v>
      </c>
      <c r="M13" s="81" t="s">
        <v>12</v>
      </c>
      <c r="N13" s="81">
        <v>884</v>
      </c>
      <c r="Q13" s="80" t="s">
        <v>27</v>
      </c>
      <c r="R13" s="146"/>
      <c r="S13" s="103" t="str">
        <f t="shared" si="0"/>
        <v>91-613-16-</v>
      </c>
      <c r="V13" s="81">
        <v>144</v>
      </c>
    </row>
    <row r="14" spans="1:45" ht="15" customHeight="1" x14ac:dyDescent="0.2">
      <c r="A14" s="81" t="s">
        <v>28433</v>
      </c>
      <c r="B14" s="81" t="s">
        <v>28594</v>
      </c>
      <c r="C14" s="81" t="s">
        <v>46</v>
      </c>
      <c r="D14" s="81" t="s">
        <v>92</v>
      </c>
      <c r="E14" s="81" t="s">
        <v>94</v>
      </c>
      <c r="F14" s="81" t="s">
        <v>91</v>
      </c>
      <c r="G14" s="81" t="s">
        <v>28706</v>
      </c>
      <c r="H14" s="81" t="s">
        <v>28711</v>
      </c>
      <c r="I14" s="81" t="s">
        <v>1</v>
      </c>
      <c r="J14" s="84" t="s">
        <v>95</v>
      </c>
      <c r="K14" s="81" t="s">
        <v>25687</v>
      </c>
      <c r="L14" s="81" t="s">
        <v>25607</v>
      </c>
      <c r="M14" s="81" t="s">
        <v>12</v>
      </c>
      <c r="N14" s="81">
        <v>884</v>
      </c>
      <c r="Q14" s="80"/>
      <c r="R14" s="146"/>
      <c r="S14" s="103" t="str">
        <f t="shared" si="0"/>
        <v>91-638-09-</v>
      </c>
      <c r="V14" s="81">
        <v>168</v>
      </c>
    </row>
    <row r="15" spans="1:45" ht="15" customHeight="1" x14ac:dyDescent="0.2">
      <c r="A15" s="81" t="s">
        <v>28434</v>
      </c>
      <c r="B15" s="81" t="s">
        <v>28595</v>
      </c>
      <c r="C15" s="81" t="s">
        <v>46</v>
      </c>
      <c r="D15" s="81" t="s">
        <v>92</v>
      </c>
      <c r="E15" s="81" t="s">
        <v>94</v>
      </c>
      <c r="F15" s="81" t="s">
        <v>91</v>
      </c>
      <c r="G15" s="81" t="s">
        <v>28706</v>
      </c>
      <c r="H15" s="81" t="s">
        <v>28711</v>
      </c>
      <c r="I15" s="81" t="s">
        <v>1</v>
      </c>
      <c r="J15" s="84" t="s">
        <v>95</v>
      </c>
      <c r="K15" s="81" t="s">
        <v>25687</v>
      </c>
      <c r="L15" s="81" t="s">
        <v>25607</v>
      </c>
      <c r="M15" s="81" t="s">
        <v>12</v>
      </c>
      <c r="N15" s="81">
        <v>884</v>
      </c>
      <c r="Q15" s="80"/>
      <c r="R15" s="146"/>
      <c r="S15" s="103" t="str">
        <f t="shared" si="0"/>
        <v>91-639-09-</v>
      </c>
      <c r="V15" s="81">
        <v>216</v>
      </c>
    </row>
    <row r="16" spans="1:45" ht="15" customHeight="1" x14ac:dyDescent="0.2">
      <c r="A16" s="81" t="s">
        <v>28435</v>
      </c>
      <c r="B16" s="81" t="s">
        <v>28596</v>
      </c>
      <c r="C16" s="81" t="s">
        <v>46</v>
      </c>
      <c r="D16" s="81" t="s">
        <v>92</v>
      </c>
      <c r="E16" s="81" t="s">
        <v>94</v>
      </c>
      <c r="F16" s="81" t="s">
        <v>91</v>
      </c>
      <c r="G16" s="81" t="s">
        <v>28706</v>
      </c>
      <c r="H16" s="81" t="s">
        <v>28707</v>
      </c>
      <c r="I16" s="81" t="s">
        <v>171</v>
      </c>
      <c r="J16" s="84" t="s">
        <v>95</v>
      </c>
      <c r="K16" s="81" t="s">
        <v>25687</v>
      </c>
      <c r="L16" s="81" t="s">
        <v>25607</v>
      </c>
      <c r="M16" s="81" t="s">
        <v>12</v>
      </c>
      <c r="N16" s="81">
        <v>884</v>
      </c>
      <c r="Q16" s="80"/>
      <c r="R16" s="146"/>
      <c r="S16" s="103" t="str">
        <f t="shared" si="0"/>
        <v>91-640-72-</v>
      </c>
      <c r="V16" s="81">
        <v>264</v>
      </c>
    </row>
    <row r="17" spans="1:22" ht="15" customHeight="1" x14ac:dyDescent="0.2">
      <c r="A17" s="81" t="s">
        <v>28436</v>
      </c>
      <c r="B17" s="81" t="s">
        <v>28597</v>
      </c>
      <c r="C17" s="81" t="s">
        <v>46</v>
      </c>
      <c r="D17" s="81" t="s">
        <v>92</v>
      </c>
      <c r="E17" s="81" t="s">
        <v>94</v>
      </c>
      <c r="F17" s="81" t="s">
        <v>91</v>
      </c>
      <c r="G17" s="81" t="s">
        <v>28706</v>
      </c>
      <c r="H17" s="81" t="s">
        <v>28707</v>
      </c>
      <c r="I17" s="81" t="s">
        <v>171</v>
      </c>
      <c r="J17" s="84" t="s">
        <v>95</v>
      </c>
      <c r="K17" s="81" t="s">
        <v>25687</v>
      </c>
      <c r="L17" s="81" t="s">
        <v>25607</v>
      </c>
      <c r="M17" s="81" t="s">
        <v>12</v>
      </c>
      <c r="N17" s="81">
        <v>884</v>
      </c>
      <c r="Q17" s="80"/>
      <c r="R17" s="146"/>
      <c r="S17" s="103" t="str">
        <f t="shared" si="0"/>
        <v>91-641-72-</v>
      </c>
      <c r="V17" s="81">
        <v>168</v>
      </c>
    </row>
    <row r="18" spans="1:22" ht="15" customHeight="1" x14ac:dyDescent="0.2">
      <c r="A18" s="81" t="s">
        <v>28437</v>
      </c>
      <c r="B18" s="81" t="s">
        <v>28598</v>
      </c>
      <c r="C18" s="81" t="s">
        <v>46</v>
      </c>
      <c r="D18" s="81" t="s">
        <v>92</v>
      </c>
      <c r="E18" s="81" t="s">
        <v>94</v>
      </c>
      <c r="F18" s="81" t="s">
        <v>91</v>
      </c>
      <c r="G18" s="81" t="s">
        <v>28706</v>
      </c>
      <c r="H18" s="81" t="s">
        <v>28709</v>
      </c>
      <c r="I18" s="81" t="s">
        <v>25527</v>
      </c>
      <c r="J18" s="84" t="s">
        <v>95</v>
      </c>
      <c r="K18" s="81" t="s">
        <v>25687</v>
      </c>
      <c r="L18" s="81" t="s">
        <v>25607</v>
      </c>
      <c r="M18" s="81" t="s">
        <v>12</v>
      </c>
      <c r="N18" s="81">
        <v>832</v>
      </c>
      <c r="Q18" s="80"/>
      <c r="R18" s="146"/>
      <c r="S18" s="103" t="str">
        <f t="shared" si="0"/>
        <v>91-642-00-</v>
      </c>
      <c r="V18" s="81">
        <v>144</v>
      </c>
    </row>
    <row r="19" spans="1:22" ht="15" customHeight="1" x14ac:dyDescent="0.2">
      <c r="A19" s="81" t="s">
        <v>28438</v>
      </c>
      <c r="B19" s="81" t="s">
        <v>28599</v>
      </c>
      <c r="C19" s="81" t="s">
        <v>46</v>
      </c>
      <c r="D19" s="81" t="s">
        <v>92</v>
      </c>
      <c r="E19" s="81" t="s">
        <v>94</v>
      </c>
      <c r="F19" s="81" t="s">
        <v>91</v>
      </c>
      <c r="G19" s="81" t="s">
        <v>28706</v>
      </c>
      <c r="H19" s="81" t="s">
        <v>28711</v>
      </c>
      <c r="I19" s="81" t="s">
        <v>1</v>
      </c>
      <c r="J19" s="84" t="s">
        <v>95</v>
      </c>
      <c r="K19" s="81" t="s">
        <v>25687</v>
      </c>
      <c r="L19" s="81" t="s">
        <v>25607</v>
      </c>
      <c r="M19" s="81" t="s">
        <v>12</v>
      </c>
      <c r="N19" s="81">
        <v>832</v>
      </c>
      <c r="Q19" s="80"/>
      <c r="R19" s="146"/>
      <c r="S19" s="103" t="str">
        <f t="shared" si="0"/>
        <v>91-643-09-</v>
      </c>
      <c r="V19" s="81">
        <v>1418</v>
      </c>
    </row>
    <row r="20" spans="1:22" ht="15" customHeight="1" x14ac:dyDescent="0.2">
      <c r="A20" s="81" t="s">
        <v>28439</v>
      </c>
      <c r="B20" s="81" t="s">
        <v>28599</v>
      </c>
      <c r="C20" s="81" t="s">
        <v>46</v>
      </c>
      <c r="D20" s="81" t="s">
        <v>92</v>
      </c>
      <c r="E20" s="81" t="s">
        <v>94</v>
      </c>
      <c r="F20" s="81" t="s">
        <v>91</v>
      </c>
      <c r="G20" s="81" t="s">
        <v>28706</v>
      </c>
      <c r="H20" s="81" t="s">
        <v>28715</v>
      </c>
      <c r="I20" s="81" t="s">
        <v>28716</v>
      </c>
      <c r="J20" s="84" t="s">
        <v>95</v>
      </c>
      <c r="K20" s="81" t="s">
        <v>25687</v>
      </c>
      <c r="L20" s="81" t="s">
        <v>25607</v>
      </c>
      <c r="M20" s="81" t="s">
        <v>12</v>
      </c>
      <c r="N20" s="81">
        <v>832</v>
      </c>
      <c r="Q20" s="80"/>
      <c r="R20" s="146"/>
      <c r="S20" s="103" t="str">
        <f t="shared" si="0"/>
        <v>91-643-00-</v>
      </c>
      <c r="V20" s="81">
        <v>362</v>
      </c>
    </row>
    <row r="21" spans="1:22" ht="15" customHeight="1" x14ac:dyDescent="0.2">
      <c r="A21" s="81" t="s">
        <v>28440</v>
      </c>
      <c r="B21" s="81" t="s">
        <v>28599</v>
      </c>
      <c r="C21" s="81" t="s">
        <v>46</v>
      </c>
      <c r="D21" s="81" t="s">
        <v>92</v>
      </c>
      <c r="E21" s="81" t="s">
        <v>94</v>
      </c>
      <c r="F21" s="81" t="s">
        <v>91</v>
      </c>
      <c r="G21" s="81" t="s">
        <v>28706</v>
      </c>
      <c r="H21" s="81" t="s">
        <v>28717</v>
      </c>
      <c r="I21" s="81" t="s">
        <v>96</v>
      </c>
      <c r="J21" s="84" t="s">
        <v>95</v>
      </c>
      <c r="K21" s="81" t="s">
        <v>25687</v>
      </c>
      <c r="L21" s="81" t="s">
        <v>25607</v>
      </c>
      <c r="M21" s="81" t="s">
        <v>12</v>
      </c>
      <c r="N21" s="81">
        <v>832</v>
      </c>
      <c r="Q21" s="80"/>
      <c r="R21" s="146"/>
      <c r="S21" s="103" t="str">
        <f t="shared" si="0"/>
        <v>91-643-12-</v>
      </c>
      <c r="V21" s="81">
        <v>240</v>
      </c>
    </row>
    <row r="22" spans="1:22" ht="15" customHeight="1" x14ac:dyDescent="0.2">
      <c r="A22" s="81" t="s">
        <v>28441</v>
      </c>
      <c r="B22" s="81" t="s">
        <v>28599</v>
      </c>
      <c r="C22" s="81" t="s">
        <v>46</v>
      </c>
      <c r="D22" s="81" t="s">
        <v>92</v>
      </c>
      <c r="E22" s="81" t="s">
        <v>94</v>
      </c>
      <c r="F22" s="81" t="s">
        <v>91</v>
      </c>
      <c r="G22" s="81" t="s">
        <v>28706</v>
      </c>
      <c r="H22" s="81" t="s">
        <v>28712</v>
      </c>
      <c r="I22" s="81" t="s">
        <v>123</v>
      </c>
      <c r="J22" s="84" t="s">
        <v>95</v>
      </c>
      <c r="K22" s="81" t="s">
        <v>25687</v>
      </c>
      <c r="L22" s="81" t="s">
        <v>25607</v>
      </c>
      <c r="M22" s="81" t="s">
        <v>12</v>
      </c>
      <c r="N22" s="81">
        <v>832</v>
      </c>
      <c r="Q22" s="80"/>
      <c r="R22" s="146"/>
      <c r="S22" s="103" t="str">
        <f t="shared" si="0"/>
        <v>91-643-13-</v>
      </c>
      <c r="V22" s="81">
        <v>144</v>
      </c>
    </row>
    <row r="23" spans="1:22" ht="15" customHeight="1" x14ac:dyDescent="0.2">
      <c r="A23" s="81" t="s">
        <v>28442</v>
      </c>
      <c r="B23" s="81" t="s">
        <v>28599</v>
      </c>
      <c r="C23" s="81" t="s">
        <v>46</v>
      </c>
      <c r="D23" s="81" t="s">
        <v>92</v>
      </c>
      <c r="E23" s="81" t="s">
        <v>94</v>
      </c>
      <c r="F23" s="81" t="s">
        <v>91</v>
      </c>
      <c r="G23" s="81" t="s">
        <v>28706</v>
      </c>
      <c r="H23" s="81" t="s">
        <v>28707</v>
      </c>
      <c r="I23" s="81" t="s">
        <v>100</v>
      </c>
      <c r="J23" s="84" t="s">
        <v>95</v>
      </c>
      <c r="K23" s="81" t="s">
        <v>25687</v>
      </c>
      <c r="L23" s="81" t="s">
        <v>25607</v>
      </c>
      <c r="M23" s="81" t="s">
        <v>12</v>
      </c>
      <c r="N23" s="81">
        <v>832</v>
      </c>
      <c r="Q23" s="80"/>
      <c r="R23" s="146"/>
      <c r="S23" s="103" t="str">
        <f t="shared" si="0"/>
        <v>91-643-17-</v>
      </c>
      <c r="V23" s="81">
        <v>290</v>
      </c>
    </row>
    <row r="24" spans="1:22" ht="15" customHeight="1" x14ac:dyDescent="0.2">
      <c r="A24" s="81" t="s">
        <v>28443</v>
      </c>
      <c r="B24" s="81" t="s">
        <v>28600</v>
      </c>
      <c r="C24" s="81" t="s">
        <v>46</v>
      </c>
      <c r="D24" s="81" t="s">
        <v>92</v>
      </c>
      <c r="E24" s="81" t="s">
        <v>94</v>
      </c>
      <c r="F24" s="81" t="s">
        <v>91</v>
      </c>
      <c r="G24" s="81" t="s">
        <v>28706</v>
      </c>
      <c r="H24" s="81" t="s">
        <v>28711</v>
      </c>
      <c r="I24" s="81" t="s">
        <v>1</v>
      </c>
      <c r="J24" s="84" t="s">
        <v>95</v>
      </c>
      <c r="K24" s="81" t="s">
        <v>25687</v>
      </c>
      <c r="L24" s="81" t="s">
        <v>25607</v>
      </c>
      <c r="M24" s="81" t="s">
        <v>12</v>
      </c>
      <c r="N24" s="81">
        <v>832</v>
      </c>
      <c r="Q24" s="80"/>
      <c r="R24" s="146"/>
      <c r="S24" s="103" t="str">
        <f t="shared" si="0"/>
        <v>91-644-09-</v>
      </c>
      <c r="V24" s="81">
        <v>168</v>
      </c>
    </row>
    <row r="25" spans="1:22" ht="15" customHeight="1" x14ac:dyDescent="0.2">
      <c r="A25" s="81" t="s">
        <v>28444</v>
      </c>
      <c r="B25" s="81" t="s">
        <v>28601</v>
      </c>
      <c r="C25" s="81" t="s">
        <v>46</v>
      </c>
      <c r="D25" s="81" t="s">
        <v>92</v>
      </c>
      <c r="E25" s="81" t="s">
        <v>94</v>
      </c>
      <c r="F25" s="81" t="s">
        <v>91</v>
      </c>
      <c r="G25" s="81" t="s">
        <v>28706</v>
      </c>
      <c r="H25" s="81" t="s">
        <v>28711</v>
      </c>
      <c r="I25" s="81" t="s">
        <v>1</v>
      </c>
      <c r="J25" s="84" t="s">
        <v>95</v>
      </c>
      <c r="K25" s="81" t="s">
        <v>25687</v>
      </c>
      <c r="L25" s="81" t="s">
        <v>25607</v>
      </c>
      <c r="M25" s="81" t="s">
        <v>12</v>
      </c>
      <c r="N25" s="81">
        <v>832</v>
      </c>
      <c r="Q25" s="80"/>
      <c r="R25" s="146"/>
      <c r="S25" s="103" t="str">
        <f t="shared" si="0"/>
        <v>91-645-09-</v>
      </c>
      <c r="V25" s="81">
        <v>146</v>
      </c>
    </row>
    <row r="26" spans="1:22" ht="15" customHeight="1" x14ac:dyDescent="0.2">
      <c r="A26" s="81" t="s">
        <v>28445</v>
      </c>
      <c r="B26" s="81" t="s">
        <v>28601</v>
      </c>
      <c r="C26" s="81" t="s">
        <v>46</v>
      </c>
      <c r="D26" s="81" t="s">
        <v>92</v>
      </c>
      <c r="E26" s="81" t="s">
        <v>94</v>
      </c>
      <c r="F26" s="81" t="s">
        <v>91</v>
      </c>
      <c r="G26" s="81" t="s">
        <v>28706</v>
      </c>
      <c r="H26" s="81" t="s">
        <v>28718</v>
      </c>
      <c r="I26" s="81" t="s">
        <v>27</v>
      </c>
      <c r="J26" s="84" t="s">
        <v>95</v>
      </c>
      <c r="K26" s="81" t="s">
        <v>25687</v>
      </c>
      <c r="L26" s="81" t="s">
        <v>25607</v>
      </c>
      <c r="M26" s="81" t="s">
        <v>12</v>
      </c>
      <c r="N26" s="81">
        <v>832</v>
      </c>
      <c r="Q26" s="80"/>
      <c r="R26" s="146"/>
      <c r="S26" s="103" t="str">
        <f t="shared" si="0"/>
        <v>91-645-06-</v>
      </c>
      <c r="V26" s="81">
        <v>144</v>
      </c>
    </row>
    <row r="27" spans="1:22" ht="15" customHeight="1" x14ac:dyDescent="0.2">
      <c r="A27" s="81" t="s">
        <v>28446</v>
      </c>
      <c r="B27" s="81" t="s">
        <v>28601</v>
      </c>
      <c r="C27" s="81" t="s">
        <v>46</v>
      </c>
      <c r="D27" s="81" t="s">
        <v>92</v>
      </c>
      <c r="E27" s="81" t="s">
        <v>94</v>
      </c>
      <c r="F27" s="81" t="s">
        <v>91</v>
      </c>
      <c r="G27" s="81" t="s">
        <v>28706</v>
      </c>
      <c r="H27" s="81" t="s">
        <v>28715</v>
      </c>
      <c r="I27" s="81" t="s">
        <v>104</v>
      </c>
      <c r="J27" s="84" t="s">
        <v>95</v>
      </c>
      <c r="K27" s="81" t="s">
        <v>25687</v>
      </c>
      <c r="L27" s="81" t="s">
        <v>25607</v>
      </c>
      <c r="M27" s="81" t="s">
        <v>12</v>
      </c>
      <c r="N27" s="81">
        <v>832</v>
      </c>
      <c r="Q27" s="80"/>
      <c r="R27" s="146"/>
      <c r="S27" s="103" t="str">
        <f t="shared" si="0"/>
        <v>91-645-00-</v>
      </c>
      <c r="V27" s="81">
        <v>144</v>
      </c>
    </row>
    <row r="28" spans="1:22" ht="15" customHeight="1" x14ac:dyDescent="0.2">
      <c r="A28" s="81" t="s">
        <v>28447</v>
      </c>
      <c r="B28" s="81" t="s">
        <v>28601</v>
      </c>
      <c r="C28" s="81" t="s">
        <v>46</v>
      </c>
      <c r="D28" s="81" t="s">
        <v>92</v>
      </c>
      <c r="E28" s="81" t="s">
        <v>94</v>
      </c>
      <c r="F28" s="81" t="s">
        <v>91</v>
      </c>
      <c r="G28" s="81" t="s">
        <v>28706</v>
      </c>
      <c r="H28" s="81" t="s">
        <v>28710</v>
      </c>
      <c r="I28" s="81" t="s">
        <v>58</v>
      </c>
      <c r="J28" s="84" t="s">
        <v>95</v>
      </c>
      <c r="K28" s="81" t="s">
        <v>25687</v>
      </c>
      <c r="L28" s="81" t="s">
        <v>25607</v>
      </c>
      <c r="M28" s="81" t="s">
        <v>12</v>
      </c>
      <c r="N28" s="81">
        <v>832</v>
      </c>
      <c r="Q28" s="80"/>
      <c r="R28" s="146"/>
      <c r="S28" s="103" t="str">
        <f t="shared" si="0"/>
        <v>91-645-03-</v>
      </c>
      <c r="V28" s="81">
        <v>144</v>
      </c>
    </row>
    <row r="29" spans="1:22" ht="15" customHeight="1" x14ac:dyDescent="0.2">
      <c r="A29" s="81" t="s">
        <v>28448</v>
      </c>
      <c r="B29" s="81" t="s">
        <v>28601</v>
      </c>
      <c r="C29" s="81" t="s">
        <v>46</v>
      </c>
      <c r="D29" s="81" t="s">
        <v>92</v>
      </c>
      <c r="E29" s="81" t="s">
        <v>94</v>
      </c>
      <c r="F29" s="81" t="s">
        <v>91</v>
      </c>
      <c r="G29" s="81" t="s">
        <v>28706</v>
      </c>
      <c r="H29" s="81" t="s">
        <v>28707</v>
      </c>
      <c r="I29" s="81" t="s">
        <v>171</v>
      </c>
      <c r="J29" s="84" t="s">
        <v>95</v>
      </c>
      <c r="K29" s="81" t="s">
        <v>25687</v>
      </c>
      <c r="L29" s="81" t="s">
        <v>25607</v>
      </c>
      <c r="M29" s="81" t="s">
        <v>12</v>
      </c>
      <c r="N29" s="81">
        <v>832</v>
      </c>
      <c r="Q29" s="80"/>
      <c r="R29" s="146"/>
      <c r="S29" s="103" t="str">
        <f t="shared" si="0"/>
        <v>91-645-72-</v>
      </c>
      <c r="V29" s="81">
        <v>384</v>
      </c>
    </row>
    <row r="30" spans="1:22" ht="15" customHeight="1" x14ac:dyDescent="0.2">
      <c r="A30" s="81" t="s">
        <v>28449</v>
      </c>
      <c r="B30" s="81" t="s">
        <v>28601</v>
      </c>
      <c r="C30" s="81" t="s">
        <v>46</v>
      </c>
      <c r="D30" s="81" t="s">
        <v>92</v>
      </c>
      <c r="E30" s="81" t="s">
        <v>94</v>
      </c>
      <c r="F30" s="81" t="s">
        <v>91</v>
      </c>
      <c r="G30" s="81" t="s">
        <v>28706</v>
      </c>
      <c r="H30" s="81" t="s">
        <v>28708</v>
      </c>
      <c r="I30" s="81" t="s">
        <v>25394</v>
      </c>
      <c r="J30" s="84" t="s">
        <v>95</v>
      </c>
      <c r="K30" s="81" t="s">
        <v>25687</v>
      </c>
      <c r="L30" s="81" t="s">
        <v>25607</v>
      </c>
      <c r="M30" s="81" t="s">
        <v>12</v>
      </c>
      <c r="N30" s="81">
        <v>832</v>
      </c>
      <c r="Q30" s="80"/>
      <c r="R30" s="146"/>
      <c r="S30" s="103" t="str">
        <f t="shared" si="0"/>
        <v>91-645-20-</v>
      </c>
      <c r="V30" s="81">
        <v>144</v>
      </c>
    </row>
    <row r="31" spans="1:22" ht="15" customHeight="1" x14ac:dyDescent="0.2">
      <c r="A31" s="81" t="s">
        <v>28450</v>
      </c>
      <c r="B31" s="81" t="s">
        <v>28602</v>
      </c>
      <c r="C31" s="81" t="s">
        <v>46</v>
      </c>
      <c r="D31" s="81" t="s">
        <v>92</v>
      </c>
      <c r="E31" s="81" t="s">
        <v>94</v>
      </c>
      <c r="F31" s="81" t="s">
        <v>91</v>
      </c>
      <c r="G31" s="81" t="s">
        <v>28706</v>
      </c>
      <c r="H31" s="81" t="s">
        <v>28711</v>
      </c>
      <c r="I31" s="81" t="s">
        <v>1</v>
      </c>
      <c r="J31" s="84" t="s">
        <v>95</v>
      </c>
      <c r="K31" s="81" t="s">
        <v>25687</v>
      </c>
      <c r="L31" s="81" t="s">
        <v>25607</v>
      </c>
      <c r="M31" s="81" t="s">
        <v>12</v>
      </c>
      <c r="N31" s="81">
        <v>832</v>
      </c>
      <c r="Q31" s="80"/>
      <c r="R31" s="146"/>
      <c r="S31" s="103" t="str">
        <f t="shared" si="0"/>
        <v>91-646-09-</v>
      </c>
      <c r="V31" s="81">
        <v>600</v>
      </c>
    </row>
    <row r="32" spans="1:22" ht="15" customHeight="1" x14ac:dyDescent="0.2">
      <c r="A32" s="81" t="s">
        <v>28451</v>
      </c>
      <c r="B32" s="81" t="s">
        <v>28603</v>
      </c>
      <c r="C32" s="81" t="s">
        <v>46</v>
      </c>
      <c r="D32" s="81" t="s">
        <v>92</v>
      </c>
      <c r="E32" s="81" t="s">
        <v>94</v>
      </c>
      <c r="F32" s="81" t="s">
        <v>91</v>
      </c>
      <c r="G32" s="81" t="s">
        <v>28706</v>
      </c>
      <c r="H32" s="81" t="s">
        <v>28711</v>
      </c>
      <c r="I32" s="81" t="s">
        <v>171</v>
      </c>
      <c r="J32" s="84" t="s">
        <v>95</v>
      </c>
      <c r="K32" s="81" t="s">
        <v>25687</v>
      </c>
      <c r="L32" s="81" t="s">
        <v>25607</v>
      </c>
      <c r="M32" s="81" t="s">
        <v>12</v>
      </c>
      <c r="N32" s="81">
        <v>832</v>
      </c>
      <c r="Q32" s="80"/>
      <c r="R32" s="146"/>
      <c r="S32" s="103" t="str">
        <f t="shared" si="0"/>
        <v>91-647-72-</v>
      </c>
      <c r="V32" s="81">
        <v>168</v>
      </c>
    </row>
    <row r="33" spans="1:22" ht="15" customHeight="1" x14ac:dyDescent="0.2">
      <c r="A33" s="81" t="s">
        <v>28452</v>
      </c>
      <c r="B33" s="81" t="s">
        <v>28603</v>
      </c>
      <c r="C33" s="81" t="s">
        <v>46</v>
      </c>
      <c r="D33" s="81" t="s">
        <v>92</v>
      </c>
      <c r="E33" s="81" t="s">
        <v>94</v>
      </c>
      <c r="F33" s="81" t="s">
        <v>91</v>
      </c>
      <c r="G33" s="81" t="s">
        <v>28706</v>
      </c>
      <c r="H33" s="81" t="s">
        <v>28719</v>
      </c>
      <c r="I33" s="81" t="s">
        <v>100</v>
      </c>
      <c r="J33" s="84" t="s">
        <v>95</v>
      </c>
      <c r="K33" s="81" t="s">
        <v>25687</v>
      </c>
      <c r="L33" s="81" t="s">
        <v>25607</v>
      </c>
      <c r="M33" s="81" t="s">
        <v>12</v>
      </c>
      <c r="N33" s="81">
        <v>832</v>
      </c>
      <c r="Q33" s="80"/>
      <c r="R33" s="146"/>
      <c r="S33" s="103" t="str">
        <f t="shared" si="0"/>
        <v>91-647-17-</v>
      </c>
      <c r="V33" s="81">
        <v>144</v>
      </c>
    </row>
    <row r="34" spans="1:22" ht="15" customHeight="1" x14ac:dyDescent="0.2">
      <c r="A34" s="81" t="s">
        <v>28453</v>
      </c>
      <c r="B34" s="81" t="s">
        <v>28604</v>
      </c>
      <c r="C34" s="81" t="s">
        <v>46</v>
      </c>
      <c r="D34" s="81" t="s">
        <v>92</v>
      </c>
      <c r="E34" s="81" t="s">
        <v>94</v>
      </c>
      <c r="F34" s="81" t="s">
        <v>91</v>
      </c>
      <c r="G34" s="81" t="s">
        <v>28706</v>
      </c>
      <c r="H34" s="81" t="s">
        <v>28711</v>
      </c>
      <c r="I34" s="81" t="s">
        <v>171</v>
      </c>
      <c r="J34" s="84" t="s">
        <v>95</v>
      </c>
      <c r="K34" s="81" t="s">
        <v>25687</v>
      </c>
      <c r="L34" s="81" t="s">
        <v>25607</v>
      </c>
      <c r="M34" s="81" t="s">
        <v>12</v>
      </c>
      <c r="N34" s="81">
        <v>832</v>
      </c>
      <c r="Q34" s="80"/>
      <c r="R34" s="146"/>
      <c r="S34" s="103" t="str">
        <f t="shared" si="0"/>
        <v>91-648-72-</v>
      </c>
      <c r="V34" s="81">
        <v>266</v>
      </c>
    </row>
    <row r="35" spans="1:22" ht="15" customHeight="1" x14ac:dyDescent="0.2">
      <c r="A35" s="81" t="s">
        <v>28454</v>
      </c>
      <c r="B35" s="81" t="s">
        <v>28604</v>
      </c>
      <c r="C35" s="81" t="s">
        <v>46</v>
      </c>
      <c r="D35" s="81" t="s">
        <v>92</v>
      </c>
      <c r="E35" s="81" t="s">
        <v>94</v>
      </c>
      <c r="F35" s="81" t="s">
        <v>91</v>
      </c>
      <c r="G35" s="81" t="s">
        <v>28706</v>
      </c>
      <c r="H35" s="81" t="s">
        <v>28720</v>
      </c>
      <c r="I35" s="81" t="s">
        <v>22</v>
      </c>
      <c r="J35" s="84" t="s">
        <v>95</v>
      </c>
      <c r="K35" s="81" t="s">
        <v>25687</v>
      </c>
      <c r="L35" s="81" t="s">
        <v>25607</v>
      </c>
      <c r="M35" s="81" t="s">
        <v>12</v>
      </c>
      <c r="N35" s="81">
        <v>832</v>
      </c>
      <c r="Q35" s="80"/>
      <c r="R35" s="146"/>
      <c r="S35" s="103" t="str">
        <f t="shared" si="0"/>
        <v>91-648-14-</v>
      </c>
      <c r="V35" s="81">
        <v>146</v>
      </c>
    </row>
    <row r="36" spans="1:22" ht="15" customHeight="1" x14ac:dyDescent="0.2">
      <c r="A36" s="81" t="s">
        <v>28455</v>
      </c>
      <c r="B36" s="81" t="s">
        <v>28605</v>
      </c>
      <c r="C36" s="81" t="s">
        <v>46</v>
      </c>
      <c r="D36" s="81" t="s">
        <v>92</v>
      </c>
      <c r="E36" s="81" t="s">
        <v>94</v>
      </c>
      <c r="F36" s="81" t="s">
        <v>91</v>
      </c>
      <c r="G36" s="81" t="s">
        <v>28706</v>
      </c>
      <c r="H36" s="81" t="s">
        <v>28711</v>
      </c>
      <c r="I36" s="81" t="s">
        <v>1</v>
      </c>
      <c r="J36" s="84" t="s">
        <v>95</v>
      </c>
      <c r="K36" s="81" t="s">
        <v>25687</v>
      </c>
      <c r="L36" s="81" t="s">
        <v>25607</v>
      </c>
      <c r="M36" s="81" t="s">
        <v>12</v>
      </c>
      <c r="N36" s="81">
        <v>832</v>
      </c>
      <c r="Q36" s="80"/>
      <c r="R36" s="146"/>
      <c r="S36" s="103" t="str">
        <f t="shared" si="0"/>
        <v>91-649-09-</v>
      </c>
      <c r="V36" s="81">
        <v>146</v>
      </c>
    </row>
    <row r="37" spans="1:22" ht="15" customHeight="1" x14ac:dyDescent="0.2">
      <c r="A37" s="81" t="s">
        <v>28456</v>
      </c>
      <c r="B37" s="81" t="s">
        <v>28605</v>
      </c>
      <c r="C37" s="81" t="s">
        <v>46</v>
      </c>
      <c r="D37" s="81" t="s">
        <v>92</v>
      </c>
      <c r="E37" s="81" t="s">
        <v>94</v>
      </c>
      <c r="F37" s="81" t="s">
        <v>91</v>
      </c>
      <c r="G37" s="81" t="s">
        <v>28706</v>
      </c>
      <c r="H37" s="81" t="s">
        <v>28709</v>
      </c>
      <c r="I37" s="81" t="s">
        <v>23</v>
      </c>
      <c r="J37" s="84" t="s">
        <v>95</v>
      </c>
      <c r="K37" s="81" t="s">
        <v>25687</v>
      </c>
      <c r="L37" s="81" t="s">
        <v>25607</v>
      </c>
      <c r="M37" s="81" t="s">
        <v>12</v>
      </c>
      <c r="N37" s="81">
        <v>832</v>
      </c>
      <c r="Q37" s="80"/>
      <c r="R37" s="146"/>
      <c r="S37" s="103" t="str">
        <f t="shared" si="0"/>
        <v>91-649-16-</v>
      </c>
      <c r="V37" s="81">
        <v>290</v>
      </c>
    </row>
    <row r="38" spans="1:22" ht="15" customHeight="1" x14ac:dyDescent="0.2">
      <c r="A38" s="81" t="s">
        <v>28457</v>
      </c>
      <c r="B38" s="81" t="s">
        <v>28605</v>
      </c>
      <c r="C38" s="81" t="s">
        <v>46</v>
      </c>
      <c r="D38" s="81" t="s">
        <v>92</v>
      </c>
      <c r="E38" s="81" t="s">
        <v>94</v>
      </c>
      <c r="F38" s="81" t="s">
        <v>91</v>
      </c>
      <c r="G38" s="81" t="s">
        <v>28706</v>
      </c>
      <c r="H38" s="81" t="s">
        <v>28721</v>
      </c>
      <c r="I38" s="81" t="s">
        <v>28</v>
      </c>
      <c r="J38" s="84" t="s">
        <v>95</v>
      </c>
      <c r="K38" s="81" t="s">
        <v>25687</v>
      </c>
      <c r="L38" s="81" t="s">
        <v>25607</v>
      </c>
      <c r="M38" s="81" t="s">
        <v>12</v>
      </c>
      <c r="N38" s="81">
        <v>832</v>
      </c>
      <c r="Q38" s="80"/>
      <c r="R38" s="146"/>
      <c r="S38" s="103" t="str">
        <f t="shared" si="0"/>
        <v>91-649-08-</v>
      </c>
      <c r="V38" s="81">
        <v>144</v>
      </c>
    </row>
    <row r="39" spans="1:22" ht="15" customHeight="1" x14ac:dyDescent="0.2">
      <c r="A39" s="81" t="s">
        <v>28458</v>
      </c>
      <c r="B39" s="81" t="s">
        <v>28605</v>
      </c>
      <c r="C39" s="81" t="s">
        <v>46</v>
      </c>
      <c r="D39" s="81" t="s">
        <v>92</v>
      </c>
      <c r="E39" s="81" t="s">
        <v>94</v>
      </c>
      <c r="F39" s="81" t="s">
        <v>91</v>
      </c>
      <c r="G39" s="81" t="s">
        <v>28706</v>
      </c>
      <c r="H39" s="81" t="s">
        <v>28707</v>
      </c>
      <c r="I39" s="81" t="s">
        <v>100</v>
      </c>
      <c r="J39" s="84" t="s">
        <v>95</v>
      </c>
      <c r="K39" s="81" t="s">
        <v>25687</v>
      </c>
      <c r="L39" s="81" t="s">
        <v>25607</v>
      </c>
      <c r="M39" s="81" t="s">
        <v>12</v>
      </c>
      <c r="N39" s="81">
        <v>832</v>
      </c>
      <c r="Q39" s="80"/>
      <c r="R39" s="146"/>
      <c r="S39" s="103" t="str">
        <f t="shared" si="0"/>
        <v>91-649-17-</v>
      </c>
      <c r="V39" s="81">
        <v>240</v>
      </c>
    </row>
    <row r="40" spans="1:22" ht="15" customHeight="1" x14ac:dyDescent="0.2">
      <c r="A40" s="81" t="s">
        <v>28459</v>
      </c>
      <c r="B40" s="81" t="s">
        <v>28606</v>
      </c>
      <c r="C40" s="81" t="s">
        <v>46</v>
      </c>
      <c r="D40" s="81" t="s">
        <v>92</v>
      </c>
      <c r="E40" s="81" t="s">
        <v>94</v>
      </c>
      <c r="F40" s="81" t="s">
        <v>91</v>
      </c>
      <c r="G40" s="81" t="s">
        <v>28706</v>
      </c>
      <c r="H40" s="81" t="s">
        <v>28714</v>
      </c>
      <c r="I40" s="81" t="s">
        <v>28</v>
      </c>
      <c r="J40" s="84" t="s">
        <v>95</v>
      </c>
      <c r="K40" s="81" t="s">
        <v>25687</v>
      </c>
      <c r="L40" s="81" t="s">
        <v>25607</v>
      </c>
      <c r="M40" s="81" t="s">
        <v>12</v>
      </c>
      <c r="N40" s="81">
        <v>832</v>
      </c>
      <c r="Q40" s="80"/>
      <c r="R40" s="146"/>
      <c r="S40" s="103" t="str">
        <f t="shared" si="0"/>
        <v>91-650-08-</v>
      </c>
      <c r="V40" s="81">
        <v>290</v>
      </c>
    </row>
    <row r="41" spans="1:22" ht="15" customHeight="1" x14ac:dyDescent="0.2">
      <c r="A41" s="81" t="s">
        <v>28460</v>
      </c>
      <c r="B41" s="81" t="s">
        <v>28606</v>
      </c>
      <c r="C41" s="81" t="s">
        <v>46</v>
      </c>
      <c r="D41" s="81" t="s">
        <v>92</v>
      </c>
      <c r="E41" s="81" t="s">
        <v>94</v>
      </c>
      <c r="F41" s="81" t="s">
        <v>91</v>
      </c>
      <c r="G41" s="81" t="s">
        <v>28706</v>
      </c>
      <c r="H41" s="81" t="s">
        <v>28709</v>
      </c>
      <c r="I41" s="81" t="s">
        <v>23</v>
      </c>
      <c r="J41" s="84" t="s">
        <v>95</v>
      </c>
      <c r="K41" s="81" t="s">
        <v>25687</v>
      </c>
      <c r="L41" s="81" t="s">
        <v>25607</v>
      </c>
      <c r="M41" s="81" t="s">
        <v>12</v>
      </c>
      <c r="N41" s="81">
        <v>832</v>
      </c>
      <c r="Q41" s="80"/>
      <c r="R41" s="146"/>
      <c r="S41" s="103" t="str">
        <f t="shared" si="0"/>
        <v>91-650-16-</v>
      </c>
      <c r="V41" s="81">
        <v>144</v>
      </c>
    </row>
    <row r="42" spans="1:22" ht="15" customHeight="1" x14ac:dyDescent="0.2">
      <c r="A42" s="81" t="s">
        <v>28461</v>
      </c>
      <c r="B42" s="81" t="s">
        <v>28607</v>
      </c>
      <c r="C42" s="81" t="s">
        <v>46</v>
      </c>
      <c r="D42" s="81" t="s">
        <v>92</v>
      </c>
      <c r="E42" s="81" t="s">
        <v>94</v>
      </c>
      <c r="F42" s="81" t="s">
        <v>91</v>
      </c>
      <c r="G42" s="81" t="s">
        <v>28706</v>
      </c>
      <c r="H42" s="81" t="s">
        <v>28711</v>
      </c>
      <c r="I42" s="81" t="s">
        <v>1</v>
      </c>
      <c r="J42" s="84" t="s">
        <v>95</v>
      </c>
      <c r="K42" s="81" t="s">
        <v>25687</v>
      </c>
      <c r="L42" s="81" t="s">
        <v>25607</v>
      </c>
      <c r="M42" s="81" t="s">
        <v>12</v>
      </c>
      <c r="N42" s="81">
        <v>832</v>
      </c>
      <c r="Q42" s="80"/>
      <c r="R42" s="146"/>
      <c r="S42" s="103" t="str">
        <f t="shared" si="0"/>
        <v>91-651-09-</v>
      </c>
      <c r="V42" s="81">
        <v>146</v>
      </c>
    </row>
    <row r="43" spans="1:22" ht="15" customHeight="1" x14ac:dyDescent="0.2">
      <c r="A43" s="81" t="s">
        <v>28462</v>
      </c>
      <c r="B43" s="81" t="s">
        <v>28607</v>
      </c>
      <c r="C43" s="81" t="s">
        <v>46</v>
      </c>
      <c r="D43" s="81" t="s">
        <v>92</v>
      </c>
      <c r="E43" s="81" t="s">
        <v>94</v>
      </c>
      <c r="F43" s="81" t="s">
        <v>91</v>
      </c>
      <c r="G43" s="81" t="s">
        <v>28706</v>
      </c>
      <c r="H43" s="81" t="s">
        <v>28707</v>
      </c>
      <c r="I43" s="81" t="s">
        <v>100</v>
      </c>
      <c r="J43" s="84" t="s">
        <v>95</v>
      </c>
      <c r="K43" s="81" t="s">
        <v>25687</v>
      </c>
      <c r="L43" s="81" t="s">
        <v>25607</v>
      </c>
      <c r="M43" s="81" t="s">
        <v>12</v>
      </c>
      <c r="N43" s="81">
        <v>832</v>
      </c>
      <c r="Q43" s="80"/>
      <c r="R43" s="146"/>
      <c r="S43" s="103" t="str">
        <f t="shared" si="0"/>
        <v>91-651-17-</v>
      </c>
      <c r="V43" s="81">
        <v>290</v>
      </c>
    </row>
    <row r="44" spans="1:22" ht="15" customHeight="1" x14ac:dyDescent="0.2">
      <c r="A44" s="81" t="s">
        <v>28463</v>
      </c>
      <c r="B44" s="81" t="s">
        <v>28608</v>
      </c>
      <c r="C44" s="81" t="s">
        <v>46</v>
      </c>
      <c r="D44" s="81" t="s">
        <v>92</v>
      </c>
      <c r="E44" s="81" t="s">
        <v>94</v>
      </c>
      <c r="F44" s="81" t="s">
        <v>91</v>
      </c>
      <c r="G44" s="81" t="s">
        <v>28706</v>
      </c>
      <c r="H44" s="81" t="s">
        <v>28711</v>
      </c>
      <c r="I44" s="81" t="s">
        <v>1</v>
      </c>
      <c r="J44" s="84" t="s">
        <v>95</v>
      </c>
      <c r="K44" s="81" t="s">
        <v>25687</v>
      </c>
      <c r="L44" s="81" t="s">
        <v>25607</v>
      </c>
      <c r="M44" s="81" t="s">
        <v>12</v>
      </c>
      <c r="N44" s="81">
        <v>832</v>
      </c>
      <c r="Q44" s="80"/>
      <c r="R44" s="146"/>
      <c r="S44" s="103" t="str">
        <f t="shared" si="0"/>
        <v>91-652-09-</v>
      </c>
      <c r="V44" s="81">
        <v>144</v>
      </c>
    </row>
    <row r="45" spans="1:22" ht="15" customHeight="1" x14ac:dyDescent="0.2">
      <c r="A45" s="81" t="s">
        <v>28464</v>
      </c>
      <c r="B45" s="81" t="s">
        <v>28608</v>
      </c>
      <c r="C45" s="81" t="s">
        <v>46</v>
      </c>
      <c r="D45" s="81" t="s">
        <v>92</v>
      </c>
      <c r="E45" s="81" t="s">
        <v>94</v>
      </c>
      <c r="F45" s="81" t="s">
        <v>91</v>
      </c>
      <c r="G45" s="81" t="s">
        <v>28706</v>
      </c>
      <c r="H45" s="81" t="s">
        <v>28707</v>
      </c>
      <c r="I45" s="81" t="s">
        <v>100</v>
      </c>
      <c r="J45" s="84" t="s">
        <v>95</v>
      </c>
      <c r="K45" s="81" t="s">
        <v>25687</v>
      </c>
      <c r="L45" s="81" t="s">
        <v>25607</v>
      </c>
      <c r="M45" s="81" t="s">
        <v>12</v>
      </c>
      <c r="N45" s="81">
        <v>832</v>
      </c>
      <c r="Q45" s="80"/>
      <c r="R45" s="146"/>
      <c r="S45" s="103" t="str">
        <f t="shared" si="0"/>
        <v>91-652-17-</v>
      </c>
      <c r="V45" s="81">
        <v>314</v>
      </c>
    </row>
    <row r="46" spans="1:22" ht="15" customHeight="1" x14ac:dyDescent="0.2">
      <c r="A46" s="81" t="s">
        <v>28465</v>
      </c>
      <c r="B46" s="81" t="s">
        <v>28609</v>
      </c>
      <c r="C46" s="81" t="s">
        <v>46</v>
      </c>
      <c r="D46" s="81" t="s">
        <v>92</v>
      </c>
      <c r="E46" s="81" t="s">
        <v>94</v>
      </c>
      <c r="F46" s="81" t="s">
        <v>91</v>
      </c>
      <c r="G46" s="81" t="s">
        <v>28706</v>
      </c>
      <c r="H46" s="81" t="s">
        <v>28711</v>
      </c>
      <c r="I46" s="81" t="s">
        <v>1</v>
      </c>
      <c r="J46" s="84" t="s">
        <v>95</v>
      </c>
      <c r="K46" s="81" t="s">
        <v>25687</v>
      </c>
      <c r="L46" s="81" t="s">
        <v>25607</v>
      </c>
      <c r="M46" s="81" t="s">
        <v>12</v>
      </c>
      <c r="N46" s="81">
        <v>832</v>
      </c>
      <c r="Q46" s="80"/>
      <c r="R46" s="146"/>
      <c r="S46" s="103" t="str">
        <f t="shared" si="0"/>
        <v>91-653-09-</v>
      </c>
      <c r="V46" s="81">
        <v>436</v>
      </c>
    </row>
    <row r="47" spans="1:22" ht="15" customHeight="1" x14ac:dyDescent="0.2">
      <c r="A47" s="81" t="s">
        <v>28466</v>
      </c>
      <c r="B47" s="81" t="s">
        <v>28609</v>
      </c>
      <c r="C47" s="81" t="s">
        <v>46</v>
      </c>
      <c r="D47" s="81" t="s">
        <v>92</v>
      </c>
      <c r="E47" s="81" t="s">
        <v>94</v>
      </c>
      <c r="F47" s="81" t="s">
        <v>91</v>
      </c>
      <c r="G47" s="81" t="s">
        <v>28706</v>
      </c>
      <c r="H47" s="81" t="s">
        <v>28707</v>
      </c>
      <c r="I47" s="81" t="s">
        <v>100</v>
      </c>
      <c r="J47" s="84" t="s">
        <v>95</v>
      </c>
      <c r="K47" s="81" t="s">
        <v>25687</v>
      </c>
      <c r="L47" s="81" t="s">
        <v>25607</v>
      </c>
      <c r="M47" s="81" t="s">
        <v>12</v>
      </c>
      <c r="N47" s="81">
        <v>832</v>
      </c>
      <c r="Q47" s="80"/>
      <c r="R47" s="146"/>
      <c r="S47" s="103" t="str">
        <f t="shared" si="0"/>
        <v>91-653-17-</v>
      </c>
      <c r="V47" s="81">
        <v>266</v>
      </c>
    </row>
    <row r="48" spans="1:22" ht="15" customHeight="1" x14ac:dyDescent="0.2">
      <c r="A48" s="81" t="s">
        <v>28467</v>
      </c>
      <c r="B48" s="81" t="s">
        <v>28610</v>
      </c>
      <c r="C48" s="81" t="s">
        <v>46</v>
      </c>
      <c r="D48" s="81" t="s">
        <v>92</v>
      </c>
      <c r="E48" s="81" t="s">
        <v>94</v>
      </c>
      <c r="F48" s="81" t="s">
        <v>91</v>
      </c>
      <c r="G48" s="81" t="s">
        <v>28706</v>
      </c>
      <c r="H48" s="81" t="s">
        <v>28718</v>
      </c>
      <c r="I48" s="81" t="s">
        <v>27</v>
      </c>
      <c r="J48" s="84" t="s">
        <v>95</v>
      </c>
      <c r="K48" s="81" t="s">
        <v>25687</v>
      </c>
      <c r="L48" s="81" t="s">
        <v>25607</v>
      </c>
      <c r="M48" s="81" t="s">
        <v>12</v>
      </c>
      <c r="N48" s="81">
        <v>832</v>
      </c>
      <c r="Q48" s="80"/>
      <c r="R48" s="146"/>
      <c r="S48" s="103" t="str">
        <f t="shared" si="0"/>
        <v>91-654-06-</v>
      </c>
      <c r="V48" s="81">
        <v>168</v>
      </c>
    </row>
    <row r="49" spans="1:22" ht="15" customHeight="1" x14ac:dyDescent="0.2">
      <c r="A49" s="81" t="s">
        <v>28468</v>
      </c>
      <c r="B49" s="81" t="s">
        <v>28610</v>
      </c>
      <c r="C49" s="81" t="s">
        <v>46</v>
      </c>
      <c r="D49" s="81" t="s">
        <v>92</v>
      </c>
      <c r="E49" s="81" t="s">
        <v>94</v>
      </c>
      <c r="F49" s="81" t="s">
        <v>91</v>
      </c>
      <c r="G49" s="81" t="s">
        <v>28706</v>
      </c>
      <c r="H49" s="81" t="s">
        <v>28722</v>
      </c>
      <c r="I49" s="81" t="s">
        <v>28723</v>
      </c>
      <c r="J49" s="84" t="s">
        <v>95</v>
      </c>
      <c r="K49" s="81" t="s">
        <v>25687</v>
      </c>
      <c r="L49" s="81" t="s">
        <v>25607</v>
      </c>
      <c r="M49" s="81" t="s">
        <v>12</v>
      </c>
      <c r="N49" s="81">
        <v>832</v>
      </c>
      <c r="Q49" s="80"/>
      <c r="R49" s="146"/>
      <c r="S49" s="103" t="str">
        <f t="shared" si="0"/>
        <v>91-654-35-</v>
      </c>
      <c r="V49" s="81">
        <v>144</v>
      </c>
    </row>
    <row r="50" spans="1:22" ht="15" customHeight="1" x14ac:dyDescent="0.2">
      <c r="A50" s="81" t="s">
        <v>28469</v>
      </c>
      <c r="B50" s="81" t="s">
        <v>28610</v>
      </c>
      <c r="C50" s="81" t="s">
        <v>46</v>
      </c>
      <c r="D50" s="81" t="s">
        <v>92</v>
      </c>
      <c r="E50" s="81" t="s">
        <v>94</v>
      </c>
      <c r="F50" s="81" t="s">
        <v>91</v>
      </c>
      <c r="G50" s="81" t="s">
        <v>28706</v>
      </c>
      <c r="H50" s="81" t="s">
        <v>28707</v>
      </c>
      <c r="I50" s="81" t="s">
        <v>171</v>
      </c>
      <c r="J50" s="84" t="s">
        <v>95</v>
      </c>
      <c r="K50" s="81" t="s">
        <v>25687</v>
      </c>
      <c r="L50" s="81" t="s">
        <v>25607</v>
      </c>
      <c r="M50" s="81" t="s">
        <v>12</v>
      </c>
      <c r="N50" s="81">
        <v>832</v>
      </c>
      <c r="Q50" s="80"/>
      <c r="R50" s="146"/>
      <c r="S50" s="103" t="str">
        <f t="shared" si="0"/>
        <v>91-654-72-</v>
      </c>
      <c r="V50" s="81">
        <v>360</v>
      </c>
    </row>
    <row r="51" spans="1:22" ht="15" customHeight="1" x14ac:dyDescent="0.2">
      <c r="A51" s="81" t="s">
        <v>28470</v>
      </c>
      <c r="B51" s="81" t="s">
        <v>28611</v>
      </c>
      <c r="C51" s="81" t="s">
        <v>46</v>
      </c>
      <c r="D51" s="81" t="s">
        <v>92</v>
      </c>
      <c r="E51" s="81" t="s">
        <v>94</v>
      </c>
      <c r="F51" s="81" t="s">
        <v>91</v>
      </c>
      <c r="G51" s="81" t="s">
        <v>28706</v>
      </c>
      <c r="H51" s="81" t="s">
        <v>28707</v>
      </c>
      <c r="I51" s="81" t="s">
        <v>28724</v>
      </c>
      <c r="J51" s="84" t="s">
        <v>95</v>
      </c>
      <c r="K51" s="81" t="s">
        <v>25687</v>
      </c>
      <c r="L51" s="81" t="s">
        <v>25607</v>
      </c>
      <c r="M51" s="81" t="s">
        <v>12</v>
      </c>
      <c r="N51" s="81">
        <v>832</v>
      </c>
      <c r="Q51" s="80"/>
      <c r="R51" s="146"/>
      <c r="S51" s="103" t="str">
        <f t="shared" si="0"/>
        <v>91-655-00-</v>
      </c>
      <c r="V51" s="81">
        <v>144</v>
      </c>
    </row>
    <row r="52" spans="1:22" ht="15" customHeight="1" x14ac:dyDescent="0.2">
      <c r="A52" s="81" t="s">
        <v>28471</v>
      </c>
      <c r="B52" s="81" t="s">
        <v>28612</v>
      </c>
      <c r="C52" s="81" t="s">
        <v>46</v>
      </c>
      <c r="D52" s="81" t="s">
        <v>92</v>
      </c>
      <c r="E52" s="81" t="s">
        <v>94</v>
      </c>
      <c r="F52" s="81" t="s">
        <v>91</v>
      </c>
      <c r="G52" s="81" t="s">
        <v>28706</v>
      </c>
      <c r="H52" s="81" t="s">
        <v>28718</v>
      </c>
      <c r="I52" s="81" t="s">
        <v>27</v>
      </c>
      <c r="J52" s="84" t="s">
        <v>95</v>
      </c>
      <c r="K52" s="81" t="s">
        <v>25687</v>
      </c>
      <c r="L52" s="81" t="s">
        <v>25607</v>
      </c>
      <c r="M52" s="81" t="s">
        <v>12</v>
      </c>
      <c r="N52" s="81">
        <v>832</v>
      </c>
      <c r="Q52" s="80"/>
      <c r="R52" s="146"/>
      <c r="S52" s="103" t="str">
        <f t="shared" si="0"/>
        <v>91-656-06-</v>
      </c>
      <c r="V52" s="81">
        <v>240</v>
      </c>
    </row>
    <row r="53" spans="1:22" ht="15" customHeight="1" x14ac:dyDescent="0.2">
      <c r="A53" s="81" t="s">
        <v>28472</v>
      </c>
      <c r="B53" s="81" t="s">
        <v>28613</v>
      </c>
      <c r="C53" s="81" t="s">
        <v>46</v>
      </c>
      <c r="D53" s="81" t="s">
        <v>92</v>
      </c>
      <c r="E53" s="81" t="s">
        <v>94</v>
      </c>
      <c r="F53" s="81" t="s">
        <v>91</v>
      </c>
      <c r="G53" s="81" t="s">
        <v>28706</v>
      </c>
      <c r="H53" s="81" t="s">
        <v>28711</v>
      </c>
      <c r="I53" s="81" t="s">
        <v>1</v>
      </c>
      <c r="J53" s="84" t="s">
        <v>95</v>
      </c>
      <c r="K53" s="81" t="s">
        <v>25687</v>
      </c>
      <c r="L53" s="81" t="s">
        <v>25607</v>
      </c>
      <c r="M53" s="81" t="s">
        <v>12</v>
      </c>
      <c r="N53" s="81">
        <v>832</v>
      </c>
      <c r="Q53" s="80"/>
      <c r="R53" s="146"/>
      <c r="S53" s="103" t="str">
        <f t="shared" si="0"/>
        <v>91-657-09-</v>
      </c>
      <c r="V53" s="81">
        <v>336</v>
      </c>
    </row>
    <row r="54" spans="1:22" ht="15" customHeight="1" x14ac:dyDescent="0.2">
      <c r="A54" s="81" t="s">
        <v>28473</v>
      </c>
      <c r="B54" s="81" t="s">
        <v>28614</v>
      </c>
      <c r="C54" s="81" t="s">
        <v>46</v>
      </c>
      <c r="D54" s="81" t="s">
        <v>92</v>
      </c>
      <c r="E54" s="81" t="s">
        <v>94</v>
      </c>
      <c r="F54" s="81" t="s">
        <v>91</v>
      </c>
      <c r="G54" s="81" t="s">
        <v>28706</v>
      </c>
      <c r="H54" s="81" t="s">
        <v>28710</v>
      </c>
      <c r="I54" s="81" t="s">
        <v>58</v>
      </c>
      <c r="J54" s="84" t="s">
        <v>95</v>
      </c>
      <c r="K54" s="81" t="s">
        <v>25687</v>
      </c>
      <c r="L54" s="81" t="s">
        <v>25607</v>
      </c>
      <c r="M54" s="81" t="s">
        <v>12</v>
      </c>
      <c r="N54" s="81">
        <v>832</v>
      </c>
      <c r="Q54" s="80"/>
      <c r="R54" s="146"/>
      <c r="S54" s="103" t="str">
        <f t="shared" si="0"/>
        <v>91-658-03-</v>
      </c>
      <c r="V54" s="81">
        <v>144</v>
      </c>
    </row>
    <row r="55" spans="1:22" ht="15" customHeight="1" x14ac:dyDescent="0.2">
      <c r="A55" s="81" t="s">
        <v>28474</v>
      </c>
      <c r="B55" s="81" t="s">
        <v>28615</v>
      </c>
      <c r="C55" s="81" t="s">
        <v>46</v>
      </c>
      <c r="D55" s="81" t="s">
        <v>92</v>
      </c>
      <c r="E55" s="81" t="s">
        <v>94</v>
      </c>
      <c r="F55" s="81" t="s">
        <v>91</v>
      </c>
      <c r="G55" s="81" t="s">
        <v>28706</v>
      </c>
      <c r="H55" s="81" t="s">
        <v>28710</v>
      </c>
      <c r="I55" s="81" t="s">
        <v>25441</v>
      </c>
      <c r="J55" s="84" t="s">
        <v>95</v>
      </c>
      <c r="K55" s="81" t="s">
        <v>25687</v>
      </c>
      <c r="L55" s="81" t="s">
        <v>25607</v>
      </c>
      <c r="M55" s="81" t="s">
        <v>12</v>
      </c>
      <c r="N55" s="81">
        <v>832</v>
      </c>
      <c r="Q55" s="80"/>
      <c r="R55" s="146"/>
      <c r="S55" s="103" t="str">
        <f t="shared" si="0"/>
        <v>91-659-73-</v>
      </c>
      <c r="V55" s="81">
        <v>168</v>
      </c>
    </row>
    <row r="56" spans="1:22" ht="15" customHeight="1" x14ac:dyDescent="0.2">
      <c r="A56" s="81" t="s">
        <v>28475</v>
      </c>
      <c r="B56" s="81" t="s">
        <v>28616</v>
      </c>
      <c r="C56" s="81" t="s">
        <v>46</v>
      </c>
      <c r="D56" s="81" t="s">
        <v>92</v>
      </c>
      <c r="E56" s="81" t="s">
        <v>94</v>
      </c>
      <c r="F56" s="81" t="s">
        <v>91</v>
      </c>
      <c r="G56" s="81" t="s">
        <v>28706</v>
      </c>
      <c r="H56" s="81" t="s">
        <v>28717</v>
      </c>
      <c r="I56" s="81" t="s">
        <v>96</v>
      </c>
      <c r="J56" s="84" t="s">
        <v>95</v>
      </c>
      <c r="K56" s="81" t="s">
        <v>25687</v>
      </c>
      <c r="L56" s="81" t="s">
        <v>25607</v>
      </c>
      <c r="M56" s="81" t="s">
        <v>12</v>
      </c>
      <c r="N56" s="81">
        <v>832</v>
      </c>
      <c r="Q56" s="80"/>
      <c r="R56" s="146"/>
      <c r="S56" s="103" t="str">
        <f t="shared" si="0"/>
        <v>91-660-12-</v>
      </c>
      <c r="V56" s="81">
        <v>192</v>
      </c>
    </row>
    <row r="57" spans="1:22" ht="15" customHeight="1" x14ac:dyDescent="0.2">
      <c r="A57" s="81" t="s">
        <v>28476</v>
      </c>
      <c r="B57" s="81" t="s">
        <v>28617</v>
      </c>
      <c r="C57" s="81" t="s">
        <v>46</v>
      </c>
      <c r="D57" s="81" t="s">
        <v>92</v>
      </c>
      <c r="E57" s="81" t="s">
        <v>94</v>
      </c>
      <c r="F57" s="81" t="s">
        <v>91</v>
      </c>
      <c r="G57" s="81" t="s">
        <v>28706</v>
      </c>
      <c r="H57" s="81" t="s">
        <v>28709</v>
      </c>
      <c r="I57" s="81" t="s">
        <v>23</v>
      </c>
      <c r="J57" s="84" t="s">
        <v>95</v>
      </c>
      <c r="K57" s="81" t="s">
        <v>25687</v>
      </c>
      <c r="L57" s="81" t="s">
        <v>25607</v>
      </c>
      <c r="M57" s="81" t="s">
        <v>12</v>
      </c>
      <c r="N57" s="81">
        <v>832</v>
      </c>
      <c r="Q57" s="80"/>
      <c r="R57" s="146"/>
      <c r="S57" s="103" t="str">
        <f t="shared" si="0"/>
        <v>91-661-16-</v>
      </c>
      <c r="V57" s="81">
        <v>144</v>
      </c>
    </row>
    <row r="58" spans="1:22" ht="15" customHeight="1" x14ac:dyDescent="0.2">
      <c r="A58" s="81" t="s">
        <v>28477</v>
      </c>
      <c r="B58" s="81" t="s">
        <v>28618</v>
      </c>
      <c r="C58" s="81" t="s">
        <v>46</v>
      </c>
      <c r="D58" s="81" t="s">
        <v>92</v>
      </c>
      <c r="E58" s="81" t="s">
        <v>94</v>
      </c>
      <c r="F58" s="81" t="s">
        <v>91</v>
      </c>
      <c r="G58" s="81" t="s">
        <v>28706</v>
      </c>
      <c r="H58" s="81" t="s">
        <v>28711</v>
      </c>
      <c r="I58" s="81" t="s">
        <v>1</v>
      </c>
      <c r="J58" s="84" t="s">
        <v>95</v>
      </c>
      <c r="K58" s="81" t="s">
        <v>25687</v>
      </c>
      <c r="L58" s="81" t="s">
        <v>25607</v>
      </c>
      <c r="M58" s="81" t="s">
        <v>12</v>
      </c>
      <c r="N58" s="81">
        <v>832</v>
      </c>
      <c r="Q58" s="80"/>
      <c r="R58" s="146"/>
      <c r="S58" s="103" t="str">
        <f t="shared" si="0"/>
        <v>91-662-09-</v>
      </c>
      <c r="V58" s="81">
        <v>288</v>
      </c>
    </row>
    <row r="59" spans="1:22" ht="15" customHeight="1" x14ac:dyDescent="0.2">
      <c r="A59" s="81" t="s">
        <v>28478</v>
      </c>
      <c r="B59" s="81" t="s">
        <v>28618</v>
      </c>
      <c r="C59" s="81" t="s">
        <v>46</v>
      </c>
      <c r="D59" s="81" t="s">
        <v>92</v>
      </c>
      <c r="E59" s="81" t="s">
        <v>94</v>
      </c>
      <c r="F59" s="81" t="s">
        <v>91</v>
      </c>
      <c r="G59" s="81" t="s">
        <v>28706</v>
      </c>
      <c r="H59" s="81" t="s">
        <v>28718</v>
      </c>
      <c r="I59" s="81" t="s">
        <v>27</v>
      </c>
      <c r="J59" s="84" t="s">
        <v>95</v>
      </c>
      <c r="K59" s="81" t="s">
        <v>25687</v>
      </c>
      <c r="L59" s="81" t="s">
        <v>25607</v>
      </c>
      <c r="M59" s="81" t="s">
        <v>12</v>
      </c>
      <c r="N59" s="81">
        <v>832</v>
      </c>
      <c r="Q59" s="80"/>
      <c r="R59" s="146"/>
      <c r="S59" s="103" t="str">
        <f t="shared" si="0"/>
        <v>91-662-06-</v>
      </c>
      <c r="V59" s="81">
        <v>288</v>
      </c>
    </row>
    <row r="60" spans="1:22" ht="15" customHeight="1" x14ac:dyDescent="0.2">
      <c r="A60" s="81" t="s">
        <v>28479</v>
      </c>
      <c r="B60" s="81" t="s">
        <v>28618</v>
      </c>
      <c r="C60" s="81" t="s">
        <v>46</v>
      </c>
      <c r="D60" s="81" t="s">
        <v>92</v>
      </c>
      <c r="E60" s="81" t="s">
        <v>94</v>
      </c>
      <c r="F60" s="81" t="s">
        <v>91</v>
      </c>
      <c r="G60" s="81" t="s">
        <v>28706</v>
      </c>
      <c r="H60" s="81" t="s">
        <v>28709</v>
      </c>
      <c r="I60" s="81" t="s">
        <v>23</v>
      </c>
      <c r="J60" s="84" t="s">
        <v>95</v>
      </c>
      <c r="K60" s="81" t="s">
        <v>25687</v>
      </c>
      <c r="L60" s="81" t="s">
        <v>25607</v>
      </c>
      <c r="M60" s="81" t="s">
        <v>12</v>
      </c>
      <c r="N60" s="81">
        <v>832</v>
      </c>
      <c r="Q60" s="80"/>
      <c r="R60" s="146"/>
      <c r="S60" s="103" t="str">
        <f t="shared" si="0"/>
        <v>91-662-16-</v>
      </c>
      <c r="V60" s="81">
        <v>600</v>
      </c>
    </row>
    <row r="61" spans="1:22" ht="15" customHeight="1" x14ac:dyDescent="0.2">
      <c r="A61" s="81" t="s">
        <v>28480</v>
      </c>
      <c r="B61" s="81" t="s">
        <v>28619</v>
      </c>
      <c r="C61" s="81" t="s">
        <v>46</v>
      </c>
      <c r="D61" s="81" t="s">
        <v>92</v>
      </c>
      <c r="E61" s="81" t="s">
        <v>94</v>
      </c>
      <c r="F61" s="81" t="s">
        <v>91</v>
      </c>
      <c r="G61" s="81" t="s">
        <v>28706</v>
      </c>
      <c r="H61" s="81" t="s">
        <v>28711</v>
      </c>
      <c r="I61" s="81" t="s">
        <v>1</v>
      </c>
      <c r="J61" s="84" t="s">
        <v>95</v>
      </c>
      <c r="K61" s="81" t="s">
        <v>25687</v>
      </c>
      <c r="L61" s="81" t="s">
        <v>25607</v>
      </c>
      <c r="M61" s="81" t="s">
        <v>12</v>
      </c>
      <c r="N61" s="81">
        <v>717.6</v>
      </c>
      <c r="Q61" s="80"/>
      <c r="R61" s="146"/>
      <c r="S61" s="103" t="str">
        <f t="shared" si="0"/>
        <v>91-663-09-</v>
      </c>
      <c r="V61" s="81">
        <v>216</v>
      </c>
    </row>
    <row r="62" spans="1:22" ht="15" customHeight="1" x14ac:dyDescent="0.2">
      <c r="A62" s="81" t="s">
        <v>28481</v>
      </c>
      <c r="B62" s="81" t="s">
        <v>28619</v>
      </c>
      <c r="C62" s="81" t="s">
        <v>46</v>
      </c>
      <c r="D62" s="81" t="s">
        <v>92</v>
      </c>
      <c r="E62" s="81" t="s">
        <v>94</v>
      </c>
      <c r="F62" s="81" t="s">
        <v>91</v>
      </c>
      <c r="G62" s="81" t="s">
        <v>28706</v>
      </c>
      <c r="H62" s="81" t="s">
        <v>28709</v>
      </c>
      <c r="I62" s="81" t="s">
        <v>23</v>
      </c>
      <c r="J62" s="84" t="s">
        <v>95</v>
      </c>
      <c r="K62" s="81" t="s">
        <v>25687</v>
      </c>
      <c r="L62" s="81" t="s">
        <v>25607</v>
      </c>
      <c r="M62" s="81" t="s">
        <v>12</v>
      </c>
      <c r="N62" s="81">
        <v>832</v>
      </c>
      <c r="Q62" s="80"/>
      <c r="R62" s="146"/>
      <c r="S62" s="103" t="str">
        <f t="shared" si="0"/>
        <v>91-663-16-</v>
      </c>
      <c r="V62" s="81">
        <v>144</v>
      </c>
    </row>
    <row r="63" spans="1:22" ht="15" customHeight="1" x14ac:dyDescent="0.2">
      <c r="A63" s="81" t="s">
        <v>28482</v>
      </c>
      <c r="B63" s="81" t="s">
        <v>28619</v>
      </c>
      <c r="C63" s="81" t="s">
        <v>46</v>
      </c>
      <c r="D63" s="81" t="s">
        <v>92</v>
      </c>
      <c r="E63" s="81" t="s">
        <v>94</v>
      </c>
      <c r="F63" s="81" t="s">
        <v>91</v>
      </c>
      <c r="G63" s="81" t="s">
        <v>28706</v>
      </c>
      <c r="H63" s="81" t="s">
        <v>28710</v>
      </c>
      <c r="I63" s="81" t="s">
        <v>58</v>
      </c>
      <c r="J63" s="84" t="s">
        <v>95</v>
      </c>
      <c r="K63" s="81" t="s">
        <v>25687</v>
      </c>
      <c r="L63" s="81" t="s">
        <v>25607</v>
      </c>
      <c r="M63" s="81" t="s">
        <v>12</v>
      </c>
      <c r="N63" s="81">
        <v>832</v>
      </c>
      <c r="Q63" s="80"/>
      <c r="R63" s="146"/>
      <c r="S63" s="103" t="str">
        <f t="shared" si="0"/>
        <v>91-663-03-</v>
      </c>
      <c r="V63" s="81">
        <v>144</v>
      </c>
    </row>
    <row r="64" spans="1:22" ht="15" customHeight="1" x14ac:dyDescent="0.2">
      <c r="A64" s="81" t="s">
        <v>28483</v>
      </c>
      <c r="B64" s="81" t="s">
        <v>28620</v>
      </c>
      <c r="C64" s="81" t="s">
        <v>46</v>
      </c>
      <c r="D64" s="81" t="s">
        <v>92</v>
      </c>
      <c r="E64" s="81" t="s">
        <v>94</v>
      </c>
      <c r="F64" s="81" t="s">
        <v>91</v>
      </c>
      <c r="G64" s="81" t="s">
        <v>28706</v>
      </c>
      <c r="H64" s="81" t="s">
        <v>28714</v>
      </c>
      <c r="I64" s="81" t="s">
        <v>26</v>
      </c>
      <c r="J64" s="84" t="s">
        <v>95</v>
      </c>
      <c r="K64" s="81" t="s">
        <v>25687</v>
      </c>
      <c r="L64" s="81" t="s">
        <v>25607</v>
      </c>
      <c r="M64" s="81" t="s">
        <v>12</v>
      </c>
      <c r="N64" s="81">
        <v>832</v>
      </c>
      <c r="Q64" s="80"/>
      <c r="R64" s="146"/>
      <c r="S64" s="103" t="str">
        <f t="shared" si="0"/>
        <v>91-664-05-</v>
      </c>
      <c r="V64" s="81">
        <v>336</v>
      </c>
    </row>
    <row r="65" spans="1:22" ht="15" customHeight="1" x14ac:dyDescent="0.2">
      <c r="A65" s="81" t="s">
        <v>28484</v>
      </c>
      <c r="B65" s="81" t="s">
        <v>28621</v>
      </c>
      <c r="C65" s="81" t="s">
        <v>46</v>
      </c>
      <c r="D65" s="81" t="s">
        <v>92</v>
      </c>
      <c r="E65" s="81" t="s">
        <v>94</v>
      </c>
      <c r="F65" s="81" t="s">
        <v>91</v>
      </c>
      <c r="G65" s="81" t="s">
        <v>28706</v>
      </c>
      <c r="H65" s="81" t="s">
        <v>28714</v>
      </c>
      <c r="I65" s="81" t="s">
        <v>25472</v>
      </c>
      <c r="J65" s="84" t="s">
        <v>28740</v>
      </c>
      <c r="L65" s="81" t="s">
        <v>25607</v>
      </c>
      <c r="M65" s="81" t="s">
        <v>12</v>
      </c>
      <c r="N65" s="81">
        <v>936.00000000000011</v>
      </c>
      <c r="Q65" s="80"/>
      <c r="R65" s="146"/>
      <c r="S65" s="103" t="str">
        <f t="shared" si="0"/>
        <v>91-665-01-</v>
      </c>
      <c r="V65" s="81">
        <v>432</v>
      </c>
    </row>
    <row r="66" spans="1:22" ht="15" customHeight="1" x14ac:dyDescent="0.2">
      <c r="A66" s="81" t="s">
        <v>28485</v>
      </c>
      <c r="B66" s="81" t="s">
        <v>28622</v>
      </c>
      <c r="C66" s="81" t="s">
        <v>46</v>
      </c>
      <c r="D66" s="81" t="s">
        <v>92</v>
      </c>
      <c r="E66" s="81" t="s">
        <v>94</v>
      </c>
      <c r="F66" s="81" t="s">
        <v>91</v>
      </c>
      <c r="G66" s="81" t="s">
        <v>28706</v>
      </c>
      <c r="H66" s="81" t="s">
        <v>28714</v>
      </c>
      <c r="I66" s="81" t="s">
        <v>28306</v>
      </c>
      <c r="J66" s="84" t="s">
        <v>95</v>
      </c>
      <c r="K66" s="81" t="s">
        <v>25687</v>
      </c>
      <c r="L66" s="81" t="s">
        <v>25607</v>
      </c>
      <c r="M66" s="81" t="s">
        <v>12</v>
      </c>
      <c r="N66" s="81">
        <v>832</v>
      </c>
      <c r="Q66" s="80"/>
      <c r="R66" s="146"/>
      <c r="S66" s="103" t="str">
        <f t="shared" si="0"/>
        <v>91-666-08-</v>
      </c>
      <c r="V66" s="81">
        <v>480</v>
      </c>
    </row>
    <row r="67" spans="1:22" ht="15" customHeight="1" x14ac:dyDescent="0.2">
      <c r="A67" s="81" t="s">
        <v>28486</v>
      </c>
      <c r="B67" s="81" t="s">
        <v>28623</v>
      </c>
      <c r="C67" s="81" t="s">
        <v>46</v>
      </c>
      <c r="D67" s="81" t="s">
        <v>92</v>
      </c>
      <c r="E67" s="81" t="s">
        <v>94</v>
      </c>
      <c r="F67" s="81" t="s">
        <v>91</v>
      </c>
      <c r="G67" s="81" t="s">
        <v>28706</v>
      </c>
      <c r="H67" s="81" t="s">
        <v>28711</v>
      </c>
      <c r="I67" s="81" t="s">
        <v>55</v>
      </c>
      <c r="J67" s="84" t="s">
        <v>95</v>
      </c>
      <c r="K67" s="81" t="s">
        <v>25687</v>
      </c>
      <c r="L67" s="81" t="s">
        <v>25607</v>
      </c>
      <c r="M67" s="81" t="s">
        <v>12</v>
      </c>
      <c r="N67" s="81">
        <v>832</v>
      </c>
      <c r="Q67" s="80"/>
      <c r="R67" s="146"/>
      <c r="S67" s="103" t="str">
        <f t="shared" ref="S67:S130" si="1">A67&amp;"-"&amp;T67</f>
        <v>91-667-09-</v>
      </c>
      <c r="V67" s="81">
        <v>144</v>
      </c>
    </row>
    <row r="68" spans="1:22" ht="15" customHeight="1" x14ac:dyDescent="0.2">
      <c r="A68" s="81" t="s">
        <v>28487</v>
      </c>
      <c r="B68" s="81" t="s">
        <v>28624</v>
      </c>
      <c r="C68" s="81" t="s">
        <v>46</v>
      </c>
      <c r="D68" s="81" t="s">
        <v>92</v>
      </c>
      <c r="E68" s="81" t="s">
        <v>94</v>
      </c>
      <c r="F68" s="81" t="s">
        <v>91</v>
      </c>
      <c r="G68" s="81" t="s">
        <v>28706</v>
      </c>
      <c r="H68" s="81" t="s">
        <v>28714</v>
      </c>
      <c r="I68" s="81" t="s">
        <v>25476</v>
      </c>
      <c r="J68" s="84" t="s">
        <v>95</v>
      </c>
      <c r="K68" s="81" t="s">
        <v>25687</v>
      </c>
      <c r="L68" s="81" t="s">
        <v>25607</v>
      </c>
      <c r="M68" s="81" t="s">
        <v>12</v>
      </c>
      <c r="N68" s="81">
        <v>832</v>
      </c>
      <c r="Q68" s="80"/>
      <c r="R68" s="146"/>
      <c r="S68" s="103" t="str">
        <f t="shared" si="1"/>
        <v>91-668-00-</v>
      </c>
      <c r="V68" s="81">
        <v>288</v>
      </c>
    </row>
    <row r="69" spans="1:22" ht="15" customHeight="1" x14ac:dyDescent="0.2">
      <c r="A69" s="81" t="s">
        <v>28488</v>
      </c>
      <c r="B69" s="81" t="s">
        <v>28625</v>
      </c>
      <c r="C69" s="81" t="s">
        <v>46</v>
      </c>
      <c r="D69" s="81" t="s">
        <v>92</v>
      </c>
      <c r="E69" s="81" t="s">
        <v>94</v>
      </c>
      <c r="F69" s="81" t="s">
        <v>91</v>
      </c>
      <c r="G69" s="81" t="s">
        <v>28706</v>
      </c>
      <c r="H69" s="81" t="s">
        <v>28707</v>
      </c>
      <c r="I69" s="81" t="s">
        <v>100</v>
      </c>
      <c r="J69" s="84" t="s">
        <v>28741</v>
      </c>
      <c r="L69" s="81" t="s">
        <v>25607</v>
      </c>
      <c r="M69" s="81" t="s">
        <v>12</v>
      </c>
      <c r="N69" s="81">
        <v>936.00000000000011</v>
      </c>
      <c r="Q69" s="80"/>
      <c r="R69" s="146"/>
      <c r="S69" s="103" t="str">
        <f t="shared" si="1"/>
        <v>91-669-17-</v>
      </c>
      <c r="V69" s="81">
        <v>192</v>
      </c>
    </row>
    <row r="70" spans="1:22" ht="15" customHeight="1" x14ac:dyDescent="0.2">
      <c r="A70" s="81" t="s">
        <v>28489</v>
      </c>
      <c r="B70" s="81" t="s">
        <v>28626</v>
      </c>
      <c r="C70" s="81" t="s">
        <v>46</v>
      </c>
      <c r="D70" s="81" t="s">
        <v>92</v>
      </c>
      <c r="E70" s="81" t="s">
        <v>94</v>
      </c>
      <c r="F70" s="81" t="s">
        <v>91</v>
      </c>
      <c r="G70" s="81" t="s">
        <v>28706</v>
      </c>
      <c r="H70" s="81" t="s">
        <v>28710</v>
      </c>
      <c r="I70" s="81" t="s">
        <v>58</v>
      </c>
      <c r="J70" s="84" t="s">
        <v>95</v>
      </c>
      <c r="K70" s="81" t="s">
        <v>25687</v>
      </c>
      <c r="L70" s="81" t="s">
        <v>25607</v>
      </c>
      <c r="M70" s="81" t="s">
        <v>12</v>
      </c>
      <c r="N70" s="81">
        <v>832</v>
      </c>
      <c r="Q70" s="80"/>
      <c r="R70" s="146"/>
      <c r="S70" s="103" t="str">
        <f t="shared" si="1"/>
        <v>91-670-03-</v>
      </c>
      <c r="V70" s="81">
        <v>192</v>
      </c>
    </row>
    <row r="71" spans="1:22" ht="15" customHeight="1" x14ac:dyDescent="0.2">
      <c r="A71" s="81" t="s">
        <v>28490</v>
      </c>
      <c r="B71" s="81" t="s">
        <v>28627</v>
      </c>
      <c r="C71" s="81" t="s">
        <v>46</v>
      </c>
      <c r="D71" s="81" t="s">
        <v>92</v>
      </c>
      <c r="E71" s="81" t="s">
        <v>94</v>
      </c>
      <c r="F71" s="81" t="s">
        <v>91</v>
      </c>
      <c r="G71" s="81" t="s">
        <v>28706</v>
      </c>
      <c r="H71" s="81" t="s">
        <v>28715</v>
      </c>
      <c r="I71" s="81" t="s">
        <v>104</v>
      </c>
      <c r="J71" s="84" t="s">
        <v>95</v>
      </c>
      <c r="K71" s="81" t="s">
        <v>25687</v>
      </c>
      <c r="L71" s="81" t="s">
        <v>25607</v>
      </c>
      <c r="M71" s="81" t="s">
        <v>12</v>
      </c>
      <c r="N71" s="81">
        <v>832</v>
      </c>
      <c r="Q71" s="80"/>
      <c r="R71" s="146"/>
      <c r="S71" s="103" t="str">
        <f t="shared" si="1"/>
        <v>91-671-00-</v>
      </c>
      <c r="V71" s="81">
        <v>144</v>
      </c>
    </row>
    <row r="72" spans="1:22" ht="15" customHeight="1" x14ac:dyDescent="0.2">
      <c r="A72" s="81" t="s">
        <v>28491</v>
      </c>
      <c r="B72" s="81" t="s">
        <v>28627</v>
      </c>
      <c r="C72" s="81" t="s">
        <v>46</v>
      </c>
      <c r="D72" s="81" t="s">
        <v>92</v>
      </c>
      <c r="E72" s="81" t="s">
        <v>94</v>
      </c>
      <c r="F72" s="81" t="s">
        <v>91</v>
      </c>
      <c r="G72" s="81" t="s">
        <v>28706</v>
      </c>
      <c r="H72" s="81" t="s">
        <v>28714</v>
      </c>
      <c r="I72" s="81" t="s">
        <v>28</v>
      </c>
      <c r="J72" s="84" t="s">
        <v>95</v>
      </c>
      <c r="K72" s="81" t="s">
        <v>25687</v>
      </c>
      <c r="L72" s="81" t="s">
        <v>25607</v>
      </c>
      <c r="M72" s="81" t="s">
        <v>12</v>
      </c>
      <c r="N72" s="81">
        <v>832</v>
      </c>
      <c r="Q72" s="80"/>
      <c r="R72" s="146"/>
      <c r="S72" s="103" t="str">
        <f t="shared" si="1"/>
        <v>91-671-08-</v>
      </c>
      <c r="V72" s="81">
        <v>144</v>
      </c>
    </row>
    <row r="73" spans="1:22" ht="15" customHeight="1" x14ac:dyDescent="0.2">
      <c r="A73" s="81" t="s">
        <v>28492</v>
      </c>
      <c r="B73" s="81" t="s">
        <v>28628</v>
      </c>
      <c r="C73" s="81" t="s">
        <v>46</v>
      </c>
      <c r="D73" s="81" t="s">
        <v>92</v>
      </c>
      <c r="E73" s="81" t="s">
        <v>94</v>
      </c>
      <c r="F73" s="81" t="s">
        <v>91</v>
      </c>
      <c r="G73" s="81" t="s">
        <v>28706</v>
      </c>
      <c r="H73" s="81" t="s">
        <v>28711</v>
      </c>
      <c r="I73" s="81" t="s">
        <v>1</v>
      </c>
      <c r="J73" s="84" t="s">
        <v>95</v>
      </c>
      <c r="K73" s="81" t="s">
        <v>25687</v>
      </c>
      <c r="L73" s="81" t="s">
        <v>25607</v>
      </c>
      <c r="M73" s="81" t="s">
        <v>12</v>
      </c>
      <c r="N73" s="81">
        <v>936.00000000000011</v>
      </c>
      <c r="Q73" s="80"/>
      <c r="R73" s="146"/>
      <c r="S73" s="103" t="str">
        <f t="shared" si="1"/>
        <v>91-672-09-</v>
      </c>
      <c r="V73" s="81">
        <v>144</v>
      </c>
    </row>
    <row r="74" spans="1:22" ht="15" customHeight="1" x14ac:dyDescent="0.2">
      <c r="A74" s="81" t="s">
        <v>28493</v>
      </c>
      <c r="B74" s="81" t="s">
        <v>28629</v>
      </c>
      <c r="C74" s="81" t="s">
        <v>46</v>
      </c>
      <c r="D74" s="81" t="s">
        <v>92</v>
      </c>
      <c r="E74" s="81" t="s">
        <v>94</v>
      </c>
      <c r="F74" s="81" t="s">
        <v>91</v>
      </c>
      <c r="G74" s="81" t="s">
        <v>28706</v>
      </c>
      <c r="H74" s="81" t="s">
        <v>28718</v>
      </c>
      <c r="I74" s="81" t="s">
        <v>97</v>
      </c>
      <c r="J74" s="84" t="s">
        <v>95</v>
      </c>
      <c r="K74" s="81" t="s">
        <v>25687</v>
      </c>
      <c r="L74" s="81" t="s">
        <v>25607</v>
      </c>
      <c r="M74" s="81" t="s">
        <v>12</v>
      </c>
      <c r="N74" s="81">
        <v>832</v>
      </c>
      <c r="Q74" s="80"/>
      <c r="R74" s="146"/>
      <c r="S74" s="103" t="str">
        <f t="shared" si="1"/>
        <v>91-673-62-</v>
      </c>
      <c r="V74" s="81">
        <v>408</v>
      </c>
    </row>
    <row r="75" spans="1:22" ht="15" customHeight="1" x14ac:dyDescent="0.2">
      <c r="A75" s="81" t="s">
        <v>28494</v>
      </c>
      <c r="B75" s="81" t="s">
        <v>28629</v>
      </c>
      <c r="C75" s="81" t="s">
        <v>46</v>
      </c>
      <c r="D75" s="81" t="s">
        <v>92</v>
      </c>
      <c r="E75" s="81" t="s">
        <v>94</v>
      </c>
      <c r="F75" s="81" t="s">
        <v>91</v>
      </c>
      <c r="G75" s="81" t="s">
        <v>28706</v>
      </c>
      <c r="H75" s="81" t="s">
        <v>28725</v>
      </c>
      <c r="I75" s="81" t="s">
        <v>25538</v>
      </c>
      <c r="J75" s="84" t="s">
        <v>95</v>
      </c>
      <c r="K75" s="81" t="s">
        <v>25687</v>
      </c>
      <c r="L75" s="81" t="s">
        <v>25607</v>
      </c>
      <c r="M75" s="81" t="s">
        <v>12</v>
      </c>
      <c r="N75" s="81">
        <v>832</v>
      </c>
      <c r="Q75" s="80"/>
      <c r="R75" s="146"/>
      <c r="S75" s="103" t="str">
        <f t="shared" si="1"/>
        <v>91-673-78-</v>
      </c>
      <c r="V75" s="81">
        <v>144</v>
      </c>
    </row>
    <row r="76" spans="1:22" ht="15" customHeight="1" x14ac:dyDescent="0.2">
      <c r="A76" s="81" t="s">
        <v>28495</v>
      </c>
      <c r="B76" s="81" t="s">
        <v>28629</v>
      </c>
      <c r="C76" s="81" t="s">
        <v>46</v>
      </c>
      <c r="D76" s="81" t="s">
        <v>92</v>
      </c>
      <c r="E76" s="81" t="s">
        <v>94</v>
      </c>
      <c r="F76" s="81" t="s">
        <v>91</v>
      </c>
      <c r="G76" s="81" t="s">
        <v>28706</v>
      </c>
      <c r="H76" s="81" t="s">
        <v>28707</v>
      </c>
      <c r="I76" s="81" t="s">
        <v>100</v>
      </c>
      <c r="J76" s="84" t="s">
        <v>95</v>
      </c>
      <c r="K76" s="81" t="s">
        <v>25687</v>
      </c>
      <c r="L76" s="81" t="s">
        <v>25607</v>
      </c>
      <c r="M76" s="81" t="s">
        <v>12</v>
      </c>
      <c r="N76" s="81">
        <v>832</v>
      </c>
      <c r="Q76" s="80"/>
      <c r="R76" s="146"/>
      <c r="S76" s="103" t="str">
        <f t="shared" si="1"/>
        <v>91-673-17-</v>
      </c>
      <c r="V76" s="81">
        <v>600</v>
      </c>
    </row>
    <row r="77" spans="1:22" ht="15" customHeight="1" x14ac:dyDescent="0.2">
      <c r="A77" s="81" t="s">
        <v>28496</v>
      </c>
      <c r="B77" s="81" t="s">
        <v>28630</v>
      </c>
      <c r="C77" s="81" t="s">
        <v>46</v>
      </c>
      <c r="D77" s="81" t="s">
        <v>92</v>
      </c>
      <c r="E77" s="81" t="s">
        <v>94</v>
      </c>
      <c r="F77" s="81" t="s">
        <v>91</v>
      </c>
      <c r="G77" s="81" t="s">
        <v>28706</v>
      </c>
      <c r="H77" s="81" t="s">
        <v>28718</v>
      </c>
      <c r="I77" s="81" t="s">
        <v>27</v>
      </c>
      <c r="J77" s="84" t="s">
        <v>95</v>
      </c>
      <c r="K77" s="81" t="s">
        <v>25687</v>
      </c>
      <c r="L77" s="81" t="s">
        <v>25607</v>
      </c>
      <c r="M77" s="81" t="s">
        <v>12</v>
      </c>
      <c r="N77" s="81">
        <v>832</v>
      </c>
      <c r="Q77" s="80"/>
      <c r="R77" s="146"/>
      <c r="S77" s="103" t="str">
        <f t="shared" si="1"/>
        <v>91-674-06-</v>
      </c>
      <c r="V77" s="81">
        <v>168</v>
      </c>
    </row>
    <row r="78" spans="1:22" ht="15" customHeight="1" x14ac:dyDescent="0.2">
      <c r="A78" s="81" t="s">
        <v>28497</v>
      </c>
      <c r="B78" s="81" t="s">
        <v>28630</v>
      </c>
      <c r="C78" s="81" t="s">
        <v>46</v>
      </c>
      <c r="D78" s="81" t="s">
        <v>92</v>
      </c>
      <c r="E78" s="81" t="s">
        <v>94</v>
      </c>
      <c r="F78" s="81" t="s">
        <v>91</v>
      </c>
      <c r="G78" s="81" t="s">
        <v>28706</v>
      </c>
      <c r="H78" s="81" t="s">
        <v>28726</v>
      </c>
      <c r="I78" s="81" t="s">
        <v>42</v>
      </c>
      <c r="J78" s="84" t="s">
        <v>95</v>
      </c>
      <c r="K78" s="81" t="s">
        <v>25687</v>
      </c>
      <c r="L78" s="81" t="s">
        <v>25607</v>
      </c>
      <c r="M78" s="81" t="s">
        <v>12</v>
      </c>
      <c r="N78" s="81">
        <v>832</v>
      </c>
      <c r="Q78" s="80"/>
      <c r="R78" s="146"/>
      <c r="S78" s="103" t="str">
        <f t="shared" si="1"/>
        <v>91-674-53-</v>
      </c>
      <c r="V78" s="81">
        <v>144</v>
      </c>
    </row>
    <row r="79" spans="1:22" ht="15" customHeight="1" x14ac:dyDescent="0.2">
      <c r="A79" s="81" t="s">
        <v>28498</v>
      </c>
      <c r="B79" s="81" t="s">
        <v>28631</v>
      </c>
      <c r="C79" s="81" t="s">
        <v>46</v>
      </c>
      <c r="D79" s="81" t="s">
        <v>92</v>
      </c>
      <c r="E79" s="81" t="s">
        <v>94</v>
      </c>
      <c r="F79" s="81" t="s">
        <v>91</v>
      </c>
      <c r="G79" s="81" t="s">
        <v>28706</v>
      </c>
      <c r="H79" s="81" t="s">
        <v>28707</v>
      </c>
      <c r="I79" s="81" t="s">
        <v>100</v>
      </c>
      <c r="J79" s="84" t="s">
        <v>95</v>
      </c>
      <c r="K79" s="81" t="s">
        <v>25687</v>
      </c>
      <c r="L79" s="81" t="s">
        <v>25607</v>
      </c>
      <c r="M79" s="81" t="s">
        <v>12</v>
      </c>
      <c r="N79" s="81">
        <v>832</v>
      </c>
      <c r="Q79" s="80"/>
      <c r="R79" s="146"/>
      <c r="S79" s="103" t="str">
        <f t="shared" si="1"/>
        <v>91-675-17-</v>
      </c>
      <c r="V79" s="81">
        <v>288</v>
      </c>
    </row>
    <row r="80" spans="1:22" ht="15" customHeight="1" x14ac:dyDescent="0.2">
      <c r="A80" s="81" t="s">
        <v>28499</v>
      </c>
      <c r="B80" s="81" t="s">
        <v>28632</v>
      </c>
      <c r="C80" s="81" t="s">
        <v>46</v>
      </c>
      <c r="D80" s="81" t="s">
        <v>92</v>
      </c>
      <c r="E80" s="81" t="s">
        <v>94</v>
      </c>
      <c r="F80" s="81" t="s">
        <v>91</v>
      </c>
      <c r="G80" s="81" t="s">
        <v>28706</v>
      </c>
      <c r="H80" s="81" t="s">
        <v>28708</v>
      </c>
      <c r="I80" s="81" t="s">
        <v>25394</v>
      </c>
      <c r="J80" s="84" t="s">
        <v>95</v>
      </c>
      <c r="K80" s="81" t="s">
        <v>25687</v>
      </c>
      <c r="L80" s="81" t="s">
        <v>25607</v>
      </c>
      <c r="M80" s="81" t="s">
        <v>12</v>
      </c>
      <c r="N80" s="81">
        <v>832</v>
      </c>
      <c r="Q80" s="80"/>
      <c r="R80" s="146"/>
      <c r="S80" s="103" t="str">
        <f t="shared" si="1"/>
        <v>91-676-20-</v>
      </c>
      <c r="V80" s="81">
        <v>168</v>
      </c>
    </row>
    <row r="81" spans="1:22" ht="15" customHeight="1" x14ac:dyDescent="0.2">
      <c r="A81" s="81" t="s">
        <v>28500</v>
      </c>
      <c r="B81" s="81" t="s">
        <v>28633</v>
      </c>
      <c r="C81" s="81" t="s">
        <v>46</v>
      </c>
      <c r="D81" s="81" t="s">
        <v>92</v>
      </c>
      <c r="E81" s="81" t="s">
        <v>94</v>
      </c>
      <c r="F81" s="81" t="s">
        <v>91</v>
      </c>
      <c r="G81" s="81" t="s">
        <v>28706</v>
      </c>
      <c r="H81" s="81" t="s">
        <v>28711</v>
      </c>
      <c r="I81" s="81" t="s">
        <v>1</v>
      </c>
      <c r="J81" s="84" t="s">
        <v>95</v>
      </c>
      <c r="K81" s="81" t="s">
        <v>25687</v>
      </c>
      <c r="L81" s="81" t="s">
        <v>25607</v>
      </c>
      <c r="M81" s="81" t="s">
        <v>12</v>
      </c>
      <c r="N81" s="81">
        <v>832</v>
      </c>
      <c r="Q81" s="80"/>
      <c r="R81" s="146"/>
      <c r="S81" s="103" t="str">
        <f t="shared" si="1"/>
        <v>91-677-09-</v>
      </c>
      <c r="V81" s="81">
        <v>144</v>
      </c>
    </row>
    <row r="82" spans="1:22" ht="15" customHeight="1" x14ac:dyDescent="0.2">
      <c r="A82" s="81" t="s">
        <v>28501</v>
      </c>
      <c r="B82" s="81" t="s">
        <v>28634</v>
      </c>
      <c r="C82" s="81" t="s">
        <v>46</v>
      </c>
      <c r="D82" s="81" t="s">
        <v>92</v>
      </c>
      <c r="E82" s="81" t="s">
        <v>94</v>
      </c>
      <c r="F82" s="81" t="s">
        <v>91</v>
      </c>
      <c r="G82" s="81" t="s">
        <v>28706</v>
      </c>
      <c r="H82" s="81" t="s">
        <v>28711</v>
      </c>
      <c r="I82" s="81" t="s">
        <v>25527</v>
      </c>
      <c r="J82" s="84" t="s">
        <v>95</v>
      </c>
      <c r="K82" s="81" t="s">
        <v>25687</v>
      </c>
      <c r="L82" s="81" t="s">
        <v>25607</v>
      </c>
      <c r="M82" s="81" t="s">
        <v>12</v>
      </c>
      <c r="N82" s="81">
        <v>832</v>
      </c>
      <c r="Q82" s="80"/>
      <c r="R82" s="146"/>
      <c r="S82" s="103" t="str">
        <f t="shared" si="1"/>
        <v>91-678-00-</v>
      </c>
      <c r="V82" s="81">
        <v>144</v>
      </c>
    </row>
    <row r="83" spans="1:22" ht="15" customHeight="1" x14ac:dyDescent="0.2">
      <c r="A83" s="81" t="s">
        <v>28502</v>
      </c>
      <c r="B83" s="81" t="s">
        <v>28635</v>
      </c>
      <c r="C83" s="81" t="s">
        <v>46</v>
      </c>
      <c r="D83" s="81" t="s">
        <v>92</v>
      </c>
      <c r="E83" s="81" t="s">
        <v>94</v>
      </c>
      <c r="F83" s="81" t="s">
        <v>91</v>
      </c>
      <c r="G83" s="81" t="s">
        <v>28706</v>
      </c>
      <c r="H83" s="81" t="s">
        <v>28711</v>
      </c>
      <c r="I83" s="81" t="s">
        <v>1</v>
      </c>
      <c r="J83" s="84" t="s">
        <v>95</v>
      </c>
      <c r="K83" s="81" t="s">
        <v>25687</v>
      </c>
      <c r="L83" s="81" t="s">
        <v>25607</v>
      </c>
      <c r="M83" s="81" t="s">
        <v>12</v>
      </c>
      <c r="N83" s="81">
        <v>832</v>
      </c>
      <c r="Q83" s="80"/>
      <c r="R83" s="146"/>
      <c r="S83" s="103" t="str">
        <f t="shared" si="1"/>
        <v>91-679-09-</v>
      </c>
      <c r="V83" s="81">
        <v>288</v>
      </c>
    </row>
    <row r="84" spans="1:22" ht="15" customHeight="1" x14ac:dyDescent="0.2">
      <c r="A84" s="81" t="s">
        <v>28503</v>
      </c>
      <c r="B84" s="81" t="s">
        <v>28636</v>
      </c>
      <c r="C84" s="81" t="s">
        <v>46</v>
      </c>
      <c r="D84" s="81" t="s">
        <v>92</v>
      </c>
      <c r="E84" s="81" t="s">
        <v>94</v>
      </c>
      <c r="F84" s="81" t="s">
        <v>91</v>
      </c>
      <c r="G84" s="81" t="s">
        <v>28706</v>
      </c>
      <c r="H84" s="81" t="s">
        <v>28727</v>
      </c>
      <c r="I84" s="81" t="s">
        <v>22</v>
      </c>
      <c r="J84" s="84" t="s">
        <v>95</v>
      </c>
      <c r="K84" s="81" t="s">
        <v>25687</v>
      </c>
      <c r="L84" s="81" t="s">
        <v>25607</v>
      </c>
      <c r="M84" s="81" t="s">
        <v>12</v>
      </c>
      <c r="N84" s="81">
        <v>832</v>
      </c>
      <c r="Q84" s="80"/>
      <c r="R84" s="146"/>
      <c r="S84" s="103" t="str">
        <f t="shared" si="1"/>
        <v>91-680-14-</v>
      </c>
      <c r="V84" s="81">
        <v>144</v>
      </c>
    </row>
    <row r="85" spans="1:22" ht="15" customHeight="1" x14ac:dyDescent="0.2">
      <c r="A85" s="81" t="s">
        <v>28504</v>
      </c>
      <c r="B85" s="81" t="s">
        <v>28637</v>
      </c>
      <c r="C85" s="81" t="s">
        <v>46</v>
      </c>
      <c r="D85" s="81" t="s">
        <v>92</v>
      </c>
      <c r="E85" s="81" t="s">
        <v>94</v>
      </c>
      <c r="F85" s="81" t="s">
        <v>91</v>
      </c>
      <c r="G85" s="81" t="s">
        <v>28706</v>
      </c>
      <c r="H85" s="81" t="s">
        <v>28707</v>
      </c>
      <c r="I85" s="81" t="s">
        <v>25360</v>
      </c>
      <c r="J85" s="84" t="s">
        <v>95</v>
      </c>
      <c r="K85" s="81" t="s">
        <v>25687</v>
      </c>
      <c r="L85" s="81" t="s">
        <v>25607</v>
      </c>
      <c r="M85" s="81" t="s">
        <v>12</v>
      </c>
      <c r="N85" s="81">
        <v>832</v>
      </c>
      <c r="Q85" s="80"/>
      <c r="R85" s="146"/>
      <c r="S85" s="103" t="str">
        <f t="shared" si="1"/>
        <v>91-681-00-</v>
      </c>
      <c r="V85" s="81">
        <v>480</v>
      </c>
    </row>
    <row r="86" spans="1:22" ht="15" customHeight="1" x14ac:dyDescent="0.2">
      <c r="A86" s="81" t="s">
        <v>28505</v>
      </c>
      <c r="B86" s="81" t="s">
        <v>28638</v>
      </c>
      <c r="C86" s="81" t="s">
        <v>46</v>
      </c>
      <c r="D86" s="81" t="s">
        <v>92</v>
      </c>
      <c r="E86" s="81" t="s">
        <v>94</v>
      </c>
      <c r="F86" s="81" t="s">
        <v>91</v>
      </c>
      <c r="G86" s="81" t="s">
        <v>28706</v>
      </c>
      <c r="H86" s="81" t="s">
        <v>28711</v>
      </c>
      <c r="I86" s="81" t="s">
        <v>1</v>
      </c>
      <c r="J86" s="84" t="s">
        <v>95</v>
      </c>
      <c r="K86" s="81" t="s">
        <v>25687</v>
      </c>
      <c r="L86" s="81" t="s">
        <v>25607</v>
      </c>
      <c r="M86" s="81" t="s">
        <v>12</v>
      </c>
      <c r="N86" s="81">
        <v>832</v>
      </c>
      <c r="Q86" s="80"/>
      <c r="R86" s="146"/>
      <c r="S86" s="103" t="str">
        <f t="shared" si="1"/>
        <v>91-682-09-</v>
      </c>
      <c r="V86" s="81">
        <v>264</v>
      </c>
    </row>
    <row r="87" spans="1:22" ht="15" customHeight="1" x14ac:dyDescent="0.2">
      <c r="A87" s="81" t="s">
        <v>28506</v>
      </c>
      <c r="B87" s="81" t="s">
        <v>28639</v>
      </c>
      <c r="C87" s="81" t="s">
        <v>46</v>
      </c>
      <c r="D87" s="81" t="s">
        <v>92</v>
      </c>
      <c r="E87" s="81" t="s">
        <v>94</v>
      </c>
      <c r="F87" s="81" t="s">
        <v>91</v>
      </c>
      <c r="G87" s="81" t="s">
        <v>28706</v>
      </c>
      <c r="H87" s="81" t="s">
        <v>28711</v>
      </c>
      <c r="I87" s="81" t="s">
        <v>1</v>
      </c>
      <c r="J87" s="84" t="s">
        <v>95</v>
      </c>
      <c r="K87" s="81" t="s">
        <v>25687</v>
      </c>
      <c r="L87" s="81" t="s">
        <v>25607</v>
      </c>
      <c r="M87" s="81" t="s">
        <v>12</v>
      </c>
      <c r="N87" s="81">
        <v>832</v>
      </c>
      <c r="Q87" s="80"/>
      <c r="R87" s="146"/>
      <c r="S87" s="103" t="str">
        <f t="shared" si="1"/>
        <v>91-683-09-</v>
      </c>
      <c r="V87" s="81">
        <v>384</v>
      </c>
    </row>
    <row r="88" spans="1:22" ht="15" customHeight="1" x14ac:dyDescent="0.2">
      <c r="A88" s="81" t="s">
        <v>28507</v>
      </c>
      <c r="B88" s="81" t="s">
        <v>28639</v>
      </c>
      <c r="C88" s="81" t="s">
        <v>46</v>
      </c>
      <c r="D88" s="81" t="s">
        <v>92</v>
      </c>
      <c r="E88" s="81" t="s">
        <v>94</v>
      </c>
      <c r="F88" s="81" t="s">
        <v>91</v>
      </c>
      <c r="G88" s="81" t="s">
        <v>28706</v>
      </c>
      <c r="H88" s="81" t="s">
        <v>28710</v>
      </c>
      <c r="I88" s="81" t="s">
        <v>58</v>
      </c>
      <c r="J88" s="84" t="s">
        <v>95</v>
      </c>
      <c r="K88" s="81" t="s">
        <v>25687</v>
      </c>
      <c r="L88" s="81" t="s">
        <v>25607</v>
      </c>
      <c r="M88" s="81" t="s">
        <v>12</v>
      </c>
      <c r="N88" s="81">
        <v>832</v>
      </c>
      <c r="Q88" s="80"/>
      <c r="R88" s="146"/>
      <c r="S88" s="103" t="str">
        <f t="shared" si="1"/>
        <v>91-683-03-</v>
      </c>
      <c r="V88" s="81">
        <v>360</v>
      </c>
    </row>
    <row r="89" spans="1:22" ht="15" customHeight="1" x14ac:dyDescent="0.2">
      <c r="A89" s="81" t="s">
        <v>28508</v>
      </c>
      <c r="B89" s="81" t="s">
        <v>28640</v>
      </c>
      <c r="C89" s="81" t="s">
        <v>46</v>
      </c>
      <c r="D89" s="81" t="s">
        <v>92</v>
      </c>
      <c r="E89" s="81" t="s">
        <v>94</v>
      </c>
      <c r="F89" s="81" t="s">
        <v>91</v>
      </c>
      <c r="G89" s="81" t="s">
        <v>28706</v>
      </c>
      <c r="H89" s="81" t="s">
        <v>28728</v>
      </c>
      <c r="I89" s="81" t="s">
        <v>28335</v>
      </c>
      <c r="J89" s="84" t="s">
        <v>95</v>
      </c>
      <c r="K89" s="81" t="s">
        <v>25687</v>
      </c>
      <c r="L89" s="81" t="s">
        <v>25607</v>
      </c>
      <c r="M89" s="81" t="s">
        <v>12</v>
      </c>
      <c r="N89" s="81">
        <v>936.00000000000011</v>
      </c>
      <c r="Q89" s="80"/>
      <c r="R89" s="146"/>
      <c r="S89" s="103" t="str">
        <f t="shared" si="1"/>
        <v>91-684-11-</v>
      </c>
      <c r="V89" s="81">
        <v>144</v>
      </c>
    </row>
    <row r="90" spans="1:22" ht="15" customHeight="1" x14ac:dyDescent="0.2">
      <c r="A90" s="81" t="s">
        <v>28509</v>
      </c>
      <c r="B90" s="81" t="s">
        <v>28641</v>
      </c>
      <c r="C90" s="81" t="s">
        <v>46</v>
      </c>
      <c r="D90" s="81" t="s">
        <v>92</v>
      </c>
      <c r="E90" s="81" t="s">
        <v>94</v>
      </c>
      <c r="F90" s="81" t="s">
        <v>91</v>
      </c>
      <c r="G90" s="81" t="s">
        <v>28706</v>
      </c>
      <c r="H90" s="81" t="s">
        <v>28711</v>
      </c>
      <c r="I90" s="81" t="s">
        <v>25528</v>
      </c>
      <c r="J90" s="84" t="s">
        <v>95</v>
      </c>
      <c r="K90" s="81" t="s">
        <v>25687</v>
      </c>
      <c r="L90" s="81" t="s">
        <v>25607</v>
      </c>
      <c r="M90" s="81" t="s">
        <v>12</v>
      </c>
      <c r="N90" s="81">
        <v>936.00000000000011</v>
      </c>
      <c r="Q90" s="80"/>
      <c r="R90" s="146"/>
      <c r="S90" s="103" t="str">
        <f t="shared" si="1"/>
        <v>91-685-09-</v>
      </c>
      <c r="V90" s="81">
        <v>144</v>
      </c>
    </row>
    <row r="91" spans="1:22" ht="15" customHeight="1" x14ac:dyDescent="0.2">
      <c r="A91" s="81" t="s">
        <v>28510</v>
      </c>
      <c r="B91" s="81" t="s">
        <v>28642</v>
      </c>
      <c r="C91" s="81" t="s">
        <v>46</v>
      </c>
      <c r="D91" s="81" t="s">
        <v>92</v>
      </c>
      <c r="E91" s="81" t="s">
        <v>94</v>
      </c>
      <c r="F91" s="81" t="s">
        <v>91</v>
      </c>
      <c r="G91" s="81" t="s">
        <v>28706</v>
      </c>
      <c r="H91" s="81" t="s">
        <v>28711</v>
      </c>
      <c r="I91" s="81" t="s">
        <v>25537</v>
      </c>
      <c r="J91" s="84" t="s">
        <v>95</v>
      </c>
      <c r="K91" s="81" t="s">
        <v>25687</v>
      </c>
      <c r="L91" s="81" t="s">
        <v>25607</v>
      </c>
      <c r="M91" s="81" t="s">
        <v>12</v>
      </c>
      <c r="N91" s="81">
        <v>832</v>
      </c>
      <c r="Q91" s="80"/>
      <c r="R91" s="146"/>
      <c r="S91" s="103" t="str">
        <f t="shared" si="1"/>
        <v>91-686-10-</v>
      </c>
      <c r="V91" s="81">
        <v>144</v>
      </c>
    </row>
    <row r="92" spans="1:22" ht="15" customHeight="1" x14ac:dyDescent="0.2">
      <c r="A92" s="81" t="s">
        <v>28511</v>
      </c>
      <c r="B92" s="81" t="s">
        <v>28642</v>
      </c>
      <c r="C92" s="81" t="s">
        <v>46</v>
      </c>
      <c r="D92" s="81" t="s">
        <v>92</v>
      </c>
      <c r="E92" s="81" t="s">
        <v>94</v>
      </c>
      <c r="F92" s="81" t="s">
        <v>91</v>
      </c>
      <c r="G92" s="81" t="s">
        <v>28706</v>
      </c>
      <c r="H92" s="81" t="s">
        <v>28729</v>
      </c>
      <c r="I92" s="81" t="s">
        <v>137</v>
      </c>
      <c r="J92" s="84" t="s">
        <v>95</v>
      </c>
      <c r="K92" s="81" t="s">
        <v>25687</v>
      </c>
      <c r="L92" s="81" t="s">
        <v>25607</v>
      </c>
      <c r="M92" s="81" t="s">
        <v>12</v>
      </c>
      <c r="N92" s="81">
        <v>832</v>
      </c>
      <c r="Q92" s="80"/>
      <c r="R92" s="146"/>
      <c r="S92" s="103" t="str">
        <f t="shared" si="1"/>
        <v>91-686-72-</v>
      </c>
      <c r="V92" s="81">
        <v>144</v>
      </c>
    </row>
    <row r="93" spans="1:22" ht="15" customHeight="1" x14ac:dyDescent="0.2">
      <c r="A93" s="81" t="s">
        <v>28512</v>
      </c>
      <c r="B93" s="81" t="s">
        <v>28643</v>
      </c>
      <c r="C93" s="81" t="s">
        <v>46</v>
      </c>
      <c r="D93" s="81" t="s">
        <v>92</v>
      </c>
      <c r="E93" s="81" t="s">
        <v>94</v>
      </c>
      <c r="F93" s="81" t="s">
        <v>91</v>
      </c>
      <c r="G93" s="81" t="s">
        <v>28706</v>
      </c>
      <c r="H93" s="81" t="s">
        <v>28722</v>
      </c>
      <c r="I93" s="81" t="s">
        <v>28730</v>
      </c>
      <c r="J93" s="84" t="s">
        <v>95</v>
      </c>
      <c r="K93" s="81" t="s">
        <v>25687</v>
      </c>
      <c r="L93" s="81" t="s">
        <v>25607</v>
      </c>
      <c r="M93" s="81" t="s">
        <v>12</v>
      </c>
      <c r="N93" s="81">
        <v>832</v>
      </c>
      <c r="Q93" s="80"/>
      <c r="R93" s="146"/>
      <c r="S93" s="103" t="str">
        <f t="shared" si="1"/>
        <v>91-687-36-</v>
      </c>
      <c r="V93" s="81">
        <v>168</v>
      </c>
    </row>
    <row r="94" spans="1:22" ht="15" customHeight="1" x14ac:dyDescent="0.2">
      <c r="A94" s="81" t="s">
        <v>28513</v>
      </c>
      <c r="B94" s="81" t="s">
        <v>28644</v>
      </c>
      <c r="C94" s="81" t="s">
        <v>46</v>
      </c>
      <c r="D94" s="81" t="s">
        <v>92</v>
      </c>
      <c r="E94" s="81" t="s">
        <v>94</v>
      </c>
      <c r="F94" s="81" t="s">
        <v>91</v>
      </c>
      <c r="G94" s="81" t="s">
        <v>28706</v>
      </c>
      <c r="H94" s="81" t="s">
        <v>28711</v>
      </c>
      <c r="I94" s="81" t="s">
        <v>1</v>
      </c>
      <c r="J94" s="84" t="s">
        <v>95</v>
      </c>
      <c r="K94" s="81" t="s">
        <v>25687</v>
      </c>
      <c r="L94" s="81" t="s">
        <v>25607</v>
      </c>
      <c r="M94" s="81" t="s">
        <v>12</v>
      </c>
      <c r="N94" s="81">
        <v>832</v>
      </c>
      <c r="Q94" s="80"/>
      <c r="R94" s="146"/>
      <c r="S94" s="103" t="str">
        <f t="shared" si="1"/>
        <v>91-688-09-</v>
      </c>
      <c r="V94" s="81">
        <v>432</v>
      </c>
    </row>
    <row r="95" spans="1:22" ht="15" customHeight="1" x14ac:dyDescent="0.2">
      <c r="A95" s="81" t="s">
        <v>28514</v>
      </c>
      <c r="B95" s="81" t="s">
        <v>28645</v>
      </c>
      <c r="C95" s="81" t="s">
        <v>46</v>
      </c>
      <c r="D95" s="81" t="s">
        <v>92</v>
      </c>
      <c r="E95" s="81" t="s">
        <v>94</v>
      </c>
      <c r="F95" s="81" t="s">
        <v>91</v>
      </c>
      <c r="G95" s="81" t="s">
        <v>28706</v>
      </c>
      <c r="H95" s="81" t="s">
        <v>28717</v>
      </c>
      <c r="I95" s="81" t="s">
        <v>25378</v>
      </c>
      <c r="J95" s="84" t="s">
        <v>95</v>
      </c>
      <c r="K95" s="81" t="s">
        <v>25687</v>
      </c>
      <c r="L95" s="81" t="s">
        <v>25607</v>
      </c>
      <c r="M95" s="81" t="s">
        <v>12</v>
      </c>
      <c r="N95" s="81">
        <v>936.00000000000011</v>
      </c>
      <c r="Q95" s="80"/>
      <c r="R95" s="146"/>
      <c r="S95" s="103" t="str">
        <f t="shared" si="1"/>
        <v>91-689-00-</v>
      </c>
      <c r="V95" s="81">
        <v>168</v>
      </c>
    </row>
    <row r="96" spans="1:22" ht="15" customHeight="1" x14ac:dyDescent="0.2">
      <c r="A96" s="81" t="s">
        <v>28515</v>
      </c>
      <c r="B96" s="81" t="s">
        <v>28646</v>
      </c>
      <c r="C96" s="81" t="s">
        <v>46</v>
      </c>
      <c r="D96" s="81" t="s">
        <v>92</v>
      </c>
      <c r="E96" s="81" t="s">
        <v>94</v>
      </c>
      <c r="F96" s="81" t="s">
        <v>91</v>
      </c>
      <c r="G96" s="81" t="s">
        <v>28706</v>
      </c>
      <c r="H96" s="81" t="s">
        <v>28711</v>
      </c>
      <c r="I96" s="81" t="s">
        <v>127</v>
      </c>
      <c r="J96" s="84" t="s">
        <v>95</v>
      </c>
      <c r="K96" s="81" t="s">
        <v>25687</v>
      </c>
      <c r="L96" s="81" t="s">
        <v>25607</v>
      </c>
      <c r="M96" s="81" t="s">
        <v>12</v>
      </c>
      <c r="N96" s="81">
        <v>832</v>
      </c>
      <c r="Q96" s="80"/>
      <c r="R96" s="146"/>
      <c r="S96" s="103" t="str">
        <f t="shared" si="1"/>
        <v>91-690-09-</v>
      </c>
      <c r="V96" s="81">
        <v>144</v>
      </c>
    </row>
    <row r="97" spans="1:22" ht="15" customHeight="1" x14ac:dyDescent="0.2">
      <c r="A97" s="81" t="s">
        <v>28516</v>
      </c>
      <c r="B97" s="81" t="s">
        <v>28647</v>
      </c>
      <c r="C97" s="81" t="s">
        <v>46</v>
      </c>
      <c r="D97" s="81" t="s">
        <v>47</v>
      </c>
      <c r="E97" s="81" t="s">
        <v>179</v>
      </c>
      <c r="F97" s="81" t="s">
        <v>91</v>
      </c>
      <c r="G97" s="81" t="s">
        <v>28706</v>
      </c>
      <c r="H97" s="81" t="s">
        <v>28711</v>
      </c>
      <c r="I97" s="81" t="s">
        <v>1</v>
      </c>
      <c r="J97" s="84" t="s">
        <v>11</v>
      </c>
      <c r="K97" s="81" t="s">
        <v>25687</v>
      </c>
      <c r="L97" s="81" t="s">
        <v>25607</v>
      </c>
      <c r="M97" s="81" t="s">
        <v>12</v>
      </c>
      <c r="N97" s="81">
        <v>520</v>
      </c>
      <c r="Q97" s="80"/>
      <c r="R97" s="146"/>
      <c r="S97" s="103" t="str">
        <f t="shared" si="1"/>
        <v>91-530-09-</v>
      </c>
      <c r="V97" s="81">
        <v>48</v>
      </c>
    </row>
    <row r="98" spans="1:22" ht="15" customHeight="1" x14ac:dyDescent="0.2">
      <c r="A98" s="81" t="s">
        <v>178</v>
      </c>
      <c r="B98" s="81" t="s">
        <v>28647</v>
      </c>
      <c r="C98" s="81" t="s">
        <v>46</v>
      </c>
      <c r="D98" s="81" t="s">
        <v>47</v>
      </c>
      <c r="E98" s="81" t="s">
        <v>179</v>
      </c>
      <c r="F98" s="81" t="s">
        <v>91</v>
      </c>
      <c r="G98" s="81" t="s">
        <v>28706</v>
      </c>
      <c r="H98" s="81" t="s">
        <v>28714</v>
      </c>
      <c r="I98" s="81" t="s">
        <v>28</v>
      </c>
      <c r="J98" s="84" t="s">
        <v>11</v>
      </c>
      <c r="K98" s="81" t="s">
        <v>25687</v>
      </c>
      <c r="L98" s="81" t="s">
        <v>25607</v>
      </c>
      <c r="M98" s="81" t="s">
        <v>12</v>
      </c>
      <c r="N98" s="81">
        <v>520</v>
      </c>
      <c r="Q98" s="80" t="s">
        <v>28</v>
      </c>
      <c r="R98" s="146"/>
      <c r="S98" s="103" t="str">
        <f t="shared" si="1"/>
        <v>91-530-08-</v>
      </c>
      <c r="V98" s="81">
        <v>24</v>
      </c>
    </row>
    <row r="99" spans="1:22" ht="15" customHeight="1" x14ac:dyDescent="0.2">
      <c r="A99" s="81" t="s">
        <v>28517</v>
      </c>
      <c r="B99" s="81" t="s">
        <v>28647</v>
      </c>
      <c r="C99" s="81" t="s">
        <v>46</v>
      </c>
      <c r="D99" s="81" t="s">
        <v>47</v>
      </c>
      <c r="E99" s="81" t="s">
        <v>179</v>
      </c>
      <c r="F99" s="81" t="s">
        <v>91</v>
      </c>
      <c r="G99" s="81" t="s">
        <v>28706</v>
      </c>
      <c r="H99" s="81" t="s">
        <v>28731</v>
      </c>
      <c r="I99" s="81" t="s">
        <v>28322</v>
      </c>
      <c r="J99" s="84" t="s">
        <v>11</v>
      </c>
      <c r="K99" s="81" t="s">
        <v>25687</v>
      </c>
      <c r="L99" s="81" t="s">
        <v>25607</v>
      </c>
      <c r="M99" s="81" t="s">
        <v>12</v>
      </c>
      <c r="N99" s="81">
        <v>520</v>
      </c>
      <c r="Q99" s="80"/>
      <c r="R99" s="146"/>
      <c r="S99" s="103" t="str">
        <f t="shared" si="1"/>
        <v>91-530-71-</v>
      </c>
      <c r="V99" s="81">
        <v>24</v>
      </c>
    </row>
    <row r="100" spans="1:22" ht="15" customHeight="1" x14ac:dyDescent="0.2">
      <c r="A100" s="81" t="s">
        <v>28518</v>
      </c>
      <c r="B100" s="81" t="s">
        <v>28648</v>
      </c>
      <c r="C100" s="81" t="s">
        <v>46</v>
      </c>
      <c r="D100" s="81" t="s">
        <v>92</v>
      </c>
      <c r="E100" s="81" t="s">
        <v>94</v>
      </c>
      <c r="F100" s="81" t="s">
        <v>91</v>
      </c>
      <c r="G100" s="81" t="s">
        <v>28706</v>
      </c>
      <c r="H100" s="81" t="s">
        <v>28709</v>
      </c>
      <c r="I100" s="81" t="s">
        <v>23</v>
      </c>
      <c r="J100" s="84" t="s">
        <v>95</v>
      </c>
      <c r="K100" s="81" t="s">
        <v>25687</v>
      </c>
      <c r="L100" s="81" t="s">
        <v>25604</v>
      </c>
      <c r="M100" s="81" t="s">
        <v>12</v>
      </c>
      <c r="N100" s="81">
        <v>717.6</v>
      </c>
      <c r="Q100" s="80"/>
      <c r="R100" s="146"/>
      <c r="S100" s="103" t="str">
        <f t="shared" si="1"/>
        <v>91-691-16-</v>
      </c>
      <c r="V100" s="81">
        <v>144</v>
      </c>
    </row>
    <row r="101" spans="1:22" ht="15" customHeight="1" x14ac:dyDescent="0.2">
      <c r="A101" s="81" t="s">
        <v>24898</v>
      </c>
      <c r="B101" s="81" t="s">
        <v>28649</v>
      </c>
      <c r="C101" s="81" t="s">
        <v>46</v>
      </c>
      <c r="D101" s="81" t="s">
        <v>92</v>
      </c>
      <c r="E101" s="81" t="s">
        <v>94</v>
      </c>
      <c r="F101" s="81" t="s">
        <v>91</v>
      </c>
      <c r="G101" s="81" t="s">
        <v>28706</v>
      </c>
      <c r="H101" s="81" t="s">
        <v>28714</v>
      </c>
      <c r="I101" s="81" t="s">
        <v>28</v>
      </c>
      <c r="J101" s="84" t="s">
        <v>95</v>
      </c>
      <c r="K101" s="81" t="s">
        <v>25687</v>
      </c>
      <c r="L101" s="81" t="s">
        <v>25604</v>
      </c>
      <c r="M101" s="81" t="s">
        <v>12</v>
      </c>
      <c r="N101" s="81">
        <v>717.6</v>
      </c>
      <c r="Q101" s="80" t="s">
        <v>28</v>
      </c>
      <c r="R101" s="146"/>
      <c r="S101" s="103" t="str">
        <f t="shared" si="1"/>
        <v>91-411-08-</v>
      </c>
      <c r="V101" s="81">
        <v>144</v>
      </c>
    </row>
    <row r="102" spans="1:22" ht="15" customHeight="1" x14ac:dyDescent="0.2">
      <c r="A102" s="81" t="s">
        <v>28519</v>
      </c>
      <c r="B102" s="81" t="s">
        <v>28650</v>
      </c>
      <c r="C102" s="81" t="s">
        <v>46</v>
      </c>
      <c r="D102" s="81" t="s">
        <v>92</v>
      </c>
      <c r="E102" s="81" t="s">
        <v>94</v>
      </c>
      <c r="F102" s="81" t="s">
        <v>91</v>
      </c>
      <c r="G102" s="81" t="s">
        <v>28706</v>
      </c>
      <c r="H102" s="81" t="s">
        <v>28732</v>
      </c>
      <c r="I102" s="81" t="s">
        <v>220</v>
      </c>
      <c r="J102" s="84" t="s">
        <v>95</v>
      </c>
      <c r="K102" s="81" t="s">
        <v>25687</v>
      </c>
      <c r="L102" s="81" t="s">
        <v>25604</v>
      </c>
      <c r="M102" s="81" t="s">
        <v>12</v>
      </c>
      <c r="N102" s="81">
        <v>717.6</v>
      </c>
      <c r="Q102" s="80"/>
      <c r="R102" s="146"/>
      <c r="S102" s="103" t="str">
        <f t="shared" si="1"/>
        <v>91-692-34-</v>
      </c>
      <c r="V102" s="81">
        <v>144</v>
      </c>
    </row>
    <row r="103" spans="1:22" ht="15" customHeight="1" x14ac:dyDescent="0.2">
      <c r="A103" s="81" t="s">
        <v>27398</v>
      </c>
      <c r="B103" s="81" t="s">
        <v>28651</v>
      </c>
      <c r="C103" s="81" t="s">
        <v>46</v>
      </c>
      <c r="D103" s="81" t="s">
        <v>92</v>
      </c>
      <c r="E103" s="81" t="s">
        <v>94</v>
      </c>
      <c r="F103" s="81" t="s">
        <v>91</v>
      </c>
      <c r="G103" s="81" t="s">
        <v>28706</v>
      </c>
      <c r="H103" s="81" t="s">
        <v>28711</v>
      </c>
      <c r="I103" s="81" t="s">
        <v>1</v>
      </c>
      <c r="J103" s="84" t="s">
        <v>95</v>
      </c>
      <c r="K103" s="81" t="s">
        <v>25687</v>
      </c>
      <c r="L103" s="81" t="s">
        <v>25604</v>
      </c>
      <c r="M103" s="81" t="s">
        <v>12</v>
      </c>
      <c r="N103" s="81">
        <v>624</v>
      </c>
      <c r="Q103" s="80" t="s">
        <v>1</v>
      </c>
      <c r="R103" s="146"/>
      <c r="S103" s="103" t="str">
        <f t="shared" si="1"/>
        <v>91-629-09-</v>
      </c>
      <c r="V103" s="81">
        <v>192</v>
      </c>
    </row>
    <row r="104" spans="1:22" ht="15" customHeight="1" x14ac:dyDescent="0.2">
      <c r="A104" s="81" t="s">
        <v>24116</v>
      </c>
      <c r="B104" s="81" t="s">
        <v>28652</v>
      </c>
      <c r="C104" s="81" t="s">
        <v>46</v>
      </c>
      <c r="D104" s="81" t="s">
        <v>92</v>
      </c>
      <c r="E104" s="81" t="s">
        <v>94</v>
      </c>
      <c r="F104" s="81" t="s">
        <v>91</v>
      </c>
      <c r="G104" s="81" t="s">
        <v>28706</v>
      </c>
      <c r="H104" s="81" t="s">
        <v>28718</v>
      </c>
      <c r="I104" s="81" t="s">
        <v>27</v>
      </c>
      <c r="J104" s="84" t="s">
        <v>59</v>
      </c>
      <c r="K104" s="81" t="s">
        <v>25687</v>
      </c>
      <c r="L104" s="81" t="s">
        <v>25604</v>
      </c>
      <c r="M104" s="81" t="s">
        <v>12</v>
      </c>
      <c r="N104" s="81">
        <v>717.6</v>
      </c>
      <c r="Q104" s="80" t="s">
        <v>27</v>
      </c>
      <c r="R104" s="146"/>
      <c r="S104" s="103" t="str">
        <f t="shared" si="1"/>
        <v>91-132-06-</v>
      </c>
      <c r="V104" s="81">
        <v>144</v>
      </c>
    </row>
    <row r="105" spans="1:22" ht="15" customHeight="1" x14ac:dyDescent="0.2">
      <c r="A105" s="81" t="s">
        <v>24118</v>
      </c>
      <c r="B105" s="81" t="s">
        <v>28653</v>
      </c>
      <c r="C105" s="81" t="s">
        <v>46</v>
      </c>
      <c r="D105" s="81" t="s">
        <v>92</v>
      </c>
      <c r="E105" s="81" t="s">
        <v>94</v>
      </c>
      <c r="F105" s="81" t="s">
        <v>91</v>
      </c>
      <c r="G105" s="81" t="s">
        <v>28706</v>
      </c>
      <c r="H105" s="81" t="s">
        <v>28732</v>
      </c>
      <c r="I105" s="81" t="s">
        <v>220</v>
      </c>
      <c r="J105" s="84" t="s">
        <v>95</v>
      </c>
      <c r="K105" s="81" t="s">
        <v>25687</v>
      </c>
      <c r="L105" s="81" t="s">
        <v>25604</v>
      </c>
      <c r="M105" s="81" t="s">
        <v>12</v>
      </c>
      <c r="N105" s="81">
        <v>717.6</v>
      </c>
      <c r="Q105" s="80" t="s">
        <v>220</v>
      </c>
      <c r="R105" s="146"/>
      <c r="S105" s="103" t="str">
        <f t="shared" si="1"/>
        <v>91-133-34-</v>
      </c>
      <c r="V105" s="81">
        <v>144</v>
      </c>
    </row>
    <row r="106" spans="1:22" ht="15" customHeight="1" x14ac:dyDescent="0.2">
      <c r="A106" s="81" t="s">
        <v>28520</v>
      </c>
      <c r="B106" s="81" t="s">
        <v>28654</v>
      </c>
      <c r="C106" s="81" t="s">
        <v>46</v>
      </c>
      <c r="D106" s="81" t="s">
        <v>92</v>
      </c>
      <c r="E106" s="81" t="s">
        <v>94</v>
      </c>
      <c r="F106" s="81" t="s">
        <v>91</v>
      </c>
      <c r="G106" s="81" t="s">
        <v>28706</v>
      </c>
      <c r="H106" s="81" t="s">
        <v>28711</v>
      </c>
      <c r="I106" s="81" t="s">
        <v>1</v>
      </c>
      <c r="J106" s="84" t="s">
        <v>191</v>
      </c>
      <c r="L106" s="81" t="s">
        <v>25607</v>
      </c>
      <c r="M106" s="81" t="s">
        <v>12</v>
      </c>
      <c r="N106" s="81">
        <v>936.00000000000011</v>
      </c>
      <c r="Q106" s="80"/>
      <c r="R106" s="146"/>
      <c r="S106" s="103" t="str">
        <f t="shared" si="1"/>
        <v>91-693-09-</v>
      </c>
      <c r="V106" s="81">
        <v>2</v>
      </c>
    </row>
    <row r="107" spans="1:22" ht="15" customHeight="1" x14ac:dyDescent="0.2">
      <c r="A107" s="81" t="s">
        <v>28521</v>
      </c>
      <c r="B107" s="81" t="s">
        <v>28655</v>
      </c>
      <c r="C107" s="81" t="s">
        <v>46</v>
      </c>
      <c r="D107" s="81" t="s">
        <v>92</v>
      </c>
      <c r="E107" s="81" t="s">
        <v>94</v>
      </c>
      <c r="F107" s="81" t="s">
        <v>91</v>
      </c>
      <c r="G107" s="81" t="s">
        <v>28706</v>
      </c>
      <c r="H107" s="81" t="s">
        <v>28711</v>
      </c>
      <c r="I107" s="81" t="s">
        <v>1</v>
      </c>
      <c r="J107" s="84" t="s">
        <v>191</v>
      </c>
      <c r="L107" s="81" t="s">
        <v>25607</v>
      </c>
      <c r="M107" s="81" t="s">
        <v>12</v>
      </c>
      <c r="N107" s="81">
        <v>936.00000000000011</v>
      </c>
      <c r="Q107" s="80"/>
      <c r="R107" s="146"/>
      <c r="S107" s="103" t="str">
        <f t="shared" si="1"/>
        <v>91-694-09-</v>
      </c>
      <c r="V107" s="81">
        <v>2</v>
      </c>
    </row>
    <row r="108" spans="1:22" ht="15" customHeight="1" x14ac:dyDescent="0.2">
      <c r="A108" s="81" t="s">
        <v>28522</v>
      </c>
      <c r="B108" s="81" t="s">
        <v>28656</v>
      </c>
      <c r="C108" s="81" t="s">
        <v>46</v>
      </c>
      <c r="D108" s="81" t="s">
        <v>92</v>
      </c>
      <c r="E108" s="81" t="s">
        <v>94</v>
      </c>
      <c r="F108" s="81" t="s">
        <v>91</v>
      </c>
      <c r="G108" s="81" t="s">
        <v>28706</v>
      </c>
      <c r="H108" s="81" t="s">
        <v>28711</v>
      </c>
      <c r="I108" s="81" t="s">
        <v>1</v>
      </c>
      <c r="J108" s="84" t="s">
        <v>191</v>
      </c>
      <c r="L108" s="81" t="s">
        <v>25607</v>
      </c>
      <c r="M108" s="81" t="s">
        <v>12</v>
      </c>
      <c r="N108" s="81">
        <v>936.00000000000011</v>
      </c>
      <c r="Q108" s="80"/>
      <c r="R108" s="146"/>
      <c r="S108" s="103" t="str">
        <f t="shared" si="1"/>
        <v>91-695-09-</v>
      </c>
      <c r="V108" s="81">
        <v>2</v>
      </c>
    </row>
    <row r="109" spans="1:22" ht="15" customHeight="1" x14ac:dyDescent="0.2">
      <c r="A109" s="81" t="s">
        <v>28523</v>
      </c>
      <c r="B109" s="81" t="s">
        <v>28657</v>
      </c>
      <c r="C109" s="81" t="s">
        <v>46</v>
      </c>
      <c r="D109" s="81" t="s">
        <v>92</v>
      </c>
      <c r="E109" s="81" t="s">
        <v>94</v>
      </c>
      <c r="F109" s="81" t="s">
        <v>91</v>
      </c>
      <c r="G109" s="81" t="s">
        <v>28706</v>
      </c>
      <c r="H109" s="81" t="s">
        <v>28711</v>
      </c>
      <c r="I109" s="81" t="s">
        <v>1</v>
      </c>
      <c r="J109" s="84" t="s">
        <v>191</v>
      </c>
      <c r="L109" s="81" t="s">
        <v>25607</v>
      </c>
      <c r="M109" s="81" t="s">
        <v>12</v>
      </c>
      <c r="N109" s="81">
        <v>936.00000000000011</v>
      </c>
      <c r="Q109" s="80"/>
      <c r="R109" s="146"/>
      <c r="S109" s="103" t="str">
        <f t="shared" si="1"/>
        <v>91-696-09-</v>
      </c>
      <c r="V109" s="81">
        <v>2</v>
      </c>
    </row>
    <row r="110" spans="1:22" ht="15" customHeight="1" x14ac:dyDescent="0.2">
      <c r="A110" s="81" t="s">
        <v>28524</v>
      </c>
      <c r="B110" s="81" t="s">
        <v>28658</v>
      </c>
      <c r="C110" s="81" t="s">
        <v>46</v>
      </c>
      <c r="D110" s="81" t="s">
        <v>92</v>
      </c>
      <c r="E110" s="81" t="s">
        <v>94</v>
      </c>
      <c r="F110" s="81" t="s">
        <v>91</v>
      </c>
      <c r="G110" s="81" t="s">
        <v>28706</v>
      </c>
      <c r="H110" s="81" t="s">
        <v>28733</v>
      </c>
      <c r="I110" s="81" t="s">
        <v>29</v>
      </c>
      <c r="J110" s="84" t="s">
        <v>59</v>
      </c>
      <c r="L110" s="81" t="s">
        <v>25607</v>
      </c>
      <c r="M110" s="81" t="s">
        <v>12</v>
      </c>
      <c r="N110" s="81">
        <v>1040</v>
      </c>
      <c r="Q110" s="80"/>
      <c r="R110" s="146"/>
      <c r="S110" s="103" t="str">
        <f t="shared" si="1"/>
        <v>91-697-02-</v>
      </c>
      <c r="V110" s="81">
        <v>2</v>
      </c>
    </row>
    <row r="111" spans="1:22" ht="15" customHeight="1" x14ac:dyDescent="0.2">
      <c r="A111" s="81" t="s">
        <v>28525</v>
      </c>
      <c r="B111" s="81" t="s">
        <v>28659</v>
      </c>
      <c r="C111" s="81" t="s">
        <v>46</v>
      </c>
      <c r="D111" s="81" t="s">
        <v>92</v>
      </c>
      <c r="E111" s="81" t="s">
        <v>94</v>
      </c>
      <c r="F111" s="81" t="s">
        <v>91</v>
      </c>
      <c r="G111" s="81" t="s">
        <v>28706</v>
      </c>
      <c r="H111" s="81" t="s">
        <v>28734</v>
      </c>
      <c r="I111" s="81" t="s">
        <v>52</v>
      </c>
      <c r="J111" s="84" t="s">
        <v>59</v>
      </c>
      <c r="L111" s="81" t="s">
        <v>25607</v>
      </c>
      <c r="M111" s="81" t="s">
        <v>12</v>
      </c>
      <c r="N111" s="81">
        <v>1040</v>
      </c>
      <c r="Q111" s="80"/>
      <c r="R111" s="146"/>
      <c r="S111" s="103" t="str">
        <f t="shared" si="1"/>
        <v>91-698-02-</v>
      </c>
      <c r="V111" s="81">
        <v>2</v>
      </c>
    </row>
    <row r="112" spans="1:22" ht="15" customHeight="1" x14ac:dyDescent="0.2">
      <c r="A112" s="81" t="s">
        <v>28526</v>
      </c>
      <c r="B112" s="81" t="s">
        <v>28660</v>
      </c>
      <c r="C112" s="81" t="s">
        <v>46</v>
      </c>
      <c r="D112" s="81" t="s">
        <v>92</v>
      </c>
      <c r="E112" s="81" t="s">
        <v>94</v>
      </c>
      <c r="F112" s="81" t="s">
        <v>91</v>
      </c>
      <c r="G112" s="81" t="s">
        <v>28706</v>
      </c>
      <c r="H112" s="81" t="s">
        <v>28727</v>
      </c>
      <c r="I112" s="81" t="s">
        <v>22</v>
      </c>
      <c r="J112" s="84" t="s">
        <v>59</v>
      </c>
      <c r="L112" s="81" t="s">
        <v>25607</v>
      </c>
      <c r="M112" s="81" t="s">
        <v>12</v>
      </c>
      <c r="N112" s="81">
        <v>1040</v>
      </c>
      <c r="Q112" s="80"/>
      <c r="R112" s="146"/>
      <c r="S112" s="103" t="str">
        <f t="shared" si="1"/>
        <v>91-699-14-</v>
      </c>
      <c r="V112" s="81">
        <v>2</v>
      </c>
    </row>
    <row r="113" spans="1:22" ht="15" customHeight="1" x14ac:dyDescent="0.2">
      <c r="A113" s="81" t="s">
        <v>28527</v>
      </c>
      <c r="B113" s="81" t="s">
        <v>28661</v>
      </c>
      <c r="C113" s="81" t="s">
        <v>46</v>
      </c>
      <c r="D113" s="81" t="s">
        <v>92</v>
      </c>
      <c r="E113" s="81" t="s">
        <v>94</v>
      </c>
      <c r="F113" s="81" t="s">
        <v>91</v>
      </c>
      <c r="G113" s="81" t="s">
        <v>28706</v>
      </c>
      <c r="H113" s="81" t="s">
        <v>28711</v>
      </c>
      <c r="I113" s="81" t="s">
        <v>1</v>
      </c>
      <c r="J113" s="84" t="s">
        <v>59</v>
      </c>
      <c r="L113" s="81" t="s">
        <v>25607</v>
      </c>
      <c r="M113" s="81" t="s">
        <v>12</v>
      </c>
      <c r="N113" s="81">
        <v>1040</v>
      </c>
      <c r="Q113" s="80"/>
      <c r="R113" s="146"/>
      <c r="S113" s="103" t="str">
        <f t="shared" si="1"/>
        <v>91-700-09-</v>
      </c>
      <c r="V113" s="81">
        <v>2</v>
      </c>
    </row>
    <row r="114" spans="1:22" ht="15" customHeight="1" x14ac:dyDescent="0.2">
      <c r="A114" s="81" t="s">
        <v>28528</v>
      </c>
      <c r="B114" s="81" t="s">
        <v>28662</v>
      </c>
      <c r="C114" s="81" t="s">
        <v>46</v>
      </c>
      <c r="D114" s="81" t="s">
        <v>92</v>
      </c>
      <c r="E114" s="81" t="s">
        <v>94</v>
      </c>
      <c r="F114" s="81" t="s">
        <v>91</v>
      </c>
      <c r="G114" s="81" t="s">
        <v>28706</v>
      </c>
      <c r="H114" s="81" t="s">
        <v>28711</v>
      </c>
      <c r="I114" s="81" t="s">
        <v>1</v>
      </c>
      <c r="J114" s="84" t="s">
        <v>28742</v>
      </c>
      <c r="L114" s="81" t="s">
        <v>25607</v>
      </c>
      <c r="M114" s="81" t="s">
        <v>12</v>
      </c>
      <c r="N114" s="81">
        <v>936.00000000000011</v>
      </c>
      <c r="Q114" s="80"/>
      <c r="R114" s="146"/>
      <c r="S114" s="103" t="str">
        <f t="shared" si="1"/>
        <v>91-701-09-</v>
      </c>
      <c r="V114" s="81">
        <v>2</v>
      </c>
    </row>
    <row r="115" spans="1:22" ht="15" customHeight="1" x14ac:dyDescent="0.2">
      <c r="A115" s="81" t="s">
        <v>28529</v>
      </c>
      <c r="B115" s="81" t="s">
        <v>28663</v>
      </c>
      <c r="C115" s="81" t="s">
        <v>46</v>
      </c>
      <c r="D115" s="81" t="s">
        <v>92</v>
      </c>
      <c r="E115" s="81" t="s">
        <v>94</v>
      </c>
      <c r="F115" s="81" t="s">
        <v>91</v>
      </c>
      <c r="G115" s="81" t="s">
        <v>28706</v>
      </c>
      <c r="H115" s="81" t="s">
        <v>28710</v>
      </c>
      <c r="I115" s="81" t="s">
        <v>27782</v>
      </c>
      <c r="J115" s="84" t="s">
        <v>28743</v>
      </c>
      <c r="L115" s="81" t="s">
        <v>25607</v>
      </c>
      <c r="M115" s="81" t="s">
        <v>12</v>
      </c>
      <c r="N115" s="81">
        <v>936.00000000000011</v>
      </c>
      <c r="Q115" s="80"/>
      <c r="R115" s="146"/>
      <c r="S115" s="103" t="str">
        <f t="shared" si="1"/>
        <v>91-702-03-</v>
      </c>
      <c r="V115" s="81">
        <v>2</v>
      </c>
    </row>
    <row r="116" spans="1:22" ht="15" customHeight="1" x14ac:dyDescent="0.2">
      <c r="A116" s="81" t="s">
        <v>28530</v>
      </c>
      <c r="B116" s="81" t="s">
        <v>28664</v>
      </c>
      <c r="C116" s="81" t="s">
        <v>46</v>
      </c>
      <c r="D116" s="81" t="s">
        <v>92</v>
      </c>
      <c r="E116" s="81" t="s">
        <v>94</v>
      </c>
      <c r="F116" s="81" t="s">
        <v>91</v>
      </c>
      <c r="G116" s="81" t="s">
        <v>28706</v>
      </c>
      <c r="H116" s="81" t="s">
        <v>28721</v>
      </c>
      <c r="I116" s="81" t="s">
        <v>25387</v>
      </c>
      <c r="J116" s="84" t="s">
        <v>28742</v>
      </c>
      <c r="L116" s="81" t="s">
        <v>25607</v>
      </c>
      <c r="M116" s="81" t="s">
        <v>12</v>
      </c>
      <c r="N116" s="81">
        <v>936.00000000000011</v>
      </c>
      <c r="Q116" s="80"/>
      <c r="R116" s="146"/>
      <c r="S116" s="103" t="str">
        <f t="shared" si="1"/>
        <v>91-703-19-</v>
      </c>
      <c r="V116" s="81">
        <v>2</v>
      </c>
    </row>
    <row r="117" spans="1:22" ht="15" customHeight="1" x14ac:dyDescent="0.2">
      <c r="A117" s="81" t="s">
        <v>28531</v>
      </c>
      <c r="B117" s="81" t="s">
        <v>28665</v>
      </c>
      <c r="C117" s="81" t="s">
        <v>46</v>
      </c>
      <c r="D117" s="81" t="s">
        <v>92</v>
      </c>
      <c r="E117" s="81" t="s">
        <v>94</v>
      </c>
      <c r="F117" s="81" t="s">
        <v>91</v>
      </c>
      <c r="G117" s="81" t="s">
        <v>28706</v>
      </c>
      <c r="H117" s="81" t="s">
        <v>28708</v>
      </c>
      <c r="I117" s="81" t="s">
        <v>28385</v>
      </c>
      <c r="J117" s="84" t="s">
        <v>28743</v>
      </c>
      <c r="L117" s="81" t="s">
        <v>25607</v>
      </c>
      <c r="M117" s="81" t="s">
        <v>12</v>
      </c>
      <c r="N117" s="81">
        <v>936.00000000000011</v>
      </c>
      <c r="Q117" s="80"/>
      <c r="R117" s="146"/>
      <c r="S117" s="103" t="str">
        <f t="shared" si="1"/>
        <v>91-704-20-</v>
      </c>
      <c r="V117" s="81">
        <v>2</v>
      </c>
    </row>
    <row r="118" spans="1:22" ht="15" customHeight="1" x14ac:dyDescent="0.2">
      <c r="A118" s="81" t="s">
        <v>28532</v>
      </c>
      <c r="B118" s="81" t="s">
        <v>28599</v>
      </c>
      <c r="C118" s="81" t="s">
        <v>46</v>
      </c>
      <c r="D118" s="81" t="s">
        <v>92</v>
      </c>
      <c r="E118" s="81" t="s">
        <v>94</v>
      </c>
      <c r="F118" s="81" t="s">
        <v>91</v>
      </c>
      <c r="G118" s="81" t="s">
        <v>28706</v>
      </c>
      <c r="H118" s="81" t="s">
        <v>28722</v>
      </c>
      <c r="I118" s="81" t="s">
        <v>25412</v>
      </c>
      <c r="J118" s="84" t="s">
        <v>28744</v>
      </c>
      <c r="K118" s="81" t="s">
        <v>25687</v>
      </c>
      <c r="L118" s="81" t="s">
        <v>25607</v>
      </c>
      <c r="M118" s="81" t="s">
        <v>12</v>
      </c>
      <c r="N118" s="81">
        <v>832</v>
      </c>
      <c r="Q118" s="80"/>
      <c r="R118" s="146"/>
      <c r="S118" s="103" t="str">
        <f t="shared" si="1"/>
        <v>91-643-34-</v>
      </c>
      <c r="V118" s="81">
        <v>2</v>
      </c>
    </row>
    <row r="119" spans="1:22" ht="15" customHeight="1" x14ac:dyDescent="0.2">
      <c r="A119" s="81" t="s">
        <v>28533</v>
      </c>
      <c r="B119" s="81" t="s">
        <v>28607</v>
      </c>
      <c r="C119" s="81" t="s">
        <v>46</v>
      </c>
      <c r="D119" s="81" t="s">
        <v>92</v>
      </c>
      <c r="E119" s="81" t="s">
        <v>94</v>
      </c>
      <c r="F119" s="81" t="s">
        <v>91</v>
      </c>
      <c r="G119" s="81" t="s">
        <v>28706</v>
      </c>
      <c r="H119" s="81" t="s">
        <v>28722</v>
      </c>
      <c r="I119" s="81" t="s">
        <v>25413</v>
      </c>
      <c r="J119" s="84" t="s">
        <v>28744</v>
      </c>
      <c r="K119" s="81" t="s">
        <v>25687</v>
      </c>
      <c r="L119" s="81" t="s">
        <v>25607</v>
      </c>
      <c r="M119" s="81" t="s">
        <v>12</v>
      </c>
      <c r="N119" s="81">
        <v>832</v>
      </c>
      <c r="Q119" s="80"/>
      <c r="R119" s="146"/>
      <c r="S119" s="103" t="str">
        <f t="shared" si="1"/>
        <v>91-651-18-</v>
      </c>
      <c r="V119" s="81">
        <v>2</v>
      </c>
    </row>
    <row r="120" spans="1:22" ht="15" customHeight="1" x14ac:dyDescent="0.2">
      <c r="A120" s="81" t="s">
        <v>28534</v>
      </c>
      <c r="B120" s="81" t="s">
        <v>28666</v>
      </c>
      <c r="C120" s="81" t="s">
        <v>46</v>
      </c>
      <c r="D120" s="81" t="s">
        <v>92</v>
      </c>
      <c r="E120" s="81" t="s">
        <v>94</v>
      </c>
      <c r="F120" s="81" t="s">
        <v>91</v>
      </c>
      <c r="G120" s="81" t="s">
        <v>28706</v>
      </c>
      <c r="H120" s="81" t="s">
        <v>28711</v>
      </c>
      <c r="I120" s="81" t="s">
        <v>1</v>
      </c>
      <c r="J120" s="84" t="s">
        <v>28744</v>
      </c>
      <c r="K120" s="81" t="s">
        <v>25687</v>
      </c>
      <c r="L120" s="81" t="s">
        <v>25607</v>
      </c>
      <c r="M120" s="81" t="s">
        <v>12</v>
      </c>
      <c r="N120" s="81">
        <v>832</v>
      </c>
      <c r="Q120" s="80"/>
      <c r="R120" s="146"/>
      <c r="S120" s="103" t="str">
        <f t="shared" si="1"/>
        <v>91-705-09-</v>
      </c>
      <c r="V120" s="81">
        <v>2</v>
      </c>
    </row>
    <row r="121" spans="1:22" ht="15" customHeight="1" x14ac:dyDescent="0.2">
      <c r="A121" s="81" t="s">
        <v>28535</v>
      </c>
      <c r="B121" s="81" t="s">
        <v>28666</v>
      </c>
      <c r="C121" s="81" t="s">
        <v>46</v>
      </c>
      <c r="D121" s="81" t="s">
        <v>92</v>
      </c>
      <c r="E121" s="81" t="s">
        <v>94</v>
      </c>
      <c r="F121" s="81" t="s">
        <v>91</v>
      </c>
      <c r="G121" s="81" t="s">
        <v>28706</v>
      </c>
      <c r="H121" s="81" t="s">
        <v>28707</v>
      </c>
      <c r="I121" s="81" t="s">
        <v>171</v>
      </c>
      <c r="J121" s="84" t="s">
        <v>28744</v>
      </c>
      <c r="K121" s="81" t="s">
        <v>25687</v>
      </c>
      <c r="L121" s="81" t="s">
        <v>25607</v>
      </c>
      <c r="M121" s="81" t="s">
        <v>12</v>
      </c>
      <c r="N121" s="81">
        <v>832</v>
      </c>
      <c r="Q121" s="80"/>
      <c r="R121" s="146"/>
      <c r="S121" s="103" t="str">
        <f t="shared" si="1"/>
        <v>91-705-72-</v>
      </c>
      <c r="V121" s="81">
        <v>2</v>
      </c>
    </row>
    <row r="122" spans="1:22" ht="15" customHeight="1" x14ac:dyDescent="0.2">
      <c r="A122" s="81" t="s">
        <v>28536</v>
      </c>
      <c r="B122" s="81" t="s">
        <v>28666</v>
      </c>
      <c r="C122" s="81" t="s">
        <v>46</v>
      </c>
      <c r="D122" s="81" t="s">
        <v>92</v>
      </c>
      <c r="E122" s="81" t="s">
        <v>94</v>
      </c>
      <c r="F122" s="81" t="s">
        <v>91</v>
      </c>
      <c r="G122" s="81" t="s">
        <v>28706</v>
      </c>
      <c r="H122" s="81" t="s">
        <v>28735</v>
      </c>
      <c r="I122" s="81" t="s">
        <v>42</v>
      </c>
      <c r="J122" s="84" t="s">
        <v>28744</v>
      </c>
      <c r="K122" s="81" t="s">
        <v>25687</v>
      </c>
      <c r="L122" s="81" t="s">
        <v>25607</v>
      </c>
      <c r="M122" s="81" t="s">
        <v>12</v>
      </c>
      <c r="N122" s="81">
        <v>832</v>
      </c>
      <c r="Q122" s="80"/>
      <c r="R122" s="146"/>
      <c r="S122" s="103" t="str">
        <f t="shared" si="1"/>
        <v>91-705-53-</v>
      </c>
      <c r="V122" s="81">
        <v>2</v>
      </c>
    </row>
    <row r="123" spans="1:22" ht="15" customHeight="1" x14ac:dyDescent="0.2">
      <c r="A123" s="81" t="s">
        <v>28537</v>
      </c>
      <c r="B123" s="81" t="s">
        <v>28667</v>
      </c>
      <c r="C123" s="81" t="s">
        <v>46</v>
      </c>
      <c r="D123" s="81" t="s">
        <v>92</v>
      </c>
      <c r="E123" s="81" t="s">
        <v>94</v>
      </c>
      <c r="F123" s="81" t="s">
        <v>91</v>
      </c>
      <c r="G123" s="81" t="s">
        <v>28706</v>
      </c>
      <c r="H123" s="81" t="s">
        <v>28718</v>
      </c>
      <c r="I123" s="81" t="s">
        <v>147</v>
      </c>
      <c r="J123" s="84" t="s">
        <v>28744</v>
      </c>
      <c r="K123" s="81" t="s">
        <v>25687</v>
      </c>
      <c r="L123" s="81" t="s">
        <v>25607</v>
      </c>
      <c r="M123" s="81" t="s">
        <v>12</v>
      </c>
      <c r="N123" s="81">
        <v>832</v>
      </c>
      <c r="Q123" s="80"/>
      <c r="R123" s="146"/>
      <c r="S123" s="103" t="str">
        <f t="shared" si="1"/>
        <v>91-706-19-</v>
      </c>
      <c r="V123" s="81">
        <v>2</v>
      </c>
    </row>
    <row r="124" spans="1:22" ht="15" customHeight="1" x14ac:dyDescent="0.2">
      <c r="A124" s="81" t="s">
        <v>28538</v>
      </c>
      <c r="B124" s="81" t="s">
        <v>28667</v>
      </c>
      <c r="C124" s="81" t="s">
        <v>46</v>
      </c>
      <c r="D124" s="81" t="s">
        <v>92</v>
      </c>
      <c r="E124" s="81" t="s">
        <v>94</v>
      </c>
      <c r="F124" s="81" t="s">
        <v>91</v>
      </c>
      <c r="G124" s="81" t="s">
        <v>28706</v>
      </c>
      <c r="H124" s="81" t="s">
        <v>28707</v>
      </c>
      <c r="I124" s="81" t="s">
        <v>171</v>
      </c>
      <c r="J124" s="84" t="s">
        <v>28744</v>
      </c>
      <c r="K124" s="81" t="s">
        <v>25687</v>
      </c>
      <c r="L124" s="81" t="s">
        <v>25607</v>
      </c>
      <c r="M124" s="81" t="s">
        <v>12</v>
      </c>
      <c r="N124" s="81">
        <v>832</v>
      </c>
      <c r="Q124" s="80"/>
      <c r="R124" s="146"/>
      <c r="S124" s="103" t="str">
        <f t="shared" si="1"/>
        <v>91-706-72-</v>
      </c>
      <c r="V124" s="81">
        <v>2</v>
      </c>
    </row>
    <row r="125" spans="1:22" ht="15" customHeight="1" x14ac:dyDescent="0.2">
      <c r="A125" s="81" t="s">
        <v>28539</v>
      </c>
      <c r="B125" s="81" t="s">
        <v>28668</v>
      </c>
      <c r="C125" s="81" t="s">
        <v>46</v>
      </c>
      <c r="D125" s="81" t="s">
        <v>92</v>
      </c>
      <c r="E125" s="81" t="s">
        <v>94</v>
      </c>
      <c r="F125" s="81" t="s">
        <v>91</v>
      </c>
      <c r="G125" s="81" t="s">
        <v>28706</v>
      </c>
      <c r="H125" s="81" t="s">
        <v>28735</v>
      </c>
      <c r="I125" s="81" t="s">
        <v>197</v>
      </c>
      <c r="J125" s="84" t="s">
        <v>28744</v>
      </c>
      <c r="K125" s="81" t="s">
        <v>25687</v>
      </c>
      <c r="L125" s="81" t="s">
        <v>25607</v>
      </c>
      <c r="M125" s="81" t="s">
        <v>12</v>
      </c>
      <c r="N125" s="81">
        <v>832</v>
      </c>
      <c r="Q125" s="80"/>
      <c r="R125" s="146"/>
      <c r="S125" s="103" t="str">
        <f t="shared" si="1"/>
        <v>91-707-13-</v>
      </c>
      <c r="V125" s="81">
        <v>2</v>
      </c>
    </row>
    <row r="126" spans="1:22" ht="15" customHeight="1" x14ac:dyDescent="0.2">
      <c r="A126" s="81" t="s">
        <v>28540</v>
      </c>
      <c r="B126" s="81" t="s">
        <v>28668</v>
      </c>
      <c r="C126" s="81" t="s">
        <v>46</v>
      </c>
      <c r="D126" s="81" t="s">
        <v>92</v>
      </c>
      <c r="E126" s="81" t="s">
        <v>94</v>
      </c>
      <c r="F126" s="81" t="s">
        <v>91</v>
      </c>
      <c r="G126" s="81" t="s">
        <v>28706</v>
      </c>
      <c r="H126" s="81" t="s">
        <v>28709</v>
      </c>
      <c r="I126" s="81" t="s">
        <v>23</v>
      </c>
      <c r="J126" s="84" t="s">
        <v>28744</v>
      </c>
      <c r="K126" s="81" t="s">
        <v>25687</v>
      </c>
      <c r="L126" s="81" t="s">
        <v>25607</v>
      </c>
      <c r="M126" s="81" t="s">
        <v>12</v>
      </c>
      <c r="N126" s="81">
        <v>832</v>
      </c>
      <c r="Q126" s="80"/>
      <c r="R126" s="146"/>
      <c r="S126" s="103" t="str">
        <f t="shared" si="1"/>
        <v>91-707-16-</v>
      </c>
      <c r="V126" s="81">
        <v>2</v>
      </c>
    </row>
    <row r="127" spans="1:22" ht="15" customHeight="1" x14ac:dyDescent="0.2">
      <c r="A127" s="81" t="s">
        <v>28541</v>
      </c>
      <c r="B127" s="81" t="s">
        <v>28669</v>
      </c>
      <c r="C127" s="81" t="s">
        <v>46</v>
      </c>
      <c r="D127" s="81" t="s">
        <v>92</v>
      </c>
      <c r="E127" s="81" t="s">
        <v>94</v>
      </c>
      <c r="F127" s="81" t="s">
        <v>91</v>
      </c>
      <c r="G127" s="81" t="s">
        <v>28706</v>
      </c>
      <c r="H127" s="81" t="s">
        <v>28727</v>
      </c>
      <c r="I127" s="81" t="s">
        <v>22</v>
      </c>
      <c r="J127" s="84" t="s">
        <v>28744</v>
      </c>
      <c r="K127" s="81" t="s">
        <v>25687</v>
      </c>
      <c r="L127" s="81" t="s">
        <v>25607</v>
      </c>
      <c r="M127" s="81" t="s">
        <v>12</v>
      </c>
      <c r="N127" s="81">
        <v>832</v>
      </c>
      <c r="Q127" s="80"/>
      <c r="R127" s="146"/>
      <c r="S127" s="103" t="str">
        <f t="shared" si="1"/>
        <v>91-708-14-</v>
      </c>
      <c r="V127" s="81">
        <v>2</v>
      </c>
    </row>
    <row r="128" spans="1:22" ht="15" customHeight="1" x14ac:dyDescent="0.2">
      <c r="A128" s="81" t="s">
        <v>28542</v>
      </c>
      <c r="B128" s="81" t="s">
        <v>28670</v>
      </c>
      <c r="C128" s="81" t="s">
        <v>46</v>
      </c>
      <c r="D128" s="81" t="s">
        <v>92</v>
      </c>
      <c r="E128" s="81" t="s">
        <v>94</v>
      </c>
      <c r="F128" s="81" t="s">
        <v>91</v>
      </c>
      <c r="G128" s="81" t="s">
        <v>28706</v>
      </c>
      <c r="H128" s="81" t="s">
        <v>28709</v>
      </c>
      <c r="I128" s="81" t="s">
        <v>28251</v>
      </c>
      <c r="J128" s="84" t="s">
        <v>28744</v>
      </c>
      <c r="K128" s="81" t="s">
        <v>25687</v>
      </c>
      <c r="L128" s="81" t="s">
        <v>25607</v>
      </c>
      <c r="M128" s="81" t="s">
        <v>12</v>
      </c>
      <c r="N128" s="81">
        <v>832</v>
      </c>
      <c r="Q128" s="80"/>
      <c r="R128" s="146"/>
      <c r="S128" s="103" t="str">
        <f t="shared" si="1"/>
        <v>91-709-71-</v>
      </c>
      <c r="V128" s="81">
        <v>2</v>
      </c>
    </row>
    <row r="129" spans="1:22" ht="15" customHeight="1" x14ac:dyDescent="0.2">
      <c r="A129" s="81" t="s">
        <v>28543</v>
      </c>
      <c r="B129" s="81" t="s">
        <v>28670</v>
      </c>
      <c r="C129" s="81" t="s">
        <v>46</v>
      </c>
      <c r="D129" s="81" t="s">
        <v>92</v>
      </c>
      <c r="E129" s="81" t="s">
        <v>94</v>
      </c>
      <c r="F129" s="81" t="s">
        <v>91</v>
      </c>
      <c r="G129" s="81" t="s">
        <v>28706</v>
      </c>
      <c r="H129" s="81" t="s">
        <v>28711</v>
      </c>
      <c r="I129" s="81" t="s">
        <v>1</v>
      </c>
      <c r="J129" s="84" t="s">
        <v>28744</v>
      </c>
      <c r="K129" s="81" t="s">
        <v>25687</v>
      </c>
      <c r="L129" s="81" t="s">
        <v>25607</v>
      </c>
      <c r="M129" s="81" t="s">
        <v>12</v>
      </c>
      <c r="N129" s="81">
        <v>832</v>
      </c>
      <c r="Q129" s="80"/>
      <c r="R129" s="146"/>
      <c r="S129" s="103" t="str">
        <f t="shared" si="1"/>
        <v>91-709-09-</v>
      </c>
      <c r="V129" s="81">
        <v>2</v>
      </c>
    </row>
    <row r="130" spans="1:22" ht="15" customHeight="1" x14ac:dyDescent="0.2">
      <c r="A130" s="81" t="s">
        <v>28544</v>
      </c>
      <c r="B130" s="81" t="s">
        <v>28671</v>
      </c>
      <c r="C130" s="81" t="s">
        <v>46</v>
      </c>
      <c r="D130" s="81" t="s">
        <v>92</v>
      </c>
      <c r="E130" s="81" t="s">
        <v>94</v>
      </c>
      <c r="F130" s="81" t="s">
        <v>91</v>
      </c>
      <c r="G130" s="81" t="s">
        <v>28706</v>
      </c>
      <c r="H130" s="81" t="s">
        <v>28715</v>
      </c>
      <c r="I130" s="81" t="s">
        <v>28716</v>
      </c>
      <c r="J130" s="84" t="s">
        <v>26452</v>
      </c>
      <c r="L130" s="81" t="s">
        <v>25607</v>
      </c>
      <c r="M130" s="81" t="s">
        <v>12</v>
      </c>
      <c r="N130" s="81">
        <v>832</v>
      </c>
      <c r="Q130" s="80"/>
      <c r="R130" s="146"/>
      <c r="S130" s="103" t="str">
        <f t="shared" si="1"/>
        <v>42-624-00-</v>
      </c>
      <c r="V130" s="81">
        <v>2</v>
      </c>
    </row>
    <row r="131" spans="1:22" ht="15" customHeight="1" x14ac:dyDescent="0.2">
      <c r="A131" s="81" t="s">
        <v>28545</v>
      </c>
      <c r="B131" s="81" t="s">
        <v>28672</v>
      </c>
      <c r="C131" s="81" t="s">
        <v>46</v>
      </c>
      <c r="D131" s="81" t="s">
        <v>92</v>
      </c>
      <c r="E131" s="81" t="s">
        <v>94</v>
      </c>
      <c r="F131" s="81" t="s">
        <v>91</v>
      </c>
      <c r="G131" s="81" t="s">
        <v>28706</v>
      </c>
      <c r="H131" s="81" t="s">
        <v>28736</v>
      </c>
      <c r="I131" s="81" t="s">
        <v>25378</v>
      </c>
      <c r="J131" s="84" t="s">
        <v>28744</v>
      </c>
      <c r="K131" s="81" t="s">
        <v>25687</v>
      </c>
      <c r="L131" s="81" t="s">
        <v>25607</v>
      </c>
      <c r="M131" s="81" t="s">
        <v>12</v>
      </c>
      <c r="N131" s="81">
        <v>832</v>
      </c>
      <c r="Q131" s="80"/>
      <c r="R131" s="146"/>
      <c r="S131" s="103" t="str">
        <f t="shared" ref="S131:S170" si="2">A131&amp;"-"&amp;T131</f>
        <v>91-710-00-</v>
      </c>
      <c r="V131" s="81">
        <v>2</v>
      </c>
    </row>
    <row r="132" spans="1:22" ht="15" customHeight="1" x14ac:dyDescent="0.2">
      <c r="A132" s="81" t="s">
        <v>28546</v>
      </c>
      <c r="B132" s="81" t="s">
        <v>28673</v>
      </c>
      <c r="C132" s="81" t="s">
        <v>46</v>
      </c>
      <c r="D132" s="81" t="s">
        <v>92</v>
      </c>
      <c r="E132" s="81" t="s">
        <v>94</v>
      </c>
      <c r="F132" s="81" t="s">
        <v>91</v>
      </c>
      <c r="G132" s="81" t="s">
        <v>28706</v>
      </c>
      <c r="H132" s="81" t="s">
        <v>28711</v>
      </c>
      <c r="I132" s="81" t="s">
        <v>1</v>
      </c>
      <c r="J132" s="84" t="s">
        <v>28744</v>
      </c>
      <c r="K132" s="81" t="s">
        <v>25687</v>
      </c>
      <c r="L132" s="81" t="s">
        <v>25607</v>
      </c>
      <c r="M132" s="81" t="s">
        <v>12</v>
      </c>
      <c r="N132" s="81">
        <v>832</v>
      </c>
      <c r="Q132" s="80"/>
      <c r="R132" s="146"/>
      <c r="S132" s="103" t="str">
        <f t="shared" si="2"/>
        <v>91-711-09-</v>
      </c>
      <c r="V132" s="81">
        <v>2</v>
      </c>
    </row>
    <row r="133" spans="1:22" ht="15" customHeight="1" x14ac:dyDescent="0.2">
      <c r="A133" s="81" t="s">
        <v>28547</v>
      </c>
      <c r="B133" s="81" t="s">
        <v>28673</v>
      </c>
      <c r="C133" s="81" t="s">
        <v>46</v>
      </c>
      <c r="D133" s="81" t="s">
        <v>92</v>
      </c>
      <c r="E133" s="81" t="s">
        <v>94</v>
      </c>
      <c r="F133" s="81" t="s">
        <v>91</v>
      </c>
      <c r="G133" s="81" t="s">
        <v>28706</v>
      </c>
      <c r="H133" s="81" t="s">
        <v>28707</v>
      </c>
      <c r="I133" s="81" t="s">
        <v>171</v>
      </c>
      <c r="J133" s="84" t="s">
        <v>28744</v>
      </c>
      <c r="K133" s="81" t="s">
        <v>25687</v>
      </c>
      <c r="L133" s="81" t="s">
        <v>25607</v>
      </c>
      <c r="M133" s="81" t="s">
        <v>12</v>
      </c>
      <c r="N133" s="81">
        <v>832</v>
      </c>
      <c r="Q133" s="80"/>
      <c r="R133" s="146"/>
      <c r="S133" s="103" t="str">
        <f t="shared" si="2"/>
        <v>91-711-72-</v>
      </c>
      <c r="V133" s="81">
        <v>2</v>
      </c>
    </row>
    <row r="134" spans="1:22" ht="15" customHeight="1" x14ac:dyDescent="0.2">
      <c r="A134" s="81" t="s">
        <v>28548</v>
      </c>
      <c r="B134" s="81" t="s">
        <v>28643</v>
      </c>
      <c r="C134" s="81" t="s">
        <v>46</v>
      </c>
      <c r="D134" s="81" t="s">
        <v>92</v>
      </c>
      <c r="E134" s="81" t="s">
        <v>94</v>
      </c>
      <c r="F134" s="81" t="s">
        <v>91</v>
      </c>
      <c r="G134" s="81" t="s">
        <v>28706</v>
      </c>
      <c r="H134" s="81" t="s">
        <v>28707</v>
      </c>
      <c r="I134" s="81" t="s">
        <v>171</v>
      </c>
      <c r="J134" s="84" t="s">
        <v>28744</v>
      </c>
      <c r="K134" s="81" t="s">
        <v>25687</v>
      </c>
      <c r="L134" s="81" t="s">
        <v>25607</v>
      </c>
      <c r="M134" s="81" t="s">
        <v>12</v>
      </c>
      <c r="N134" s="81">
        <v>832</v>
      </c>
      <c r="Q134" s="80"/>
      <c r="R134" s="146"/>
      <c r="S134" s="103" t="str">
        <f t="shared" si="2"/>
        <v>91-687-72-</v>
      </c>
      <c r="V134" s="81">
        <v>2</v>
      </c>
    </row>
    <row r="135" spans="1:22" ht="15" customHeight="1" x14ac:dyDescent="0.2">
      <c r="A135" s="81" t="s">
        <v>28549</v>
      </c>
      <c r="B135" s="81" t="s">
        <v>28674</v>
      </c>
      <c r="C135" s="81" t="s">
        <v>46</v>
      </c>
      <c r="D135" s="81" t="s">
        <v>92</v>
      </c>
      <c r="E135" s="81" t="s">
        <v>94</v>
      </c>
      <c r="F135" s="81" t="s">
        <v>91</v>
      </c>
      <c r="G135" s="81" t="s">
        <v>28706</v>
      </c>
      <c r="H135" s="81" t="s">
        <v>28727</v>
      </c>
      <c r="I135" s="81" t="s">
        <v>22</v>
      </c>
      <c r="J135" s="84" t="s">
        <v>28744</v>
      </c>
      <c r="K135" s="81" t="s">
        <v>25687</v>
      </c>
      <c r="L135" s="81" t="s">
        <v>25607</v>
      </c>
      <c r="M135" s="81" t="s">
        <v>12</v>
      </c>
      <c r="N135" s="81">
        <v>832</v>
      </c>
      <c r="Q135" s="80"/>
      <c r="R135" s="146"/>
      <c r="S135" s="103" t="str">
        <f t="shared" si="2"/>
        <v>91-712-14-</v>
      </c>
      <c r="V135" s="81">
        <v>2</v>
      </c>
    </row>
    <row r="136" spans="1:22" ht="15" customHeight="1" x14ac:dyDescent="0.2">
      <c r="A136" s="81" t="s">
        <v>28550</v>
      </c>
      <c r="B136" s="81" t="s">
        <v>28675</v>
      </c>
      <c r="C136" s="81" t="s">
        <v>46</v>
      </c>
      <c r="D136" s="81" t="s">
        <v>92</v>
      </c>
      <c r="E136" s="81" t="s">
        <v>94</v>
      </c>
      <c r="F136" s="81" t="s">
        <v>91</v>
      </c>
      <c r="G136" s="81" t="s">
        <v>28706</v>
      </c>
      <c r="H136" s="81" t="s">
        <v>28727</v>
      </c>
      <c r="I136" s="81" t="s">
        <v>22</v>
      </c>
      <c r="J136" s="84" t="s">
        <v>28744</v>
      </c>
      <c r="K136" s="81" t="s">
        <v>25687</v>
      </c>
      <c r="L136" s="81" t="s">
        <v>25607</v>
      </c>
      <c r="M136" s="81" t="s">
        <v>12</v>
      </c>
      <c r="N136" s="81">
        <v>832</v>
      </c>
      <c r="Q136" s="80"/>
      <c r="R136" s="146"/>
      <c r="S136" s="103" t="str">
        <f t="shared" si="2"/>
        <v>91-713-14-</v>
      </c>
      <c r="V136" s="81">
        <v>2</v>
      </c>
    </row>
    <row r="137" spans="1:22" ht="15" customHeight="1" x14ac:dyDescent="0.2">
      <c r="A137" s="81" t="s">
        <v>28551</v>
      </c>
      <c r="B137" s="81" t="s">
        <v>28638</v>
      </c>
      <c r="C137" s="81" t="s">
        <v>46</v>
      </c>
      <c r="D137" s="81" t="s">
        <v>92</v>
      </c>
      <c r="E137" s="81" t="s">
        <v>94</v>
      </c>
      <c r="F137" s="81" t="s">
        <v>91</v>
      </c>
      <c r="G137" s="81" t="s">
        <v>28706</v>
      </c>
      <c r="H137" s="81" t="s">
        <v>28715</v>
      </c>
      <c r="I137" s="81" t="s">
        <v>104</v>
      </c>
      <c r="J137" s="84" t="s">
        <v>28744</v>
      </c>
      <c r="K137" s="81" t="s">
        <v>25687</v>
      </c>
      <c r="L137" s="81" t="s">
        <v>25607</v>
      </c>
      <c r="M137" s="81" t="s">
        <v>12</v>
      </c>
      <c r="N137" s="81">
        <v>832</v>
      </c>
      <c r="Q137" s="80"/>
      <c r="R137" s="146"/>
      <c r="S137" s="103" t="str">
        <f t="shared" si="2"/>
        <v>91-682-00-</v>
      </c>
      <c r="V137" s="81">
        <v>2</v>
      </c>
    </row>
    <row r="138" spans="1:22" ht="15" customHeight="1" x14ac:dyDescent="0.2">
      <c r="A138" s="81" t="s">
        <v>28552</v>
      </c>
      <c r="B138" s="81" t="s">
        <v>28676</v>
      </c>
      <c r="C138" s="81" t="s">
        <v>46</v>
      </c>
      <c r="D138" s="81" t="s">
        <v>92</v>
      </c>
      <c r="E138" s="81" t="s">
        <v>94</v>
      </c>
      <c r="F138" s="81" t="s">
        <v>91</v>
      </c>
      <c r="G138" s="81" t="s">
        <v>28706</v>
      </c>
      <c r="H138" s="81" t="s">
        <v>28711</v>
      </c>
      <c r="I138" s="81" t="s">
        <v>1</v>
      </c>
      <c r="J138" s="84" t="s">
        <v>28744</v>
      </c>
      <c r="K138" s="81" t="s">
        <v>25687</v>
      </c>
      <c r="L138" s="81" t="s">
        <v>25607</v>
      </c>
      <c r="M138" s="81" t="s">
        <v>12</v>
      </c>
      <c r="N138" s="81">
        <v>832</v>
      </c>
      <c r="Q138" s="80"/>
      <c r="R138" s="146"/>
      <c r="S138" s="103" t="str">
        <f t="shared" si="2"/>
        <v>91-714-09-</v>
      </c>
      <c r="V138" s="81">
        <v>2</v>
      </c>
    </row>
    <row r="139" spans="1:22" ht="15" customHeight="1" x14ac:dyDescent="0.2">
      <c r="A139" s="81" t="s">
        <v>28553</v>
      </c>
      <c r="B139" s="81" t="s">
        <v>28677</v>
      </c>
      <c r="C139" s="81" t="s">
        <v>46</v>
      </c>
      <c r="D139" s="81" t="s">
        <v>92</v>
      </c>
      <c r="E139" s="81" t="s">
        <v>94</v>
      </c>
      <c r="F139" s="81" t="s">
        <v>91</v>
      </c>
      <c r="G139" s="81" t="s">
        <v>28706</v>
      </c>
      <c r="H139" s="81" t="s">
        <v>28711</v>
      </c>
      <c r="I139" s="81" t="s">
        <v>1</v>
      </c>
      <c r="J139" s="84" t="s">
        <v>28744</v>
      </c>
      <c r="K139" s="81" t="s">
        <v>25687</v>
      </c>
      <c r="L139" s="81" t="s">
        <v>25607</v>
      </c>
      <c r="M139" s="81" t="s">
        <v>12</v>
      </c>
      <c r="N139" s="81">
        <v>832</v>
      </c>
      <c r="Q139" s="80"/>
      <c r="R139" s="146"/>
      <c r="S139" s="103" t="str">
        <f t="shared" si="2"/>
        <v>91-715-09-</v>
      </c>
      <c r="V139" s="81">
        <v>2</v>
      </c>
    </row>
    <row r="140" spans="1:22" ht="15" customHeight="1" x14ac:dyDescent="0.2">
      <c r="A140" s="81" t="s">
        <v>28554</v>
      </c>
      <c r="B140" s="81" t="s">
        <v>28678</v>
      </c>
      <c r="C140" s="81" t="s">
        <v>46</v>
      </c>
      <c r="D140" s="81" t="s">
        <v>92</v>
      </c>
      <c r="E140" s="81" t="s">
        <v>94</v>
      </c>
      <c r="F140" s="81" t="s">
        <v>91</v>
      </c>
      <c r="G140" s="81" t="s">
        <v>28706</v>
      </c>
      <c r="H140" s="81" t="s">
        <v>28711</v>
      </c>
      <c r="I140" s="81" t="s">
        <v>25535</v>
      </c>
      <c r="J140" s="84" t="s">
        <v>28744</v>
      </c>
      <c r="K140" s="81" t="s">
        <v>25687</v>
      </c>
      <c r="L140" s="81" t="s">
        <v>25607</v>
      </c>
      <c r="M140" s="81" t="s">
        <v>12</v>
      </c>
      <c r="N140" s="81">
        <v>832</v>
      </c>
      <c r="Q140" s="80"/>
      <c r="R140" s="146"/>
      <c r="S140" s="103" t="str">
        <f t="shared" si="2"/>
        <v>91-716-53-</v>
      </c>
      <c r="V140" s="81">
        <v>2</v>
      </c>
    </row>
    <row r="141" spans="1:22" ht="15" customHeight="1" x14ac:dyDescent="0.2">
      <c r="A141" s="81" t="s">
        <v>28555</v>
      </c>
      <c r="B141" s="81" t="s">
        <v>28679</v>
      </c>
      <c r="C141" s="81" t="s">
        <v>46</v>
      </c>
      <c r="D141" s="81" t="s">
        <v>92</v>
      </c>
      <c r="E141" s="81" t="s">
        <v>94</v>
      </c>
      <c r="F141" s="81" t="s">
        <v>91</v>
      </c>
      <c r="G141" s="81" t="s">
        <v>28706</v>
      </c>
      <c r="H141" s="81" t="s">
        <v>28736</v>
      </c>
      <c r="I141" s="81" t="s">
        <v>25378</v>
      </c>
      <c r="J141" s="84" t="s">
        <v>28744</v>
      </c>
      <c r="K141" s="81" t="s">
        <v>25687</v>
      </c>
      <c r="L141" s="81" t="s">
        <v>25607</v>
      </c>
      <c r="M141" s="81" t="s">
        <v>12</v>
      </c>
      <c r="N141" s="81">
        <v>832</v>
      </c>
      <c r="Q141" s="80"/>
      <c r="R141" s="146"/>
      <c r="S141" s="103" t="str">
        <f t="shared" si="2"/>
        <v>91-717-00-</v>
      </c>
      <c r="V141" s="81">
        <v>2</v>
      </c>
    </row>
    <row r="142" spans="1:22" ht="15" customHeight="1" x14ac:dyDescent="0.2">
      <c r="A142" s="81" t="s">
        <v>227</v>
      </c>
      <c r="B142" s="81" t="s">
        <v>28680</v>
      </c>
      <c r="C142" s="81" t="s">
        <v>49</v>
      </c>
      <c r="D142" s="81" t="s">
        <v>212</v>
      </c>
      <c r="E142" s="81" t="s">
        <v>94</v>
      </c>
      <c r="F142" s="81" t="s">
        <v>26651</v>
      </c>
      <c r="G142" s="81" t="s">
        <v>28706</v>
      </c>
      <c r="H142" s="81" t="s">
        <v>28711</v>
      </c>
      <c r="I142" s="81" t="s">
        <v>1</v>
      </c>
      <c r="J142" s="84" t="s">
        <v>213</v>
      </c>
      <c r="K142" s="81" t="s">
        <v>25678</v>
      </c>
      <c r="L142" s="81" t="s">
        <v>25607</v>
      </c>
      <c r="M142" s="81" t="s">
        <v>12</v>
      </c>
      <c r="N142" s="81">
        <v>832</v>
      </c>
      <c r="Q142" s="80" t="s">
        <v>1</v>
      </c>
      <c r="R142" s="146"/>
      <c r="S142" s="103" t="str">
        <f t="shared" si="2"/>
        <v>91-589-09-</v>
      </c>
      <c r="V142" s="81">
        <v>2</v>
      </c>
    </row>
    <row r="143" spans="1:22" ht="15" customHeight="1" x14ac:dyDescent="0.2">
      <c r="A143" s="81" t="s">
        <v>28556</v>
      </c>
      <c r="B143" s="81" t="s">
        <v>28680</v>
      </c>
      <c r="C143" s="81" t="s">
        <v>49</v>
      </c>
      <c r="D143" s="81" t="s">
        <v>212</v>
      </c>
      <c r="E143" s="81" t="s">
        <v>94</v>
      </c>
      <c r="F143" s="81" t="s">
        <v>26651</v>
      </c>
      <c r="G143" s="81" t="s">
        <v>28706</v>
      </c>
      <c r="H143" s="81" t="s">
        <v>28722</v>
      </c>
      <c r="I143" s="81" t="s">
        <v>25412</v>
      </c>
      <c r="J143" s="84" t="s">
        <v>213</v>
      </c>
      <c r="K143" s="81" t="s">
        <v>25678</v>
      </c>
      <c r="L143" s="81" t="s">
        <v>25607</v>
      </c>
      <c r="M143" s="81" t="s">
        <v>12</v>
      </c>
      <c r="N143" s="81">
        <v>832</v>
      </c>
      <c r="Q143" s="80"/>
      <c r="R143" s="146"/>
      <c r="S143" s="103" t="str">
        <f t="shared" si="2"/>
        <v>91-589-34-</v>
      </c>
      <c r="V143" s="81">
        <v>2</v>
      </c>
    </row>
    <row r="144" spans="1:22" ht="15" customHeight="1" x14ac:dyDescent="0.2">
      <c r="A144" s="81" t="s">
        <v>28557</v>
      </c>
      <c r="B144" s="81" t="s">
        <v>28681</v>
      </c>
      <c r="C144" s="81" t="s">
        <v>49</v>
      </c>
      <c r="D144" s="81" t="s">
        <v>212</v>
      </c>
      <c r="E144" s="81" t="s">
        <v>94</v>
      </c>
      <c r="F144" s="81" t="s">
        <v>26651</v>
      </c>
      <c r="G144" s="81" t="s">
        <v>28706</v>
      </c>
      <c r="H144" s="81" t="s">
        <v>28733</v>
      </c>
      <c r="I144" s="81" t="s">
        <v>194</v>
      </c>
      <c r="J144" s="84" t="s">
        <v>213</v>
      </c>
      <c r="K144" s="81" t="s">
        <v>25678</v>
      </c>
      <c r="L144" s="81" t="s">
        <v>25607</v>
      </c>
      <c r="M144" s="81" t="s">
        <v>12</v>
      </c>
      <c r="N144" s="81">
        <v>832</v>
      </c>
      <c r="Q144" s="80"/>
      <c r="R144" s="146"/>
      <c r="S144" s="103" t="str">
        <f t="shared" si="2"/>
        <v>91-594-36-</v>
      </c>
      <c r="V144" s="81">
        <v>2</v>
      </c>
    </row>
    <row r="145" spans="1:22" ht="15" customHeight="1" x14ac:dyDescent="0.2">
      <c r="A145" s="81" t="s">
        <v>28558</v>
      </c>
      <c r="B145" s="81" t="s">
        <v>28681</v>
      </c>
      <c r="C145" s="81" t="s">
        <v>49</v>
      </c>
      <c r="D145" s="81" t="s">
        <v>212</v>
      </c>
      <c r="E145" s="81" t="s">
        <v>94</v>
      </c>
      <c r="F145" s="81" t="s">
        <v>26651</v>
      </c>
      <c r="G145" s="81" t="s">
        <v>28706</v>
      </c>
      <c r="H145" s="81" t="s">
        <v>28722</v>
      </c>
      <c r="I145" s="81" t="s">
        <v>25412</v>
      </c>
      <c r="J145" s="84" t="s">
        <v>213</v>
      </c>
      <c r="K145" s="81" t="s">
        <v>25678</v>
      </c>
      <c r="L145" s="81" t="s">
        <v>25607</v>
      </c>
      <c r="M145" s="81" t="s">
        <v>12</v>
      </c>
      <c r="N145" s="81">
        <v>832</v>
      </c>
      <c r="Q145" s="80"/>
      <c r="R145" s="146"/>
      <c r="S145" s="103" t="str">
        <f t="shared" si="2"/>
        <v>91-594-34-</v>
      </c>
      <c r="V145" s="81">
        <v>2</v>
      </c>
    </row>
    <row r="146" spans="1:22" ht="15" customHeight="1" x14ac:dyDescent="0.2">
      <c r="A146" s="81" t="s">
        <v>28559</v>
      </c>
      <c r="B146" s="81" t="s">
        <v>28682</v>
      </c>
      <c r="C146" s="81" t="s">
        <v>49</v>
      </c>
      <c r="D146" s="81" t="s">
        <v>212</v>
      </c>
      <c r="E146" s="81" t="s">
        <v>94</v>
      </c>
      <c r="F146" s="81" t="s">
        <v>26651</v>
      </c>
      <c r="G146" s="81" t="s">
        <v>28706</v>
      </c>
      <c r="H146" s="81" t="s">
        <v>28734</v>
      </c>
      <c r="I146" s="81" t="s">
        <v>22</v>
      </c>
      <c r="J146" s="84" t="s">
        <v>28745</v>
      </c>
      <c r="K146" s="81" t="s">
        <v>25678</v>
      </c>
      <c r="L146" s="81" t="s">
        <v>25607</v>
      </c>
      <c r="M146" s="81" t="s">
        <v>12</v>
      </c>
      <c r="N146" s="81">
        <v>832</v>
      </c>
      <c r="Q146" s="80"/>
      <c r="R146" s="146"/>
      <c r="S146" s="103" t="str">
        <f t="shared" si="2"/>
        <v>91-718-14-</v>
      </c>
      <c r="V146" s="81">
        <v>2</v>
      </c>
    </row>
    <row r="147" spans="1:22" ht="15" customHeight="1" x14ac:dyDescent="0.2">
      <c r="A147" s="81" t="s">
        <v>28560</v>
      </c>
      <c r="B147" s="81" t="s">
        <v>28682</v>
      </c>
      <c r="C147" s="81" t="s">
        <v>49</v>
      </c>
      <c r="D147" s="81" t="s">
        <v>212</v>
      </c>
      <c r="E147" s="81" t="s">
        <v>94</v>
      </c>
      <c r="F147" s="81" t="s">
        <v>26651</v>
      </c>
      <c r="G147" s="81" t="s">
        <v>28706</v>
      </c>
      <c r="H147" s="81" t="s">
        <v>28711</v>
      </c>
      <c r="I147" s="81" t="s">
        <v>1</v>
      </c>
      <c r="J147" s="84" t="s">
        <v>28745</v>
      </c>
      <c r="K147" s="81" t="s">
        <v>25678</v>
      </c>
      <c r="L147" s="81" t="s">
        <v>25607</v>
      </c>
      <c r="M147" s="81" t="s">
        <v>12</v>
      </c>
      <c r="N147" s="81">
        <v>832</v>
      </c>
      <c r="Q147" s="80"/>
      <c r="R147" s="146"/>
      <c r="S147" s="103" t="str">
        <f t="shared" si="2"/>
        <v>91-718-09-</v>
      </c>
      <c r="V147" s="81">
        <v>2</v>
      </c>
    </row>
    <row r="148" spans="1:22" ht="15" customHeight="1" x14ac:dyDescent="0.2">
      <c r="A148" s="81" t="s">
        <v>28561</v>
      </c>
      <c r="B148" s="81" t="s">
        <v>28683</v>
      </c>
      <c r="C148" s="81" t="s">
        <v>49</v>
      </c>
      <c r="D148" s="81" t="s">
        <v>212</v>
      </c>
      <c r="E148" s="81" t="s">
        <v>94</v>
      </c>
      <c r="F148" s="81" t="s">
        <v>26651</v>
      </c>
      <c r="G148" s="81" t="s">
        <v>28706</v>
      </c>
      <c r="H148" s="81" t="s">
        <v>28711</v>
      </c>
      <c r="I148" s="81" t="s">
        <v>1</v>
      </c>
      <c r="J148" s="84" t="s">
        <v>28745</v>
      </c>
      <c r="K148" s="81" t="s">
        <v>25678</v>
      </c>
      <c r="L148" s="81" t="s">
        <v>25607</v>
      </c>
      <c r="M148" s="81" t="s">
        <v>12</v>
      </c>
      <c r="N148" s="81">
        <v>832</v>
      </c>
      <c r="Q148" s="80"/>
      <c r="R148" s="146"/>
      <c r="S148" s="103" t="str">
        <f t="shared" si="2"/>
        <v>91-719-09-</v>
      </c>
      <c r="V148" s="81">
        <v>2</v>
      </c>
    </row>
    <row r="149" spans="1:22" ht="15" customHeight="1" x14ac:dyDescent="0.2">
      <c r="A149" s="81" t="s">
        <v>237</v>
      </c>
      <c r="B149" s="81" t="s">
        <v>28684</v>
      </c>
      <c r="C149" s="81" t="s">
        <v>49</v>
      </c>
      <c r="D149" s="81" t="s">
        <v>212</v>
      </c>
      <c r="E149" s="81" t="s">
        <v>94</v>
      </c>
      <c r="F149" s="81" t="s">
        <v>26651</v>
      </c>
      <c r="G149" s="81" t="s">
        <v>28706</v>
      </c>
      <c r="H149" s="81" t="s">
        <v>28711</v>
      </c>
      <c r="I149" s="81" t="s">
        <v>1</v>
      </c>
      <c r="J149" s="84" t="s">
        <v>213</v>
      </c>
      <c r="K149" s="81" t="s">
        <v>25678</v>
      </c>
      <c r="L149" s="81" t="s">
        <v>25607</v>
      </c>
      <c r="M149" s="81" t="s">
        <v>12</v>
      </c>
      <c r="N149" s="81">
        <v>832</v>
      </c>
      <c r="Q149" s="80" t="s">
        <v>1</v>
      </c>
      <c r="R149" s="146"/>
      <c r="S149" s="103" t="str">
        <f t="shared" si="2"/>
        <v>91-595-09-</v>
      </c>
      <c r="V149" s="81">
        <v>2</v>
      </c>
    </row>
    <row r="150" spans="1:22" ht="15" customHeight="1" x14ac:dyDescent="0.2">
      <c r="A150" s="81" t="s">
        <v>28562</v>
      </c>
      <c r="B150" s="81" t="s">
        <v>28685</v>
      </c>
      <c r="C150" s="81" t="s">
        <v>49</v>
      </c>
      <c r="D150" s="81" t="s">
        <v>212</v>
      </c>
      <c r="E150" s="81" t="s">
        <v>94</v>
      </c>
      <c r="F150" s="81" t="s">
        <v>26651</v>
      </c>
      <c r="G150" s="81" t="s">
        <v>28706</v>
      </c>
      <c r="H150" s="81" t="s">
        <v>28711</v>
      </c>
      <c r="I150" s="81" t="s">
        <v>1</v>
      </c>
      <c r="J150" s="84" t="s">
        <v>28745</v>
      </c>
      <c r="K150" s="81" t="s">
        <v>25678</v>
      </c>
      <c r="L150" s="81" t="s">
        <v>25607</v>
      </c>
      <c r="M150" s="81" t="s">
        <v>12</v>
      </c>
      <c r="N150" s="81">
        <v>832</v>
      </c>
      <c r="Q150" s="80"/>
      <c r="R150" s="146"/>
      <c r="S150" s="103" t="str">
        <f t="shared" si="2"/>
        <v>91-720-09-</v>
      </c>
      <c r="V150" s="81">
        <v>2</v>
      </c>
    </row>
    <row r="151" spans="1:22" ht="15" customHeight="1" x14ac:dyDescent="0.2">
      <c r="A151" s="81" t="s">
        <v>28563</v>
      </c>
      <c r="B151" s="81" t="s">
        <v>28686</v>
      </c>
      <c r="C151" s="81" t="s">
        <v>49</v>
      </c>
      <c r="D151" s="81" t="s">
        <v>212</v>
      </c>
      <c r="E151" s="81" t="s">
        <v>94</v>
      </c>
      <c r="F151" s="81" t="s">
        <v>26651</v>
      </c>
      <c r="G151" s="81" t="s">
        <v>28706</v>
      </c>
      <c r="H151" s="81" t="s">
        <v>28711</v>
      </c>
      <c r="I151" s="81" t="s">
        <v>1</v>
      </c>
      <c r="J151" s="84" t="s">
        <v>28745</v>
      </c>
      <c r="K151" s="81" t="s">
        <v>25678</v>
      </c>
      <c r="L151" s="81" t="s">
        <v>25607</v>
      </c>
      <c r="M151" s="81" t="s">
        <v>12</v>
      </c>
      <c r="N151" s="81">
        <v>832</v>
      </c>
      <c r="Q151" s="80"/>
      <c r="R151" s="146"/>
      <c r="S151" s="103" t="str">
        <f t="shared" si="2"/>
        <v>91-721-09-</v>
      </c>
      <c r="V151" s="81">
        <v>2</v>
      </c>
    </row>
    <row r="152" spans="1:22" ht="15" customHeight="1" x14ac:dyDescent="0.2">
      <c r="A152" s="81" t="s">
        <v>28564</v>
      </c>
      <c r="B152" s="81" t="s">
        <v>28687</v>
      </c>
      <c r="C152" s="81" t="s">
        <v>49</v>
      </c>
      <c r="D152" s="81" t="s">
        <v>212</v>
      </c>
      <c r="E152" s="81" t="s">
        <v>94</v>
      </c>
      <c r="F152" s="81" t="s">
        <v>26651</v>
      </c>
      <c r="G152" s="81" t="s">
        <v>28706</v>
      </c>
      <c r="H152" s="81" t="s">
        <v>28733</v>
      </c>
      <c r="I152" s="81" t="s">
        <v>194</v>
      </c>
      <c r="J152" s="84" t="s">
        <v>28745</v>
      </c>
      <c r="K152" s="81" t="s">
        <v>25678</v>
      </c>
      <c r="L152" s="81" t="s">
        <v>25607</v>
      </c>
      <c r="M152" s="81" t="s">
        <v>12</v>
      </c>
      <c r="N152" s="81">
        <v>832</v>
      </c>
      <c r="Q152" s="80"/>
      <c r="R152" s="146"/>
      <c r="S152" s="103" t="str">
        <f t="shared" si="2"/>
        <v>91-722-36-</v>
      </c>
      <c r="V152" s="81">
        <v>2</v>
      </c>
    </row>
    <row r="153" spans="1:22" ht="15" customHeight="1" x14ac:dyDescent="0.2">
      <c r="A153" s="81" t="s">
        <v>218</v>
      </c>
      <c r="B153" s="81" t="s">
        <v>28688</v>
      </c>
      <c r="C153" s="81" t="s">
        <v>49</v>
      </c>
      <c r="D153" s="81" t="s">
        <v>212</v>
      </c>
      <c r="E153" s="81" t="s">
        <v>94</v>
      </c>
      <c r="F153" s="81" t="s">
        <v>26651</v>
      </c>
      <c r="G153" s="81" t="s">
        <v>28706</v>
      </c>
      <c r="H153" s="81" t="s">
        <v>28709</v>
      </c>
      <c r="I153" s="81" t="s">
        <v>23</v>
      </c>
      <c r="J153" s="84" t="s">
        <v>213</v>
      </c>
      <c r="K153" s="81" t="s">
        <v>25678</v>
      </c>
      <c r="L153" s="81" t="s">
        <v>25607</v>
      </c>
      <c r="M153" s="81" t="s">
        <v>12</v>
      </c>
      <c r="N153" s="81">
        <v>832</v>
      </c>
      <c r="Q153" s="80"/>
      <c r="R153" s="146"/>
      <c r="S153" s="103" t="str">
        <f t="shared" si="2"/>
        <v>91-422-16-</v>
      </c>
      <c r="V153" s="81">
        <v>2</v>
      </c>
    </row>
    <row r="154" spans="1:22" ht="15" customHeight="1" x14ac:dyDescent="0.2">
      <c r="A154" s="81" t="s">
        <v>28565</v>
      </c>
      <c r="B154" s="81" t="s">
        <v>28689</v>
      </c>
      <c r="C154" s="81" t="s">
        <v>49</v>
      </c>
      <c r="D154" s="81" t="s">
        <v>212</v>
      </c>
      <c r="E154" s="81" t="s">
        <v>94</v>
      </c>
      <c r="F154" s="81" t="s">
        <v>26651</v>
      </c>
      <c r="G154" s="81" t="s">
        <v>28706</v>
      </c>
      <c r="H154" s="81" t="s">
        <v>28722</v>
      </c>
      <c r="I154" s="81" t="s">
        <v>25412</v>
      </c>
      <c r="J154" s="84" t="s">
        <v>28745</v>
      </c>
      <c r="K154" s="81" t="s">
        <v>25678</v>
      </c>
      <c r="L154" s="81" t="s">
        <v>25607</v>
      </c>
      <c r="M154" s="81" t="s">
        <v>12</v>
      </c>
      <c r="N154" s="81">
        <v>832</v>
      </c>
      <c r="Q154" s="80"/>
      <c r="R154" s="146"/>
      <c r="S154" s="103" t="str">
        <f t="shared" si="2"/>
        <v>91-723-34-</v>
      </c>
      <c r="V154" s="81">
        <v>2</v>
      </c>
    </row>
    <row r="155" spans="1:22" ht="15" customHeight="1" x14ac:dyDescent="0.2">
      <c r="A155" s="81" t="s">
        <v>28566</v>
      </c>
      <c r="B155" s="81" t="s">
        <v>28690</v>
      </c>
      <c r="C155" s="81" t="s">
        <v>49</v>
      </c>
      <c r="D155" s="81" t="s">
        <v>212</v>
      </c>
      <c r="E155" s="81" t="s">
        <v>94</v>
      </c>
      <c r="F155" s="81" t="s">
        <v>26651</v>
      </c>
      <c r="G155" s="81" t="s">
        <v>28706</v>
      </c>
      <c r="H155" s="81" t="s">
        <v>28737</v>
      </c>
      <c r="I155" s="81" t="s">
        <v>35</v>
      </c>
      <c r="J155" s="84" t="s">
        <v>28745</v>
      </c>
      <c r="K155" s="81" t="s">
        <v>25678</v>
      </c>
      <c r="L155" s="81" t="s">
        <v>25607</v>
      </c>
      <c r="M155" s="81" t="s">
        <v>12</v>
      </c>
      <c r="N155" s="81">
        <v>832</v>
      </c>
      <c r="Q155" s="80"/>
      <c r="R155" s="146"/>
      <c r="S155" s="103" t="str">
        <f t="shared" si="2"/>
        <v>91-724-07-</v>
      </c>
      <c r="V155" s="81">
        <v>2</v>
      </c>
    </row>
    <row r="156" spans="1:22" ht="15" customHeight="1" x14ac:dyDescent="0.2">
      <c r="A156" s="81" t="s">
        <v>28567</v>
      </c>
      <c r="B156" s="81" t="s">
        <v>28691</v>
      </c>
      <c r="C156" s="81" t="s">
        <v>49</v>
      </c>
      <c r="D156" s="81" t="s">
        <v>212</v>
      </c>
      <c r="E156" s="81" t="s">
        <v>94</v>
      </c>
      <c r="F156" s="81" t="s">
        <v>26651</v>
      </c>
      <c r="G156" s="81" t="s">
        <v>28706</v>
      </c>
      <c r="H156" s="81" t="s">
        <v>28738</v>
      </c>
      <c r="I156" s="81" t="s">
        <v>96</v>
      </c>
      <c r="J156" s="84" t="s">
        <v>28745</v>
      </c>
      <c r="K156" s="81" t="s">
        <v>25678</v>
      </c>
      <c r="L156" s="81" t="s">
        <v>25607</v>
      </c>
      <c r="M156" s="81" t="s">
        <v>12</v>
      </c>
      <c r="N156" s="81">
        <v>832</v>
      </c>
      <c r="Q156" s="80"/>
      <c r="R156" s="146"/>
      <c r="S156" s="103" t="str">
        <f t="shared" si="2"/>
        <v>91-725-12-</v>
      </c>
      <c r="V156" s="81">
        <v>2</v>
      </c>
    </row>
    <row r="157" spans="1:22" ht="15" customHeight="1" x14ac:dyDescent="0.2">
      <c r="A157" s="81" t="s">
        <v>28568</v>
      </c>
      <c r="B157" s="81" t="s">
        <v>28692</v>
      </c>
      <c r="C157" s="81" t="s">
        <v>49</v>
      </c>
      <c r="D157" s="81" t="s">
        <v>212</v>
      </c>
      <c r="E157" s="81" t="s">
        <v>94</v>
      </c>
      <c r="F157" s="81" t="s">
        <v>26651</v>
      </c>
      <c r="G157" s="81" t="s">
        <v>28706</v>
      </c>
      <c r="H157" s="81" t="s">
        <v>28734</v>
      </c>
      <c r="I157" s="81" t="s">
        <v>22</v>
      </c>
      <c r="J157" s="84" t="s">
        <v>28745</v>
      </c>
      <c r="K157" s="81" t="s">
        <v>25678</v>
      </c>
      <c r="L157" s="81" t="s">
        <v>25607</v>
      </c>
      <c r="M157" s="81" t="s">
        <v>12</v>
      </c>
      <c r="N157" s="81">
        <v>832</v>
      </c>
      <c r="Q157" s="80"/>
      <c r="R157" s="146"/>
      <c r="S157" s="103" t="str">
        <f t="shared" si="2"/>
        <v>91-726-14-</v>
      </c>
      <c r="V157" s="81">
        <v>2</v>
      </c>
    </row>
    <row r="158" spans="1:22" ht="15" customHeight="1" x14ac:dyDescent="0.2">
      <c r="A158" s="81" t="s">
        <v>28569</v>
      </c>
      <c r="B158" s="81" t="s">
        <v>28693</v>
      </c>
      <c r="C158" s="81" t="s">
        <v>49</v>
      </c>
      <c r="D158" s="81" t="s">
        <v>212</v>
      </c>
      <c r="E158" s="81" t="s">
        <v>94</v>
      </c>
      <c r="F158" s="81" t="s">
        <v>26651</v>
      </c>
      <c r="G158" s="81" t="s">
        <v>28706</v>
      </c>
      <c r="H158" s="81" t="s">
        <v>28739</v>
      </c>
      <c r="I158" s="81" t="s">
        <v>1</v>
      </c>
      <c r="J158" s="84" t="s">
        <v>28745</v>
      </c>
      <c r="K158" s="81" t="s">
        <v>25678</v>
      </c>
      <c r="L158" s="81" t="s">
        <v>25607</v>
      </c>
      <c r="M158" s="81" t="s">
        <v>12</v>
      </c>
      <c r="N158" s="81">
        <v>832</v>
      </c>
      <c r="Q158" s="80"/>
      <c r="R158" s="146"/>
      <c r="S158" s="103" t="str">
        <f t="shared" si="2"/>
        <v>91-727-09-</v>
      </c>
      <c r="V158" s="81">
        <v>2</v>
      </c>
    </row>
    <row r="159" spans="1:22" ht="15" customHeight="1" x14ac:dyDescent="0.2">
      <c r="A159" s="81" t="s">
        <v>28570</v>
      </c>
      <c r="B159" s="81" t="s">
        <v>28694</v>
      </c>
      <c r="C159" s="81" t="s">
        <v>46</v>
      </c>
      <c r="D159" s="81" t="s">
        <v>92</v>
      </c>
      <c r="E159" s="81" t="s">
        <v>94</v>
      </c>
      <c r="F159" s="81" t="s">
        <v>91</v>
      </c>
      <c r="G159" s="81" t="s">
        <v>28706</v>
      </c>
      <c r="H159" s="81" t="s">
        <v>28711</v>
      </c>
      <c r="I159" s="81" t="s">
        <v>1</v>
      </c>
      <c r="J159" s="84" t="s">
        <v>59</v>
      </c>
      <c r="L159" s="81" t="s">
        <v>25604</v>
      </c>
      <c r="M159" s="81" t="s">
        <v>12</v>
      </c>
      <c r="N159" s="81">
        <v>884</v>
      </c>
      <c r="Q159" s="80"/>
      <c r="R159" s="146"/>
      <c r="S159" s="103" t="str">
        <f t="shared" si="2"/>
        <v>91-728-09-</v>
      </c>
      <c r="V159" s="81">
        <v>2</v>
      </c>
    </row>
    <row r="160" spans="1:22" ht="15" customHeight="1" x14ac:dyDescent="0.2">
      <c r="A160" s="81" t="s">
        <v>28571</v>
      </c>
      <c r="B160" s="81" t="s">
        <v>28695</v>
      </c>
      <c r="C160" s="81" t="s">
        <v>46</v>
      </c>
      <c r="D160" s="81" t="s">
        <v>92</v>
      </c>
      <c r="E160" s="81" t="s">
        <v>94</v>
      </c>
      <c r="F160" s="81" t="s">
        <v>91</v>
      </c>
      <c r="G160" s="81" t="s">
        <v>28706</v>
      </c>
      <c r="H160" s="81" t="s">
        <v>28734</v>
      </c>
      <c r="I160" s="81" t="s">
        <v>52</v>
      </c>
      <c r="J160" s="84" t="s">
        <v>59</v>
      </c>
      <c r="L160" s="81" t="s">
        <v>25604</v>
      </c>
      <c r="M160" s="81" t="s">
        <v>12</v>
      </c>
      <c r="N160" s="81">
        <v>884</v>
      </c>
      <c r="Q160" s="80"/>
      <c r="R160" s="146"/>
      <c r="S160" s="103" t="str">
        <f t="shared" si="2"/>
        <v>91-729-02-</v>
      </c>
      <c r="V160" s="81">
        <v>2</v>
      </c>
    </row>
    <row r="161" spans="1:22" ht="15" customHeight="1" x14ac:dyDescent="0.2">
      <c r="A161" s="81" t="s">
        <v>28572</v>
      </c>
      <c r="B161" s="81" t="s">
        <v>28696</v>
      </c>
      <c r="C161" s="81" t="s">
        <v>46</v>
      </c>
      <c r="D161" s="81" t="s">
        <v>92</v>
      </c>
      <c r="E161" s="81" t="s">
        <v>94</v>
      </c>
      <c r="F161" s="81" t="s">
        <v>91</v>
      </c>
      <c r="G161" s="81" t="s">
        <v>28706</v>
      </c>
      <c r="H161" s="81" t="s">
        <v>28711</v>
      </c>
      <c r="I161" s="81" t="s">
        <v>1</v>
      </c>
      <c r="J161" s="84" t="s">
        <v>28744</v>
      </c>
      <c r="K161" s="81" t="s">
        <v>25687</v>
      </c>
      <c r="L161" s="81" t="s">
        <v>25604</v>
      </c>
      <c r="M161" s="81" t="s">
        <v>12</v>
      </c>
      <c r="N161" s="81">
        <v>717.6</v>
      </c>
      <c r="Q161" s="80"/>
      <c r="R161" s="146"/>
      <c r="S161" s="103" t="str">
        <f t="shared" si="2"/>
        <v>91-730-09-</v>
      </c>
      <c r="V161" s="81">
        <v>2</v>
      </c>
    </row>
    <row r="162" spans="1:22" ht="15" customHeight="1" x14ac:dyDescent="0.2">
      <c r="A162" s="81" t="s">
        <v>28573</v>
      </c>
      <c r="B162" s="81" t="s">
        <v>28697</v>
      </c>
      <c r="C162" s="81" t="s">
        <v>46</v>
      </c>
      <c r="D162" s="81" t="s">
        <v>92</v>
      </c>
      <c r="E162" s="81" t="s">
        <v>94</v>
      </c>
      <c r="F162" s="81" t="s">
        <v>91</v>
      </c>
      <c r="G162" s="81" t="s">
        <v>28706</v>
      </c>
      <c r="H162" s="81" t="s">
        <v>28709</v>
      </c>
      <c r="I162" s="81" t="s">
        <v>25516</v>
      </c>
      <c r="J162" s="84" t="s">
        <v>28744</v>
      </c>
      <c r="K162" s="81" t="s">
        <v>25687</v>
      </c>
      <c r="L162" s="81" t="s">
        <v>25604</v>
      </c>
      <c r="M162" s="81" t="s">
        <v>12</v>
      </c>
      <c r="N162" s="81">
        <v>717.6</v>
      </c>
      <c r="Q162" s="80"/>
      <c r="R162" s="146"/>
      <c r="S162" s="103" t="str">
        <f t="shared" si="2"/>
        <v>91-731-92-</v>
      </c>
      <c r="V162" s="81">
        <v>2</v>
      </c>
    </row>
    <row r="163" spans="1:22" ht="15" customHeight="1" x14ac:dyDescent="0.2">
      <c r="A163" s="81" t="s">
        <v>28574</v>
      </c>
      <c r="B163" s="81" t="s">
        <v>28698</v>
      </c>
      <c r="C163" s="81" t="s">
        <v>46</v>
      </c>
      <c r="D163" s="81" t="s">
        <v>92</v>
      </c>
      <c r="E163" s="81" t="s">
        <v>94</v>
      </c>
      <c r="F163" s="81" t="s">
        <v>91</v>
      </c>
      <c r="G163" s="81" t="s">
        <v>28706</v>
      </c>
      <c r="H163" s="81" t="s">
        <v>28711</v>
      </c>
      <c r="I163" s="81" t="s">
        <v>1</v>
      </c>
      <c r="J163" s="84" t="s">
        <v>28744</v>
      </c>
      <c r="K163" s="81" t="s">
        <v>25687</v>
      </c>
      <c r="L163" s="81" t="s">
        <v>25604</v>
      </c>
      <c r="M163" s="81" t="s">
        <v>12</v>
      </c>
      <c r="N163" s="81">
        <v>717.6</v>
      </c>
      <c r="Q163" s="80"/>
      <c r="R163" s="146"/>
      <c r="S163" s="103" t="str">
        <f t="shared" si="2"/>
        <v>91-732-09-</v>
      </c>
      <c r="V163" s="81">
        <v>2</v>
      </c>
    </row>
    <row r="164" spans="1:22" ht="15" customHeight="1" x14ac:dyDescent="0.2">
      <c r="A164" s="81" t="s">
        <v>28575</v>
      </c>
      <c r="B164" s="81" t="s">
        <v>28699</v>
      </c>
      <c r="C164" s="81" t="s">
        <v>46</v>
      </c>
      <c r="D164" s="81" t="s">
        <v>92</v>
      </c>
      <c r="E164" s="81" t="s">
        <v>94</v>
      </c>
      <c r="F164" s="81" t="s">
        <v>91</v>
      </c>
      <c r="G164" s="81" t="s">
        <v>28706</v>
      </c>
      <c r="H164" s="81" t="s">
        <v>28711</v>
      </c>
      <c r="I164" s="81" t="s">
        <v>1</v>
      </c>
      <c r="J164" s="84" t="s">
        <v>28744</v>
      </c>
      <c r="K164" s="81" t="s">
        <v>25687</v>
      </c>
      <c r="L164" s="81" t="s">
        <v>25604</v>
      </c>
      <c r="M164" s="81" t="s">
        <v>12</v>
      </c>
      <c r="N164" s="81">
        <v>717.6</v>
      </c>
      <c r="Q164" s="80"/>
      <c r="R164" s="146"/>
      <c r="S164" s="103" t="str">
        <f t="shared" si="2"/>
        <v>91-733-09-</v>
      </c>
      <c r="V164" s="81">
        <v>2</v>
      </c>
    </row>
    <row r="165" spans="1:22" ht="15" customHeight="1" x14ac:dyDescent="0.2">
      <c r="A165" s="81" t="s">
        <v>28576</v>
      </c>
      <c r="B165" s="81" t="s">
        <v>28700</v>
      </c>
      <c r="C165" s="81" t="s">
        <v>46</v>
      </c>
      <c r="D165" s="81" t="s">
        <v>92</v>
      </c>
      <c r="E165" s="81" t="s">
        <v>94</v>
      </c>
      <c r="F165" s="81" t="s">
        <v>91</v>
      </c>
      <c r="G165" s="81" t="s">
        <v>28706</v>
      </c>
      <c r="H165" s="81" t="s">
        <v>28707</v>
      </c>
      <c r="I165" s="81" t="s">
        <v>107</v>
      </c>
      <c r="J165" s="84" t="s">
        <v>28744</v>
      </c>
      <c r="K165" s="81" t="s">
        <v>25687</v>
      </c>
      <c r="L165" s="81" t="s">
        <v>25604</v>
      </c>
      <c r="M165" s="81" t="s">
        <v>12</v>
      </c>
      <c r="N165" s="81">
        <v>717.6</v>
      </c>
      <c r="Q165" s="80"/>
      <c r="R165" s="146"/>
      <c r="S165" s="103" t="str">
        <f t="shared" si="2"/>
        <v>91-734-48-</v>
      </c>
      <c r="V165" s="81">
        <v>2</v>
      </c>
    </row>
    <row r="166" spans="1:22" ht="15" customHeight="1" x14ac:dyDescent="0.2">
      <c r="A166" s="81" t="s">
        <v>28577</v>
      </c>
      <c r="B166" s="81" t="s">
        <v>28701</v>
      </c>
      <c r="C166" s="81" t="s">
        <v>46</v>
      </c>
      <c r="D166" s="81" t="s">
        <v>92</v>
      </c>
      <c r="E166" s="81" t="s">
        <v>94</v>
      </c>
      <c r="F166" s="81" t="s">
        <v>91</v>
      </c>
      <c r="G166" s="81" t="s">
        <v>28706</v>
      </c>
      <c r="H166" s="81" t="s">
        <v>28722</v>
      </c>
      <c r="I166" s="81" t="s">
        <v>25412</v>
      </c>
      <c r="J166" s="84" t="s">
        <v>28744</v>
      </c>
      <c r="K166" s="81" t="s">
        <v>25687</v>
      </c>
      <c r="L166" s="81" t="s">
        <v>25604</v>
      </c>
      <c r="M166" s="81" t="s">
        <v>12</v>
      </c>
      <c r="N166" s="81">
        <v>717.6</v>
      </c>
      <c r="Q166" s="80"/>
      <c r="R166" s="146"/>
      <c r="S166" s="103" t="str">
        <f t="shared" si="2"/>
        <v>91-735-34-</v>
      </c>
      <c r="V166" s="81">
        <v>2</v>
      </c>
    </row>
    <row r="167" spans="1:22" ht="15" customHeight="1" x14ac:dyDescent="0.2">
      <c r="A167" s="81" t="s">
        <v>28578</v>
      </c>
      <c r="B167" s="81" t="s">
        <v>28702</v>
      </c>
      <c r="C167" s="81" t="s">
        <v>46</v>
      </c>
      <c r="D167" s="81" t="s">
        <v>92</v>
      </c>
      <c r="E167" s="81" t="s">
        <v>94</v>
      </c>
      <c r="F167" s="81" t="s">
        <v>91</v>
      </c>
      <c r="G167" s="81" t="s">
        <v>28706</v>
      </c>
      <c r="H167" s="81" t="s">
        <v>28711</v>
      </c>
      <c r="I167" s="81" t="s">
        <v>1</v>
      </c>
      <c r="J167" s="84" t="s">
        <v>28744</v>
      </c>
      <c r="K167" s="81" t="s">
        <v>25687</v>
      </c>
      <c r="L167" s="81" t="s">
        <v>25604</v>
      </c>
      <c r="M167" s="81" t="s">
        <v>12</v>
      </c>
      <c r="N167" s="81">
        <v>717.6</v>
      </c>
      <c r="Q167" s="80"/>
      <c r="R167" s="146"/>
      <c r="S167" s="103" t="str">
        <f t="shared" si="2"/>
        <v>91-736-09-</v>
      </c>
      <c r="V167" s="81">
        <v>2</v>
      </c>
    </row>
    <row r="168" spans="1:22" ht="15" customHeight="1" x14ac:dyDescent="0.2">
      <c r="A168" s="81" t="s">
        <v>28579</v>
      </c>
      <c r="B168" s="81" t="s">
        <v>28703</v>
      </c>
      <c r="C168" s="81" t="s">
        <v>46</v>
      </c>
      <c r="D168" s="81" t="s">
        <v>92</v>
      </c>
      <c r="E168" s="81" t="s">
        <v>94</v>
      </c>
      <c r="F168" s="81" t="s">
        <v>91</v>
      </c>
      <c r="G168" s="81" t="s">
        <v>28706</v>
      </c>
      <c r="H168" s="81" t="s">
        <v>28713</v>
      </c>
      <c r="I168" s="81" t="s">
        <v>25387</v>
      </c>
      <c r="J168" s="84" t="s">
        <v>28744</v>
      </c>
      <c r="K168" s="81" t="s">
        <v>25687</v>
      </c>
      <c r="L168" s="81" t="s">
        <v>25604</v>
      </c>
      <c r="M168" s="81" t="s">
        <v>12</v>
      </c>
      <c r="N168" s="81">
        <v>717.6</v>
      </c>
      <c r="Q168" s="80"/>
      <c r="R168" s="146"/>
      <c r="S168" s="103" t="str">
        <f t="shared" si="2"/>
        <v>91-737-19-</v>
      </c>
      <c r="V168" s="81">
        <v>2</v>
      </c>
    </row>
    <row r="169" spans="1:22" ht="15" customHeight="1" x14ac:dyDescent="0.2">
      <c r="A169" s="81" t="s">
        <v>28580</v>
      </c>
      <c r="B169" s="81" t="s">
        <v>28704</v>
      </c>
      <c r="C169" s="81" t="s">
        <v>46</v>
      </c>
      <c r="D169" s="81" t="s">
        <v>92</v>
      </c>
      <c r="E169" s="81" t="s">
        <v>94</v>
      </c>
      <c r="F169" s="81" t="s">
        <v>91</v>
      </c>
      <c r="G169" s="81" t="s">
        <v>28706</v>
      </c>
      <c r="H169" s="81" t="s">
        <v>28711</v>
      </c>
      <c r="I169" s="81" t="s">
        <v>171</v>
      </c>
      <c r="J169" s="84" t="s">
        <v>28744</v>
      </c>
      <c r="K169" s="81" t="s">
        <v>25687</v>
      </c>
      <c r="L169" s="81" t="s">
        <v>25604</v>
      </c>
      <c r="M169" s="81" t="s">
        <v>12</v>
      </c>
      <c r="N169" s="81">
        <v>717.6</v>
      </c>
      <c r="Q169" s="80"/>
      <c r="R169" s="146"/>
      <c r="S169" s="103" t="str">
        <f t="shared" si="2"/>
        <v>91-738-72-</v>
      </c>
      <c r="V169" s="81">
        <v>2</v>
      </c>
    </row>
    <row r="170" spans="1:22" ht="15" customHeight="1" x14ac:dyDescent="0.2">
      <c r="A170" s="81" t="s">
        <v>28581</v>
      </c>
      <c r="B170" s="81" t="s">
        <v>28705</v>
      </c>
      <c r="C170" s="81" t="s">
        <v>46</v>
      </c>
      <c r="D170" s="81" t="s">
        <v>92</v>
      </c>
      <c r="E170" s="81" t="s">
        <v>94</v>
      </c>
      <c r="F170" s="81" t="s">
        <v>91</v>
      </c>
      <c r="G170" s="81" t="s">
        <v>28706</v>
      </c>
      <c r="H170" s="81" t="s">
        <v>28709</v>
      </c>
      <c r="I170" s="81" t="s">
        <v>23</v>
      </c>
      <c r="J170" s="84" t="s">
        <v>28744</v>
      </c>
      <c r="K170" s="81" t="s">
        <v>25687</v>
      </c>
      <c r="L170" s="81" t="s">
        <v>25604</v>
      </c>
      <c r="M170" s="81" t="s">
        <v>12</v>
      </c>
      <c r="N170" s="81">
        <v>717.6</v>
      </c>
      <c r="Q170" s="80"/>
      <c r="R170" s="146"/>
      <c r="S170" s="103" t="str">
        <f t="shared" si="2"/>
        <v>91-739-16-</v>
      </c>
      <c r="V170" s="81">
        <v>2</v>
      </c>
    </row>
    <row r="171" spans="1:22" ht="15" customHeight="1" x14ac:dyDescent="0.2">
      <c r="Q171" s="80"/>
      <c r="R171" s="146"/>
    </row>
    <row r="172" spans="1:22" ht="15" customHeight="1" x14ac:dyDescent="0.2">
      <c r="Q172" s="80"/>
      <c r="R172" s="146"/>
    </row>
    <row r="173" spans="1:22" ht="15" customHeight="1" x14ac:dyDescent="0.2">
      <c r="Q173" s="80"/>
      <c r="R173" s="146"/>
    </row>
    <row r="174" spans="1:22" ht="15" customHeight="1" x14ac:dyDescent="0.2">
      <c r="Q174" s="80"/>
      <c r="R174" s="146"/>
    </row>
    <row r="175" spans="1:22" ht="15" customHeight="1" x14ac:dyDescent="0.2">
      <c r="Q175" s="80"/>
      <c r="R175" s="146"/>
    </row>
    <row r="176" spans="1:22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17"/>
  <sheetViews>
    <sheetView topLeftCell="C1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28416</v>
      </c>
      <c r="P1" t="s">
        <v>28417</v>
      </c>
      <c r="Q1" t="s">
        <v>2</v>
      </c>
      <c r="R1" t="s">
        <v>28746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28429</v>
      </c>
      <c r="B2" s="102" t="s">
        <v>28582</v>
      </c>
      <c r="C2" s="102" t="s">
        <v>46</v>
      </c>
      <c r="D2" s="102" t="s">
        <v>92</v>
      </c>
      <c r="E2" s="102" t="s">
        <v>94</v>
      </c>
      <c r="F2" s="102" t="s">
        <v>91</v>
      </c>
      <c r="G2" s="102" t="s">
        <v>28706</v>
      </c>
      <c r="H2" s="102" t="s">
        <v>28707</v>
      </c>
      <c r="I2" s="102" t="s">
        <v>107</v>
      </c>
      <c r="J2" s="102" t="s">
        <v>95</v>
      </c>
      <c r="K2" s="102" t="s">
        <v>25687</v>
      </c>
      <c r="L2" s="102" t="s">
        <v>25607</v>
      </c>
      <c r="M2" s="102" t="s">
        <v>12</v>
      </c>
      <c r="N2" s="102">
        <v>832</v>
      </c>
      <c r="S2" t="str">
        <f>A2&amp;"-"&amp;T2</f>
        <v>91-634-48-00</v>
      </c>
      <c r="T2" s="129" t="s">
        <v>25308</v>
      </c>
      <c r="U2" s="112">
        <v>338</v>
      </c>
    </row>
    <row r="3" spans="1:21" x14ac:dyDescent="0.2">
      <c r="A3" s="102" t="s">
        <v>28430</v>
      </c>
      <c r="B3" s="102" t="s">
        <v>28583</v>
      </c>
      <c r="C3" s="102" t="s">
        <v>46</v>
      </c>
      <c r="D3" s="102" t="s">
        <v>92</v>
      </c>
      <c r="E3" s="102" t="s">
        <v>94</v>
      </c>
      <c r="F3" s="102" t="s">
        <v>91</v>
      </c>
      <c r="G3" s="102" t="s">
        <v>28706</v>
      </c>
      <c r="H3" s="102" t="s">
        <v>28708</v>
      </c>
      <c r="I3" s="102" t="s">
        <v>25394</v>
      </c>
      <c r="J3" s="102" t="s">
        <v>95</v>
      </c>
      <c r="K3" s="102" t="s">
        <v>25687</v>
      </c>
      <c r="L3" s="102" t="s">
        <v>25607</v>
      </c>
      <c r="M3" s="102" t="s">
        <v>12</v>
      </c>
      <c r="N3" s="102">
        <v>832</v>
      </c>
      <c r="S3" t="str">
        <f t="shared" ref="S3:S5" si="0">A3&amp;"-"&amp;T3</f>
        <v>91-635-20-00</v>
      </c>
      <c r="T3" s="129" t="s">
        <v>25308</v>
      </c>
      <c r="U3" s="112">
        <v>264</v>
      </c>
    </row>
    <row r="4" spans="1:21" x14ac:dyDescent="0.2">
      <c r="A4" s="102" t="s">
        <v>28431</v>
      </c>
      <c r="B4" s="102" t="s">
        <v>28584</v>
      </c>
      <c r="C4" s="102" t="s">
        <v>46</v>
      </c>
      <c r="D4" s="102" t="s">
        <v>92</v>
      </c>
      <c r="E4" s="102" t="s">
        <v>94</v>
      </c>
      <c r="F4" s="102" t="s">
        <v>91</v>
      </c>
      <c r="G4" s="102" t="s">
        <v>28706</v>
      </c>
      <c r="H4" s="102" t="s">
        <v>28709</v>
      </c>
      <c r="I4" s="102" t="s">
        <v>23</v>
      </c>
      <c r="J4" s="102" t="s">
        <v>95</v>
      </c>
      <c r="K4" s="102" t="s">
        <v>25687</v>
      </c>
      <c r="L4" s="102" t="s">
        <v>25607</v>
      </c>
      <c r="M4" s="102" t="s">
        <v>12</v>
      </c>
      <c r="N4" s="102">
        <v>832</v>
      </c>
      <c r="S4" t="str">
        <f t="shared" si="0"/>
        <v>91-636-16-00</v>
      </c>
      <c r="T4" s="129" t="s">
        <v>25308</v>
      </c>
      <c r="U4" s="112">
        <v>168</v>
      </c>
    </row>
    <row r="5" spans="1:21" x14ac:dyDescent="0.2">
      <c r="A5" s="102" t="s">
        <v>28432</v>
      </c>
      <c r="B5" s="102" t="s">
        <v>28585</v>
      </c>
      <c r="C5" s="102" t="s">
        <v>46</v>
      </c>
      <c r="D5" s="102" t="s">
        <v>92</v>
      </c>
      <c r="E5" s="102" t="s">
        <v>94</v>
      </c>
      <c r="F5" s="102" t="s">
        <v>91</v>
      </c>
      <c r="G5" s="102" t="s">
        <v>28706</v>
      </c>
      <c r="H5" s="102" t="s">
        <v>28710</v>
      </c>
      <c r="I5" s="102" t="s">
        <v>58</v>
      </c>
      <c r="J5" s="102" t="s">
        <v>95</v>
      </c>
      <c r="K5" s="102" t="s">
        <v>25687</v>
      </c>
      <c r="L5" s="102" t="s">
        <v>25607</v>
      </c>
      <c r="M5" s="102" t="s">
        <v>12</v>
      </c>
      <c r="N5" s="102">
        <v>832</v>
      </c>
      <c r="S5" t="str">
        <f t="shared" si="0"/>
        <v>91-637-03-00</v>
      </c>
      <c r="T5" s="129" t="s">
        <v>25308</v>
      </c>
      <c r="U5" s="112">
        <v>120</v>
      </c>
    </row>
    <row r="6" spans="1:21" x14ac:dyDescent="0.2">
      <c r="A6" s="102" t="s">
        <v>27346</v>
      </c>
      <c r="B6" s="102" t="s">
        <v>28586</v>
      </c>
      <c r="C6" s="102" t="s">
        <v>46</v>
      </c>
      <c r="D6" s="102" t="s">
        <v>92</v>
      </c>
      <c r="E6" s="102" t="s">
        <v>94</v>
      </c>
      <c r="F6" s="102" t="s">
        <v>91</v>
      </c>
      <c r="G6" s="102" t="s">
        <v>28706</v>
      </c>
      <c r="H6" s="102" t="s">
        <v>28711</v>
      </c>
      <c r="I6" s="102" t="s">
        <v>97</v>
      </c>
      <c r="J6" s="102" t="s">
        <v>98</v>
      </c>
      <c r="L6" s="102" t="s">
        <v>25607</v>
      </c>
      <c r="M6" s="102" t="s">
        <v>12</v>
      </c>
      <c r="N6" s="102">
        <v>988</v>
      </c>
      <c r="Q6" t="s">
        <v>1</v>
      </c>
      <c r="S6" t="str">
        <f t="shared" ref="S6:S8" si="1">A6&amp;"-"&amp;T6</f>
        <v>91-605-09-00</v>
      </c>
      <c r="T6" s="129" t="s">
        <v>25308</v>
      </c>
      <c r="U6" s="112">
        <v>264</v>
      </c>
    </row>
    <row r="7" spans="1:21" x14ac:dyDescent="0.2">
      <c r="A7" s="102" t="s">
        <v>27348</v>
      </c>
      <c r="B7" s="102" t="s">
        <v>28587</v>
      </c>
      <c r="C7" s="102" t="s">
        <v>46</v>
      </c>
      <c r="D7" s="102" t="s">
        <v>92</v>
      </c>
      <c r="E7" s="102" t="s">
        <v>94</v>
      </c>
      <c r="F7" s="102" t="s">
        <v>91</v>
      </c>
      <c r="G7" s="102" t="s">
        <v>28706</v>
      </c>
      <c r="H7" s="102" t="s">
        <v>28712</v>
      </c>
      <c r="I7" s="102" t="s">
        <v>28304</v>
      </c>
      <c r="J7" s="102" t="s">
        <v>98</v>
      </c>
      <c r="L7" s="102" t="s">
        <v>25607</v>
      </c>
      <c r="M7" s="102" t="s">
        <v>12</v>
      </c>
      <c r="N7" s="102">
        <v>988</v>
      </c>
      <c r="Q7" t="s">
        <v>123</v>
      </c>
      <c r="S7" t="str">
        <f t="shared" si="1"/>
        <v>91-606-13-00</v>
      </c>
      <c r="T7" s="129" t="s">
        <v>25308</v>
      </c>
      <c r="U7" s="112">
        <v>240</v>
      </c>
    </row>
    <row r="8" spans="1:21" x14ac:dyDescent="0.2">
      <c r="A8" s="102" t="s">
        <v>27350</v>
      </c>
      <c r="B8" s="102" t="s">
        <v>28588</v>
      </c>
      <c r="C8" s="102" t="s">
        <v>46</v>
      </c>
      <c r="D8" s="102" t="s">
        <v>92</v>
      </c>
      <c r="E8" s="102" t="s">
        <v>94</v>
      </c>
      <c r="F8" s="102" t="s">
        <v>91</v>
      </c>
      <c r="G8" s="102" t="s">
        <v>28706</v>
      </c>
      <c r="H8" s="102" t="s">
        <v>28713</v>
      </c>
      <c r="I8" s="102" t="s">
        <v>99</v>
      </c>
      <c r="J8" s="102" t="s">
        <v>98</v>
      </c>
      <c r="L8" s="102" t="s">
        <v>25607</v>
      </c>
      <c r="M8" s="102" t="s">
        <v>12</v>
      </c>
      <c r="N8" s="102">
        <v>988</v>
      </c>
      <c r="Q8" t="s">
        <v>147</v>
      </c>
      <c r="S8" t="str">
        <f t="shared" si="1"/>
        <v>91-607-78-00</v>
      </c>
      <c r="T8" s="129" t="s">
        <v>25308</v>
      </c>
      <c r="U8" s="112">
        <v>144</v>
      </c>
    </row>
    <row r="9" spans="1:21" x14ac:dyDescent="0.2">
      <c r="A9" s="102" t="s">
        <v>27352</v>
      </c>
      <c r="B9" s="102" t="s">
        <v>28589</v>
      </c>
      <c r="C9" s="102" t="s">
        <v>46</v>
      </c>
      <c r="D9" s="102" t="s">
        <v>92</v>
      </c>
      <c r="E9" s="102" t="s">
        <v>94</v>
      </c>
      <c r="F9" s="102" t="s">
        <v>91</v>
      </c>
      <c r="G9" s="102" t="s">
        <v>28706</v>
      </c>
      <c r="H9" s="102" t="s">
        <v>28707</v>
      </c>
      <c r="I9" s="102" t="s">
        <v>100</v>
      </c>
      <c r="J9" s="102" t="s">
        <v>98</v>
      </c>
      <c r="L9" s="102" t="s">
        <v>25607</v>
      </c>
      <c r="M9" s="102" t="s">
        <v>12</v>
      </c>
      <c r="N9" s="102">
        <v>988</v>
      </c>
      <c r="Q9" t="s">
        <v>100</v>
      </c>
      <c r="S9" t="str">
        <f t="shared" ref="S9:S10" si="2">A9&amp;"-"&amp;T9</f>
        <v>91-608-17-00</v>
      </c>
      <c r="T9" s="129" t="s">
        <v>25308</v>
      </c>
      <c r="U9" s="112">
        <v>240</v>
      </c>
    </row>
    <row r="10" spans="1:21" x14ac:dyDescent="0.2">
      <c r="A10" s="102" t="s">
        <v>27354</v>
      </c>
      <c r="B10" s="102" t="s">
        <v>28590</v>
      </c>
      <c r="C10" s="102" t="s">
        <v>46</v>
      </c>
      <c r="D10" s="102" t="s">
        <v>92</v>
      </c>
      <c r="E10" s="102" t="s">
        <v>94</v>
      </c>
      <c r="F10" s="102" t="s">
        <v>91</v>
      </c>
      <c r="G10" s="102" t="s">
        <v>28706</v>
      </c>
      <c r="H10" s="102" t="s">
        <v>28711</v>
      </c>
      <c r="I10" s="102" t="s">
        <v>1</v>
      </c>
      <c r="J10" s="102" t="s">
        <v>98</v>
      </c>
      <c r="L10" s="102" t="s">
        <v>25607</v>
      </c>
      <c r="M10" s="102" t="s">
        <v>12</v>
      </c>
      <c r="N10" s="102">
        <v>988</v>
      </c>
      <c r="Q10" t="s">
        <v>1</v>
      </c>
      <c r="S10" t="str">
        <f t="shared" si="2"/>
        <v>91-609-09-00</v>
      </c>
      <c r="T10" s="129" t="s">
        <v>25308</v>
      </c>
      <c r="U10" s="112">
        <v>120</v>
      </c>
    </row>
    <row r="11" spans="1:21" x14ac:dyDescent="0.2">
      <c r="A11" s="102" t="s">
        <v>27356</v>
      </c>
      <c r="B11" s="102" t="s">
        <v>28591</v>
      </c>
      <c r="C11" s="102" t="s">
        <v>46</v>
      </c>
      <c r="D11" s="102" t="s">
        <v>92</v>
      </c>
      <c r="E11" s="102" t="s">
        <v>94</v>
      </c>
      <c r="F11" s="102" t="s">
        <v>91</v>
      </c>
      <c r="G11" s="102" t="s">
        <v>28706</v>
      </c>
      <c r="H11" s="102" t="s">
        <v>28714</v>
      </c>
      <c r="I11" s="102" t="s">
        <v>28</v>
      </c>
      <c r="J11" s="102" t="s">
        <v>95</v>
      </c>
      <c r="K11" s="102" t="s">
        <v>25687</v>
      </c>
      <c r="L11" s="102" t="s">
        <v>25607</v>
      </c>
      <c r="M11" s="102" t="s">
        <v>12</v>
      </c>
      <c r="N11" s="102">
        <v>884</v>
      </c>
      <c r="Q11" t="s">
        <v>28</v>
      </c>
      <c r="S11" t="str">
        <f t="shared" ref="S11:S13" si="3">A11&amp;"-"&amp;T11</f>
        <v>91-610-08-00</v>
      </c>
      <c r="T11" s="129" t="s">
        <v>25308</v>
      </c>
      <c r="U11" s="112">
        <v>144</v>
      </c>
    </row>
    <row r="12" spans="1:21" x14ac:dyDescent="0.2">
      <c r="A12" s="102" t="s">
        <v>27360</v>
      </c>
      <c r="B12" s="102" t="s">
        <v>28592</v>
      </c>
      <c r="C12" s="102" t="s">
        <v>46</v>
      </c>
      <c r="D12" s="102" t="s">
        <v>92</v>
      </c>
      <c r="E12" s="102" t="s">
        <v>94</v>
      </c>
      <c r="F12" s="102" t="s">
        <v>91</v>
      </c>
      <c r="G12" s="102" t="s">
        <v>28706</v>
      </c>
      <c r="H12" s="102" t="s">
        <v>28709</v>
      </c>
      <c r="I12" s="102" t="s">
        <v>23</v>
      </c>
      <c r="J12" s="102" t="s">
        <v>95</v>
      </c>
      <c r="K12" s="102" t="s">
        <v>25687</v>
      </c>
      <c r="L12" s="102" t="s">
        <v>25607</v>
      </c>
      <c r="M12" s="102" t="s">
        <v>12</v>
      </c>
      <c r="N12" s="102">
        <v>884</v>
      </c>
      <c r="Q12" t="s">
        <v>27</v>
      </c>
      <c r="S12" t="str">
        <f t="shared" si="3"/>
        <v>91-612-16-00</v>
      </c>
      <c r="T12" s="129" t="s">
        <v>25308</v>
      </c>
      <c r="U12" s="112">
        <v>120</v>
      </c>
    </row>
    <row r="13" spans="1:21" x14ac:dyDescent="0.2">
      <c r="A13" s="102" t="s">
        <v>27362</v>
      </c>
      <c r="B13" s="102" t="s">
        <v>28593</v>
      </c>
      <c r="C13" s="102" t="s">
        <v>46</v>
      </c>
      <c r="D13" s="102" t="s">
        <v>92</v>
      </c>
      <c r="E13" s="102" t="s">
        <v>94</v>
      </c>
      <c r="F13" s="102" t="s">
        <v>91</v>
      </c>
      <c r="G13" s="102" t="s">
        <v>28706</v>
      </c>
      <c r="H13" s="102" t="s">
        <v>28709</v>
      </c>
      <c r="I13" s="102" t="s">
        <v>23</v>
      </c>
      <c r="J13" s="102" t="s">
        <v>95</v>
      </c>
      <c r="K13" s="102" t="s">
        <v>25687</v>
      </c>
      <c r="L13" s="102" t="s">
        <v>25607</v>
      </c>
      <c r="M13" s="102" t="s">
        <v>12</v>
      </c>
      <c r="N13" s="102">
        <v>884</v>
      </c>
      <c r="Q13" t="s">
        <v>27</v>
      </c>
      <c r="S13" t="str">
        <f t="shared" si="3"/>
        <v>91-613-16-00</v>
      </c>
      <c r="T13" s="129" t="s">
        <v>25308</v>
      </c>
      <c r="U13" s="112">
        <v>144</v>
      </c>
    </row>
    <row r="14" spans="1:21" x14ac:dyDescent="0.2">
      <c r="A14" s="102" t="s">
        <v>28433</v>
      </c>
      <c r="B14" s="102" t="s">
        <v>28594</v>
      </c>
      <c r="C14" s="102" t="s">
        <v>46</v>
      </c>
      <c r="D14" s="102" t="s">
        <v>92</v>
      </c>
      <c r="E14" s="102" t="s">
        <v>94</v>
      </c>
      <c r="F14" s="102" t="s">
        <v>91</v>
      </c>
      <c r="G14" s="102" t="s">
        <v>28706</v>
      </c>
      <c r="H14" s="102" t="s">
        <v>28711</v>
      </c>
      <c r="I14" s="102" t="s">
        <v>1</v>
      </c>
      <c r="J14" s="102" t="s">
        <v>95</v>
      </c>
      <c r="K14" s="102" t="s">
        <v>25687</v>
      </c>
      <c r="L14" s="102" t="s">
        <v>25607</v>
      </c>
      <c r="M14" s="102" t="s">
        <v>12</v>
      </c>
      <c r="N14" s="102">
        <v>884</v>
      </c>
      <c r="S14" t="str">
        <f t="shared" ref="S14:S16" si="4">A14&amp;"-"&amp;T14</f>
        <v>91-638-09-00</v>
      </c>
      <c r="T14" s="129" t="s">
        <v>25308</v>
      </c>
      <c r="U14" s="112">
        <v>168</v>
      </c>
    </row>
    <row r="15" spans="1:21" x14ac:dyDescent="0.2">
      <c r="A15" s="102" t="s">
        <v>28434</v>
      </c>
      <c r="B15" s="102" t="s">
        <v>28595</v>
      </c>
      <c r="C15" s="102" t="s">
        <v>46</v>
      </c>
      <c r="D15" s="102" t="s">
        <v>92</v>
      </c>
      <c r="E15" s="102" t="s">
        <v>94</v>
      </c>
      <c r="F15" s="102" t="s">
        <v>91</v>
      </c>
      <c r="G15" s="102" t="s">
        <v>28706</v>
      </c>
      <c r="H15" s="102" t="s">
        <v>28711</v>
      </c>
      <c r="I15" s="102" t="s">
        <v>1</v>
      </c>
      <c r="J15" s="102" t="s">
        <v>95</v>
      </c>
      <c r="K15" s="102" t="s">
        <v>25687</v>
      </c>
      <c r="L15" s="102" t="s">
        <v>25607</v>
      </c>
      <c r="M15" s="102" t="s">
        <v>12</v>
      </c>
      <c r="N15" s="102">
        <v>884</v>
      </c>
      <c r="S15" t="str">
        <f t="shared" si="4"/>
        <v>91-639-09-00</v>
      </c>
      <c r="T15" s="129" t="s">
        <v>25308</v>
      </c>
      <c r="U15" s="112">
        <v>216</v>
      </c>
    </row>
    <row r="16" spans="1:21" x14ac:dyDescent="0.2">
      <c r="A16" s="102" t="s">
        <v>28435</v>
      </c>
      <c r="B16" s="102" t="s">
        <v>28596</v>
      </c>
      <c r="C16" s="102" t="s">
        <v>46</v>
      </c>
      <c r="D16" s="102" t="s">
        <v>92</v>
      </c>
      <c r="E16" s="102" t="s">
        <v>94</v>
      </c>
      <c r="F16" s="102" t="s">
        <v>91</v>
      </c>
      <c r="G16" s="102" t="s">
        <v>28706</v>
      </c>
      <c r="H16" s="102" t="s">
        <v>28707</v>
      </c>
      <c r="I16" s="102" t="s">
        <v>171</v>
      </c>
      <c r="J16" s="102" t="s">
        <v>95</v>
      </c>
      <c r="K16" s="102" t="s">
        <v>25687</v>
      </c>
      <c r="L16" s="102" t="s">
        <v>25607</v>
      </c>
      <c r="M16" s="102" t="s">
        <v>12</v>
      </c>
      <c r="N16" s="102">
        <v>884</v>
      </c>
      <c r="S16" t="str">
        <f t="shared" si="4"/>
        <v>91-640-72-00</v>
      </c>
      <c r="T16" s="129" t="s">
        <v>25308</v>
      </c>
      <c r="U16" s="112">
        <v>264</v>
      </c>
    </row>
    <row r="17" spans="1:21" x14ac:dyDescent="0.2">
      <c r="A17" s="102" t="s">
        <v>28436</v>
      </c>
      <c r="B17" s="102" t="s">
        <v>28597</v>
      </c>
      <c r="C17" s="102" t="s">
        <v>46</v>
      </c>
      <c r="D17" s="102" t="s">
        <v>92</v>
      </c>
      <c r="E17" s="102" t="s">
        <v>94</v>
      </c>
      <c r="F17" s="102" t="s">
        <v>91</v>
      </c>
      <c r="G17" s="102" t="s">
        <v>28706</v>
      </c>
      <c r="H17" s="102" t="s">
        <v>28707</v>
      </c>
      <c r="I17" s="102" t="s">
        <v>171</v>
      </c>
      <c r="J17" s="102" t="s">
        <v>95</v>
      </c>
      <c r="K17" s="102" t="s">
        <v>25687</v>
      </c>
      <c r="L17" s="102" t="s">
        <v>25607</v>
      </c>
      <c r="M17" s="102" t="s">
        <v>12</v>
      </c>
      <c r="N17" s="102">
        <v>884</v>
      </c>
      <c r="S17" t="str">
        <f t="shared" ref="S17:S18" si="5">A17&amp;"-"&amp;T17</f>
        <v>91-641-72-00</v>
      </c>
      <c r="T17" s="129" t="s">
        <v>25308</v>
      </c>
      <c r="U17" s="112">
        <v>168</v>
      </c>
    </row>
    <row r="18" spans="1:21" x14ac:dyDescent="0.2">
      <c r="A18" s="102" t="s">
        <v>28437</v>
      </c>
      <c r="B18" s="102" t="s">
        <v>28598</v>
      </c>
      <c r="C18" s="102" t="s">
        <v>46</v>
      </c>
      <c r="D18" s="102" t="s">
        <v>92</v>
      </c>
      <c r="E18" s="102" t="s">
        <v>94</v>
      </c>
      <c r="F18" s="102" t="s">
        <v>91</v>
      </c>
      <c r="G18" s="102" t="s">
        <v>28706</v>
      </c>
      <c r="H18" s="102" t="s">
        <v>28709</v>
      </c>
      <c r="I18" s="102" t="s">
        <v>25527</v>
      </c>
      <c r="J18" s="102" t="s">
        <v>95</v>
      </c>
      <c r="K18" s="102" t="s">
        <v>25687</v>
      </c>
      <c r="L18" s="102" t="s">
        <v>25607</v>
      </c>
      <c r="M18" s="102" t="s">
        <v>12</v>
      </c>
      <c r="N18" s="102">
        <v>832</v>
      </c>
      <c r="S18" t="str">
        <f t="shared" si="5"/>
        <v>91-642-00-00</v>
      </c>
      <c r="T18" s="129" t="s">
        <v>25308</v>
      </c>
      <c r="U18" s="112">
        <v>144</v>
      </c>
    </row>
    <row r="19" spans="1:21" x14ac:dyDescent="0.2">
      <c r="A19" s="102" t="s">
        <v>28438</v>
      </c>
      <c r="B19" s="102" t="s">
        <v>28599</v>
      </c>
      <c r="C19" s="102" t="s">
        <v>46</v>
      </c>
      <c r="D19" s="102" t="s">
        <v>92</v>
      </c>
      <c r="E19" s="102" t="s">
        <v>94</v>
      </c>
      <c r="F19" s="102" t="s">
        <v>91</v>
      </c>
      <c r="G19" s="102" t="s">
        <v>28706</v>
      </c>
      <c r="H19" s="102" t="s">
        <v>28711</v>
      </c>
      <c r="I19" s="102" t="s">
        <v>1</v>
      </c>
      <c r="J19" s="102" t="s">
        <v>95</v>
      </c>
      <c r="K19" s="102" t="s">
        <v>25687</v>
      </c>
      <c r="L19" s="102" t="s">
        <v>25607</v>
      </c>
      <c r="M19" s="102" t="s">
        <v>12</v>
      </c>
      <c r="N19" s="102">
        <v>832</v>
      </c>
      <c r="S19" t="str">
        <f t="shared" ref="S19:S21" si="6">A19&amp;"-"&amp;T19</f>
        <v>91-643-09-00</v>
      </c>
      <c r="T19" s="129" t="s">
        <v>25308</v>
      </c>
      <c r="U19" s="112">
        <v>1418</v>
      </c>
    </row>
    <row r="20" spans="1:21" x14ac:dyDescent="0.2">
      <c r="A20" s="102" t="s">
        <v>28439</v>
      </c>
      <c r="B20" s="102" t="s">
        <v>28599</v>
      </c>
      <c r="C20" s="102" t="s">
        <v>46</v>
      </c>
      <c r="D20" s="102" t="s">
        <v>92</v>
      </c>
      <c r="E20" s="102" t="s">
        <v>94</v>
      </c>
      <c r="F20" s="102" t="s">
        <v>91</v>
      </c>
      <c r="G20" s="102" t="s">
        <v>28706</v>
      </c>
      <c r="H20" s="102" t="s">
        <v>28715</v>
      </c>
      <c r="I20" s="102" t="s">
        <v>28716</v>
      </c>
      <c r="J20" s="102" t="s">
        <v>95</v>
      </c>
      <c r="K20" s="102" t="s">
        <v>25687</v>
      </c>
      <c r="L20" s="102" t="s">
        <v>25607</v>
      </c>
      <c r="M20" s="102" t="s">
        <v>12</v>
      </c>
      <c r="N20" s="102">
        <v>832</v>
      </c>
      <c r="S20" t="str">
        <f t="shared" si="6"/>
        <v>91-643-00-00</v>
      </c>
      <c r="T20" s="129" t="s">
        <v>25308</v>
      </c>
      <c r="U20" s="112">
        <v>362</v>
      </c>
    </row>
    <row r="21" spans="1:21" x14ac:dyDescent="0.2">
      <c r="A21" s="102" t="s">
        <v>28440</v>
      </c>
      <c r="B21" s="102" t="s">
        <v>28599</v>
      </c>
      <c r="C21" s="102" t="s">
        <v>46</v>
      </c>
      <c r="D21" s="102" t="s">
        <v>92</v>
      </c>
      <c r="E21" s="102" t="s">
        <v>94</v>
      </c>
      <c r="F21" s="102" t="s">
        <v>91</v>
      </c>
      <c r="G21" s="102" t="s">
        <v>28706</v>
      </c>
      <c r="H21" s="102" t="s">
        <v>28717</v>
      </c>
      <c r="I21" s="102" t="s">
        <v>96</v>
      </c>
      <c r="J21" s="102" t="s">
        <v>95</v>
      </c>
      <c r="K21" s="102" t="s">
        <v>25687</v>
      </c>
      <c r="L21" s="102" t="s">
        <v>25607</v>
      </c>
      <c r="M21" s="102" t="s">
        <v>12</v>
      </c>
      <c r="N21" s="102">
        <v>832</v>
      </c>
      <c r="S21" t="str">
        <f t="shared" si="6"/>
        <v>91-643-12-00</v>
      </c>
      <c r="T21" s="129" t="s">
        <v>25308</v>
      </c>
      <c r="U21" s="112">
        <v>240</v>
      </c>
    </row>
    <row r="22" spans="1:21" x14ac:dyDescent="0.2">
      <c r="A22" s="102" t="s">
        <v>28441</v>
      </c>
      <c r="B22" s="102" t="s">
        <v>28599</v>
      </c>
      <c r="C22" s="102" t="s">
        <v>46</v>
      </c>
      <c r="D22" s="102" t="s">
        <v>92</v>
      </c>
      <c r="E22" s="102" t="s">
        <v>94</v>
      </c>
      <c r="F22" s="102" t="s">
        <v>91</v>
      </c>
      <c r="G22" s="102" t="s">
        <v>28706</v>
      </c>
      <c r="H22" s="102" t="s">
        <v>28712</v>
      </c>
      <c r="I22" s="102" t="s">
        <v>123</v>
      </c>
      <c r="J22" s="102" t="s">
        <v>95</v>
      </c>
      <c r="K22" s="102" t="s">
        <v>25687</v>
      </c>
      <c r="L22" s="102" t="s">
        <v>25607</v>
      </c>
      <c r="M22" s="102" t="s">
        <v>12</v>
      </c>
      <c r="N22" s="102">
        <v>832</v>
      </c>
      <c r="S22" t="str">
        <f t="shared" ref="S22:S24" si="7">A22&amp;"-"&amp;T22</f>
        <v>91-643-13-00</v>
      </c>
      <c r="T22" s="129" t="s">
        <v>25308</v>
      </c>
      <c r="U22" s="112">
        <v>144</v>
      </c>
    </row>
    <row r="23" spans="1:21" x14ac:dyDescent="0.2">
      <c r="A23" s="102" t="s">
        <v>28442</v>
      </c>
      <c r="B23" s="102" t="s">
        <v>28599</v>
      </c>
      <c r="C23" s="102" t="s">
        <v>46</v>
      </c>
      <c r="D23" s="102" t="s">
        <v>92</v>
      </c>
      <c r="E23" s="102" t="s">
        <v>94</v>
      </c>
      <c r="F23" s="102" t="s">
        <v>91</v>
      </c>
      <c r="G23" s="102" t="s">
        <v>28706</v>
      </c>
      <c r="H23" s="102" t="s">
        <v>28707</v>
      </c>
      <c r="I23" s="102" t="s">
        <v>100</v>
      </c>
      <c r="J23" s="102" t="s">
        <v>95</v>
      </c>
      <c r="K23" s="102" t="s">
        <v>25687</v>
      </c>
      <c r="L23" s="102" t="s">
        <v>25607</v>
      </c>
      <c r="M23" s="102" t="s">
        <v>12</v>
      </c>
      <c r="N23" s="102">
        <v>832</v>
      </c>
      <c r="S23" t="str">
        <f t="shared" si="7"/>
        <v>91-643-17-00</v>
      </c>
      <c r="T23" s="129" t="s">
        <v>25308</v>
      </c>
      <c r="U23" s="112">
        <v>290</v>
      </c>
    </row>
    <row r="24" spans="1:21" x14ac:dyDescent="0.2">
      <c r="A24" s="102" t="s">
        <v>28443</v>
      </c>
      <c r="B24" s="102" t="s">
        <v>28600</v>
      </c>
      <c r="C24" s="102" t="s">
        <v>46</v>
      </c>
      <c r="D24" s="102" t="s">
        <v>92</v>
      </c>
      <c r="E24" s="102" t="s">
        <v>94</v>
      </c>
      <c r="F24" s="102" t="s">
        <v>91</v>
      </c>
      <c r="G24" s="102" t="s">
        <v>28706</v>
      </c>
      <c r="H24" s="102" t="s">
        <v>28711</v>
      </c>
      <c r="I24" s="102" t="s">
        <v>1</v>
      </c>
      <c r="J24" s="102" t="s">
        <v>95</v>
      </c>
      <c r="K24" s="102" t="s">
        <v>25687</v>
      </c>
      <c r="L24" s="102" t="s">
        <v>25607</v>
      </c>
      <c r="M24" s="102" t="s">
        <v>12</v>
      </c>
      <c r="N24" s="102">
        <v>832</v>
      </c>
      <c r="S24" t="str">
        <f t="shared" si="7"/>
        <v>91-644-09-00</v>
      </c>
      <c r="T24" s="129" t="s">
        <v>25308</v>
      </c>
      <c r="U24" s="112">
        <v>168</v>
      </c>
    </row>
    <row r="25" spans="1:21" x14ac:dyDescent="0.2">
      <c r="A25" s="102" t="s">
        <v>28444</v>
      </c>
      <c r="B25" s="102" t="s">
        <v>28601</v>
      </c>
      <c r="C25" s="102" t="s">
        <v>46</v>
      </c>
      <c r="D25" s="102" t="s">
        <v>92</v>
      </c>
      <c r="E25" s="102" t="s">
        <v>94</v>
      </c>
      <c r="F25" s="102" t="s">
        <v>91</v>
      </c>
      <c r="G25" s="102" t="s">
        <v>28706</v>
      </c>
      <c r="H25" s="102" t="s">
        <v>28711</v>
      </c>
      <c r="I25" s="102" t="s">
        <v>1</v>
      </c>
      <c r="J25" s="102" t="s">
        <v>95</v>
      </c>
      <c r="K25" s="102" t="s">
        <v>25687</v>
      </c>
      <c r="L25" s="102" t="s">
        <v>25607</v>
      </c>
      <c r="M25" s="102" t="s">
        <v>12</v>
      </c>
      <c r="N25" s="102">
        <v>832</v>
      </c>
      <c r="S25" t="str">
        <f t="shared" ref="S25:S26" si="8">A25&amp;"-"&amp;T25</f>
        <v>91-645-09-00</v>
      </c>
      <c r="T25" s="129" t="s">
        <v>25308</v>
      </c>
      <c r="U25" s="112">
        <v>146</v>
      </c>
    </row>
    <row r="26" spans="1:21" x14ac:dyDescent="0.2">
      <c r="A26" s="102" t="s">
        <v>28445</v>
      </c>
      <c r="B26" s="102" t="s">
        <v>28601</v>
      </c>
      <c r="C26" s="102" t="s">
        <v>46</v>
      </c>
      <c r="D26" s="102" t="s">
        <v>92</v>
      </c>
      <c r="E26" s="102" t="s">
        <v>94</v>
      </c>
      <c r="F26" s="102" t="s">
        <v>91</v>
      </c>
      <c r="G26" s="102" t="s">
        <v>28706</v>
      </c>
      <c r="H26" s="102" t="s">
        <v>28718</v>
      </c>
      <c r="I26" s="102" t="s">
        <v>27</v>
      </c>
      <c r="J26" s="102" t="s">
        <v>95</v>
      </c>
      <c r="K26" s="102" t="s">
        <v>25687</v>
      </c>
      <c r="L26" s="102" t="s">
        <v>25607</v>
      </c>
      <c r="M26" s="102" t="s">
        <v>12</v>
      </c>
      <c r="N26" s="102">
        <v>832</v>
      </c>
      <c r="S26" t="str">
        <f t="shared" si="8"/>
        <v>91-645-06-00</v>
      </c>
      <c r="T26" s="129" t="s">
        <v>25308</v>
      </c>
      <c r="U26" s="112">
        <v>144</v>
      </c>
    </row>
    <row r="27" spans="1:21" x14ac:dyDescent="0.2">
      <c r="A27" s="102" t="s">
        <v>28446</v>
      </c>
      <c r="B27" s="102" t="s">
        <v>28601</v>
      </c>
      <c r="C27" s="102" t="s">
        <v>46</v>
      </c>
      <c r="D27" s="102" t="s">
        <v>92</v>
      </c>
      <c r="E27" s="102" t="s">
        <v>94</v>
      </c>
      <c r="F27" s="102" t="s">
        <v>91</v>
      </c>
      <c r="G27" s="102" t="s">
        <v>28706</v>
      </c>
      <c r="H27" s="102" t="s">
        <v>28715</v>
      </c>
      <c r="I27" s="102" t="s">
        <v>104</v>
      </c>
      <c r="J27" s="102" t="s">
        <v>95</v>
      </c>
      <c r="K27" s="102" t="s">
        <v>25687</v>
      </c>
      <c r="L27" s="102" t="s">
        <v>25607</v>
      </c>
      <c r="M27" s="102" t="s">
        <v>12</v>
      </c>
      <c r="N27" s="102">
        <v>832</v>
      </c>
      <c r="S27" t="str">
        <f t="shared" ref="S27:S29" si="9">A27&amp;"-"&amp;T27</f>
        <v>91-645-00-00</v>
      </c>
      <c r="T27" s="129" t="s">
        <v>25308</v>
      </c>
      <c r="U27" s="112">
        <v>144</v>
      </c>
    </row>
    <row r="28" spans="1:21" x14ac:dyDescent="0.2">
      <c r="A28" s="102" t="s">
        <v>28447</v>
      </c>
      <c r="B28" s="102" t="s">
        <v>28601</v>
      </c>
      <c r="C28" s="102" t="s">
        <v>46</v>
      </c>
      <c r="D28" s="102" t="s">
        <v>92</v>
      </c>
      <c r="E28" s="102" t="s">
        <v>94</v>
      </c>
      <c r="F28" s="102" t="s">
        <v>91</v>
      </c>
      <c r="G28" s="102" t="s">
        <v>28706</v>
      </c>
      <c r="H28" s="102" t="s">
        <v>28710</v>
      </c>
      <c r="I28" s="102" t="s">
        <v>58</v>
      </c>
      <c r="J28" s="102" t="s">
        <v>95</v>
      </c>
      <c r="K28" s="102" t="s">
        <v>25687</v>
      </c>
      <c r="L28" s="102" t="s">
        <v>25607</v>
      </c>
      <c r="M28" s="102" t="s">
        <v>12</v>
      </c>
      <c r="N28" s="102">
        <v>832</v>
      </c>
      <c r="S28" t="str">
        <f t="shared" si="9"/>
        <v>91-645-03-00</v>
      </c>
      <c r="T28" s="129" t="s">
        <v>25308</v>
      </c>
      <c r="U28" s="112">
        <v>144</v>
      </c>
    </row>
    <row r="29" spans="1:21" x14ac:dyDescent="0.2">
      <c r="A29" s="102" t="s">
        <v>28448</v>
      </c>
      <c r="B29" s="102" t="s">
        <v>28601</v>
      </c>
      <c r="C29" s="102" t="s">
        <v>46</v>
      </c>
      <c r="D29" s="102" t="s">
        <v>92</v>
      </c>
      <c r="E29" s="102" t="s">
        <v>94</v>
      </c>
      <c r="F29" s="102" t="s">
        <v>91</v>
      </c>
      <c r="G29" s="102" t="s">
        <v>28706</v>
      </c>
      <c r="H29" s="102" t="s">
        <v>28707</v>
      </c>
      <c r="I29" s="102" t="s">
        <v>171</v>
      </c>
      <c r="J29" s="102" t="s">
        <v>95</v>
      </c>
      <c r="K29" s="102" t="s">
        <v>25687</v>
      </c>
      <c r="L29" s="102" t="s">
        <v>25607</v>
      </c>
      <c r="M29" s="102" t="s">
        <v>12</v>
      </c>
      <c r="N29" s="102">
        <v>832</v>
      </c>
      <c r="S29" t="str">
        <f t="shared" si="9"/>
        <v>91-645-72-00</v>
      </c>
      <c r="T29" s="129" t="s">
        <v>25308</v>
      </c>
      <c r="U29" s="112">
        <v>384</v>
      </c>
    </row>
    <row r="30" spans="1:21" x14ac:dyDescent="0.2">
      <c r="A30" s="102" t="s">
        <v>28449</v>
      </c>
      <c r="B30" s="102" t="s">
        <v>28601</v>
      </c>
      <c r="C30" s="102" t="s">
        <v>46</v>
      </c>
      <c r="D30" s="102" t="s">
        <v>92</v>
      </c>
      <c r="E30" s="102" t="s">
        <v>94</v>
      </c>
      <c r="F30" s="102" t="s">
        <v>91</v>
      </c>
      <c r="G30" s="102" t="s">
        <v>28706</v>
      </c>
      <c r="H30" s="102" t="s">
        <v>28708</v>
      </c>
      <c r="I30" s="102" t="s">
        <v>25394</v>
      </c>
      <c r="J30" s="102" t="s">
        <v>95</v>
      </c>
      <c r="K30" s="102" t="s">
        <v>25687</v>
      </c>
      <c r="L30" s="102" t="s">
        <v>25607</v>
      </c>
      <c r="M30" s="102" t="s">
        <v>12</v>
      </c>
      <c r="N30" s="102">
        <v>832</v>
      </c>
      <c r="S30" t="str">
        <f t="shared" ref="S30:S32" si="10">A30&amp;"-"&amp;T30</f>
        <v>91-645-20-00</v>
      </c>
      <c r="T30" s="129" t="s">
        <v>25308</v>
      </c>
      <c r="U30" s="112">
        <v>144</v>
      </c>
    </row>
    <row r="31" spans="1:21" x14ac:dyDescent="0.2">
      <c r="A31" s="102" t="s">
        <v>28450</v>
      </c>
      <c r="B31" s="102" t="s">
        <v>28602</v>
      </c>
      <c r="C31" s="102" t="s">
        <v>46</v>
      </c>
      <c r="D31" s="102" t="s">
        <v>92</v>
      </c>
      <c r="E31" s="102" t="s">
        <v>94</v>
      </c>
      <c r="F31" s="102" t="s">
        <v>91</v>
      </c>
      <c r="G31" s="102" t="s">
        <v>28706</v>
      </c>
      <c r="H31" s="102" t="s">
        <v>28711</v>
      </c>
      <c r="I31" s="102" t="s">
        <v>1</v>
      </c>
      <c r="J31" s="102" t="s">
        <v>95</v>
      </c>
      <c r="K31" s="102" t="s">
        <v>25687</v>
      </c>
      <c r="L31" s="102" t="s">
        <v>25607</v>
      </c>
      <c r="M31" s="102" t="s">
        <v>12</v>
      </c>
      <c r="N31" s="102">
        <v>832</v>
      </c>
      <c r="S31" t="str">
        <f t="shared" si="10"/>
        <v>91-646-09-00</v>
      </c>
      <c r="T31" s="129" t="s">
        <v>25308</v>
      </c>
      <c r="U31" s="112">
        <v>600</v>
      </c>
    </row>
    <row r="32" spans="1:21" x14ac:dyDescent="0.2">
      <c r="A32" s="102" t="s">
        <v>28451</v>
      </c>
      <c r="B32" s="102" t="s">
        <v>28603</v>
      </c>
      <c r="C32" s="102" t="s">
        <v>46</v>
      </c>
      <c r="D32" s="102" t="s">
        <v>92</v>
      </c>
      <c r="E32" s="102" t="s">
        <v>94</v>
      </c>
      <c r="F32" s="102" t="s">
        <v>91</v>
      </c>
      <c r="G32" s="102" t="s">
        <v>28706</v>
      </c>
      <c r="H32" s="102" t="s">
        <v>28711</v>
      </c>
      <c r="I32" s="102" t="s">
        <v>171</v>
      </c>
      <c r="J32" s="102" t="s">
        <v>95</v>
      </c>
      <c r="K32" s="102" t="s">
        <v>25687</v>
      </c>
      <c r="L32" s="102" t="s">
        <v>25607</v>
      </c>
      <c r="M32" s="102" t="s">
        <v>12</v>
      </c>
      <c r="N32" s="102">
        <v>832</v>
      </c>
      <c r="S32" t="str">
        <f t="shared" si="10"/>
        <v>91-647-72-00</v>
      </c>
      <c r="T32" s="129" t="s">
        <v>25308</v>
      </c>
      <c r="U32" s="112">
        <v>168</v>
      </c>
    </row>
    <row r="33" spans="1:21" x14ac:dyDescent="0.2">
      <c r="A33" s="102" t="s">
        <v>28452</v>
      </c>
      <c r="B33" s="102" t="s">
        <v>28603</v>
      </c>
      <c r="C33" s="102" t="s">
        <v>46</v>
      </c>
      <c r="D33" s="102" t="s">
        <v>92</v>
      </c>
      <c r="E33" s="102" t="s">
        <v>94</v>
      </c>
      <c r="F33" s="102" t="s">
        <v>91</v>
      </c>
      <c r="G33" s="102" t="s">
        <v>28706</v>
      </c>
      <c r="H33" s="102" t="s">
        <v>28719</v>
      </c>
      <c r="I33" s="102" t="s">
        <v>100</v>
      </c>
      <c r="J33" s="102" t="s">
        <v>95</v>
      </c>
      <c r="K33" s="102" t="s">
        <v>25687</v>
      </c>
      <c r="L33" s="102" t="s">
        <v>25607</v>
      </c>
      <c r="M33" s="102" t="s">
        <v>12</v>
      </c>
      <c r="N33" s="102">
        <v>832</v>
      </c>
      <c r="S33" t="str">
        <f t="shared" ref="S33:S34" si="11">A33&amp;"-"&amp;T33</f>
        <v>91-647-17-00</v>
      </c>
      <c r="T33" s="129" t="s">
        <v>25308</v>
      </c>
      <c r="U33" s="112">
        <v>144</v>
      </c>
    </row>
    <row r="34" spans="1:21" x14ac:dyDescent="0.2">
      <c r="A34" s="102" t="s">
        <v>28453</v>
      </c>
      <c r="B34" s="102" t="s">
        <v>28604</v>
      </c>
      <c r="C34" s="102" t="s">
        <v>46</v>
      </c>
      <c r="D34" s="102" t="s">
        <v>92</v>
      </c>
      <c r="E34" s="102" t="s">
        <v>94</v>
      </c>
      <c r="F34" s="102" t="s">
        <v>91</v>
      </c>
      <c r="G34" s="102" t="s">
        <v>28706</v>
      </c>
      <c r="H34" s="102" t="s">
        <v>28711</v>
      </c>
      <c r="I34" s="102" t="s">
        <v>171</v>
      </c>
      <c r="J34" s="102" t="s">
        <v>95</v>
      </c>
      <c r="K34" s="102" t="s">
        <v>25687</v>
      </c>
      <c r="L34" s="102" t="s">
        <v>25607</v>
      </c>
      <c r="M34" s="102" t="s">
        <v>12</v>
      </c>
      <c r="N34" s="102">
        <v>832</v>
      </c>
      <c r="S34" t="str">
        <f t="shared" si="11"/>
        <v>91-648-72-00</v>
      </c>
      <c r="T34" s="129" t="s">
        <v>25308</v>
      </c>
      <c r="U34" s="112">
        <v>266</v>
      </c>
    </row>
    <row r="35" spans="1:21" x14ac:dyDescent="0.2">
      <c r="A35" s="102" t="s">
        <v>28454</v>
      </c>
      <c r="B35" s="102" t="s">
        <v>28604</v>
      </c>
      <c r="C35" s="102" t="s">
        <v>46</v>
      </c>
      <c r="D35" s="102" t="s">
        <v>92</v>
      </c>
      <c r="E35" s="102" t="s">
        <v>94</v>
      </c>
      <c r="F35" s="102" t="s">
        <v>91</v>
      </c>
      <c r="G35" s="102" t="s">
        <v>28706</v>
      </c>
      <c r="H35" s="102" t="s">
        <v>28720</v>
      </c>
      <c r="I35" s="102" t="s">
        <v>22</v>
      </c>
      <c r="J35" s="102" t="s">
        <v>95</v>
      </c>
      <c r="K35" s="102" t="s">
        <v>25687</v>
      </c>
      <c r="L35" s="102" t="s">
        <v>25607</v>
      </c>
      <c r="M35" s="102" t="s">
        <v>12</v>
      </c>
      <c r="N35" s="102">
        <v>832</v>
      </c>
      <c r="S35" t="str">
        <f t="shared" ref="S35:S37" si="12">A35&amp;"-"&amp;T35</f>
        <v>91-648-14-00</v>
      </c>
      <c r="T35" s="129" t="s">
        <v>25308</v>
      </c>
      <c r="U35" s="112">
        <v>146</v>
      </c>
    </row>
    <row r="36" spans="1:21" x14ac:dyDescent="0.2">
      <c r="A36" s="102" t="s">
        <v>28455</v>
      </c>
      <c r="B36" s="102" t="s">
        <v>28605</v>
      </c>
      <c r="C36" s="102" t="s">
        <v>46</v>
      </c>
      <c r="D36" s="102" t="s">
        <v>92</v>
      </c>
      <c r="E36" s="102" t="s">
        <v>94</v>
      </c>
      <c r="F36" s="102" t="s">
        <v>91</v>
      </c>
      <c r="G36" s="102" t="s">
        <v>28706</v>
      </c>
      <c r="H36" s="102" t="s">
        <v>28711</v>
      </c>
      <c r="I36" s="102" t="s">
        <v>1</v>
      </c>
      <c r="J36" s="102" t="s">
        <v>95</v>
      </c>
      <c r="K36" s="102" t="s">
        <v>25687</v>
      </c>
      <c r="L36" s="102" t="s">
        <v>25607</v>
      </c>
      <c r="M36" s="102" t="s">
        <v>12</v>
      </c>
      <c r="N36" s="102">
        <v>832</v>
      </c>
      <c r="S36" t="str">
        <f t="shared" si="12"/>
        <v>91-649-09-00</v>
      </c>
      <c r="T36" s="129" t="s">
        <v>25308</v>
      </c>
      <c r="U36" s="112">
        <v>146</v>
      </c>
    </row>
    <row r="37" spans="1:21" x14ac:dyDescent="0.2">
      <c r="A37" s="102" t="s">
        <v>28456</v>
      </c>
      <c r="B37" s="102" t="s">
        <v>28605</v>
      </c>
      <c r="C37" s="102" t="s">
        <v>46</v>
      </c>
      <c r="D37" s="102" t="s">
        <v>92</v>
      </c>
      <c r="E37" s="102" t="s">
        <v>94</v>
      </c>
      <c r="F37" s="102" t="s">
        <v>91</v>
      </c>
      <c r="G37" s="102" t="s">
        <v>28706</v>
      </c>
      <c r="H37" s="102" t="s">
        <v>28709</v>
      </c>
      <c r="I37" s="102" t="s">
        <v>23</v>
      </c>
      <c r="J37" s="102" t="s">
        <v>95</v>
      </c>
      <c r="K37" s="102" t="s">
        <v>25687</v>
      </c>
      <c r="L37" s="102" t="s">
        <v>25607</v>
      </c>
      <c r="M37" s="102" t="s">
        <v>12</v>
      </c>
      <c r="N37" s="102">
        <v>832</v>
      </c>
      <c r="S37" t="str">
        <f t="shared" si="12"/>
        <v>91-649-16-00</v>
      </c>
      <c r="T37" s="129" t="s">
        <v>25308</v>
      </c>
      <c r="U37" s="112">
        <v>290</v>
      </c>
    </row>
    <row r="38" spans="1:21" x14ac:dyDescent="0.2">
      <c r="A38" s="102" t="s">
        <v>28457</v>
      </c>
      <c r="B38" s="102" t="s">
        <v>28605</v>
      </c>
      <c r="C38" s="102" t="s">
        <v>46</v>
      </c>
      <c r="D38" s="102" t="s">
        <v>92</v>
      </c>
      <c r="E38" s="102" t="s">
        <v>94</v>
      </c>
      <c r="F38" s="102" t="s">
        <v>91</v>
      </c>
      <c r="G38" s="102" t="s">
        <v>28706</v>
      </c>
      <c r="H38" s="102" t="s">
        <v>28721</v>
      </c>
      <c r="I38" s="102" t="s">
        <v>28</v>
      </c>
      <c r="J38" s="102" t="s">
        <v>95</v>
      </c>
      <c r="K38" s="102" t="s">
        <v>25687</v>
      </c>
      <c r="L38" s="102" t="s">
        <v>25607</v>
      </c>
      <c r="M38" s="102" t="s">
        <v>12</v>
      </c>
      <c r="N38" s="102">
        <v>832</v>
      </c>
      <c r="S38" t="str">
        <f t="shared" ref="S38:S40" si="13">A38&amp;"-"&amp;T38</f>
        <v>91-649-08-00</v>
      </c>
      <c r="T38" s="129" t="s">
        <v>25308</v>
      </c>
      <c r="U38" s="112">
        <v>144</v>
      </c>
    </row>
    <row r="39" spans="1:21" x14ac:dyDescent="0.2">
      <c r="A39" s="102" t="s">
        <v>28458</v>
      </c>
      <c r="B39" s="102" t="s">
        <v>28605</v>
      </c>
      <c r="C39" s="102" t="s">
        <v>46</v>
      </c>
      <c r="D39" s="102" t="s">
        <v>92</v>
      </c>
      <c r="E39" s="102" t="s">
        <v>94</v>
      </c>
      <c r="F39" s="102" t="s">
        <v>91</v>
      </c>
      <c r="G39" s="102" t="s">
        <v>28706</v>
      </c>
      <c r="H39" s="102" t="s">
        <v>28707</v>
      </c>
      <c r="I39" s="102" t="s">
        <v>100</v>
      </c>
      <c r="J39" s="102" t="s">
        <v>95</v>
      </c>
      <c r="K39" s="102" t="s">
        <v>25687</v>
      </c>
      <c r="L39" s="102" t="s">
        <v>25607</v>
      </c>
      <c r="M39" s="102" t="s">
        <v>12</v>
      </c>
      <c r="N39" s="102">
        <v>832</v>
      </c>
      <c r="S39" t="str">
        <f t="shared" si="13"/>
        <v>91-649-17-00</v>
      </c>
      <c r="T39" s="129" t="s">
        <v>25308</v>
      </c>
      <c r="U39" s="112">
        <v>240</v>
      </c>
    </row>
    <row r="40" spans="1:21" x14ac:dyDescent="0.2">
      <c r="A40" s="102" t="s">
        <v>28459</v>
      </c>
      <c r="B40" s="102" t="s">
        <v>28606</v>
      </c>
      <c r="C40" s="102" t="s">
        <v>46</v>
      </c>
      <c r="D40" s="102" t="s">
        <v>92</v>
      </c>
      <c r="E40" s="102" t="s">
        <v>94</v>
      </c>
      <c r="F40" s="102" t="s">
        <v>91</v>
      </c>
      <c r="G40" s="102" t="s">
        <v>28706</v>
      </c>
      <c r="H40" s="102" t="s">
        <v>28714</v>
      </c>
      <c r="I40" s="102" t="s">
        <v>28</v>
      </c>
      <c r="J40" s="102" t="s">
        <v>95</v>
      </c>
      <c r="K40" s="102" t="s">
        <v>25687</v>
      </c>
      <c r="L40" s="102" t="s">
        <v>25607</v>
      </c>
      <c r="M40" s="102" t="s">
        <v>12</v>
      </c>
      <c r="N40" s="102">
        <v>832</v>
      </c>
      <c r="S40" t="str">
        <f t="shared" si="13"/>
        <v>91-650-08-00</v>
      </c>
      <c r="T40" s="129" t="s">
        <v>25308</v>
      </c>
      <c r="U40" s="112">
        <v>290</v>
      </c>
    </row>
    <row r="41" spans="1:21" x14ac:dyDescent="0.2">
      <c r="A41" s="102" t="s">
        <v>28460</v>
      </c>
      <c r="B41" s="102" t="s">
        <v>28606</v>
      </c>
      <c r="C41" s="102" t="s">
        <v>46</v>
      </c>
      <c r="D41" s="102" t="s">
        <v>92</v>
      </c>
      <c r="E41" s="102" t="s">
        <v>94</v>
      </c>
      <c r="F41" s="102" t="s">
        <v>91</v>
      </c>
      <c r="G41" s="102" t="s">
        <v>28706</v>
      </c>
      <c r="H41" s="102" t="s">
        <v>28709</v>
      </c>
      <c r="I41" s="102" t="s">
        <v>23</v>
      </c>
      <c r="J41" s="102" t="s">
        <v>95</v>
      </c>
      <c r="K41" s="102" t="s">
        <v>25687</v>
      </c>
      <c r="L41" s="102" t="s">
        <v>25607</v>
      </c>
      <c r="M41" s="102" t="s">
        <v>12</v>
      </c>
      <c r="N41" s="102">
        <v>832</v>
      </c>
      <c r="S41" t="str">
        <f t="shared" ref="S41:S42" si="14">A41&amp;"-"&amp;T41</f>
        <v>91-650-16-00</v>
      </c>
      <c r="T41" s="129" t="s">
        <v>25308</v>
      </c>
      <c r="U41" s="112">
        <v>144</v>
      </c>
    </row>
    <row r="42" spans="1:21" x14ac:dyDescent="0.2">
      <c r="A42" s="102" t="s">
        <v>28461</v>
      </c>
      <c r="B42" s="102" t="s">
        <v>28607</v>
      </c>
      <c r="C42" s="102" t="s">
        <v>46</v>
      </c>
      <c r="D42" s="102" t="s">
        <v>92</v>
      </c>
      <c r="E42" s="102" t="s">
        <v>94</v>
      </c>
      <c r="F42" s="102" t="s">
        <v>91</v>
      </c>
      <c r="G42" s="102" t="s">
        <v>28706</v>
      </c>
      <c r="H42" s="102" t="s">
        <v>28711</v>
      </c>
      <c r="I42" s="102" t="s">
        <v>1</v>
      </c>
      <c r="J42" s="102" t="s">
        <v>95</v>
      </c>
      <c r="K42" s="102" t="s">
        <v>25687</v>
      </c>
      <c r="L42" s="102" t="s">
        <v>25607</v>
      </c>
      <c r="M42" s="102" t="s">
        <v>12</v>
      </c>
      <c r="N42" s="102">
        <v>832</v>
      </c>
      <c r="S42" t="str">
        <f t="shared" si="14"/>
        <v>91-651-09-00</v>
      </c>
      <c r="T42" s="129" t="s">
        <v>25308</v>
      </c>
      <c r="U42" s="112">
        <v>146</v>
      </c>
    </row>
    <row r="43" spans="1:21" x14ac:dyDescent="0.2">
      <c r="A43" s="102" t="s">
        <v>28462</v>
      </c>
      <c r="B43" s="102" t="s">
        <v>28607</v>
      </c>
      <c r="C43" s="102" t="s">
        <v>46</v>
      </c>
      <c r="D43" s="102" t="s">
        <v>92</v>
      </c>
      <c r="E43" s="102" t="s">
        <v>94</v>
      </c>
      <c r="F43" s="102" t="s">
        <v>91</v>
      </c>
      <c r="G43" s="102" t="s">
        <v>28706</v>
      </c>
      <c r="H43" s="102" t="s">
        <v>28707</v>
      </c>
      <c r="I43" s="102" t="s">
        <v>100</v>
      </c>
      <c r="J43" s="102" t="s">
        <v>95</v>
      </c>
      <c r="K43" s="102" t="s">
        <v>25687</v>
      </c>
      <c r="L43" s="102" t="s">
        <v>25607</v>
      </c>
      <c r="M43" s="102" t="s">
        <v>12</v>
      </c>
      <c r="N43" s="102">
        <v>832</v>
      </c>
      <c r="S43" t="str">
        <f t="shared" ref="S43:S45" si="15">A43&amp;"-"&amp;T43</f>
        <v>91-651-17-00</v>
      </c>
      <c r="T43" s="129" t="s">
        <v>25308</v>
      </c>
      <c r="U43" s="112">
        <v>290</v>
      </c>
    </row>
    <row r="44" spans="1:21" x14ac:dyDescent="0.2">
      <c r="A44" s="102" t="s">
        <v>28463</v>
      </c>
      <c r="B44" s="102" t="s">
        <v>28608</v>
      </c>
      <c r="C44" s="102" t="s">
        <v>46</v>
      </c>
      <c r="D44" s="102" t="s">
        <v>92</v>
      </c>
      <c r="E44" s="102" t="s">
        <v>94</v>
      </c>
      <c r="F44" s="102" t="s">
        <v>91</v>
      </c>
      <c r="G44" s="102" t="s">
        <v>28706</v>
      </c>
      <c r="H44" s="102" t="s">
        <v>28711</v>
      </c>
      <c r="I44" s="102" t="s">
        <v>1</v>
      </c>
      <c r="J44" s="102" t="s">
        <v>95</v>
      </c>
      <c r="K44" s="102" t="s">
        <v>25687</v>
      </c>
      <c r="L44" s="102" t="s">
        <v>25607</v>
      </c>
      <c r="M44" s="102" t="s">
        <v>12</v>
      </c>
      <c r="N44" s="102">
        <v>832</v>
      </c>
      <c r="S44" t="str">
        <f t="shared" si="15"/>
        <v>91-652-09-00</v>
      </c>
      <c r="T44" s="129" t="s">
        <v>25308</v>
      </c>
      <c r="U44" s="112">
        <v>144</v>
      </c>
    </row>
    <row r="45" spans="1:21" x14ac:dyDescent="0.2">
      <c r="A45" s="102" t="s">
        <v>28464</v>
      </c>
      <c r="B45" s="102" t="s">
        <v>28608</v>
      </c>
      <c r="C45" s="102" t="s">
        <v>46</v>
      </c>
      <c r="D45" s="102" t="s">
        <v>92</v>
      </c>
      <c r="E45" s="102" t="s">
        <v>94</v>
      </c>
      <c r="F45" s="102" t="s">
        <v>91</v>
      </c>
      <c r="G45" s="102" t="s">
        <v>28706</v>
      </c>
      <c r="H45" s="102" t="s">
        <v>28707</v>
      </c>
      <c r="I45" s="102" t="s">
        <v>100</v>
      </c>
      <c r="J45" s="102" t="s">
        <v>95</v>
      </c>
      <c r="K45" s="102" t="s">
        <v>25687</v>
      </c>
      <c r="L45" s="102" t="s">
        <v>25607</v>
      </c>
      <c r="M45" s="102" t="s">
        <v>12</v>
      </c>
      <c r="N45" s="102">
        <v>832</v>
      </c>
      <c r="S45" t="str">
        <f t="shared" si="15"/>
        <v>91-652-17-00</v>
      </c>
      <c r="T45" s="129" t="s">
        <v>25308</v>
      </c>
      <c r="U45" s="112">
        <v>314</v>
      </c>
    </row>
    <row r="46" spans="1:21" x14ac:dyDescent="0.2">
      <c r="A46" s="102" t="s">
        <v>28465</v>
      </c>
      <c r="B46" s="102" t="s">
        <v>28609</v>
      </c>
      <c r="C46" s="102" t="s">
        <v>46</v>
      </c>
      <c r="D46" s="102" t="s">
        <v>92</v>
      </c>
      <c r="E46" s="102" t="s">
        <v>94</v>
      </c>
      <c r="F46" s="102" t="s">
        <v>91</v>
      </c>
      <c r="G46" s="102" t="s">
        <v>28706</v>
      </c>
      <c r="H46" s="102" t="s">
        <v>28711</v>
      </c>
      <c r="I46" s="102" t="s">
        <v>1</v>
      </c>
      <c r="J46" s="102" t="s">
        <v>95</v>
      </c>
      <c r="K46" s="102" t="s">
        <v>25687</v>
      </c>
      <c r="L46" s="102" t="s">
        <v>25607</v>
      </c>
      <c r="M46" s="102" t="s">
        <v>12</v>
      </c>
      <c r="N46" s="102">
        <v>832</v>
      </c>
      <c r="S46" t="str">
        <f t="shared" ref="S46:S48" si="16">A46&amp;"-"&amp;T46</f>
        <v>91-653-09-00</v>
      </c>
      <c r="T46" s="129" t="s">
        <v>25308</v>
      </c>
      <c r="U46" s="112">
        <v>436</v>
      </c>
    </row>
    <row r="47" spans="1:21" x14ac:dyDescent="0.2">
      <c r="A47" s="102" t="s">
        <v>28466</v>
      </c>
      <c r="B47" s="102" t="s">
        <v>28609</v>
      </c>
      <c r="C47" s="102" t="s">
        <v>46</v>
      </c>
      <c r="D47" s="102" t="s">
        <v>92</v>
      </c>
      <c r="E47" s="102" t="s">
        <v>94</v>
      </c>
      <c r="F47" s="102" t="s">
        <v>91</v>
      </c>
      <c r="G47" s="102" t="s">
        <v>28706</v>
      </c>
      <c r="H47" s="102" t="s">
        <v>28707</v>
      </c>
      <c r="I47" s="102" t="s">
        <v>100</v>
      </c>
      <c r="J47" s="102" t="s">
        <v>95</v>
      </c>
      <c r="K47" s="102" t="s">
        <v>25687</v>
      </c>
      <c r="L47" s="102" t="s">
        <v>25607</v>
      </c>
      <c r="M47" s="102" t="s">
        <v>12</v>
      </c>
      <c r="N47" s="102">
        <v>832</v>
      </c>
      <c r="S47" t="str">
        <f t="shared" si="16"/>
        <v>91-653-17-00</v>
      </c>
      <c r="T47" s="129" t="s">
        <v>25308</v>
      </c>
      <c r="U47" s="112">
        <v>266</v>
      </c>
    </row>
    <row r="48" spans="1:21" x14ac:dyDescent="0.2">
      <c r="A48" s="102" t="s">
        <v>28467</v>
      </c>
      <c r="B48" s="102" t="s">
        <v>28610</v>
      </c>
      <c r="C48" s="102" t="s">
        <v>46</v>
      </c>
      <c r="D48" s="102" t="s">
        <v>92</v>
      </c>
      <c r="E48" s="102" t="s">
        <v>94</v>
      </c>
      <c r="F48" s="102" t="s">
        <v>91</v>
      </c>
      <c r="G48" s="102" t="s">
        <v>28706</v>
      </c>
      <c r="H48" s="102" t="s">
        <v>28718</v>
      </c>
      <c r="I48" s="102" t="s">
        <v>27</v>
      </c>
      <c r="J48" s="102" t="s">
        <v>95</v>
      </c>
      <c r="K48" s="102" t="s">
        <v>25687</v>
      </c>
      <c r="L48" s="102" t="s">
        <v>25607</v>
      </c>
      <c r="M48" s="102" t="s">
        <v>12</v>
      </c>
      <c r="N48" s="102">
        <v>832</v>
      </c>
      <c r="S48" t="str">
        <f t="shared" si="16"/>
        <v>91-654-06-00</v>
      </c>
      <c r="T48" s="129" t="s">
        <v>25308</v>
      </c>
      <c r="U48" s="112">
        <v>168</v>
      </c>
    </row>
    <row r="49" spans="1:21" x14ac:dyDescent="0.2">
      <c r="A49" s="102" t="s">
        <v>28468</v>
      </c>
      <c r="B49" s="102" t="s">
        <v>28610</v>
      </c>
      <c r="C49" s="102" t="s">
        <v>46</v>
      </c>
      <c r="D49" s="102" t="s">
        <v>92</v>
      </c>
      <c r="E49" s="102" t="s">
        <v>94</v>
      </c>
      <c r="F49" s="102" t="s">
        <v>91</v>
      </c>
      <c r="G49" s="102" t="s">
        <v>28706</v>
      </c>
      <c r="H49" s="102" t="s">
        <v>28722</v>
      </c>
      <c r="I49" s="102" t="s">
        <v>28723</v>
      </c>
      <c r="J49" s="102" t="s">
        <v>95</v>
      </c>
      <c r="K49" s="102" t="s">
        <v>25687</v>
      </c>
      <c r="L49" s="102" t="s">
        <v>25607</v>
      </c>
      <c r="M49" s="102" t="s">
        <v>12</v>
      </c>
      <c r="N49" s="102">
        <v>832</v>
      </c>
      <c r="S49" t="str">
        <f t="shared" ref="S49:S50" si="17">A49&amp;"-"&amp;T49</f>
        <v>91-654-35-00</v>
      </c>
      <c r="T49" s="129" t="s">
        <v>25308</v>
      </c>
      <c r="U49" s="112">
        <v>144</v>
      </c>
    </row>
    <row r="50" spans="1:21" x14ac:dyDescent="0.2">
      <c r="A50" s="102" t="s">
        <v>28469</v>
      </c>
      <c r="B50" s="102" t="s">
        <v>28610</v>
      </c>
      <c r="C50" s="102" t="s">
        <v>46</v>
      </c>
      <c r="D50" s="102" t="s">
        <v>92</v>
      </c>
      <c r="E50" s="102" t="s">
        <v>94</v>
      </c>
      <c r="F50" s="102" t="s">
        <v>91</v>
      </c>
      <c r="G50" s="102" t="s">
        <v>28706</v>
      </c>
      <c r="H50" s="102" t="s">
        <v>28707</v>
      </c>
      <c r="I50" s="102" t="s">
        <v>171</v>
      </c>
      <c r="J50" s="102" t="s">
        <v>95</v>
      </c>
      <c r="K50" s="102" t="s">
        <v>25687</v>
      </c>
      <c r="L50" s="102" t="s">
        <v>25607</v>
      </c>
      <c r="M50" s="102" t="s">
        <v>12</v>
      </c>
      <c r="N50" s="102">
        <v>832</v>
      </c>
      <c r="S50" t="str">
        <f t="shared" si="17"/>
        <v>91-654-72-00</v>
      </c>
      <c r="T50" s="129" t="s">
        <v>25308</v>
      </c>
      <c r="U50" s="112">
        <v>360</v>
      </c>
    </row>
    <row r="51" spans="1:21" x14ac:dyDescent="0.2">
      <c r="A51" s="102" t="s">
        <v>28470</v>
      </c>
      <c r="B51" s="102" t="s">
        <v>28611</v>
      </c>
      <c r="C51" s="102" t="s">
        <v>46</v>
      </c>
      <c r="D51" s="102" t="s">
        <v>92</v>
      </c>
      <c r="E51" s="102" t="s">
        <v>94</v>
      </c>
      <c r="F51" s="102" t="s">
        <v>91</v>
      </c>
      <c r="G51" s="102" t="s">
        <v>28706</v>
      </c>
      <c r="H51" s="102" t="s">
        <v>28707</v>
      </c>
      <c r="I51" s="102" t="s">
        <v>28724</v>
      </c>
      <c r="J51" s="102" t="s">
        <v>95</v>
      </c>
      <c r="K51" s="102" t="s">
        <v>25687</v>
      </c>
      <c r="L51" s="102" t="s">
        <v>25607</v>
      </c>
      <c r="M51" s="102" t="s">
        <v>12</v>
      </c>
      <c r="N51" s="102">
        <v>832</v>
      </c>
      <c r="S51" t="str">
        <f t="shared" ref="S51:S53" si="18">A51&amp;"-"&amp;T51</f>
        <v>91-655-00-00</v>
      </c>
      <c r="T51" s="129" t="s">
        <v>25308</v>
      </c>
      <c r="U51" s="112">
        <v>144</v>
      </c>
    </row>
    <row r="52" spans="1:21" x14ac:dyDescent="0.2">
      <c r="A52" s="102" t="s">
        <v>28471</v>
      </c>
      <c r="B52" s="102" t="s">
        <v>28612</v>
      </c>
      <c r="C52" s="102" t="s">
        <v>46</v>
      </c>
      <c r="D52" s="102" t="s">
        <v>92</v>
      </c>
      <c r="E52" s="102" t="s">
        <v>94</v>
      </c>
      <c r="F52" s="102" t="s">
        <v>91</v>
      </c>
      <c r="G52" s="102" t="s">
        <v>28706</v>
      </c>
      <c r="H52" s="102" t="s">
        <v>28718</v>
      </c>
      <c r="I52" s="102" t="s">
        <v>27</v>
      </c>
      <c r="J52" s="102" t="s">
        <v>95</v>
      </c>
      <c r="K52" s="102" t="s">
        <v>25687</v>
      </c>
      <c r="L52" s="102" t="s">
        <v>25607</v>
      </c>
      <c r="M52" s="102" t="s">
        <v>12</v>
      </c>
      <c r="N52" s="102">
        <v>832</v>
      </c>
      <c r="S52" t="str">
        <f t="shared" si="18"/>
        <v>91-656-06-00</v>
      </c>
      <c r="T52" s="129" t="s">
        <v>25308</v>
      </c>
      <c r="U52" s="112">
        <v>240</v>
      </c>
    </row>
    <row r="53" spans="1:21" x14ac:dyDescent="0.2">
      <c r="A53" s="102" t="s">
        <v>28472</v>
      </c>
      <c r="B53" s="102" t="s">
        <v>28613</v>
      </c>
      <c r="C53" s="102" t="s">
        <v>46</v>
      </c>
      <c r="D53" s="102" t="s">
        <v>92</v>
      </c>
      <c r="E53" s="102" t="s">
        <v>94</v>
      </c>
      <c r="F53" s="102" t="s">
        <v>91</v>
      </c>
      <c r="G53" s="102" t="s">
        <v>28706</v>
      </c>
      <c r="H53" s="102" t="s">
        <v>28711</v>
      </c>
      <c r="I53" s="102" t="s">
        <v>1</v>
      </c>
      <c r="J53" s="102" t="s">
        <v>95</v>
      </c>
      <c r="K53" s="102" t="s">
        <v>25687</v>
      </c>
      <c r="L53" s="102" t="s">
        <v>25607</v>
      </c>
      <c r="M53" s="102" t="s">
        <v>12</v>
      </c>
      <c r="N53" s="102">
        <v>832</v>
      </c>
      <c r="S53" t="str">
        <f t="shared" si="18"/>
        <v>91-657-09-00</v>
      </c>
      <c r="T53" s="129" t="s">
        <v>25308</v>
      </c>
      <c r="U53" s="112">
        <v>336</v>
      </c>
    </row>
    <row r="54" spans="1:21" x14ac:dyDescent="0.2">
      <c r="A54" s="102" t="s">
        <v>28473</v>
      </c>
      <c r="B54" s="102" t="s">
        <v>28614</v>
      </c>
      <c r="C54" s="102" t="s">
        <v>46</v>
      </c>
      <c r="D54" s="102" t="s">
        <v>92</v>
      </c>
      <c r="E54" s="102" t="s">
        <v>94</v>
      </c>
      <c r="F54" s="102" t="s">
        <v>91</v>
      </c>
      <c r="G54" s="102" t="s">
        <v>28706</v>
      </c>
      <c r="H54" s="102" t="s">
        <v>28710</v>
      </c>
      <c r="I54" s="102" t="s">
        <v>58</v>
      </c>
      <c r="J54" s="102" t="s">
        <v>95</v>
      </c>
      <c r="K54" s="102" t="s">
        <v>25687</v>
      </c>
      <c r="L54" s="102" t="s">
        <v>25607</v>
      </c>
      <c r="M54" s="102" t="s">
        <v>12</v>
      </c>
      <c r="N54" s="102">
        <v>832</v>
      </c>
      <c r="S54" t="str">
        <f t="shared" ref="S54:S56" si="19">A54&amp;"-"&amp;T54</f>
        <v>91-658-03-00</v>
      </c>
      <c r="T54" s="129" t="s">
        <v>25308</v>
      </c>
      <c r="U54" s="112">
        <v>144</v>
      </c>
    </row>
    <row r="55" spans="1:21" x14ac:dyDescent="0.2">
      <c r="A55" s="102" t="s">
        <v>28474</v>
      </c>
      <c r="B55" s="102" t="s">
        <v>28615</v>
      </c>
      <c r="C55" s="102" t="s">
        <v>46</v>
      </c>
      <c r="D55" s="102" t="s">
        <v>92</v>
      </c>
      <c r="E55" s="102" t="s">
        <v>94</v>
      </c>
      <c r="F55" s="102" t="s">
        <v>91</v>
      </c>
      <c r="G55" s="102" t="s">
        <v>28706</v>
      </c>
      <c r="H55" s="102" t="s">
        <v>28710</v>
      </c>
      <c r="I55" s="102" t="s">
        <v>25441</v>
      </c>
      <c r="J55" s="102" t="s">
        <v>95</v>
      </c>
      <c r="K55" s="102" t="s">
        <v>25687</v>
      </c>
      <c r="L55" s="102" t="s">
        <v>25607</v>
      </c>
      <c r="M55" s="102" t="s">
        <v>12</v>
      </c>
      <c r="N55" s="102">
        <v>832</v>
      </c>
      <c r="S55" t="str">
        <f t="shared" si="19"/>
        <v>91-659-73-00</v>
      </c>
      <c r="T55" s="129" t="s">
        <v>25308</v>
      </c>
      <c r="U55" s="112">
        <v>168</v>
      </c>
    </row>
    <row r="56" spans="1:21" x14ac:dyDescent="0.2">
      <c r="A56" s="102" t="s">
        <v>28475</v>
      </c>
      <c r="B56" s="102" t="s">
        <v>28616</v>
      </c>
      <c r="C56" s="102" t="s">
        <v>46</v>
      </c>
      <c r="D56" s="102" t="s">
        <v>92</v>
      </c>
      <c r="E56" s="102" t="s">
        <v>94</v>
      </c>
      <c r="F56" s="102" t="s">
        <v>91</v>
      </c>
      <c r="G56" s="102" t="s">
        <v>28706</v>
      </c>
      <c r="H56" s="102" t="s">
        <v>28717</v>
      </c>
      <c r="I56" s="102" t="s">
        <v>96</v>
      </c>
      <c r="J56" s="102" t="s">
        <v>95</v>
      </c>
      <c r="K56" s="102" t="s">
        <v>25687</v>
      </c>
      <c r="L56" s="102" t="s">
        <v>25607</v>
      </c>
      <c r="M56" s="102" t="s">
        <v>12</v>
      </c>
      <c r="N56" s="102">
        <v>832</v>
      </c>
      <c r="S56" t="str">
        <f t="shared" si="19"/>
        <v>91-660-12-00</v>
      </c>
      <c r="T56" s="129" t="s">
        <v>25308</v>
      </c>
      <c r="U56" s="112">
        <v>192</v>
      </c>
    </row>
    <row r="57" spans="1:21" x14ac:dyDescent="0.2">
      <c r="A57" s="102" t="s">
        <v>28476</v>
      </c>
      <c r="B57" s="102" t="s">
        <v>28617</v>
      </c>
      <c r="C57" s="102" t="s">
        <v>46</v>
      </c>
      <c r="D57" s="102" t="s">
        <v>92</v>
      </c>
      <c r="E57" s="102" t="s">
        <v>94</v>
      </c>
      <c r="F57" s="102" t="s">
        <v>91</v>
      </c>
      <c r="G57" s="102" t="s">
        <v>28706</v>
      </c>
      <c r="H57" s="102" t="s">
        <v>28709</v>
      </c>
      <c r="I57" s="102" t="s">
        <v>23</v>
      </c>
      <c r="J57" s="102" t="s">
        <v>95</v>
      </c>
      <c r="K57" s="102" t="s">
        <v>25687</v>
      </c>
      <c r="L57" s="102" t="s">
        <v>25607</v>
      </c>
      <c r="M57" s="102" t="s">
        <v>12</v>
      </c>
      <c r="N57" s="102">
        <v>832</v>
      </c>
      <c r="S57" t="str">
        <f t="shared" ref="S57:S58" si="20">A57&amp;"-"&amp;T57</f>
        <v>91-661-16-00</v>
      </c>
      <c r="T57" s="129" t="s">
        <v>25308</v>
      </c>
      <c r="U57" s="112">
        <v>144</v>
      </c>
    </row>
    <row r="58" spans="1:21" x14ac:dyDescent="0.2">
      <c r="A58" s="102" t="s">
        <v>28477</v>
      </c>
      <c r="B58" s="102" t="s">
        <v>28618</v>
      </c>
      <c r="C58" s="102" t="s">
        <v>46</v>
      </c>
      <c r="D58" s="102" t="s">
        <v>92</v>
      </c>
      <c r="E58" s="102" t="s">
        <v>94</v>
      </c>
      <c r="F58" s="102" t="s">
        <v>91</v>
      </c>
      <c r="G58" s="102" t="s">
        <v>28706</v>
      </c>
      <c r="H58" s="102" t="s">
        <v>28711</v>
      </c>
      <c r="I58" s="102" t="s">
        <v>1</v>
      </c>
      <c r="J58" s="102" t="s">
        <v>95</v>
      </c>
      <c r="K58" s="102" t="s">
        <v>25687</v>
      </c>
      <c r="L58" s="102" t="s">
        <v>25607</v>
      </c>
      <c r="M58" s="102" t="s">
        <v>12</v>
      </c>
      <c r="N58" s="102">
        <v>832</v>
      </c>
      <c r="S58" t="str">
        <f t="shared" si="20"/>
        <v>91-662-09-00</v>
      </c>
      <c r="T58" s="129" t="s">
        <v>25308</v>
      </c>
      <c r="U58" s="112">
        <v>288</v>
      </c>
    </row>
    <row r="59" spans="1:21" x14ac:dyDescent="0.2">
      <c r="A59" s="102" t="s">
        <v>28478</v>
      </c>
      <c r="B59" s="102" t="s">
        <v>28618</v>
      </c>
      <c r="C59" s="102" t="s">
        <v>46</v>
      </c>
      <c r="D59" s="102" t="s">
        <v>92</v>
      </c>
      <c r="E59" s="102" t="s">
        <v>94</v>
      </c>
      <c r="F59" s="102" t="s">
        <v>91</v>
      </c>
      <c r="G59" s="102" t="s">
        <v>28706</v>
      </c>
      <c r="H59" s="102" t="s">
        <v>28718</v>
      </c>
      <c r="I59" s="102" t="s">
        <v>27</v>
      </c>
      <c r="J59" s="102" t="s">
        <v>95</v>
      </c>
      <c r="K59" s="102" t="s">
        <v>25687</v>
      </c>
      <c r="L59" s="102" t="s">
        <v>25607</v>
      </c>
      <c r="M59" s="102" t="s">
        <v>12</v>
      </c>
      <c r="N59" s="102">
        <v>832</v>
      </c>
      <c r="S59" t="str">
        <f t="shared" ref="S59:S61" si="21">A59&amp;"-"&amp;T59</f>
        <v>91-662-06-00</v>
      </c>
      <c r="T59" s="129" t="s">
        <v>25308</v>
      </c>
      <c r="U59" s="112">
        <v>288</v>
      </c>
    </row>
    <row r="60" spans="1:21" x14ac:dyDescent="0.2">
      <c r="A60" s="102" t="s">
        <v>28479</v>
      </c>
      <c r="B60" s="102" t="s">
        <v>28618</v>
      </c>
      <c r="C60" s="102" t="s">
        <v>46</v>
      </c>
      <c r="D60" s="102" t="s">
        <v>92</v>
      </c>
      <c r="E60" s="102" t="s">
        <v>94</v>
      </c>
      <c r="F60" s="102" t="s">
        <v>91</v>
      </c>
      <c r="G60" s="102" t="s">
        <v>28706</v>
      </c>
      <c r="H60" s="102" t="s">
        <v>28709</v>
      </c>
      <c r="I60" s="102" t="s">
        <v>23</v>
      </c>
      <c r="J60" s="102" t="s">
        <v>95</v>
      </c>
      <c r="K60" s="102" t="s">
        <v>25687</v>
      </c>
      <c r="L60" s="102" t="s">
        <v>25607</v>
      </c>
      <c r="M60" s="102" t="s">
        <v>12</v>
      </c>
      <c r="N60" s="102">
        <v>832</v>
      </c>
      <c r="S60" t="str">
        <f t="shared" si="21"/>
        <v>91-662-16-00</v>
      </c>
      <c r="T60" s="129" t="s">
        <v>25308</v>
      </c>
      <c r="U60" s="112">
        <v>600</v>
      </c>
    </row>
    <row r="61" spans="1:21" x14ac:dyDescent="0.2">
      <c r="A61" s="102" t="s">
        <v>28480</v>
      </c>
      <c r="B61" s="102" t="s">
        <v>28619</v>
      </c>
      <c r="C61" s="102" t="s">
        <v>46</v>
      </c>
      <c r="D61" s="102" t="s">
        <v>92</v>
      </c>
      <c r="E61" s="102" t="s">
        <v>94</v>
      </c>
      <c r="F61" s="102" t="s">
        <v>91</v>
      </c>
      <c r="G61" s="102" t="s">
        <v>28706</v>
      </c>
      <c r="H61" s="102" t="s">
        <v>28711</v>
      </c>
      <c r="I61" s="102" t="s">
        <v>1</v>
      </c>
      <c r="J61" s="102" t="s">
        <v>95</v>
      </c>
      <c r="K61" s="102" t="s">
        <v>25687</v>
      </c>
      <c r="L61" s="102" t="s">
        <v>25607</v>
      </c>
      <c r="M61" s="102" t="s">
        <v>12</v>
      </c>
      <c r="N61" s="102">
        <v>717.6</v>
      </c>
      <c r="S61" t="str">
        <f t="shared" si="21"/>
        <v>91-663-09-00</v>
      </c>
      <c r="T61" s="129" t="s">
        <v>25308</v>
      </c>
      <c r="U61" s="112">
        <v>216</v>
      </c>
    </row>
    <row r="62" spans="1:21" x14ac:dyDescent="0.2">
      <c r="A62" s="102" t="s">
        <v>28481</v>
      </c>
      <c r="B62" s="102" t="s">
        <v>28619</v>
      </c>
      <c r="C62" s="102" t="s">
        <v>46</v>
      </c>
      <c r="D62" s="102" t="s">
        <v>92</v>
      </c>
      <c r="E62" s="102" t="s">
        <v>94</v>
      </c>
      <c r="F62" s="102" t="s">
        <v>91</v>
      </c>
      <c r="G62" s="102" t="s">
        <v>28706</v>
      </c>
      <c r="H62" s="102" t="s">
        <v>28709</v>
      </c>
      <c r="I62" s="102" t="s">
        <v>23</v>
      </c>
      <c r="J62" s="102" t="s">
        <v>95</v>
      </c>
      <c r="K62" s="102" t="s">
        <v>25687</v>
      </c>
      <c r="L62" s="102" t="s">
        <v>25607</v>
      </c>
      <c r="M62" s="102" t="s">
        <v>12</v>
      </c>
      <c r="N62" s="102">
        <v>832</v>
      </c>
      <c r="S62" t="str">
        <f t="shared" ref="S62:S64" si="22">A62&amp;"-"&amp;T62</f>
        <v>91-663-16-00</v>
      </c>
      <c r="T62" s="129" t="s">
        <v>25308</v>
      </c>
      <c r="U62" s="112">
        <v>144</v>
      </c>
    </row>
    <row r="63" spans="1:21" x14ac:dyDescent="0.2">
      <c r="A63" s="102" t="s">
        <v>28482</v>
      </c>
      <c r="B63" s="102" t="s">
        <v>28619</v>
      </c>
      <c r="C63" s="102" t="s">
        <v>46</v>
      </c>
      <c r="D63" s="102" t="s">
        <v>92</v>
      </c>
      <c r="E63" s="102" t="s">
        <v>94</v>
      </c>
      <c r="F63" s="102" t="s">
        <v>91</v>
      </c>
      <c r="G63" s="102" t="s">
        <v>28706</v>
      </c>
      <c r="H63" s="102" t="s">
        <v>28710</v>
      </c>
      <c r="I63" s="102" t="s">
        <v>58</v>
      </c>
      <c r="J63" s="102" t="s">
        <v>95</v>
      </c>
      <c r="K63" s="102" t="s">
        <v>25687</v>
      </c>
      <c r="L63" s="102" t="s">
        <v>25607</v>
      </c>
      <c r="M63" s="102" t="s">
        <v>12</v>
      </c>
      <c r="N63" s="102">
        <v>832</v>
      </c>
      <c r="S63" t="str">
        <f t="shared" si="22"/>
        <v>91-663-03-00</v>
      </c>
      <c r="T63" s="129" t="s">
        <v>25308</v>
      </c>
      <c r="U63" s="112">
        <v>144</v>
      </c>
    </row>
    <row r="64" spans="1:21" x14ac:dyDescent="0.2">
      <c r="A64" s="102" t="s">
        <v>28483</v>
      </c>
      <c r="B64" s="102" t="s">
        <v>28620</v>
      </c>
      <c r="C64" s="102" t="s">
        <v>46</v>
      </c>
      <c r="D64" s="102" t="s">
        <v>92</v>
      </c>
      <c r="E64" s="102" t="s">
        <v>94</v>
      </c>
      <c r="F64" s="102" t="s">
        <v>91</v>
      </c>
      <c r="G64" s="102" t="s">
        <v>28706</v>
      </c>
      <c r="H64" s="102" t="s">
        <v>28714</v>
      </c>
      <c r="I64" s="102" t="s">
        <v>26</v>
      </c>
      <c r="J64" s="102" t="s">
        <v>95</v>
      </c>
      <c r="K64" s="102" t="s">
        <v>25687</v>
      </c>
      <c r="L64" s="102" t="s">
        <v>25607</v>
      </c>
      <c r="M64" s="102" t="s">
        <v>12</v>
      </c>
      <c r="N64" s="102">
        <v>832</v>
      </c>
      <c r="S64" t="str">
        <f t="shared" si="22"/>
        <v>91-664-05-00</v>
      </c>
      <c r="T64" s="129" t="s">
        <v>25308</v>
      </c>
      <c r="U64" s="112">
        <v>336</v>
      </c>
    </row>
    <row r="65" spans="1:21" x14ac:dyDescent="0.2">
      <c r="A65" s="102" t="s">
        <v>28484</v>
      </c>
      <c r="B65" s="102" t="s">
        <v>28621</v>
      </c>
      <c r="C65" s="102" t="s">
        <v>46</v>
      </c>
      <c r="D65" s="102" t="s">
        <v>92</v>
      </c>
      <c r="E65" s="102" t="s">
        <v>94</v>
      </c>
      <c r="F65" s="102" t="s">
        <v>91</v>
      </c>
      <c r="G65" s="102" t="s">
        <v>28706</v>
      </c>
      <c r="H65" s="102" t="s">
        <v>28714</v>
      </c>
      <c r="I65" s="102" t="s">
        <v>25472</v>
      </c>
      <c r="J65" s="102" t="s">
        <v>28740</v>
      </c>
      <c r="L65" s="102" t="s">
        <v>25607</v>
      </c>
      <c r="M65" s="102" t="s">
        <v>12</v>
      </c>
      <c r="N65" s="102">
        <v>936.00000000000011</v>
      </c>
      <c r="S65" t="str">
        <f t="shared" ref="S65:S66" si="23">A65&amp;"-"&amp;T65</f>
        <v>91-665-01-00</v>
      </c>
      <c r="T65" s="129" t="s">
        <v>25308</v>
      </c>
      <c r="U65" s="112">
        <v>432</v>
      </c>
    </row>
    <row r="66" spans="1:21" x14ac:dyDescent="0.2">
      <c r="A66" s="102" t="s">
        <v>28485</v>
      </c>
      <c r="B66" s="102" t="s">
        <v>28622</v>
      </c>
      <c r="C66" s="102" t="s">
        <v>46</v>
      </c>
      <c r="D66" s="102" t="s">
        <v>92</v>
      </c>
      <c r="E66" s="102" t="s">
        <v>94</v>
      </c>
      <c r="F66" s="102" t="s">
        <v>91</v>
      </c>
      <c r="G66" s="102" t="s">
        <v>28706</v>
      </c>
      <c r="H66" s="102" t="s">
        <v>28714</v>
      </c>
      <c r="I66" s="102" t="s">
        <v>28306</v>
      </c>
      <c r="J66" s="102" t="s">
        <v>95</v>
      </c>
      <c r="K66" s="102" t="s">
        <v>25687</v>
      </c>
      <c r="L66" s="102" t="s">
        <v>25607</v>
      </c>
      <c r="M66" s="102" t="s">
        <v>12</v>
      </c>
      <c r="N66" s="102">
        <v>832</v>
      </c>
      <c r="S66" t="str">
        <f t="shared" si="23"/>
        <v>91-666-08-00</v>
      </c>
      <c r="T66" s="129" t="s">
        <v>25308</v>
      </c>
      <c r="U66" s="112">
        <v>480</v>
      </c>
    </row>
    <row r="67" spans="1:21" x14ac:dyDescent="0.2">
      <c r="A67" s="102" t="s">
        <v>28486</v>
      </c>
      <c r="B67" s="102" t="s">
        <v>28623</v>
      </c>
      <c r="C67" s="102" t="s">
        <v>46</v>
      </c>
      <c r="D67" s="102" t="s">
        <v>92</v>
      </c>
      <c r="E67" s="102" t="s">
        <v>94</v>
      </c>
      <c r="F67" s="102" t="s">
        <v>91</v>
      </c>
      <c r="G67" s="102" t="s">
        <v>28706</v>
      </c>
      <c r="H67" s="102" t="s">
        <v>28711</v>
      </c>
      <c r="I67" s="102" t="s">
        <v>55</v>
      </c>
      <c r="J67" s="102" t="s">
        <v>95</v>
      </c>
      <c r="K67" s="102" t="s">
        <v>25687</v>
      </c>
      <c r="L67" s="102" t="s">
        <v>25607</v>
      </c>
      <c r="M67" s="102" t="s">
        <v>12</v>
      </c>
      <c r="N67" s="102">
        <v>832</v>
      </c>
      <c r="S67" t="str">
        <f t="shared" ref="S67:S69" si="24">A67&amp;"-"&amp;T67</f>
        <v>91-667-09-00</v>
      </c>
      <c r="T67" s="129" t="s">
        <v>25308</v>
      </c>
      <c r="U67" s="112">
        <v>144</v>
      </c>
    </row>
    <row r="68" spans="1:21" x14ac:dyDescent="0.2">
      <c r="A68" s="102" t="s">
        <v>28487</v>
      </c>
      <c r="B68" s="102" t="s">
        <v>28624</v>
      </c>
      <c r="C68" s="102" t="s">
        <v>46</v>
      </c>
      <c r="D68" s="102" t="s">
        <v>92</v>
      </c>
      <c r="E68" s="102" t="s">
        <v>94</v>
      </c>
      <c r="F68" s="102" t="s">
        <v>91</v>
      </c>
      <c r="G68" s="102" t="s">
        <v>28706</v>
      </c>
      <c r="H68" s="102" t="s">
        <v>28714</v>
      </c>
      <c r="I68" s="102" t="s">
        <v>25476</v>
      </c>
      <c r="J68" s="102" t="s">
        <v>95</v>
      </c>
      <c r="K68" s="102" t="s">
        <v>25687</v>
      </c>
      <c r="L68" s="102" t="s">
        <v>25607</v>
      </c>
      <c r="M68" s="102" t="s">
        <v>12</v>
      </c>
      <c r="N68" s="102">
        <v>832</v>
      </c>
      <c r="S68" t="str">
        <f t="shared" si="24"/>
        <v>91-668-00-00</v>
      </c>
      <c r="T68" s="129" t="s">
        <v>25308</v>
      </c>
      <c r="U68" s="112">
        <v>288</v>
      </c>
    </row>
    <row r="69" spans="1:21" x14ac:dyDescent="0.2">
      <c r="A69" s="102" t="s">
        <v>28488</v>
      </c>
      <c r="B69" s="102" t="s">
        <v>28625</v>
      </c>
      <c r="C69" s="102" t="s">
        <v>46</v>
      </c>
      <c r="D69" s="102" t="s">
        <v>92</v>
      </c>
      <c r="E69" s="102" t="s">
        <v>94</v>
      </c>
      <c r="F69" s="102" t="s">
        <v>91</v>
      </c>
      <c r="G69" s="102" t="s">
        <v>28706</v>
      </c>
      <c r="H69" s="102" t="s">
        <v>28707</v>
      </c>
      <c r="I69" s="102" t="s">
        <v>100</v>
      </c>
      <c r="J69" s="102" t="s">
        <v>28741</v>
      </c>
      <c r="L69" s="102" t="s">
        <v>25607</v>
      </c>
      <c r="M69" s="102" t="s">
        <v>12</v>
      </c>
      <c r="N69" s="102">
        <v>936.00000000000011</v>
      </c>
      <c r="S69" t="str">
        <f t="shared" si="24"/>
        <v>91-669-17-00</v>
      </c>
      <c r="T69" s="129" t="s">
        <v>25308</v>
      </c>
      <c r="U69" s="112">
        <v>192</v>
      </c>
    </row>
    <row r="70" spans="1:21" x14ac:dyDescent="0.2">
      <c r="A70" s="102" t="s">
        <v>28489</v>
      </c>
      <c r="B70" s="102" t="s">
        <v>28626</v>
      </c>
      <c r="C70" s="102" t="s">
        <v>46</v>
      </c>
      <c r="D70" s="102" t="s">
        <v>92</v>
      </c>
      <c r="E70" s="102" t="s">
        <v>94</v>
      </c>
      <c r="F70" s="102" t="s">
        <v>91</v>
      </c>
      <c r="G70" s="102" t="s">
        <v>28706</v>
      </c>
      <c r="H70" s="102" t="s">
        <v>28710</v>
      </c>
      <c r="I70" s="102" t="s">
        <v>58</v>
      </c>
      <c r="J70" s="102" t="s">
        <v>95</v>
      </c>
      <c r="K70" s="102" t="s">
        <v>25687</v>
      </c>
      <c r="L70" s="102" t="s">
        <v>25607</v>
      </c>
      <c r="M70" s="102" t="s">
        <v>12</v>
      </c>
      <c r="N70" s="102">
        <v>832</v>
      </c>
      <c r="S70" t="str">
        <f t="shared" ref="S70:S72" si="25">A70&amp;"-"&amp;T70</f>
        <v>91-670-03-00</v>
      </c>
      <c r="T70" s="129" t="s">
        <v>25308</v>
      </c>
      <c r="U70" s="112">
        <v>192</v>
      </c>
    </row>
    <row r="71" spans="1:21" x14ac:dyDescent="0.2">
      <c r="A71" s="102" t="s">
        <v>28490</v>
      </c>
      <c r="B71" s="102" t="s">
        <v>28627</v>
      </c>
      <c r="C71" s="102" t="s">
        <v>46</v>
      </c>
      <c r="D71" s="102" t="s">
        <v>92</v>
      </c>
      <c r="E71" s="102" t="s">
        <v>94</v>
      </c>
      <c r="F71" s="102" t="s">
        <v>91</v>
      </c>
      <c r="G71" s="102" t="s">
        <v>28706</v>
      </c>
      <c r="H71" s="102" t="s">
        <v>28715</v>
      </c>
      <c r="I71" s="102" t="s">
        <v>104</v>
      </c>
      <c r="J71" s="102" t="s">
        <v>95</v>
      </c>
      <c r="K71" s="102" t="s">
        <v>25687</v>
      </c>
      <c r="L71" s="102" t="s">
        <v>25607</v>
      </c>
      <c r="M71" s="102" t="s">
        <v>12</v>
      </c>
      <c r="N71" s="102">
        <v>832</v>
      </c>
      <c r="S71" t="str">
        <f t="shared" si="25"/>
        <v>91-671-00-00</v>
      </c>
      <c r="T71" s="129" t="s">
        <v>25308</v>
      </c>
      <c r="U71" s="112">
        <v>144</v>
      </c>
    </row>
    <row r="72" spans="1:21" x14ac:dyDescent="0.2">
      <c r="A72" s="102" t="s">
        <v>28491</v>
      </c>
      <c r="B72" s="102" t="s">
        <v>28627</v>
      </c>
      <c r="C72" s="102" t="s">
        <v>46</v>
      </c>
      <c r="D72" s="102" t="s">
        <v>92</v>
      </c>
      <c r="E72" s="102" t="s">
        <v>94</v>
      </c>
      <c r="F72" s="102" t="s">
        <v>91</v>
      </c>
      <c r="G72" s="102" t="s">
        <v>28706</v>
      </c>
      <c r="H72" s="102" t="s">
        <v>28714</v>
      </c>
      <c r="I72" s="102" t="s">
        <v>28</v>
      </c>
      <c r="J72" s="102" t="s">
        <v>95</v>
      </c>
      <c r="K72" s="102" t="s">
        <v>25687</v>
      </c>
      <c r="L72" s="102" t="s">
        <v>25607</v>
      </c>
      <c r="M72" s="102" t="s">
        <v>12</v>
      </c>
      <c r="N72" s="102">
        <v>832</v>
      </c>
      <c r="S72" t="str">
        <f t="shared" si="25"/>
        <v>91-671-08-00</v>
      </c>
      <c r="T72" s="129" t="s">
        <v>25308</v>
      </c>
      <c r="U72" s="112">
        <v>144</v>
      </c>
    </row>
    <row r="73" spans="1:21" x14ac:dyDescent="0.2">
      <c r="A73" s="102" t="s">
        <v>28492</v>
      </c>
      <c r="B73" s="102" t="s">
        <v>28628</v>
      </c>
      <c r="C73" s="102" t="s">
        <v>46</v>
      </c>
      <c r="D73" s="102" t="s">
        <v>92</v>
      </c>
      <c r="E73" s="102" t="s">
        <v>94</v>
      </c>
      <c r="F73" s="102" t="s">
        <v>91</v>
      </c>
      <c r="G73" s="102" t="s">
        <v>28706</v>
      </c>
      <c r="H73" s="102" t="s">
        <v>28711</v>
      </c>
      <c r="I73" s="102" t="s">
        <v>1</v>
      </c>
      <c r="J73" s="102" t="s">
        <v>95</v>
      </c>
      <c r="K73" s="102" t="s">
        <v>25687</v>
      </c>
      <c r="L73" s="102" t="s">
        <v>25607</v>
      </c>
      <c r="M73" s="102" t="s">
        <v>12</v>
      </c>
      <c r="N73" s="102">
        <v>936.00000000000011</v>
      </c>
      <c r="S73" t="str">
        <f t="shared" ref="S73:S74" si="26">A73&amp;"-"&amp;T73</f>
        <v>91-672-09-00</v>
      </c>
      <c r="T73" s="129" t="s">
        <v>25308</v>
      </c>
      <c r="U73" s="112">
        <v>144</v>
      </c>
    </row>
    <row r="74" spans="1:21" x14ac:dyDescent="0.2">
      <c r="A74" s="102" t="s">
        <v>28493</v>
      </c>
      <c r="B74" s="102" t="s">
        <v>28629</v>
      </c>
      <c r="C74" s="102" t="s">
        <v>46</v>
      </c>
      <c r="D74" s="102" t="s">
        <v>92</v>
      </c>
      <c r="E74" s="102" t="s">
        <v>94</v>
      </c>
      <c r="F74" s="102" t="s">
        <v>91</v>
      </c>
      <c r="G74" s="102" t="s">
        <v>28706</v>
      </c>
      <c r="H74" s="102" t="s">
        <v>28718</v>
      </c>
      <c r="I74" s="102" t="s">
        <v>97</v>
      </c>
      <c r="J74" s="102" t="s">
        <v>95</v>
      </c>
      <c r="K74" s="102" t="s">
        <v>25687</v>
      </c>
      <c r="L74" s="102" t="s">
        <v>25607</v>
      </c>
      <c r="M74" s="102" t="s">
        <v>12</v>
      </c>
      <c r="N74" s="102">
        <v>832</v>
      </c>
      <c r="S74" t="str">
        <f t="shared" si="26"/>
        <v>91-673-62-00</v>
      </c>
      <c r="T74" s="129" t="s">
        <v>25308</v>
      </c>
      <c r="U74" s="112">
        <v>408</v>
      </c>
    </row>
    <row r="75" spans="1:21" x14ac:dyDescent="0.2">
      <c r="A75" s="102" t="s">
        <v>28494</v>
      </c>
      <c r="B75" s="102" t="s">
        <v>28629</v>
      </c>
      <c r="C75" s="102" t="s">
        <v>46</v>
      </c>
      <c r="D75" s="102" t="s">
        <v>92</v>
      </c>
      <c r="E75" s="102" t="s">
        <v>94</v>
      </c>
      <c r="F75" s="102" t="s">
        <v>91</v>
      </c>
      <c r="G75" s="102" t="s">
        <v>28706</v>
      </c>
      <c r="H75" s="102" t="s">
        <v>28725</v>
      </c>
      <c r="I75" s="102" t="s">
        <v>25538</v>
      </c>
      <c r="J75" s="102" t="s">
        <v>95</v>
      </c>
      <c r="K75" s="102" t="s">
        <v>25687</v>
      </c>
      <c r="L75" s="102" t="s">
        <v>25607</v>
      </c>
      <c r="M75" s="102" t="s">
        <v>12</v>
      </c>
      <c r="N75" s="102">
        <v>832</v>
      </c>
      <c r="S75" t="str">
        <f t="shared" ref="S75:S77" si="27">A75&amp;"-"&amp;T75</f>
        <v>91-673-78-00</v>
      </c>
      <c r="T75" s="129" t="s">
        <v>25308</v>
      </c>
      <c r="U75" s="112">
        <v>144</v>
      </c>
    </row>
    <row r="76" spans="1:21" x14ac:dyDescent="0.2">
      <c r="A76" s="102" t="s">
        <v>28495</v>
      </c>
      <c r="B76" s="102" t="s">
        <v>28629</v>
      </c>
      <c r="C76" s="102" t="s">
        <v>46</v>
      </c>
      <c r="D76" s="102" t="s">
        <v>92</v>
      </c>
      <c r="E76" s="102" t="s">
        <v>94</v>
      </c>
      <c r="F76" s="102" t="s">
        <v>91</v>
      </c>
      <c r="G76" s="102" t="s">
        <v>28706</v>
      </c>
      <c r="H76" s="102" t="s">
        <v>28707</v>
      </c>
      <c r="I76" s="102" t="s">
        <v>100</v>
      </c>
      <c r="J76" s="102" t="s">
        <v>95</v>
      </c>
      <c r="K76" s="102" t="s">
        <v>25687</v>
      </c>
      <c r="L76" s="102" t="s">
        <v>25607</v>
      </c>
      <c r="M76" s="102" t="s">
        <v>12</v>
      </c>
      <c r="N76" s="102">
        <v>832</v>
      </c>
      <c r="S76" t="str">
        <f t="shared" si="27"/>
        <v>91-673-17-00</v>
      </c>
      <c r="T76" s="129" t="s">
        <v>25308</v>
      </c>
      <c r="U76" s="112">
        <v>600</v>
      </c>
    </row>
    <row r="77" spans="1:21" x14ac:dyDescent="0.2">
      <c r="A77" s="102" t="s">
        <v>28496</v>
      </c>
      <c r="B77" s="102" t="s">
        <v>28630</v>
      </c>
      <c r="C77" s="102" t="s">
        <v>46</v>
      </c>
      <c r="D77" s="102" t="s">
        <v>92</v>
      </c>
      <c r="E77" s="102" t="s">
        <v>94</v>
      </c>
      <c r="F77" s="102" t="s">
        <v>91</v>
      </c>
      <c r="G77" s="102" t="s">
        <v>28706</v>
      </c>
      <c r="H77" s="102" t="s">
        <v>28718</v>
      </c>
      <c r="I77" s="102" t="s">
        <v>27</v>
      </c>
      <c r="J77" s="102" t="s">
        <v>95</v>
      </c>
      <c r="K77" s="102" t="s">
        <v>25687</v>
      </c>
      <c r="L77" s="102" t="s">
        <v>25607</v>
      </c>
      <c r="M77" s="102" t="s">
        <v>12</v>
      </c>
      <c r="N77" s="102">
        <v>832</v>
      </c>
      <c r="S77" t="str">
        <f t="shared" si="27"/>
        <v>91-674-06-00</v>
      </c>
      <c r="T77" s="129" t="s">
        <v>25308</v>
      </c>
      <c r="U77" s="112">
        <v>168</v>
      </c>
    </row>
    <row r="78" spans="1:21" x14ac:dyDescent="0.2">
      <c r="A78" s="102" t="s">
        <v>28497</v>
      </c>
      <c r="B78" s="102" t="s">
        <v>28630</v>
      </c>
      <c r="C78" s="102" t="s">
        <v>46</v>
      </c>
      <c r="D78" s="102" t="s">
        <v>92</v>
      </c>
      <c r="E78" s="102" t="s">
        <v>94</v>
      </c>
      <c r="F78" s="102" t="s">
        <v>91</v>
      </c>
      <c r="G78" s="102" t="s">
        <v>28706</v>
      </c>
      <c r="H78" s="102" t="s">
        <v>28726</v>
      </c>
      <c r="I78" s="102" t="s">
        <v>42</v>
      </c>
      <c r="J78" s="102" t="s">
        <v>95</v>
      </c>
      <c r="K78" s="102" t="s">
        <v>25687</v>
      </c>
      <c r="L78" s="102" t="s">
        <v>25607</v>
      </c>
      <c r="M78" s="102" t="s">
        <v>12</v>
      </c>
      <c r="N78" s="102">
        <v>832</v>
      </c>
      <c r="S78" t="str">
        <f t="shared" ref="S78:S80" si="28">A78&amp;"-"&amp;T78</f>
        <v>91-674-53-00</v>
      </c>
      <c r="T78" s="129" t="s">
        <v>25308</v>
      </c>
      <c r="U78" s="112">
        <v>144</v>
      </c>
    </row>
    <row r="79" spans="1:21" x14ac:dyDescent="0.2">
      <c r="A79" s="102" t="s">
        <v>28498</v>
      </c>
      <c r="B79" s="102" t="s">
        <v>28631</v>
      </c>
      <c r="C79" s="102" t="s">
        <v>46</v>
      </c>
      <c r="D79" s="102" t="s">
        <v>92</v>
      </c>
      <c r="E79" s="102" t="s">
        <v>94</v>
      </c>
      <c r="F79" s="102" t="s">
        <v>91</v>
      </c>
      <c r="G79" s="102" t="s">
        <v>28706</v>
      </c>
      <c r="H79" s="102" t="s">
        <v>28707</v>
      </c>
      <c r="I79" s="102" t="s">
        <v>100</v>
      </c>
      <c r="J79" s="102" t="s">
        <v>95</v>
      </c>
      <c r="K79" s="102" t="s">
        <v>25687</v>
      </c>
      <c r="L79" s="102" t="s">
        <v>25607</v>
      </c>
      <c r="M79" s="102" t="s">
        <v>12</v>
      </c>
      <c r="N79" s="102">
        <v>832</v>
      </c>
      <c r="S79" t="str">
        <f t="shared" si="28"/>
        <v>91-675-17-00</v>
      </c>
      <c r="T79" s="129" t="s">
        <v>25308</v>
      </c>
      <c r="U79" s="112">
        <v>288</v>
      </c>
    </row>
    <row r="80" spans="1:21" x14ac:dyDescent="0.2">
      <c r="A80" s="102" t="s">
        <v>28499</v>
      </c>
      <c r="B80" s="102" t="s">
        <v>28632</v>
      </c>
      <c r="C80" s="102" t="s">
        <v>46</v>
      </c>
      <c r="D80" s="102" t="s">
        <v>92</v>
      </c>
      <c r="E80" s="102" t="s">
        <v>94</v>
      </c>
      <c r="F80" s="102" t="s">
        <v>91</v>
      </c>
      <c r="G80" s="102" t="s">
        <v>28706</v>
      </c>
      <c r="H80" s="102" t="s">
        <v>28708</v>
      </c>
      <c r="I80" s="102" t="s">
        <v>25394</v>
      </c>
      <c r="J80" s="102" t="s">
        <v>95</v>
      </c>
      <c r="K80" s="102" t="s">
        <v>25687</v>
      </c>
      <c r="L80" s="102" t="s">
        <v>25607</v>
      </c>
      <c r="M80" s="102" t="s">
        <v>12</v>
      </c>
      <c r="N80" s="102">
        <v>832</v>
      </c>
      <c r="S80" t="str">
        <f t="shared" si="28"/>
        <v>91-676-20-00</v>
      </c>
      <c r="T80" s="129" t="s">
        <v>25308</v>
      </c>
      <c r="U80" s="112">
        <v>168</v>
      </c>
    </row>
    <row r="81" spans="1:21" x14ac:dyDescent="0.2">
      <c r="A81" s="102" t="s">
        <v>28500</v>
      </c>
      <c r="B81" s="102" t="s">
        <v>28633</v>
      </c>
      <c r="C81" s="102" t="s">
        <v>46</v>
      </c>
      <c r="D81" s="102" t="s">
        <v>92</v>
      </c>
      <c r="E81" s="102" t="s">
        <v>94</v>
      </c>
      <c r="F81" s="102" t="s">
        <v>91</v>
      </c>
      <c r="G81" s="102" t="s">
        <v>28706</v>
      </c>
      <c r="H81" s="102" t="s">
        <v>28711</v>
      </c>
      <c r="I81" s="102" t="s">
        <v>1</v>
      </c>
      <c r="J81" s="102" t="s">
        <v>95</v>
      </c>
      <c r="K81" s="102" t="s">
        <v>25687</v>
      </c>
      <c r="L81" s="102" t="s">
        <v>25607</v>
      </c>
      <c r="M81" s="102" t="s">
        <v>12</v>
      </c>
      <c r="N81" s="102">
        <v>832</v>
      </c>
      <c r="S81" t="str">
        <f t="shared" ref="S81:S82" si="29">A81&amp;"-"&amp;T81</f>
        <v>91-677-09-00</v>
      </c>
      <c r="T81" s="129" t="s">
        <v>25308</v>
      </c>
      <c r="U81" s="112">
        <v>144</v>
      </c>
    </row>
    <row r="82" spans="1:21" x14ac:dyDescent="0.2">
      <c r="A82" s="102" t="s">
        <v>28501</v>
      </c>
      <c r="B82" s="102" t="s">
        <v>28634</v>
      </c>
      <c r="C82" s="102" t="s">
        <v>46</v>
      </c>
      <c r="D82" s="102" t="s">
        <v>92</v>
      </c>
      <c r="E82" s="102" t="s">
        <v>94</v>
      </c>
      <c r="F82" s="102" t="s">
        <v>91</v>
      </c>
      <c r="G82" s="102" t="s">
        <v>28706</v>
      </c>
      <c r="H82" s="102" t="s">
        <v>28711</v>
      </c>
      <c r="I82" s="102" t="s">
        <v>25527</v>
      </c>
      <c r="J82" s="102" t="s">
        <v>95</v>
      </c>
      <c r="K82" s="102" t="s">
        <v>25687</v>
      </c>
      <c r="L82" s="102" t="s">
        <v>25607</v>
      </c>
      <c r="M82" s="102" t="s">
        <v>12</v>
      </c>
      <c r="N82" s="102">
        <v>832</v>
      </c>
      <c r="S82" t="str">
        <f t="shared" si="29"/>
        <v>91-678-00-00</v>
      </c>
      <c r="T82" s="129" t="s">
        <v>25308</v>
      </c>
      <c r="U82" s="112">
        <v>144</v>
      </c>
    </row>
    <row r="83" spans="1:21" x14ac:dyDescent="0.2">
      <c r="A83" s="102" t="s">
        <v>28502</v>
      </c>
      <c r="B83" s="102" t="s">
        <v>28635</v>
      </c>
      <c r="C83" s="102" t="s">
        <v>46</v>
      </c>
      <c r="D83" s="102" t="s">
        <v>92</v>
      </c>
      <c r="E83" s="102" t="s">
        <v>94</v>
      </c>
      <c r="F83" s="102" t="s">
        <v>91</v>
      </c>
      <c r="G83" s="102" t="s">
        <v>28706</v>
      </c>
      <c r="H83" s="102" t="s">
        <v>28711</v>
      </c>
      <c r="I83" s="102" t="s">
        <v>1</v>
      </c>
      <c r="J83" s="102" t="s">
        <v>95</v>
      </c>
      <c r="K83" s="102" t="s">
        <v>25687</v>
      </c>
      <c r="L83" s="102" t="s">
        <v>25607</v>
      </c>
      <c r="M83" s="102" t="s">
        <v>12</v>
      </c>
      <c r="N83" s="102">
        <v>832</v>
      </c>
      <c r="S83" t="str">
        <f t="shared" ref="S83:S85" si="30">A83&amp;"-"&amp;T83</f>
        <v>91-679-09-00</v>
      </c>
      <c r="T83" s="129" t="s">
        <v>25308</v>
      </c>
      <c r="U83" s="112">
        <v>288</v>
      </c>
    </row>
    <row r="84" spans="1:21" x14ac:dyDescent="0.2">
      <c r="A84" s="102" t="s">
        <v>28503</v>
      </c>
      <c r="B84" s="102" t="s">
        <v>28636</v>
      </c>
      <c r="C84" s="102" t="s">
        <v>46</v>
      </c>
      <c r="D84" s="102" t="s">
        <v>92</v>
      </c>
      <c r="E84" s="102" t="s">
        <v>94</v>
      </c>
      <c r="F84" s="102" t="s">
        <v>91</v>
      </c>
      <c r="G84" s="102" t="s">
        <v>28706</v>
      </c>
      <c r="H84" s="102" t="s">
        <v>28727</v>
      </c>
      <c r="I84" s="102" t="s">
        <v>22</v>
      </c>
      <c r="J84" s="102" t="s">
        <v>95</v>
      </c>
      <c r="K84" s="102" t="s">
        <v>25687</v>
      </c>
      <c r="L84" s="102" t="s">
        <v>25607</v>
      </c>
      <c r="M84" s="102" t="s">
        <v>12</v>
      </c>
      <c r="N84" s="102">
        <v>832</v>
      </c>
      <c r="S84" t="str">
        <f t="shared" si="30"/>
        <v>91-680-14-00</v>
      </c>
      <c r="T84" s="129" t="s">
        <v>25308</v>
      </c>
      <c r="U84" s="112">
        <v>144</v>
      </c>
    </row>
    <row r="85" spans="1:21" x14ac:dyDescent="0.2">
      <c r="A85" s="102" t="s">
        <v>28504</v>
      </c>
      <c r="B85" s="102" t="s">
        <v>28637</v>
      </c>
      <c r="C85" s="102" t="s">
        <v>46</v>
      </c>
      <c r="D85" s="102" t="s">
        <v>92</v>
      </c>
      <c r="E85" s="102" t="s">
        <v>94</v>
      </c>
      <c r="F85" s="102" t="s">
        <v>91</v>
      </c>
      <c r="G85" s="102" t="s">
        <v>28706</v>
      </c>
      <c r="H85" s="102" t="s">
        <v>28707</v>
      </c>
      <c r="I85" s="102" t="s">
        <v>25360</v>
      </c>
      <c r="J85" s="102" t="s">
        <v>95</v>
      </c>
      <c r="K85" s="102" t="s">
        <v>25687</v>
      </c>
      <c r="L85" s="102" t="s">
        <v>25607</v>
      </c>
      <c r="M85" s="102" t="s">
        <v>12</v>
      </c>
      <c r="N85" s="102">
        <v>832</v>
      </c>
      <c r="S85" t="str">
        <f t="shared" si="30"/>
        <v>91-681-00-00</v>
      </c>
      <c r="T85" s="129" t="s">
        <v>25308</v>
      </c>
      <c r="U85" s="112">
        <v>480</v>
      </c>
    </row>
    <row r="86" spans="1:21" x14ac:dyDescent="0.2">
      <c r="A86" s="102" t="s">
        <v>28505</v>
      </c>
      <c r="B86" s="102" t="s">
        <v>28638</v>
      </c>
      <c r="C86" s="102" t="s">
        <v>46</v>
      </c>
      <c r="D86" s="102" t="s">
        <v>92</v>
      </c>
      <c r="E86" s="102" t="s">
        <v>94</v>
      </c>
      <c r="F86" s="102" t="s">
        <v>91</v>
      </c>
      <c r="G86" s="102" t="s">
        <v>28706</v>
      </c>
      <c r="H86" s="102" t="s">
        <v>28711</v>
      </c>
      <c r="I86" s="102" t="s">
        <v>1</v>
      </c>
      <c r="J86" s="102" t="s">
        <v>95</v>
      </c>
      <c r="K86" s="102" t="s">
        <v>25687</v>
      </c>
      <c r="L86" s="102" t="s">
        <v>25607</v>
      </c>
      <c r="M86" s="102" t="s">
        <v>12</v>
      </c>
      <c r="N86" s="102">
        <v>832</v>
      </c>
      <c r="S86" t="str">
        <f t="shared" ref="S86:S88" si="31">A86&amp;"-"&amp;T86</f>
        <v>91-682-09-00</v>
      </c>
      <c r="T86" s="129" t="s">
        <v>25308</v>
      </c>
      <c r="U86" s="112">
        <v>264</v>
      </c>
    </row>
    <row r="87" spans="1:21" x14ac:dyDescent="0.2">
      <c r="A87" s="102" t="s">
        <v>28506</v>
      </c>
      <c r="B87" s="102" t="s">
        <v>28639</v>
      </c>
      <c r="C87" s="102" t="s">
        <v>46</v>
      </c>
      <c r="D87" s="102" t="s">
        <v>92</v>
      </c>
      <c r="E87" s="102" t="s">
        <v>94</v>
      </c>
      <c r="F87" s="102" t="s">
        <v>91</v>
      </c>
      <c r="G87" s="102" t="s">
        <v>28706</v>
      </c>
      <c r="H87" s="102" t="s">
        <v>28711</v>
      </c>
      <c r="I87" s="102" t="s">
        <v>1</v>
      </c>
      <c r="J87" s="102" t="s">
        <v>95</v>
      </c>
      <c r="K87" s="102" t="s">
        <v>25687</v>
      </c>
      <c r="L87" s="102" t="s">
        <v>25607</v>
      </c>
      <c r="M87" s="102" t="s">
        <v>12</v>
      </c>
      <c r="N87" s="102">
        <v>832</v>
      </c>
      <c r="S87" t="str">
        <f t="shared" si="31"/>
        <v>91-683-09-00</v>
      </c>
      <c r="T87" s="129" t="s">
        <v>25308</v>
      </c>
      <c r="U87" s="112">
        <v>384</v>
      </c>
    </row>
    <row r="88" spans="1:21" x14ac:dyDescent="0.2">
      <c r="A88" s="102" t="s">
        <v>28507</v>
      </c>
      <c r="B88" s="102" t="s">
        <v>28639</v>
      </c>
      <c r="C88" s="102" t="s">
        <v>46</v>
      </c>
      <c r="D88" s="102" t="s">
        <v>92</v>
      </c>
      <c r="E88" s="102" t="s">
        <v>94</v>
      </c>
      <c r="F88" s="102" t="s">
        <v>91</v>
      </c>
      <c r="G88" s="102" t="s">
        <v>28706</v>
      </c>
      <c r="H88" s="102" t="s">
        <v>28710</v>
      </c>
      <c r="I88" s="102" t="s">
        <v>58</v>
      </c>
      <c r="J88" s="102" t="s">
        <v>95</v>
      </c>
      <c r="K88" s="102" t="s">
        <v>25687</v>
      </c>
      <c r="L88" s="102" t="s">
        <v>25607</v>
      </c>
      <c r="M88" s="102" t="s">
        <v>12</v>
      </c>
      <c r="N88" s="102">
        <v>832</v>
      </c>
      <c r="S88" t="str">
        <f t="shared" si="31"/>
        <v>91-683-03-00</v>
      </c>
      <c r="T88" s="129" t="s">
        <v>25308</v>
      </c>
      <c r="U88" s="112">
        <v>360</v>
      </c>
    </row>
    <row r="89" spans="1:21" x14ac:dyDescent="0.2">
      <c r="A89" s="102" t="s">
        <v>28508</v>
      </c>
      <c r="B89" s="102" t="s">
        <v>28640</v>
      </c>
      <c r="C89" s="102" t="s">
        <v>46</v>
      </c>
      <c r="D89" s="102" t="s">
        <v>92</v>
      </c>
      <c r="E89" s="102" t="s">
        <v>94</v>
      </c>
      <c r="F89" s="102" t="s">
        <v>91</v>
      </c>
      <c r="G89" s="102" t="s">
        <v>28706</v>
      </c>
      <c r="H89" s="102" t="s">
        <v>28728</v>
      </c>
      <c r="I89" s="102" t="s">
        <v>28335</v>
      </c>
      <c r="J89" s="102" t="s">
        <v>95</v>
      </c>
      <c r="K89" s="102" t="s">
        <v>25687</v>
      </c>
      <c r="L89" s="102" t="s">
        <v>25607</v>
      </c>
      <c r="M89" s="102" t="s">
        <v>12</v>
      </c>
      <c r="N89" s="102">
        <v>936.00000000000011</v>
      </c>
      <c r="S89" t="str">
        <f t="shared" ref="S89:S90" si="32">A89&amp;"-"&amp;T89</f>
        <v>91-684-11-00</v>
      </c>
      <c r="T89" s="129" t="s">
        <v>25308</v>
      </c>
      <c r="U89" s="112">
        <v>144</v>
      </c>
    </row>
    <row r="90" spans="1:21" x14ac:dyDescent="0.2">
      <c r="A90" s="102" t="s">
        <v>28509</v>
      </c>
      <c r="B90" s="102" t="s">
        <v>28641</v>
      </c>
      <c r="C90" s="102" t="s">
        <v>46</v>
      </c>
      <c r="D90" s="102" t="s">
        <v>92</v>
      </c>
      <c r="E90" s="102" t="s">
        <v>94</v>
      </c>
      <c r="F90" s="102" t="s">
        <v>91</v>
      </c>
      <c r="G90" s="102" t="s">
        <v>28706</v>
      </c>
      <c r="H90" s="102" t="s">
        <v>28711</v>
      </c>
      <c r="I90" s="102" t="s">
        <v>25528</v>
      </c>
      <c r="J90" s="102" t="s">
        <v>95</v>
      </c>
      <c r="K90" s="102" t="s">
        <v>25687</v>
      </c>
      <c r="L90" s="102" t="s">
        <v>25607</v>
      </c>
      <c r="M90" s="102" t="s">
        <v>12</v>
      </c>
      <c r="N90" s="102">
        <v>936.00000000000011</v>
      </c>
      <c r="S90" t="str">
        <f t="shared" si="32"/>
        <v>91-685-09-00</v>
      </c>
      <c r="T90" s="129" t="s">
        <v>25308</v>
      </c>
      <c r="U90" s="112">
        <v>144</v>
      </c>
    </row>
    <row r="91" spans="1:21" x14ac:dyDescent="0.2">
      <c r="A91" s="102" t="s">
        <v>28510</v>
      </c>
      <c r="B91" s="102" t="s">
        <v>28642</v>
      </c>
      <c r="C91" s="102" t="s">
        <v>46</v>
      </c>
      <c r="D91" s="102" t="s">
        <v>92</v>
      </c>
      <c r="E91" s="102" t="s">
        <v>94</v>
      </c>
      <c r="F91" s="102" t="s">
        <v>91</v>
      </c>
      <c r="G91" s="102" t="s">
        <v>28706</v>
      </c>
      <c r="H91" s="102" t="s">
        <v>28711</v>
      </c>
      <c r="I91" s="102" t="s">
        <v>25537</v>
      </c>
      <c r="J91" s="102" t="s">
        <v>95</v>
      </c>
      <c r="K91" s="102" t="s">
        <v>25687</v>
      </c>
      <c r="L91" s="102" t="s">
        <v>25607</v>
      </c>
      <c r="M91" s="102" t="s">
        <v>12</v>
      </c>
      <c r="N91" s="102">
        <v>832</v>
      </c>
      <c r="S91" t="str">
        <f t="shared" ref="S91:S93" si="33">A91&amp;"-"&amp;T91</f>
        <v>91-686-10-00</v>
      </c>
      <c r="T91" s="129" t="s">
        <v>25308</v>
      </c>
      <c r="U91" s="112">
        <v>144</v>
      </c>
    </row>
    <row r="92" spans="1:21" x14ac:dyDescent="0.2">
      <c r="A92" s="102" t="s">
        <v>28511</v>
      </c>
      <c r="B92" s="102" t="s">
        <v>28642</v>
      </c>
      <c r="C92" s="102" t="s">
        <v>46</v>
      </c>
      <c r="D92" s="102" t="s">
        <v>92</v>
      </c>
      <c r="E92" s="102" t="s">
        <v>94</v>
      </c>
      <c r="F92" s="102" t="s">
        <v>91</v>
      </c>
      <c r="G92" s="102" t="s">
        <v>28706</v>
      </c>
      <c r="H92" s="102" t="s">
        <v>28729</v>
      </c>
      <c r="I92" s="102" t="s">
        <v>137</v>
      </c>
      <c r="J92" s="102" t="s">
        <v>95</v>
      </c>
      <c r="K92" s="102" t="s">
        <v>25687</v>
      </c>
      <c r="L92" s="102" t="s">
        <v>25607</v>
      </c>
      <c r="M92" s="102" t="s">
        <v>12</v>
      </c>
      <c r="N92" s="102">
        <v>832</v>
      </c>
      <c r="S92" t="str">
        <f t="shared" si="33"/>
        <v>91-686-72-00</v>
      </c>
      <c r="T92" s="129" t="s">
        <v>25308</v>
      </c>
      <c r="U92" s="112">
        <v>144</v>
      </c>
    </row>
    <row r="93" spans="1:21" x14ac:dyDescent="0.2">
      <c r="A93" s="102" t="s">
        <v>28512</v>
      </c>
      <c r="B93" s="102" t="s">
        <v>28643</v>
      </c>
      <c r="C93" s="102" t="s">
        <v>46</v>
      </c>
      <c r="D93" s="102" t="s">
        <v>92</v>
      </c>
      <c r="E93" s="102" t="s">
        <v>94</v>
      </c>
      <c r="F93" s="102" t="s">
        <v>91</v>
      </c>
      <c r="G93" s="102" t="s">
        <v>28706</v>
      </c>
      <c r="H93" s="102" t="s">
        <v>28722</v>
      </c>
      <c r="I93" s="102" t="s">
        <v>28730</v>
      </c>
      <c r="J93" s="102" t="s">
        <v>95</v>
      </c>
      <c r="K93" s="102" t="s">
        <v>25687</v>
      </c>
      <c r="L93" s="102" t="s">
        <v>25607</v>
      </c>
      <c r="M93" s="102" t="s">
        <v>12</v>
      </c>
      <c r="N93" s="102">
        <v>832</v>
      </c>
      <c r="S93" t="str">
        <f t="shared" si="33"/>
        <v>91-687-36-00</v>
      </c>
      <c r="T93" s="129" t="s">
        <v>25308</v>
      </c>
      <c r="U93" s="112">
        <v>168</v>
      </c>
    </row>
    <row r="94" spans="1:21" x14ac:dyDescent="0.2">
      <c r="A94" s="102" t="s">
        <v>28513</v>
      </c>
      <c r="B94" s="102" t="s">
        <v>28644</v>
      </c>
      <c r="C94" s="102" t="s">
        <v>46</v>
      </c>
      <c r="D94" s="102" t="s">
        <v>92</v>
      </c>
      <c r="E94" s="102" t="s">
        <v>94</v>
      </c>
      <c r="F94" s="102" t="s">
        <v>91</v>
      </c>
      <c r="G94" s="102" t="s">
        <v>28706</v>
      </c>
      <c r="H94" s="102" t="s">
        <v>28711</v>
      </c>
      <c r="I94" s="102" t="s">
        <v>1</v>
      </c>
      <c r="J94" s="102" t="s">
        <v>95</v>
      </c>
      <c r="K94" s="102" t="s">
        <v>25687</v>
      </c>
      <c r="L94" s="102" t="s">
        <v>25607</v>
      </c>
      <c r="M94" s="102" t="s">
        <v>12</v>
      </c>
      <c r="N94" s="102">
        <v>832</v>
      </c>
      <c r="S94" t="str">
        <f t="shared" ref="S94:S96" si="34">A94&amp;"-"&amp;T94</f>
        <v>91-688-09-00</v>
      </c>
      <c r="T94" s="129" t="s">
        <v>25308</v>
      </c>
      <c r="U94" s="112">
        <v>432</v>
      </c>
    </row>
    <row r="95" spans="1:21" x14ac:dyDescent="0.2">
      <c r="A95" s="102" t="s">
        <v>28514</v>
      </c>
      <c r="B95" s="102" t="s">
        <v>28645</v>
      </c>
      <c r="C95" s="102" t="s">
        <v>46</v>
      </c>
      <c r="D95" s="102" t="s">
        <v>92</v>
      </c>
      <c r="E95" s="102" t="s">
        <v>94</v>
      </c>
      <c r="F95" s="102" t="s">
        <v>91</v>
      </c>
      <c r="G95" s="102" t="s">
        <v>28706</v>
      </c>
      <c r="H95" s="102" t="s">
        <v>28717</v>
      </c>
      <c r="I95" s="102" t="s">
        <v>25378</v>
      </c>
      <c r="J95" s="102" t="s">
        <v>95</v>
      </c>
      <c r="K95" s="102" t="s">
        <v>25687</v>
      </c>
      <c r="L95" s="102" t="s">
        <v>25607</v>
      </c>
      <c r="M95" s="102" t="s">
        <v>12</v>
      </c>
      <c r="N95" s="102">
        <v>936.00000000000011</v>
      </c>
      <c r="S95" t="str">
        <f t="shared" si="34"/>
        <v>91-689-00-00</v>
      </c>
      <c r="T95" s="129" t="s">
        <v>25308</v>
      </c>
      <c r="U95" s="112">
        <v>168</v>
      </c>
    </row>
    <row r="96" spans="1:21" x14ac:dyDescent="0.2">
      <c r="A96" s="102" t="s">
        <v>28515</v>
      </c>
      <c r="B96" s="102" t="s">
        <v>28646</v>
      </c>
      <c r="C96" s="102" t="s">
        <v>46</v>
      </c>
      <c r="D96" s="102" t="s">
        <v>92</v>
      </c>
      <c r="E96" s="102" t="s">
        <v>94</v>
      </c>
      <c r="F96" s="102" t="s">
        <v>91</v>
      </c>
      <c r="G96" s="102" t="s">
        <v>28706</v>
      </c>
      <c r="H96" s="102" t="s">
        <v>28711</v>
      </c>
      <c r="I96" s="102" t="s">
        <v>127</v>
      </c>
      <c r="J96" s="102" t="s">
        <v>95</v>
      </c>
      <c r="K96" s="102" t="s">
        <v>25687</v>
      </c>
      <c r="L96" s="102" t="s">
        <v>25607</v>
      </c>
      <c r="M96" s="102" t="s">
        <v>12</v>
      </c>
      <c r="N96" s="102">
        <v>832</v>
      </c>
      <c r="S96" t="str">
        <f t="shared" si="34"/>
        <v>91-690-09-00</v>
      </c>
      <c r="T96" s="129" t="s">
        <v>25308</v>
      </c>
      <c r="U96" s="112">
        <v>144</v>
      </c>
    </row>
    <row r="97" spans="1:21" x14ac:dyDescent="0.2">
      <c r="A97" s="102" t="s">
        <v>28516</v>
      </c>
      <c r="B97" s="102" t="s">
        <v>28647</v>
      </c>
      <c r="C97" s="102" t="s">
        <v>46</v>
      </c>
      <c r="D97" s="102" t="s">
        <v>47</v>
      </c>
      <c r="E97" s="102" t="s">
        <v>179</v>
      </c>
      <c r="F97" s="102" t="s">
        <v>91</v>
      </c>
      <c r="G97" s="102" t="s">
        <v>28706</v>
      </c>
      <c r="H97" s="102" t="s">
        <v>28711</v>
      </c>
      <c r="I97" s="102" t="s">
        <v>1</v>
      </c>
      <c r="J97" s="102" t="s">
        <v>11</v>
      </c>
      <c r="K97" s="102" t="s">
        <v>25687</v>
      </c>
      <c r="L97" s="102" t="s">
        <v>25607</v>
      </c>
      <c r="M97" s="102" t="s">
        <v>12</v>
      </c>
      <c r="N97" s="102">
        <v>520</v>
      </c>
      <c r="S97" t="str">
        <f t="shared" ref="S97:S98" si="35">A97&amp;"-"&amp;T97</f>
        <v>91-530-09-00</v>
      </c>
      <c r="T97" s="129" t="s">
        <v>25308</v>
      </c>
      <c r="U97" s="112">
        <v>48</v>
      </c>
    </row>
    <row r="98" spans="1:21" x14ac:dyDescent="0.2">
      <c r="A98" s="102" t="s">
        <v>178</v>
      </c>
      <c r="B98" s="102" t="s">
        <v>28647</v>
      </c>
      <c r="C98" s="102" t="s">
        <v>46</v>
      </c>
      <c r="D98" s="102" t="s">
        <v>47</v>
      </c>
      <c r="E98" s="102" t="s">
        <v>179</v>
      </c>
      <c r="F98" s="102" t="s">
        <v>91</v>
      </c>
      <c r="G98" s="102" t="s">
        <v>28706</v>
      </c>
      <c r="H98" s="102" t="s">
        <v>28714</v>
      </c>
      <c r="I98" s="102" t="s">
        <v>28</v>
      </c>
      <c r="J98" s="102" t="s">
        <v>11</v>
      </c>
      <c r="K98" s="102" t="s">
        <v>25687</v>
      </c>
      <c r="L98" s="102" t="s">
        <v>25607</v>
      </c>
      <c r="M98" s="102" t="s">
        <v>12</v>
      </c>
      <c r="N98" s="102">
        <v>520</v>
      </c>
      <c r="Q98" t="s">
        <v>28</v>
      </c>
      <c r="S98" t="str">
        <f t="shared" si="35"/>
        <v>91-530-08-00</v>
      </c>
      <c r="T98" s="129" t="s">
        <v>25308</v>
      </c>
      <c r="U98" s="112">
        <v>24</v>
      </c>
    </row>
    <row r="99" spans="1:21" x14ac:dyDescent="0.2">
      <c r="A99" s="102" t="s">
        <v>28517</v>
      </c>
      <c r="B99" s="102" t="s">
        <v>28647</v>
      </c>
      <c r="C99" s="102" t="s">
        <v>46</v>
      </c>
      <c r="D99" s="102" t="s">
        <v>47</v>
      </c>
      <c r="E99" s="102" t="s">
        <v>179</v>
      </c>
      <c r="F99" s="102" t="s">
        <v>91</v>
      </c>
      <c r="G99" s="102" t="s">
        <v>28706</v>
      </c>
      <c r="H99" s="102" t="s">
        <v>28731</v>
      </c>
      <c r="I99" s="102" t="s">
        <v>28322</v>
      </c>
      <c r="J99" s="102" t="s">
        <v>11</v>
      </c>
      <c r="K99" s="102" t="s">
        <v>25687</v>
      </c>
      <c r="L99" s="102" t="s">
        <v>25607</v>
      </c>
      <c r="M99" s="102" t="s">
        <v>12</v>
      </c>
      <c r="N99" s="102">
        <v>520</v>
      </c>
      <c r="S99" t="str">
        <f t="shared" ref="S99:S101" si="36">A99&amp;"-"&amp;T99</f>
        <v>91-530-71-00</v>
      </c>
      <c r="T99" s="129" t="s">
        <v>25308</v>
      </c>
      <c r="U99" s="112">
        <v>24</v>
      </c>
    </row>
    <row r="100" spans="1:21" x14ac:dyDescent="0.2">
      <c r="A100" s="102" t="s">
        <v>28518</v>
      </c>
      <c r="B100" s="102" t="s">
        <v>28648</v>
      </c>
      <c r="C100" s="102" t="s">
        <v>46</v>
      </c>
      <c r="D100" s="102" t="s">
        <v>92</v>
      </c>
      <c r="E100" s="102" t="s">
        <v>94</v>
      </c>
      <c r="F100" s="102" t="s">
        <v>91</v>
      </c>
      <c r="G100" s="102" t="s">
        <v>28706</v>
      </c>
      <c r="H100" s="102" t="s">
        <v>28709</v>
      </c>
      <c r="I100" s="102" t="s">
        <v>23</v>
      </c>
      <c r="J100" s="102" t="s">
        <v>95</v>
      </c>
      <c r="K100" s="102" t="s">
        <v>25687</v>
      </c>
      <c r="L100" s="102" t="s">
        <v>25604</v>
      </c>
      <c r="M100" s="102" t="s">
        <v>12</v>
      </c>
      <c r="N100" s="102">
        <v>717.6</v>
      </c>
      <c r="S100" t="str">
        <f t="shared" si="36"/>
        <v>91-691-16-00</v>
      </c>
      <c r="T100" s="129" t="s">
        <v>25308</v>
      </c>
      <c r="U100" s="112">
        <v>144</v>
      </c>
    </row>
    <row r="101" spans="1:21" x14ac:dyDescent="0.2">
      <c r="A101" s="102" t="s">
        <v>24898</v>
      </c>
      <c r="B101" s="102" t="s">
        <v>28649</v>
      </c>
      <c r="C101" s="102" t="s">
        <v>46</v>
      </c>
      <c r="D101" s="102" t="s">
        <v>92</v>
      </c>
      <c r="E101" s="102" t="s">
        <v>94</v>
      </c>
      <c r="F101" s="102" t="s">
        <v>91</v>
      </c>
      <c r="G101" s="102" t="s">
        <v>28706</v>
      </c>
      <c r="H101" s="102" t="s">
        <v>28714</v>
      </c>
      <c r="I101" s="102" t="s">
        <v>28</v>
      </c>
      <c r="J101" s="102" t="s">
        <v>95</v>
      </c>
      <c r="K101" s="102" t="s">
        <v>25687</v>
      </c>
      <c r="L101" s="102" t="s">
        <v>25604</v>
      </c>
      <c r="M101" s="102" t="s">
        <v>12</v>
      </c>
      <c r="N101" s="102">
        <v>717.6</v>
      </c>
      <c r="Q101" t="s">
        <v>28</v>
      </c>
      <c r="S101" t="str">
        <f t="shared" si="36"/>
        <v>91-411-08-00</v>
      </c>
      <c r="T101" s="129" t="s">
        <v>25308</v>
      </c>
      <c r="U101" s="112">
        <v>144</v>
      </c>
    </row>
    <row r="102" spans="1:21" x14ac:dyDescent="0.2">
      <c r="A102" s="102" t="s">
        <v>28519</v>
      </c>
      <c r="B102" s="102" t="s">
        <v>28650</v>
      </c>
      <c r="C102" s="102" t="s">
        <v>46</v>
      </c>
      <c r="D102" s="102" t="s">
        <v>92</v>
      </c>
      <c r="E102" s="102" t="s">
        <v>94</v>
      </c>
      <c r="F102" s="102" t="s">
        <v>91</v>
      </c>
      <c r="G102" s="102" t="s">
        <v>28706</v>
      </c>
      <c r="H102" s="102" t="s">
        <v>28732</v>
      </c>
      <c r="I102" s="102" t="s">
        <v>220</v>
      </c>
      <c r="J102" s="102" t="s">
        <v>95</v>
      </c>
      <c r="K102" s="102" t="s">
        <v>25687</v>
      </c>
      <c r="L102" s="102" t="s">
        <v>25604</v>
      </c>
      <c r="M102" s="102" t="s">
        <v>12</v>
      </c>
      <c r="N102" s="102">
        <v>717.6</v>
      </c>
      <c r="S102" t="str">
        <f t="shared" ref="S102:S104" si="37">A102&amp;"-"&amp;T102</f>
        <v>91-692-34-00</v>
      </c>
      <c r="T102" s="129" t="s">
        <v>25308</v>
      </c>
      <c r="U102" s="112">
        <v>144</v>
      </c>
    </row>
    <row r="103" spans="1:21" x14ac:dyDescent="0.2">
      <c r="A103" s="102" t="s">
        <v>27398</v>
      </c>
      <c r="B103" s="102" t="s">
        <v>28651</v>
      </c>
      <c r="C103" s="102" t="s">
        <v>46</v>
      </c>
      <c r="D103" s="102" t="s">
        <v>92</v>
      </c>
      <c r="E103" s="102" t="s">
        <v>94</v>
      </c>
      <c r="F103" s="102" t="s">
        <v>91</v>
      </c>
      <c r="G103" s="102" t="s">
        <v>28706</v>
      </c>
      <c r="H103" s="102" t="s">
        <v>28711</v>
      </c>
      <c r="I103" s="102" t="s">
        <v>1</v>
      </c>
      <c r="J103" s="102" t="s">
        <v>95</v>
      </c>
      <c r="K103" s="102" t="s">
        <v>25687</v>
      </c>
      <c r="L103" s="102" t="s">
        <v>25604</v>
      </c>
      <c r="M103" s="102" t="s">
        <v>12</v>
      </c>
      <c r="N103" s="102">
        <v>624</v>
      </c>
      <c r="Q103" t="s">
        <v>1</v>
      </c>
      <c r="S103" t="str">
        <f t="shared" si="37"/>
        <v>91-629-09-00</v>
      </c>
      <c r="T103" s="129" t="s">
        <v>25308</v>
      </c>
      <c r="U103" s="112">
        <v>192</v>
      </c>
    </row>
    <row r="104" spans="1:21" x14ac:dyDescent="0.2">
      <c r="A104" s="102" t="s">
        <v>24116</v>
      </c>
      <c r="B104" s="102" t="s">
        <v>28652</v>
      </c>
      <c r="C104" s="102" t="s">
        <v>46</v>
      </c>
      <c r="D104" s="102" t="s">
        <v>92</v>
      </c>
      <c r="E104" s="102" t="s">
        <v>94</v>
      </c>
      <c r="F104" s="102" t="s">
        <v>91</v>
      </c>
      <c r="G104" s="102" t="s">
        <v>28706</v>
      </c>
      <c r="H104" s="102" t="s">
        <v>28718</v>
      </c>
      <c r="I104" s="102" t="s">
        <v>27</v>
      </c>
      <c r="J104" s="102" t="s">
        <v>59</v>
      </c>
      <c r="K104" s="102" t="s">
        <v>25687</v>
      </c>
      <c r="L104" s="102" t="s">
        <v>25604</v>
      </c>
      <c r="M104" s="102" t="s">
        <v>12</v>
      </c>
      <c r="N104" s="102">
        <v>717.6</v>
      </c>
      <c r="Q104" t="s">
        <v>27</v>
      </c>
      <c r="S104" t="str">
        <f t="shared" si="37"/>
        <v>91-132-06-00</v>
      </c>
      <c r="T104" s="129" t="s">
        <v>25308</v>
      </c>
      <c r="U104" s="112">
        <v>144</v>
      </c>
    </row>
    <row r="105" spans="1:21" x14ac:dyDescent="0.2">
      <c r="A105" s="102" t="s">
        <v>24118</v>
      </c>
      <c r="B105" s="102" t="s">
        <v>28653</v>
      </c>
      <c r="C105" s="102" t="s">
        <v>46</v>
      </c>
      <c r="D105" s="102" t="s">
        <v>92</v>
      </c>
      <c r="E105" s="102" t="s">
        <v>94</v>
      </c>
      <c r="F105" s="102" t="s">
        <v>91</v>
      </c>
      <c r="G105" s="102" t="s">
        <v>28706</v>
      </c>
      <c r="H105" s="102" t="s">
        <v>28732</v>
      </c>
      <c r="I105" s="102" t="s">
        <v>220</v>
      </c>
      <c r="J105" s="102" t="s">
        <v>95</v>
      </c>
      <c r="K105" s="102" t="s">
        <v>25687</v>
      </c>
      <c r="L105" s="102" t="s">
        <v>25604</v>
      </c>
      <c r="M105" s="102" t="s">
        <v>12</v>
      </c>
      <c r="N105" s="102">
        <v>717.6</v>
      </c>
      <c r="Q105" t="s">
        <v>220</v>
      </c>
      <c r="S105" t="str">
        <f t="shared" ref="S105:S106" si="38">A105&amp;"-"&amp;T105</f>
        <v>91-133-34-00</v>
      </c>
      <c r="T105" s="129" t="s">
        <v>25308</v>
      </c>
      <c r="U105" s="112">
        <v>144</v>
      </c>
    </row>
    <row r="106" spans="1:21" x14ac:dyDescent="0.2">
      <c r="A106" s="102" t="s">
        <v>28520</v>
      </c>
      <c r="B106" s="102" t="s">
        <v>28654</v>
      </c>
      <c r="C106" s="102" t="s">
        <v>46</v>
      </c>
      <c r="D106" s="102" t="s">
        <v>92</v>
      </c>
      <c r="E106" s="102" t="s">
        <v>94</v>
      </c>
      <c r="F106" s="102" t="s">
        <v>91</v>
      </c>
      <c r="G106" s="102" t="s">
        <v>28706</v>
      </c>
      <c r="H106" s="102" t="s">
        <v>28711</v>
      </c>
      <c r="I106" s="102" t="s">
        <v>1</v>
      </c>
      <c r="J106" s="102" t="s">
        <v>191</v>
      </c>
      <c r="L106" s="102" t="s">
        <v>25607</v>
      </c>
      <c r="M106" s="102" t="s">
        <v>12</v>
      </c>
      <c r="N106" s="102">
        <v>936.00000000000011</v>
      </c>
      <c r="S106" t="str">
        <f t="shared" si="38"/>
        <v>91-693-09-00</v>
      </c>
      <c r="T106" s="129" t="s">
        <v>25308</v>
      </c>
      <c r="U106" s="112">
        <v>2</v>
      </c>
    </row>
    <row r="107" spans="1:21" x14ac:dyDescent="0.2">
      <c r="A107" s="102" t="s">
        <v>28521</v>
      </c>
      <c r="B107" s="102" t="s">
        <v>28655</v>
      </c>
      <c r="C107" s="102" t="s">
        <v>46</v>
      </c>
      <c r="D107" s="102" t="s">
        <v>92</v>
      </c>
      <c r="E107" s="102" t="s">
        <v>94</v>
      </c>
      <c r="F107" s="102" t="s">
        <v>91</v>
      </c>
      <c r="G107" s="102" t="s">
        <v>28706</v>
      </c>
      <c r="H107" s="102" t="s">
        <v>28711</v>
      </c>
      <c r="I107" s="102" t="s">
        <v>1</v>
      </c>
      <c r="J107" s="102" t="s">
        <v>191</v>
      </c>
      <c r="L107" s="102" t="s">
        <v>25607</v>
      </c>
      <c r="M107" s="102" t="s">
        <v>12</v>
      </c>
      <c r="N107" s="102">
        <v>936.00000000000011</v>
      </c>
      <c r="S107" t="str">
        <f t="shared" ref="S107:S109" si="39">A107&amp;"-"&amp;T107</f>
        <v>91-694-09-00</v>
      </c>
      <c r="T107" s="129" t="s">
        <v>25308</v>
      </c>
      <c r="U107" s="112">
        <v>2</v>
      </c>
    </row>
    <row r="108" spans="1:21" x14ac:dyDescent="0.2">
      <c r="A108" s="102" t="s">
        <v>28522</v>
      </c>
      <c r="B108" s="102" t="s">
        <v>28656</v>
      </c>
      <c r="C108" s="102" t="s">
        <v>46</v>
      </c>
      <c r="D108" s="102" t="s">
        <v>92</v>
      </c>
      <c r="E108" s="102" t="s">
        <v>94</v>
      </c>
      <c r="F108" s="102" t="s">
        <v>91</v>
      </c>
      <c r="G108" s="102" t="s">
        <v>28706</v>
      </c>
      <c r="H108" s="102" t="s">
        <v>28711</v>
      </c>
      <c r="I108" s="102" t="s">
        <v>1</v>
      </c>
      <c r="J108" s="102" t="s">
        <v>191</v>
      </c>
      <c r="L108" s="102" t="s">
        <v>25607</v>
      </c>
      <c r="M108" s="102" t="s">
        <v>12</v>
      </c>
      <c r="N108" s="102">
        <v>936.00000000000011</v>
      </c>
      <c r="S108" t="str">
        <f t="shared" si="39"/>
        <v>91-695-09-00</v>
      </c>
      <c r="T108" s="129" t="s">
        <v>25308</v>
      </c>
      <c r="U108" s="112">
        <v>2</v>
      </c>
    </row>
    <row r="109" spans="1:21" x14ac:dyDescent="0.2">
      <c r="A109" s="102" t="s">
        <v>28523</v>
      </c>
      <c r="B109" s="102" t="s">
        <v>28657</v>
      </c>
      <c r="C109" s="102" t="s">
        <v>46</v>
      </c>
      <c r="D109" s="102" t="s">
        <v>92</v>
      </c>
      <c r="E109" s="102" t="s">
        <v>94</v>
      </c>
      <c r="F109" s="102" t="s">
        <v>91</v>
      </c>
      <c r="G109" s="102" t="s">
        <v>28706</v>
      </c>
      <c r="H109" s="102" t="s">
        <v>28711</v>
      </c>
      <c r="I109" s="102" t="s">
        <v>1</v>
      </c>
      <c r="J109" s="102" t="s">
        <v>191</v>
      </c>
      <c r="L109" s="102" t="s">
        <v>25607</v>
      </c>
      <c r="M109" s="102" t="s">
        <v>12</v>
      </c>
      <c r="N109" s="102">
        <v>936.00000000000011</v>
      </c>
      <c r="S109" t="str">
        <f t="shared" si="39"/>
        <v>91-696-09-00</v>
      </c>
      <c r="T109" s="129" t="s">
        <v>25308</v>
      </c>
      <c r="U109" s="112">
        <v>2</v>
      </c>
    </row>
    <row r="110" spans="1:21" x14ac:dyDescent="0.2">
      <c r="A110" s="102" t="s">
        <v>28524</v>
      </c>
      <c r="B110" s="102" t="s">
        <v>28658</v>
      </c>
      <c r="C110" s="102" t="s">
        <v>46</v>
      </c>
      <c r="D110" s="102" t="s">
        <v>92</v>
      </c>
      <c r="E110" s="102" t="s">
        <v>94</v>
      </c>
      <c r="F110" s="102" t="s">
        <v>91</v>
      </c>
      <c r="G110" s="102" t="s">
        <v>28706</v>
      </c>
      <c r="H110" s="102" t="s">
        <v>28733</v>
      </c>
      <c r="I110" s="102" t="s">
        <v>29</v>
      </c>
      <c r="J110" s="102" t="s">
        <v>59</v>
      </c>
      <c r="L110" s="102" t="s">
        <v>25607</v>
      </c>
      <c r="M110" s="102" t="s">
        <v>12</v>
      </c>
      <c r="N110" s="102">
        <v>1040</v>
      </c>
      <c r="S110" t="str">
        <f t="shared" ref="S110:S112" si="40">A110&amp;"-"&amp;T110</f>
        <v>91-697-02-00</v>
      </c>
      <c r="T110" s="129" t="s">
        <v>25308</v>
      </c>
      <c r="U110" s="112">
        <v>2</v>
      </c>
    </row>
    <row r="111" spans="1:21" x14ac:dyDescent="0.2">
      <c r="A111" s="102" t="s">
        <v>28525</v>
      </c>
      <c r="B111" s="102" t="s">
        <v>28659</v>
      </c>
      <c r="C111" s="102" t="s">
        <v>46</v>
      </c>
      <c r="D111" s="102" t="s">
        <v>92</v>
      </c>
      <c r="E111" s="102" t="s">
        <v>94</v>
      </c>
      <c r="F111" s="102" t="s">
        <v>91</v>
      </c>
      <c r="G111" s="102" t="s">
        <v>28706</v>
      </c>
      <c r="H111" s="102" t="s">
        <v>28734</v>
      </c>
      <c r="I111" s="102" t="s">
        <v>52</v>
      </c>
      <c r="J111" s="102" t="s">
        <v>59</v>
      </c>
      <c r="L111" s="102" t="s">
        <v>25607</v>
      </c>
      <c r="M111" s="102" t="s">
        <v>12</v>
      </c>
      <c r="N111" s="102">
        <v>1040</v>
      </c>
      <c r="S111" t="str">
        <f t="shared" si="40"/>
        <v>91-698-02-00</v>
      </c>
      <c r="T111" s="129" t="s">
        <v>25308</v>
      </c>
      <c r="U111" s="112">
        <v>2</v>
      </c>
    </row>
    <row r="112" spans="1:21" x14ac:dyDescent="0.2">
      <c r="A112" s="102" t="s">
        <v>28526</v>
      </c>
      <c r="B112" s="102" t="s">
        <v>28660</v>
      </c>
      <c r="C112" s="102" t="s">
        <v>46</v>
      </c>
      <c r="D112" s="102" t="s">
        <v>92</v>
      </c>
      <c r="E112" s="102" t="s">
        <v>94</v>
      </c>
      <c r="F112" s="102" t="s">
        <v>91</v>
      </c>
      <c r="G112" s="102" t="s">
        <v>28706</v>
      </c>
      <c r="H112" s="102" t="s">
        <v>28727</v>
      </c>
      <c r="I112" s="102" t="s">
        <v>22</v>
      </c>
      <c r="J112" s="102" t="s">
        <v>59</v>
      </c>
      <c r="L112" s="102" t="s">
        <v>25607</v>
      </c>
      <c r="M112" s="102" t="s">
        <v>12</v>
      </c>
      <c r="N112" s="102">
        <v>1040</v>
      </c>
      <c r="S112" t="str">
        <f t="shared" si="40"/>
        <v>91-699-14-00</v>
      </c>
      <c r="T112" s="129" t="s">
        <v>25308</v>
      </c>
      <c r="U112" s="112">
        <v>2</v>
      </c>
    </row>
    <row r="113" spans="1:21" x14ac:dyDescent="0.2">
      <c r="A113" s="102" t="s">
        <v>28527</v>
      </c>
      <c r="B113" s="102" t="s">
        <v>28661</v>
      </c>
      <c r="C113" s="102" t="s">
        <v>46</v>
      </c>
      <c r="D113" s="102" t="s">
        <v>92</v>
      </c>
      <c r="E113" s="102" t="s">
        <v>94</v>
      </c>
      <c r="F113" s="102" t="s">
        <v>91</v>
      </c>
      <c r="G113" s="102" t="s">
        <v>28706</v>
      </c>
      <c r="H113" s="102" t="s">
        <v>28711</v>
      </c>
      <c r="I113" s="102" t="s">
        <v>1</v>
      </c>
      <c r="J113" s="102" t="s">
        <v>59</v>
      </c>
      <c r="L113" s="102" t="s">
        <v>25607</v>
      </c>
      <c r="M113" s="102" t="s">
        <v>12</v>
      </c>
      <c r="N113" s="102">
        <v>1040</v>
      </c>
      <c r="S113" t="str">
        <f t="shared" ref="S113:S114" si="41">A113&amp;"-"&amp;T113</f>
        <v>91-700-09-00</v>
      </c>
      <c r="T113" s="129" t="s">
        <v>25308</v>
      </c>
      <c r="U113" s="112">
        <v>2</v>
      </c>
    </row>
    <row r="114" spans="1:21" x14ac:dyDescent="0.2">
      <c r="A114" s="102" t="s">
        <v>28528</v>
      </c>
      <c r="B114" s="102" t="s">
        <v>28662</v>
      </c>
      <c r="C114" s="102" t="s">
        <v>46</v>
      </c>
      <c r="D114" s="102" t="s">
        <v>92</v>
      </c>
      <c r="E114" s="102" t="s">
        <v>94</v>
      </c>
      <c r="F114" s="102" t="s">
        <v>91</v>
      </c>
      <c r="G114" s="102" t="s">
        <v>28706</v>
      </c>
      <c r="H114" s="102" t="s">
        <v>28711</v>
      </c>
      <c r="I114" s="102" t="s">
        <v>1</v>
      </c>
      <c r="J114" s="102" t="s">
        <v>28742</v>
      </c>
      <c r="L114" s="102" t="s">
        <v>25607</v>
      </c>
      <c r="M114" s="102" t="s">
        <v>12</v>
      </c>
      <c r="N114" s="102">
        <v>936.00000000000011</v>
      </c>
      <c r="S114" t="str">
        <f t="shared" si="41"/>
        <v>91-701-09-00</v>
      </c>
      <c r="T114" s="129" t="s">
        <v>25308</v>
      </c>
      <c r="U114" s="112">
        <v>2</v>
      </c>
    </row>
    <row r="115" spans="1:21" x14ac:dyDescent="0.2">
      <c r="A115" s="102" t="s">
        <v>28529</v>
      </c>
      <c r="B115" s="102" t="s">
        <v>28663</v>
      </c>
      <c r="C115" s="102" t="s">
        <v>46</v>
      </c>
      <c r="D115" s="102" t="s">
        <v>92</v>
      </c>
      <c r="E115" s="102" t="s">
        <v>94</v>
      </c>
      <c r="F115" s="102" t="s">
        <v>91</v>
      </c>
      <c r="G115" s="102" t="s">
        <v>28706</v>
      </c>
      <c r="H115" s="102" t="s">
        <v>28710</v>
      </c>
      <c r="I115" s="102" t="s">
        <v>27782</v>
      </c>
      <c r="J115" s="102" t="s">
        <v>28743</v>
      </c>
      <c r="L115" s="102" t="s">
        <v>25607</v>
      </c>
      <c r="M115" s="102" t="s">
        <v>12</v>
      </c>
      <c r="N115" s="102">
        <v>936.00000000000011</v>
      </c>
      <c r="S115" t="str">
        <f t="shared" ref="S115:S117" si="42">A115&amp;"-"&amp;T115</f>
        <v>91-702-03-00</v>
      </c>
      <c r="T115" s="129" t="s">
        <v>25308</v>
      </c>
      <c r="U115" s="112">
        <v>2</v>
      </c>
    </row>
    <row r="116" spans="1:21" x14ac:dyDescent="0.2">
      <c r="A116" s="102" t="s">
        <v>28530</v>
      </c>
      <c r="B116" s="102" t="s">
        <v>28664</v>
      </c>
      <c r="C116" s="102" t="s">
        <v>46</v>
      </c>
      <c r="D116" s="102" t="s">
        <v>92</v>
      </c>
      <c r="E116" s="102" t="s">
        <v>94</v>
      </c>
      <c r="F116" s="102" t="s">
        <v>91</v>
      </c>
      <c r="G116" s="102" t="s">
        <v>28706</v>
      </c>
      <c r="H116" s="102" t="s">
        <v>28721</v>
      </c>
      <c r="I116" s="102" t="s">
        <v>25387</v>
      </c>
      <c r="J116" s="102" t="s">
        <v>28742</v>
      </c>
      <c r="L116" s="102" t="s">
        <v>25607</v>
      </c>
      <c r="M116" s="102" t="s">
        <v>12</v>
      </c>
      <c r="N116" s="102">
        <v>936.00000000000011</v>
      </c>
      <c r="S116" t="str">
        <f t="shared" si="42"/>
        <v>91-703-19-00</v>
      </c>
      <c r="T116" s="129" t="s">
        <v>25308</v>
      </c>
      <c r="U116" s="112">
        <v>2</v>
      </c>
    </row>
    <row r="117" spans="1:21" x14ac:dyDescent="0.2">
      <c r="A117" s="102" t="s">
        <v>28531</v>
      </c>
      <c r="B117" s="102" t="s">
        <v>28665</v>
      </c>
      <c r="C117" s="102" t="s">
        <v>46</v>
      </c>
      <c r="D117" s="102" t="s">
        <v>92</v>
      </c>
      <c r="E117" s="102" t="s">
        <v>94</v>
      </c>
      <c r="F117" s="102" t="s">
        <v>91</v>
      </c>
      <c r="G117" s="102" t="s">
        <v>28706</v>
      </c>
      <c r="H117" s="102" t="s">
        <v>28708</v>
      </c>
      <c r="I117" s="102" t="s">
        <v>28385</v>
      </c>
      <c r="J117" s="102" t="s">
        <v>28743</v>
      </c>
      <c r="L117" s="102" t="s">
        <v>25607</v>
      </c>
      <c r="M117" s="102" t="s">
        <v>12</v>
      </c>
      <c r="N117" s="102">
        <v>936.00000000000011</v>
      </c>
      <c r="S117" t="str">
        <f t="shared" si="42"/>
        <v>91-704-20-00</v>
      </c>
      <c r="T117" s="129" t="s">
        <v>25308</v>
      </c>
      <c r="U117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GOORIN BROTHERS</v>
      </c>
      <c r="C2" s="67" t="str">
        <f>_xlfn.LET(_xlpm.Letter,LEFT(ADDRESS(1,COLUMN(Строчный!S1),4,1,)),"Строчный!"&amp;_xlpm.Letter&amp;"1:"&amp;_xlpm.Letter&amp;COUNTA(Строчный!S:S))</f>
        <v>Строчный!S1:S117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28416</v>
      </c>
    </row>
    <row r="24" spans="1:1" x14ac:dyDescent="0.2">
      <c r="A24" s="67" t="s">
        <v>28418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2022-03-16T12:26:25Z</dcterms:modified>
</cp:coreProperties>
</file>