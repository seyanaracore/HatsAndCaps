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94F16EF-29FF-4DFE-9F5E-3CBCC0DA16B3}" xr6:coauthVersionLast="47" xr6:coauthVersionMax="47" xr10:uidLastSave="{00000000-0000-0000-0000-000000000000}"/>
  <bookViews>
    <workbookView xWindow="-120" yWindow="-120" windowWidth="29040" windowHeight="15840" activeTab="5" xr2:uid="{9E8BD5D7-3CAC-4A45-8D05-4165CCD83B9D}"/>
  </bookViews>
  <sheets>
    <sheet name="Подготовка" sheetId="11" r:id="rId1"/>
    <sheet name="Вычисление" sheetId="4" r:id="rId2"/>
    <sheet name="Подготовка(Save)" sheetId="5" state="hidden" r:id="rId3"/>
    <sheet name="Таблица" sheetId="7" r:id="rId4"/>
    <sheet name="Цвета" sheetId="12" r:id="rId5"/>
    <sheet name="Результат" sheetId="18" r:id="rId6"/>
    <sheet name="Результат (Save)" sheetId="13" r:id="rId7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SepColors" hidden="1" xlm="1">#NAME?</definedName>
    <definedName name="_xlpm.sizes" hidden="1" xlm="1">#NAME?</definedName>
    <definedName name="DoubleColors">Цвета!$A:$C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2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2" i="12"/>
  <c r="D92" i="13" l="1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E16" i="7" a="1"/>
  <c r="E3" i="7" a="1"/>
  <c r="E24" i="7" a="1"/>
  <c r="E56" i="7" a="1"/>
  <c r="E73" i="7" a="1"/>
  <c r="E9" i="7" a="1"/>
  <c r="E49" i="7" a="1"/>
  <c r="E67" i="7" a="1"/>
  <c r="E10" i="7" a="1"/>
  <c r="E42" i="7" a="1"/>
  <c r="E74" i="7" a="1"/>
  <c r="E75" i="7" a="1"/>
  <c r="E60" i="7" a="1"/>
  <c r="E28" i="7" a="1"/>
  <c r="E64" i="7" a="1"/>
  <c r="E85" i="7" a="1"/>
  <c r="E13" i="7" a="1"/>
  <c r="E91" i="7" a="1"/>
  <c r="E14" i="7" a="1"/>
  <c r="E46" i="7" a="1"/>
  <c r="E87" i="7" a="1"/>
  <c r="E72" i="7" a="1"/>
  <c r="E68" i="7" a="1"/>
  <c r="E7" i="7" a="1"/>
  <c r="E57" i="7" a="1"/>
  <c r="E50" i="7" a="1"/>
  <c r="E40" i="7" a="1"/>
  <c r="E26" i="7" a="1"/>
  <c r="E35" i="7" a="1"/>
  <c r="E53" i="7" a="1"/>
  <c r="E78" i="7" a="1"/>
  <c r="E32" i="7" a="1"/>
  <c r="E17" i="7" a="1"/>
  <c r="E18" i="7" a="1"/>
  <c r="E86" i="7" a="1"/>
  <c r="E31" i="7" a="1"/>
  <c r="E88" i="7" a="1"/>
  <c r="E77" i="7" a="1"/>
  <c r="E11" i="7" a="1"/>
  <c r="E80" i="7" a="1"/>
  <c r="E83" i="7" a="1"/>
  <c r="E36" i="7" a="1"/>
  <c r="E76" i="7" a="1"/>
  <c r="E27" i="7" a="1"/>
  <c r="E21" i="7" a="1"/>
  <c r="E69" i="7" a="1"/>
  <c r="E19" i="7" a="1"/>
  <c r="E22" i="7" a="1"/>
  <c r="E54" i="7" a="1"/>
  <c r="E90" i="7" a="1"/>
  <c r="E4" i="7" a="1"/>
  <c r="E84" i="7" a="1"/>
  <c r="E25" i="7" a="1"/>
  <c r="E58" i="7" a="1"/>
  <c r="E41" i="7" a="1"/>
  <c r="E8" i="7" a="1"/>
  <c r="E44" i="7" a="1"/>
  <c r="E92" i="7" a="1"/>
  <c r="E59" i="7" a="1"/>
  <c r="E29" i="7" a="1"/>
  <c r="E89" i="7" a="1"/>
  <c r="E51" i="7" a="1"/>
  <c r="E30" i="7" a="1"/>
  <c r="E62" i="7" a="1"/>
  <c r="E23" i="7" a="1"/>
  <c r="E61" i="7" a="1"/>
  <c r="E12" i="7" a="1"/>
  <c r="E48" i="7" a="1"/>
  <c r="E45" i="7" a="1"/>
  <c r="E71" i="7" a="1"/>
  <c r="E33" i="7" a="1"/>
  <c r="E15" i="7" a="1"/>
  <c r="E79" i="7" a="1"/>
  <c r="E66" i="7" a="1"/>
  <c r="E43" i="7" a="1"/>
  <c r="E63" i="7" a="1"/>
  <c r="E82" i="7" a="1"/>
  <c r="E34" i="7" a="1"/>
  <c r="E81" i="7" a="1"/>
  <c r="E52" i="7" a="1"/>
  <c r="E65" i="7" a="1"/>
  <c r="E5" i="7" a="1"/>
  <c r="E37" i="7" a="1"/>
  <c r="E6" i="7" a="1"/>
  <c r="E70" i="7" a="1"/>
  <c r="E39" i="7" a="1"/>
  <c r="E20" i="7" a="1"/>
  <c r="E47" i="7" a="1"/>
  <c r="E38" i="7" a="1"/>
  <c r="E55" i="7" a="1"/>
  <c r="E87" i="7" l="1"/>
  <c r="E75" i="7"/>
  <c r="E55" i="7"/>
  <c r="E43" i="7"/>
  <c r="E23" i="7"/>
  <c r="E11" i="7"/>
  <c r="E90" i="7"/>
  <c r="E86" i="7"/>
  <c r="E78" i="7"/>
  <c r="E74" i="7"/>
  <c r="E70" i="7"/>
  <c r="E66" i="7"/>
  <c r="E62" i="7"/>
  <c r="E58" i="7"/>
  <c r="E54" i="7"/>
  <c r="E50" i="7"/>
  <c r="E46" i="7"/>
  <c r="E42" i="7"/>
  <c r="E38" i="7"/>
  <c r="E34" i="7"/>
  <c r="E30" i="7"/>
  <c r="E26" i="7"/>
  <c r="E22" i="7"/>
  <c r="E18" i="7"/>
  <c r="E14" i="7"/>
  <c r="E10" i="7"/>
  <c r="E6" i="7"/>
  <c r="E79" i="7"/>
  <c r="E51" i="7"/>
  <c r="E31" i="7"/>
  <c r="E19" i="7"/>
  <c r="E82" i="7"/>
  <c r="E91" i="7"/>
  <c r="E67" i="7"/>
  <c r="E47" i="7"/>
  <c r="E15" i="7"/>
  <c r="E89" i="7"/>
  <c r="E77" i="7"/>
  <c r="E69" i="7"/>
  <c r="E57" i="7"/>
  <c r="E53" i="7"/>
  <c r="E49" i="7"/>
  <c r="E37" i="7"/>
  <c r="E33" i="7"/>
  <c r="E29" i="7"/>
  <c r="E25" i="7"/>
  <c r="E21" i="7"/>
  <c r="E17" i="7"/>
  <c r="E13" i="7"/>
  <c r="E9" i="7"/>
  <c r="E5" i="7"/>
  <c r="E71" i="7"/>
  <c r="E59" i="7"/>
  <c r="E39" i="7"/>
  <c r="E27" i="7"/>
  <c r="E7" i="7"/>
  <c r="E85" i="7"/>
  <c r="E73" i="7"/>
  <c r="E65" i="7"/>
  <c r="E45" i="7"/>
  <c r="E92" i="7"/>
  <c r="E84" i="7"/>
  <c r="E76" i="7"/>
  <c r="E68" i="7"/>
  <c r="E64" i="7"/>
  <c r="E56" i="7"/>
  <c r="E52" i="7"/>
  <c r="E48" i="7"/>
  <c r="E44" i="7"/>
  <c r="E40" i="7"/>
  <c r="E36" i="7"/>
  <c r="E32" i="7"/>
  <c r="E28" i="7"/>
  <c r="E24" i="7"/>
  <c r="E20" i="7"/>
  <c r="E12" i="7"/>
  <c r="E8" i="7"/>
  <c r="E4" i="7"/>
  <c r="E83" i="7"/>
  <c r="E63" i="7"/>
  <c r="E35" i="7"/>
  <c r="E3" i="7"/>
  <c r="E81" i="7"/>
  <c r="E61" i="7"/>
  <c r="E41" i="7"/>
  <c r="E88" i="7"/>
  <c r="E80" i="7"/>
  <c r="E72" i="7"/>
  <c r="E60" i="7"/>
  <c r="E16" i="7"/>
  <c r="B274" i="1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E2" i="7" a="1"/>
  <c r="E60" i="13" l="1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77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E2" i="7"/>
  <c r="E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<sst xmlns="http://schemas.openxmlformats.org/spreadsheetml/2006/main" count="2048" uniqueCount="508">
  <si>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</si>
  <si>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</si>
  <si>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</si>
  <si>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</si>
  <si>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</si>
  <si>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</si>
  <si>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</si>
  <si>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</si>
  <si>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</si>
  <si>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</si>
  <si>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</si>
  <si>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</si>
  <si>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</si>
  <si>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</si>
  <si>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</si>
  <si>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</si>
  <si>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</si>
  <si>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</si>
  <si>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</si>
  <si>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</si>
  <si>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</si>
  <si>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</si>
  <si>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</si>
  <si>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</si>
  <si>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</si>
  <si>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</si>
  <si>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</si>
  <si>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</si>
  <si>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</si>
  <si>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</si>
  <si>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</si>
  <si>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</si>
  <si>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</si>
  <si>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</si>
  <si>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</si>
  <si>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</si>
  <si>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</si>
  <si>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</si>
  <si>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</si>
  <si>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</si>
  <si>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</si>
  <si>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</si>
  <si>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</si>
  <si>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</si>
  <si>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</si>
  <si>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</si>
  <si>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</si>
  <si>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</si>
  <si>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</si>
  <si>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</si>
  <si>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</si>
  <si>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</si>
  <si>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</si>
  <si>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</si>
  <si>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</si>
  <si>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</si>
  <si>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</si>
  <si>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</si>
  <si>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</si>
  <si>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</si>
  <si>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</si>
  <si>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</si>
  <si>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</si>
  <si>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</si>
  <si>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</si>
  <si>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</si>
  <si>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</si>
  <si>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</si>
  <si>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</si>
  <si>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</si>
  <si>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</si>
  <si>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</si>
  <si>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</si>
  <si>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</si>
  <si>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</si>
  <si>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</si>
  <si>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</si>
  <si>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</si>
  <si>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</si>
  <si>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</si>
  <si>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</si>
  <si>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</si>
  <si>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</si>
  <si>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</si>
  <si>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</si>
  <si>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</si>
  <si>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</si>
  <si>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</si>
  <si>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</si>
  <si>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</si>
  <si>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</si>
  <si>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</si>
  <si>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</si>
  <si>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</si>
  <si>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</si>
  <si>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</si>
  <si>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</si>
  <si>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</si>
  <si>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</si>
  <si>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</si>
  <si>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</si>
  <si>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</si>
  <si>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</si>
  <si>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</si>
  <si>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</si>
  <si>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</si>
  <si>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</si>
  <si>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</si>
  <si>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</si>
  <si>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</si>
  <si>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</si>
  <si>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</si>
  <si>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</si>
  <si>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</si>
  <si>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</si>
  <si>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</si>
  <si>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</si>
  <si>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</si>
  <si>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</si>
  <si>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</si>
  <si>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</si>
  <si>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</si>
  <si>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</si>
  <si>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</si>
  <si>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</si>
  <si>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</si>
  <si>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</si>
  <si>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</si>
  <si>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</si>
  <si>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</si>
  <si>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</si>
  <si>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</si>
  <si>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</si>
  <si>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</si>
  <si>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</si>
  <si>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</si>
  <si>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</si>
  <si>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</si>
  <si>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</si>
  <si>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</si>
  <si>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</si>
  <si>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</si>
  <si>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</si>
  <si>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</si>
  <si>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</si>
  <si>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</si>
  <si>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</si>
  <si>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</si>
  <si>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</si>
  <si>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</si>
  <si>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</si>
  <si>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</si>
  <si>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</si>
  <si>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</si>
  <si>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</si>
  <si>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</si>
  <si>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</si>
  <si>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</si>
  <si>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</si>
  <si>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</si>
  <si>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</si>
  <si>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</si>
  <si>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</si>
  <si>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</si>
  <si>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</si>
  <si>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</si>
  <si>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</si>
  <si>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</si>
  <si>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</si>
  <si>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</si>
  <si>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</si>
  <si>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</si>
  <si>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</si>
  <si>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</si>
  <si>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</si>
  <si>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</si>
  <si>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</si>
  <si>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</si>
  <si>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</si>
  <si>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</si>
  <si>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</si>
  <si>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</si>
  <si>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</si>
  <si>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</si>
  <si>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</si>
  <si>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</si>
  <si>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</si>
  <si>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</si>
  <si>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</si>
  <si>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</si>
  <si>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</si>
  <si>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</si>
  <si>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</si>
  <si>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</si>
  <si>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</si>
  <si>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</si>
  <si>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</si>
  <si>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</si>
  <si>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</si>
  <si>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</si>
  <si>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</si>
  <si>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</si>
  <si>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</si>
  <si>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</si>
  <si>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</si>
  <si>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</si>
  <si>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</si>
  <si>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</si>
  <si>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</si>
  <si>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</si>
  <si>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</si>
  <si>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</si>
  <si>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</si>
  <si>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</si>
  <si>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</si>
  <si>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</si>
  <si>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</si>
  <si>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</si>
  <si>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</si>
  <si>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</si>
  <si>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</si>
  <si>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</si>
  <si>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</si>
  <si>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</si>
  <si>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</si>
  <si>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</si>
  <si>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</si>
  <si>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</si>
  <si>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</si>
  <si>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</si>
  <si>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</si>
  <si>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</si>
  <si>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</si>
  <si>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</si>
  <si>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</si>
  <si>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</si>
  <si>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</si>
  <si>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</si>
  <si>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</si>
  <si>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</si>
  <si>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</si>
  <si>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</si>
  <si>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</si>
  <si>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</si>
  <si>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</si>
  <si>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</si>
  <si>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</si>
  <si>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</si>
  <si>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</si>
  <si>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</si>
  <si>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</si>
  <si>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</si>
  <si>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</si>
  <si>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</si>
  <si>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</si>
  <si>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</si>
  <si>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</si>
  <si>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</si>
  <si>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</si>
  <si>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</si>
  <si>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</si>
  <si>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</si>
  <si>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</si>
  <si>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</si>
  <si>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</si>
  <si>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</si>
  <si>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</si>
  <si>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</si>
  <si>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</si>
  <si>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</si>
  <si>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</si>
  <si>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</si>
  <si>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</si>
  <si>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</si>
  <si>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</si>
  <si>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</si>
  <si>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</si>
  <si>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</si>
  <si>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</si>
  <si>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</si>
  <si>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</si>
  <si>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</si>
  <si>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</si>
  <si>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</si>
  <si>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</si>
  <si>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</si>
  <si>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</si>
  <si>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</si>
  <si>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</si>
  <si>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</si>
  <si>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</si>
  <si>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</si>
  <si>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</si>
  <si>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</si>
  <si>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</si>
  <si>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</si>
  <si>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</si>
  <si>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</si>
  <si>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</si>
  <si>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</si>
  <si>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</si>
  <si>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</si>
  <si>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</si>
  <si>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</si>
  <si>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</si>
  <si>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</si>
  <si>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</si>
  <si>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</si>
  <si>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</si>
  <si>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</si>
  <si>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</si>
  <si>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</si>
  <si>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</si>
  <si>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</si>
  <si>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</si>
  <si>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</si>
  <si>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</si>
  <si>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</si>
  <si>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</si>
  <si>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</si>
  <si>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</si>
  <si>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</si>
  <si>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</si>
  <si>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</si>
  <si>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</si>
  <si>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</si>
  <si>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</si>
  <si>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</si>
  <si>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</si>
  <si>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</si>
  <si>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</si>
  <si>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</si>
  <si>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</si>
  <si>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</si>
  <si>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</si>
  <si>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</si>
  <si>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</si>
  <si>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</si>
  <si>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</si>
  <si>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</si>
  <si>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</si>
  <si>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</si>
  <si>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</si>
  <si>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</si>
  <si>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</si>
  <si>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</si>
  <si>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</si>
  <si>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</si>
  <si>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</si>
  <si>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</si>
  <si>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</si>
  <si>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</si>
  <si>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</si>
  <si>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</si>
  <si>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</si>
  <si>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</si>
  <si>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</si>
  <si>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</si>
  <si>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</si>
  <si>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</si>
  <si>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</si>
  <si>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</si>
  <si>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</si>
  <si>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</si>
  <si>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</si>
  <si>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</si>
  <si>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</si>
  <si>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</si>
  <si>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</si>
  <si>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</si>
  <si>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</si>
  <si>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</si>
  <si>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</si>
  <si>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</si>
  <si>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</si>
  <si>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</si>
  <si>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</si>
  <si>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</si>
  <si>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</si>
  <si>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</si>
  <si>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</si>
  <si>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</si>
  <si>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</si>
  <si>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</si>
  <si>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</si>
  <si>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</si>
  <si>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</si>
  <si>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</si>
  <si>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</si>
  <si>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</si>
  <si>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</si>
  <si>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</si>
  <si>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</si>
  <si>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</si>
  <si>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</si>
  <si>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</si>
  <si>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</si>
  <si>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</si>
  <si>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</si>
  <si>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</si>
  <si>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</si>
  <si>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</si>
  <si>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</si>
  <si>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</si>
  <si>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</si>
  <si>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</si>
  <si>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</si>
  <si>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</si>
  <si>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</si>
  <si>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</si>
  <si>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</si>
  <si>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</si>
  <si>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</si>
  <si>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</si>
  <si>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</si>
  <si>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</si>
  <si>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</si>
  <si>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</si>
  <si>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</si>
  <si>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</si>
  <si>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</si>
  <si>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</si>
  <si>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</si>
  <si>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</si>
  <si>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</si>
  <si>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</si>
  <si>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</si>
  <si>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</si>
  <si>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</si>
  <si>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</si>
  <si>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</si>
  <si>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</si>
  <si>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</si>
  <si>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</si>
  <si>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</si>
  <si>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</si>
  <si>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</si>
  <si>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</si>
  <si>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</si>
  <si>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</si>
  <si>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</si>
  <si>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</si>
  <si>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</si>
  <si>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</si>
  <si>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</si>
  <si>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</si>
  <si>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</si>
  <si>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</si>
  <si>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</si>
  <si>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</si>
  <si>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</si>
  <si>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</si>
  <si>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</si>
  <si>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</si>
  <si>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</si>
  <si>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</si>
  <si>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</si>
  <si>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</si>
  <si>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</si>
  <si>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</si>
  <si>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</si>
  <si>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</si>
  <si>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</si>
  <si>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</si>
  <si>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</si>
  <si>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</si>
  <si>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</si>
  <si>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</si>
  <si>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</si>
  <si>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</si>
  <si>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</si>
  <si>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</si>
  <si>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</si>
  <si>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</si>
  <si>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</si>
  <si>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</si>
  <si>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</si>
  <si>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</si>
  <si>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</si>
  <si>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</si>
  <si>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</si>
  <si>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</si>
  <si>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</si>
  <si>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</si>
  <si>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</si>
  <si>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</si>
  <si>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</si>
  <si>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</si>
  <si>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</si>
  <si>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</si>
  <si>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</si>
  <si>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</si>
  <si>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</si>
  <si>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</si>
  <si>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</si>
  <si>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</si>
  <si>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</si>
  <si>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</si>
  <si>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</si>
  <si>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</si>
  <si>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</si>
  <si>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</si>
  <si>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</si>
  <si>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</si>
  <si>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</si>
  <si>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</si>
  <si>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СЖПРОБ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</si>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</sst>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37" Type="http://schemas.openxmlformats.org/officeDocument/2006/relationships/image" Target="../media/image37.jp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jpg"/><Relationship Id="rId46" Type="http://schemas.openxmlformats.org/officeDocument/2006/relationships/image" Target="../media/image46.png"/><Relationship Id="rId59" Type="http://schemas.openxmlformats.org/officeDocument/2006/relationships/image" Target="../media/image59.jp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5" Type="http://schemas.openxmlformats.org/officeDocument/2006/relationships/image" Target="../media/image15.jp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jp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jp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jp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jp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jp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AE0A73-8188-476A-861E-49A58F1B5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21907</xdr:rowOff>
    </xdr:from>
    <xdr:to>
      <xdr:col>0</xdr:col>
      <xdr:colOff>1400175</xdr:colOff>
      <xdr:row>2</xdr:row>
      <xdr:rowOff>844867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E63F4FC-ACDA-48DB-A436-71177FCE7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5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23685</xdr:rowOff>
    </xdr:from>
    <xdr:to>
      <xdr:col>0</xdr:col>
      <xdr:colOff>1400175</xdr:colOff>
      <xdr:row>3</xdr:row>
      <xdr:rowOff>995491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8520D3C-3C4A-4FA9-BB92-2BD854A49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393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21824</xdr:rowOff>
    </xdr:from>
    <xdr:to>
      <xdr:col>0</xdr:col>
      <xdr:colOff>1400175</xdr:colOff>
      <xdr:row>4</xdr:row>
      <xdr:rowOff>940200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33334A24-D3C0-4D1E-B501-7224E6827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12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25036</xdr:rowOff>
    </xdr:from>
    <xdr:to>
      <xdr:col>0</xdr:col>
      <xdr:colOff>1400175</xdr:colOff>
      <xdr:row>5</xdr:row>
      <xdr:rowOff>975089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6F59858-31DF-47D4-BC7E-635573A9A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648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21399</xdr:rowOff>
    </xdr:from>
    <xdr:to>
      <xdr:col>0</xdr:col>
      <xdr:colOff>1400175</xdr:colOff>
      <xdr:row>6</xdr:row>
      <xdr:rowOff>950151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AAE1380-0383-45FF-B85C-86774054F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297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</xdr:row>
      <xdr:rowOff>22347</xdr:rowOff>
    </xdr:from>
    <xdr:to>
      <xdr:col>0</xdr:col>
      <xdr:colOff>1400175</xdr:colOff>
      <xdr:row>7</xdr:row>
      <xdr:rowOff>1044453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BD9102FF-E959-4D0C-B2CB-514D5CD24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754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22396</xdr:rowOff>
    </xdr:from>
    <xdr:to>
      <xdr:col>0</xdr:col>
      <xdr:colOff>1400175</xdr:colOff>
      <xdr:row>8</xdr:row>
      <xdr:rowOff>949153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B3F6475-9D43-46BB-AC9F-BE33382CA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4232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21336</xdr:rowOff>
    </xdr:from>
    <xdr:to>
      <xdr:col>0</xdr:col>
      <xdr:colOff>1400175</xdr:colOff>
      <xdr:row>9</xdr:row>
      <xdr:rowOff>893064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31FABE26-6252-4E98-A5D0-B53530096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1281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22175</xdr:rowOff>
    </xdr:from>
    <xdr:to>
      <xdr:col>0</xdr:col>
      <xdr:colOff>1400175</xdr:colOff>
      <xdr:row>10</xdr:row>
      <xdr:rowOff>977951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6E00056-D44F-493E-81C7-CF283CE1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2805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23619</xdr:rowOff>
    </xdr:from>
    <xdr:to>
      <xdr:col>0</xdr:col>
      <xdr:colOff>1400175</xdr:colOff>
      <xdr:row>11</xdr:row>
      <xdr:rowOff>966982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B2F0584-88ED-4DF8-BE70-58491738D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296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D1C6EC7-837C-437B-A216-BC863BED3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1799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</xdr:row>
      <xdr:rowOff>21698</xdr:rowOff>
    </xdr:from>
    <xdr:to>
      <xdr:col>0</xdr:col>
      <xdr:colOff>1400175</xdr:colOff>
      <xdr:row>13</xdr:row>
      <xdr:rowOff>968902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E0F212D3-FC31-45FB-8418-DE4BFE9FA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8984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24474</xdr:rowOff>
    </xdr:from>
    <xdr:to>
      <xdr:col>0</xdr:col>
      <xdr:colOff>1400175</xdr:colOff>
      <xdr:row>14</xdr:row>
      <xdr:rowOff>947075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1252858-C979-4016-8695-831A1BFF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8322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24416</xdr:rowOff>
    </xdr:from>
    <xdr:to>
      <xdr:col>0</xdr:col>
      <xdr:colOff>1400175</xdr:colOff>
      <xdr:row>15</xdr:row>
      <xdr:rowOff>899509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67CFC5E-0E40-457F-907E-BA2B4E1AA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85471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24842</xdr:rowOff>
    </xdr:from>
    <xdr:to>
      <xdr:col>0</xdr:col>
      <xdr:colOff>1400175</xdr:colOff>
      <xdr:row>16</xdr:row>
      <xdr:rowOff>1013383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D2533F11-8B60-4E55-A8C2-15679DEF6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790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22489</xdr:rowOff>
    </xdr:from>
    <xdr:to>
      <xdr:col>0</xdr:col>
      <xdr:colOff>1400175</xdr:colOff>
      <xdr:row>17</xdr:row>
      <xdr:rowOff>920487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3EF1C3FB-AF29-4FA6-8CEC-5DAAE8C4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493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21527</xdr:rowOff>
    </xdr:from>
    <xdr:to>
      <xdr:col>0</xdr:col>
      <xdr:colOff>1400175</xdr:colOff>
      <xdr:row>18</xdr:row>
      <xdr:rowOff>921446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2622EAD-13D2-4024-A01C-4FA14CA6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75695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23619</xdr:rowOff>
    </xdr:from>
    <xdr:to>
      <xdr:col>0</xdr:col>
      <xdr:colOff>1400175</xdr:colOff>
      <xdr:row>19</xdr:row>
      <xdr:rowOff>966982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C5C1833-9514-4A62-95C1-CE0E2DEC6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7020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25563</xdr:rowOff>
    </xdr:from>
    <xdr:to>
      <xdr:col>0</xdr:col>
      <xdr:colOff>1400175</xdr:colOff>
      <xdr:row>20</xdr:row>
      <xdr:rowOff>917411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A6B24AF-2C69-404A-8084-DDFE329E2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4563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23983</xdr:rowOff>
    </xdr:from>
    <xdr:to>
      <xdr:col>0</xdr:col>
      <xdr:colOff>1400175</xdr:colOff>
      <xdr:row>21</xdr:row>
      <xdr:rowOff>1014241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2582AA00-7E64-4FCF-9EE2-0EEBE83E7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6359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24200</xdr:rowOff>
    </xdr:from>
    <xdr:to>
      <xdr:col>0</xdr:col>
      <xdr:colOff>1400175</xdr:colOff>
      <xdr:row>22</xdr:row>
      <xdr:rowOff>880674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EDB5240-D320-4CB0-AA5D-6F31527E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6744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23279</xdr:rowOff>
    </xdr:from>
    <xdr:to>
      <xdr:col>0</xdr:col>
      <xdr:colOff>1400175</xdr:colOff>
      <xdr:row>23</xdr:row>
      <xdr:rowOff>872072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FBAA657E-61DB-4F27-B07D-7C61873B1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783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22757</xdr:rowOff>
    </xdr:from>
    <xdr:to>
      <xdr:col>0</xdr:col>
      <xdr:colOff>1400175</xdr:colOff>
      <xdr:row>24</xdr:row>
      <xdr:rowOff>891644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79D2EB03-9F74-439A-9559-F71808836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73182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</xdr:row>
      <xdr:rowOff>21743</xdr:rowOff>
    </xdr:from>
    <xdr:to>
      <xdr:col>0</xdr:col>
      <xdr:colOff>1400175</xdr:colOff>
      <xdr:row>25</xdr:row>
      <xdr:rowOff>940281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BE9C2F55-CAF6-490C-A6F1-4C0B643C2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386568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21306</xdr:rowOff>
    </xdr:from>
    <xdr:to>
      <xdr:col>0</xdr:col>
      <xdr:colOff>1400175</xdr:colOff>
      <xdr:row>26</xdr:row>
      <xdr:rowOff>959769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3AEAA6E-9443-48C1-8997-E6B2B8880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48156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22861</xdr:rowOff>
    </xdr:from>
    <xdr:to>
      <xdr:col>0</xdr:col>
      <xdr:colOff>1400175</xdr:colOff>
      <xdr:row>27</xdr:row>
      <xdr:rowOff>967741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798F1A27-1133-4798-8D98-AE617CEF6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33078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25059</xdr:rowOff>
    </xdr:from>
    <xdr:to>
      <xdr:col>0</xdr:col>
      <xdr:colOff>1400175</xdr:colOff>
      <xdr:row>28</xdr:row>
      <xdr:rowOff>1127467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B5C595DC-3D31-49BA-BEF4-3D026BEC7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32358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22287</xdr:rowOff>
    </xdr:from>
    <xdr:to>
      <xdr:col>0</xdr:col>
      <xdr:colOff>1400175</xdr:colOff>
      <xdr:row>29</xdr:row>
      <xdr:rowOff>1168335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9D1718E7-6F68-41A4-BE30-B58E3E33D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733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22058</xdr:rowOff>
    </xdr:from>
    <xdr:to>
      <xdr:col>0</xdr:col>
      <xdr:colOff>1400175</xdr:colOff>
      <xdr:row>30</xdr:row>
      <xdr:rowOff>930442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9A0A1630-FC44-476E-93B2-2CDFEC39E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6373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24842</xdr:rowOff>
    </xdr:from>
    <xdr:to>
      <xdr:col>0</xdr:col>
      <xdr:colOff>1400175</xdr:colOff>
      <xdr:row>31</xdr:row>
      <xdr:rowOff>1013383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17A84FC7-FF10-4F02-9A1B-A09514D71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190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25372</xdr:rowOff>
    </xdr:from>
    <xdr:to>
      <xdr:col>0</xdr:col>
      <xdr:colOff>1400175</xdr:colOff>
      <xdr:row>32</xdr:row>
      <xdr:rowOff>1003329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8F9BE53-D266-4D82-80C1-651D9EB61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577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23983</xdr:rowOff>
    </xdr:from>
    <xdr:to>
      <xdr:col>0</xdr:col>
      <xdr:colOff>1400175</xdr:colOff>
      <xdr:row>33</xdr:row>
      <xdr:rowOff>1014241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E6A6E730-5D40-435F-83BA-AFE99A67B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8508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22823</xdr:rowOff>
    </xdr:from>
    <xdr:to>
      <xdr:col>0</xdr:col>
      <xdr:colOff>1400175</xdr:colOff>
      <xdr:row>34</xdr:row>
      <xdr:rowOff>986825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7797F8-1C93-407C-AE2B-2E3EE9AF2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72214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23385</xdr:rowOff>
    </xdr:from>
    <xdr:to>
      <xdr:col>0</xdr:col>
      <xdr:colOff>1400175</xdr:colOff>
      <xdr:row>35</xdr:row>
      <xdr:rowOff>976739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D56E2D7-391A-4273-9F7C-81FBA15F5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3236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22436</xdr:rowOff>
    </xdr:from>
    <xdr:to>
      <xdr:col>0</xdr:col>
      <xdr:colOff>1400175</xdr:colOff>
      <xdr:row>36</xdr:row>
      <xdr:rowOff>1101515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4AE8B98A-AEA1-47F3-8270-77DE20DE3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3153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22175</xdr:rowOff>
    </xdr:from>
    <xdr:to>
      <xdr:col>0</xdr:col>
      <xdr:colOff>1400175</xdr:colOff>
      <xdr:row>37</xdr:row>
      <xdr:rowOff>977951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DCB2874F-3FAE-4359-BCF2-24E015875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8552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25037</xdr:rowOff>
    </xdr:from>
    <xdr:to>
      <xdr:col>0</xdr:col>
      <xdr:colOff>1400175</xdr:colOff>
      <xdr:row>38</xdr:row>
      <xdr:rowOff>965563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5DF0BE8-D57F-4796-8F33-714301839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858212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24445</xdr:rowOff>
    </xdr:from>
    <xdr:to>
      <xdr:col>0</xdr:col>
      <xdr:colOff>1400175</xdr:colOff>
      <xdr:row>39</xdr:row>
      <xdr:rowOff>1080456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CD363B9-A54B-4F9E-902F-E9B10FA5A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8482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22594</xdr:rowOff>
    </xdr:from>
    <xdr:to>
      <xdr:col>0</xdr:col>
      <xdr:colOff>1400175</xdr:colOff>
      <xdr:row>40</xdr:row>
      <xdr:rowOff>1025154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924FE844-34BF-4CF0-BA7D-4FECD155F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951269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24712</xdr:rowOff>
    </xdr:from>
    <xdr:to>
      <xdr:col>0</xdr:col>
      <xdr:colOff>1400175</xdr:colOff>
      <xdr:row>41</xdr:row>
      <xdr:rowOff>956365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5EC3E176-96D7-42E6-BA3C-CAD00EA50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011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23298</xdr:rowOff>
    </xdr:from>
    <xdr:to>
      <xdr:col>0</xdr:col>
      <xdr:colOff>1400175</xdr:colOff>
      <xdr:row>42</xdr:row>
      <xdr:rowOff>900628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C0900723-CACA-4BBC-B942-36F8014E5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807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22138</xdr:rowOff>
    </xdr:from>
    <xdr:to>
      <xdr:col>0</xdr:col>
      <xdr:colOff>1400175</xdr:colOff>
      <xdr:row>43</xdr:row>
      <xdr:rowOff>930360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AA33596B-D767-43EE-9696-A6801BF8C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90356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23878</xdr:rowOff>
    </xdr:from>
    <xdr:to>
      <xdr:col>0</xdr:col>
      <xdr:colOff>1400175</xdr:colOff>
      <xdr:row>44</xdr:row>
      <xdr:rowOff>909575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5D237B4-EDAF-4424-A4E2-132EC0175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857803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24764</xdr:rowOff>
    </xdr:from>
    <xdr:to>
      <xdr:col>0</xdr:col>
      <xdr:colOff>1400175</xdr:colOff>
      <xdr:row>45</xdr:row>
      <xdr:rowOff>984884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8BF0A752-06FA-4A23-AD36-DFA6A5D90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792139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21915</xdr:rowOff>
    </xdr:from>
    <xdr:to>
      <xdr:col>0</xdr:col>
      <xdr:colOff>1400175</xdr:colOff>
      <xdr:row>46</xdr:row>
      <xdr:rowOff>968683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33D4FE9A-5060-4231-85B5-7274FBFC8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79894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25685</xdr:rowOff>
    </xdr:from>
    <xdr:to>
      <xdr:col>0</xdr:col>
      <xdr:colOff>1400175</xdr:colOff>
      <xdr:row>47</xdr:row>
      <xdr:rowOff>1098263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948325AB-437D-4C5A-9C7E-E508331DC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793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23813</xdr:rowOff>
    </xdr:from>
    <xdr:to>
      <xdr:col>0</xdr:col>
      <xdr:colOff>1400175</xdr:colOff>
      <xdr:row>48</xdr:row>
      <xdr:rowOff>938213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A713FA0B-7C7C-494E-98C5-B4324B9D9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915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23251</xdr:rowOff>
    </xdr:from>
    <xdr:to>
      <xdr:col>0</xdr:col>
      <xdr:colOff>1400175</xdr:colOff>
      <xdr:row>49</xdr:row>
      <xdr:rowOff>1186422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51C588CF-7AC6-491D-82C8-E6BDCDA9A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876851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21313</xdr:rowOff>
    </xdr:from>
    <xdr:to>
      <xdr:col>0</xdr:col>
      <xdr:colOff>1400175</xdr:colOff>
      <xdr:row>50</xdr:row>
      <xdr:rowOff>902613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6CB6C81-316C-4173-8881-3EE7885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845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51</xdr:row>
      <xdr:rowOff>25174</xdr:rowOff>
    </xdr:from>
    <xdr:to>
      <xdr:col>0</xdr:col>
      <xdr:colOff>1400175</xdr:colOff>
      <xdr:row>51</xdr:row>
      <xdr:rowOff>955903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F95DCF33-A631-492B-ACD3-5F080D68B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1237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25493</xdr:rowOff>
    </xdr:from>
    <xdr:to>
      <xdr:col>0</xdr:col>
      <xdr:colOff>1400175</xdr:colOff>
      <xdr:row>52</xdr:row>
      <xdr:rowOff>993681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D959BDC-969E-4575-85A8-B4DAF2BB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9376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25174</xdr:rowOff>
    </xdr:from>
    <xdr:to>
      <xdr:col>0</xdr:col>
      <xdr:colOff>1400175</xdr:colOff>
      <xdr:row>53</xdr:row>
      <xdr:rowOff>955903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36E4EB1-CE7E-4AD1-8C92-DE09A7278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1262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23031</xdr:rowOff>
    </xdr:from>
    <xdr:to>
      <xdr:col>0</xdr:col>
      <xdr:colOff>1400175</xdr:colOff>
      <xdr:row>54</xdr:row>
      <xdr:rowOff>1005670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8C7406A-C23C-409F-89C4-A777DC84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9155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24383</xdr:rowOff>
    </xdr:from>
    <xdr:to>
      <xdr:col>0</xdr:col>
      <xdr:colOff>1400175</xdr:colOff>
      <xdr:row>55</xdr:row>
      <xdr:rowOff>1042415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743C74D-BCC9-41D0-84A3-CDB354DD1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02160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24581</xdr:rowOff>
    </xdr:from>
    <xdr:to>
      <xdr:col>0</xdr:col>
      <xdr:colOff>1400175</xdr:colOff>
      <xdr:row>56</xdr:row>
      <xdr:rowOff>1051743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34D8458-E19B-477D-865E-EADB7F8B2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508860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25121</xdr:rowOff>
    </xdr:from>
    <xdr:to>
      <xdr:col>0</xdr:col>
      <xdr:colOff>1400175</xdr:colOff>
      <xdr:row>57</xdr:row>
      <xdr:rowOff>994049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B5A1873E-B474-408B-8E76-84A11B1BB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16547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25716</xdr:rowOff>
    </xdr:from>
    <xdr:to>
      <xdr:col>0</xdr:col>
      <xdr:colOff>1400175</xdr:colOff>
      <xdr:row>58</xdr:row>
      <xdr:rowOff>1031556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4BE862DB-3DDB-45CE-8869-119FD6C50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18524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25431</xdr:rowOff>
    </xdr:from>
    <xdr:to>
      <xdr:col>0</xdr:col>
      <xdr:colOff>1400175</xdr:colOff>
      <xdr:row>59</xdr:row>
      <xdr:rowOff>850874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F440CDBD-3407-4CF4-B96F-0EFA9515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24223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24972</xdr:rowOff>
    </xdr:from>
    <xdr:to>
      <xdr:col>0</xdr:col>
      <xdr:colOff>1400175</xdr:colOff>
      <xdr:row>60</xdr:row>
      <xdr:rowOff>908480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25348F4-400B-4C40-8102-585D09B10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180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22126</xdr:rowOff>
    </xdr:from>
    <xdr:to>
      <xdr:col>0</xdr:col>
      <xdr:colOff>1400175</xdr:colOff>
      <xdr:row>61</xdr:row>
      <xdr:rowOff>806553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F2A535F6-6CFE-4383-85C8-8B24F8747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0486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21741</xdr:rowOff>
    </xdr:from>
    <xdr:to>
      <xdr:col>0</xdr:col>
      <xdr:colOff>1400175</xdr:colOff>
      <xdr:row>62</xdr:row>
      <xdr:rowOff>940279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F5F832-DE0A-4584-A3E8-878C068EB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769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23813</xdr:rowOff>
    </xdr:from>
    <xdr:to>
      <xdr:col>0</xdr:col>
      <xdr:colOff>1400175</xdr:colOff>
      <xdr:row>63</xdr:row>
      <xdr:rowOff>938213</xdr:rowOff>
    </xdr:to>
    <xdr:pic>
      <xdr:nvPicPr>
        <xdr:cNvPr id="64" name="Рисунок 63">
          <a:extLst>
            <a:ext uri="{FF2B5EF4-FFF2-40B4-BE49-F238E27FC236}">
              <a16:creationId xmlns:a16="http://schemas.microsoft.com/office/drawing/2014/main" id="{12266E30-70B1-42DE-BD42-B270F9E73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410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23434</xdr:rowOff>
    </xdr:from>
    <xdr:to>
      <xdr:col>0</xdr:col>
      <xdr:colOff>1400175</xdr:colOff>
      <xdr:row>64</xdr:row>
      <xdr:rowOff>881439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E28C0C35-055F-4BB9-9941-3F102B7AD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8027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23949</xdr:rowOff>
    </xdr:from>
    <xdr:to>
      <xdr:col>0</xdr:col>
      <xdr:colOff>1400175</xdr:colOff>
      <xdr:row>65</xdr:row>
      <xdr:rowOff>1042852</xdr:rowOff>
    </xdr:to>
    <xdr:pic>
      <xdr:nvPicPr>
        <xdr:cNvPr id="66" name="Рисунок 65">
          <a:extLst>
            <a:ext uri="{FF2B5EF4-FFF2-40B4-BE49-F238E27FC236}">
              <a16:creationId xmlns:a16="http://schemas.microsoft.com/office/drawing/2014/main" id="{C1B1C44B-A538-4613-B466-1CEAF9021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080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23608</xdr:rowOff>
    </xdr:from>
    <xdr:to>
      <xdr:col>0</xdr:col>
      <xdr:colOff>1400175</xdr:colOff>
      <xdr:row>66</xdr:row>
      <xdr:rowOff>1024147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9E49CED2-B410-484D-ACAF-8FDE55BD3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745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22969</xdr:rowOff>
    </xdr:from>
    <xdr:to>
      <xdr:col>0</xdr:col>
      <xdr:colOff>1400175</xdr:colOff>
      <xdr:row>67</xdr:row>
      <xdr:rowOff>1139075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76A23AE4-C0C4-41EF-9BA5-CD96E65A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82166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68</xdr:row>
      <xdr:rowOff>22982</xdr:rowOff>
    </xdr:from>
    <xdr:to>
      <xdr:col>0</xdr:col>
      <xdr:colOff>1400175</xdr:colOff>
      <xdr:row>68</xdr:row>
      <xdr:rowOff>977138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4FC9BE3D-26F9-45A8-8D5F-57678CE04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98373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24154</xdr:rowOff>
    </xdr:from>
    <xdr:to>
      <xdr:col>0</xdr:col>
      <xdr:colOff>1400175</xdr:colOff>
      <xdr:row>69</xdr:row>
      <xdr:rowOff>985499</xdr:rowOff>
    </xdr:to>
    <xdr:pic>
      <xdr:nvPicPr>
        <xdr:cNvPr id="70" name="Рисунок 69">
          <a:extLst>
            <a:ext uri="{FF2B5EF4-FFF2-40B4-BE49-F238E27FC236}">
              <a16:creationId xmlns:a16="http://schemas.microsoft.com/office/drawing/2014/main" id="{2E3754E0-6424-4B6E-A8B7-CA33FE881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98502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24383</xdr:rowOff>
    </xdr:from>
    <xdr:to>
      <xdr:col>0</xdr:col>
      <xdr:colOff>1400175</xdr:colOff>
      <xdr:row>70</xdr:row>
      <xdr:rowOff>890015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F70CFDDC-E248-4159-8446-E74164526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99490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71</xdr:row>
      <xdr:rowOff>24495</xdr:rowOff>
    </xdr:from>
    <xdr:to>
      <xdr:col>0</xdr:col>
      <xdr:colOff>1400175</xdr:colOff>
      <xdr:row>71</xdr:row>
      <xdr:rowOff>918484</xdr:rowOff>
    </xdr:to>
    <xdr:pic>
      <xdr:nvPicPr>
        <xdr:cNvPr id="72" name="Рисунок 71">
          <a:extLst>
            <a:ext uri="{FF2B5EF4-FFF2-40B4-BE49-F238E27FC236}">
              <a16:creationId xmlns:a16="http://schemas.microsoft.com/office/drawing/2014/main" id="{63FA1393-B22E-4AC4-A238-95E898F76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9094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24495</xdr:rowOff>
    </xdr:from>
    <xdr:to>
      <xdr:col>0</xdr:col>
      <xdr:colOff>1400175</xdr:colOff>
      <xdr:row>72</xdr:row>
      <xdr:rowOff>918484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B1BF2E2E-0C1B-4B5F-90A1-63B27E58A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85239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25264</xdr:rowOff>
    </xdr:from>
    <xdr:to>
      <xdr:col>0</xdr:col>
      <xdr:colOff>1400175</xdr:colOff>
      <xdr:row>73</xdr:row>
      <xdr:rowOff>898660</xdr:rowOff>
    </xdr:to>
    <xdr:pic>
      <xdr:nvPicPr>
        <xdr:cNvPr id="74" name="Рисунок 73">
          <a:extLst>
            <a:ext uri="{FF2B5EF4-FFF2-40B4-BE49-F238E27FC236}">
              <a16:creationId xmlns:a16="http://schemas.microsoft.com/office/drawing/2014/main" id="{56A49D43-2185-4C52-BB5E-B49D5C7A1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79613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21431</xdr:rowOff>
    </xdr:from>
    <xdr:to>
      <xdr:col>0</xdr:col>
      <xdr:colOff>1400175</xdr:colOff>
      <xdr:row>74</xdr:row>
      <xdr:rowOff>921544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EAA4292A-35B2-4CB1-BF68-0CE5281E2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7162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24154</xdr:rowOff>
    </xdr:from>
    <xdr:to>
      <xdr:col>0</xdr:col>
      <xdr:colOff>1400175</xdr:colOff>
      <xdr:row>75</xdr:row>
      <xdr:rowOff>718803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B92EF4DB-251B-4270-8F27-8B1BE662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661929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76</xdr:row>
      <xdr:rowOff>24154</xdr:rowOff>
    </xdr:from>
    <xdr:to>
      <xdr:col>0</xdr:col>
      <xdr:colOff>1400175</xdr:colOff>
      <xdr:row>76</xdr:row>
      <xdr:rowOff>899774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69EC5CB-8E48-4EE0-8C94-2565220A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404879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24712</xdr:rowOff>
    </xdr:from>
    <xdr:to>
      <xdr:col>0</xdr:col>
      <xdr:colOff>1400175</xdr:colOff>
      <xdr:row>77</xdr:row>
      <xdr:rowOff>889685</xdr:rowOff>
    </xdr:to>
    <xdr:pic>
      <xdr:nvPicPr>
        <xdr:cNvPr id="78" name="Рисунок 77">
          <a:extLst>
            <a:ext uri="{FF2B5EF4-FFF2-40B4-BE49-F238E27FC236}">
              <a16:creationId xmlns:a16="http://schemas.microsoft.com/office/drawing/2014/main" id="{81449968-DF7C-47FC-8118-0F9BD5C25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329362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21890</xdr:rowOff>
    </xdr:from>
    <xdr:to>
      <xdr:col>0</xdr:col>
      <xdr:colOff>1400175</xdr:colOff>
      <xdr:row>78</xdr:row>
      <xdr:rowOff>882984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394E546C-4577-47A2-8431-E331C693A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240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79</xdr:row>
      <xdr:rowOff>21592</xdr:rowOff>
    </xdr:from>
    <xdr:to>
      <xdr:col>0</xdr:col>
      <xdr:colOff>1400175</xdr:colOff>
      <xdr:row>79</xdr:row>
      <xdr:rowOff>864234</xdr:rowOff>
    </xdr:to>
    <xdr:pic>
      <xdr:nvPicPr>
        <xdr:cNvPr id="80" name="Рисунок 79">
          <a:extLst>
            <a:ext uri="{FF2B5EF4-FFF2-40B4-BE49-F238E27FC236}">
              <a16:creationId xmlns:a16="http://schemas.microsoft.com/office/drawing/2014/main" id="{89156D55-11A0-47BE-B490-8A104DD6C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1455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24371</xdr:rowOff>
    </xdr:from>
    <xdr:to>
      <xdr:col>0</xdr:col>
      <xdr:colOff>1400175</xdr:colOff>
      <xdr:row>80</xdr:row>
      <xdr:rowOff>842410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0C7E3987-0E8A-4863-BC46-A10F062D7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03412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21791</xdr:rowOff>
    </xdr:from>
    <xdr:to>
      <xdr:col>0</xdr:col>
      <xdr:colOff>1400175</xdr:colOff>
      <xdr:row>81</xdr:row>
      <xdr:rowOff>873561</xdr:rowOff>
    </xdr:to>
    <xdr:pic>
      <xdr:nvPicPr>
        <xdr:cNvPr id="82" name="Рисунок 81">
          <a:extLst>
            <a:ext uri="{FF2B5EF4-FFF2-40B4-BE49-F238E27FC236}">
              <a16:creationId xmlns:a16="http://schemas.microsoft.com/office/drawing/2014/main" id="{C6EC484E-6407-4FB3-8F00-555CB0451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983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21338</xdr:rowOff>
    </xdr:from>
    <xdr:to>
      <xdr:col>0</xdr:col>
      <xdr:colOff>1400175</xdr:colOff>
      <xdr:row>82</xdr:row>
      <xdr:rowOff>893066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C48A807-7328-43EF-AE3D-709FB8953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793213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23943</xdr:rowOff>
    </xdr:from>
    <xdr:to>
      <xdr:col>0</xdr:col>
      <xdr:colOff>1400175</xdr:colOff>
      <xdr:row>83</xdr:row>
      <xdr:rowOff>833311</xdr:rowOff>
    </xdr:to>
    <xdr:pic>
      <xdr:nvPicPr>
        <xdr:cNvPr id="84" name="Рисунок 83">
          <a:extLst>
            <a:ext uri="{FF2B5EF4-FFF2-40B4-BE49-F238E27FC236}">
              <a16:creationId xmlns:a16="http://schemas.microsoft.com/office/drawing/2014/main" id="{84A36DF0-D877-4126-B678-8B387057B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710218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24495</xdr:rowOff>
    </xdr:from>
    <xdr:to>
      <xdr:col>0</xdr:col>
      <xdr:colOff>1400175</xdr:colOff>
      <xdr:row>84</xdr:row>
      <xdr:rowOff>918484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69866795-E9D6-4C4D-B5D7-85344B531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5680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22523</xdr:rowOff>
    </xdr:from>
    <xdr:to>
      <xdr:col>0</xdr:col>
      <xdr:colOff>1400175</xdr:colOff>
      <xdr:row>85</xdr:row>
      <xdr:rowOff>844247</xdr:rowOff>
    </xdr:to>
    <xdr:pic>
      <xdr:nvPicPr>
        <xdr:cNvPr id="86" name="Рисунок 85">
          <a:extLst>
            <a:ext uri="{FF2B5EF4-FFF2-40B4-BE49-F238E27FC236}">
              <a16:creationId xmlns:a16="http://schemas.microsoft.com/office/drawing/2014/main" id="{5193AB08-C076-4AAF-9600-FD49E778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50902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24147</xdr:rowOff>
    </xdr:from>
    <xdr:to>
      <xdr:col>0</xdr:col>
      <xdr:colOff>1400175</xdr:colOff>
      <xdr:row>86</xdr:row>
      <xdr:rowOff>861673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7A855090-7872-4378-AFB2-F313670EC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37742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23013</xdr:rowOff>
    </xdr:from>
    <xdr:to>
      <xdr:col>0</xdr:col>
      <xdr:colOff>1400175</xdr:colOff>
      <xdr:row>87</xdr:row>
      <xdr:rowOff>815191</xdr:rowOff>
    </xdr:to>
    <xdr:pic>
      <xdr:nvPicPr>
        <xdr:cNvPr id="88" name="Рисунок 87">
          <a:extLst>
            <a:ext uri="{FF2B5EF4-FFF2-40B4-BE49-F238E27FC236}">
              <a16:creationId xmlns:a16="http://schemas.microsoft.com/office/drawing/2014/main" id="{82EEF376-639B-4201-81BC-80C13D5A7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62113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23409</xdr:rowOff>
    </xdr:from>
    <xdr:to>
      <xdr:col>0</xdr:col>
      <xdr:colOff>1400175</xdr:colOff>
      <xdr:row>88</xdr:row>
      <xdr:rowOff>805266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3904E2B7-C443-43DC-83B7-B8E957FE1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100709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89</xdr:row>
      <xdr:rowOff>22138</xdr:rowOff>
    </xdr:from>
    <xdr:to>
      <xdr:col>0</xdr:col>
      <xdr:colOff>1400175</xdr:colOff>
      <xdr:row>89</xdr:row>
      <xdr:rowOff>835106</xdr:rowOff>
    </xdr:to>
    <xdr:pic>
      <xdr:nvPicPr>
        <xdr:cNvPr id="90" name="Рисунок 89">
          <a:extLst>
            <a:ext uri="{FF2B5EF4-FFF2-40B4-BE49-F238E27FC236}">
              <a16:creationId xmlns:a16="http://schemas.microsoft.com/office/drawing/2014/main" id="{CCA11BF9-D331-40A5-B3AE-D2BA00DE2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2811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21648</xdr:rowOff>
    </xdr:from>
    <xdr:to>
      <xdr:col>0</xdr:col>
      <xdr:colOff>1400175</xdr:colOff>
      <xdr:row>90</xdr:row>
      <xdr:rowOff>988003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FF44BA74-5156-44A0-9D4F-0331D78F3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784873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21772</xdr:rowOff>
    </xdr:from>
    <xdr:to>
      <xdr:col>0</xdr:col>
      <xdr:colOff>1400175</xdr:colOff>
      <xdr:row>91</xdr:row>
      <xdr:rowOff>1025979</xdr:rowOff>
    </xdr:to>
    <xdr:pic>
      <xdr:nvPicPr>
        <xdr:cNvPr id="92" name="Рисунок 91">
          <a:extLst>
            <a:ext uri="{FF2B5EF4-FFF2-40B4-BE49-F238E27FC236}">
              <a16:creationId xmlns:a16="http://schemas.microsoft.com/office/drawing/2014/main" id="{651C523B-8AA8-4CA9-A6D6-EC09E6AF6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794647"/>
          <a:ext cx="1371600" cy="1004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C2" sqref="C2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B783"/>
  <sheetViews>
    <sheetView workbookViewId="0">
      <selection activeCell="A5" sqref="A5"/>
    </sheetView>
  </sheetViews>
  <sheetFormatPr defaultRowHeight="15" x14ac:dyDescent="0.25"/>
  <cols>
    <col min="1" max="1" width="95.7109375" bestFit="1" customWidth="1"/>
    <col min="2" max="2" width="60.7109375" bestFit="1" customWidth="1"/>
  </cols>
  <sheetData>
    <row r="1" spans="1:2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</row>
    <row r="2" spans="1:2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2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</row>
    <row r="4" spans="1:2" x14ac:dyDescent="0.25">
      <c r="A4" t="s">
        <v>5</v>
      </c>
      <c r="B4" t="str">
        <f t="shared" si="0"/>
        <v/>
      </c>
    </row>
    <row r="5" spans="1:2" x14ac:dyDescent="0.25">
      <c r="A5" t="s">
        <v>13</v>
      </c>
      <c r="B5" t="str">
        <f t="shared" si="0"/>
        <v/>
      </c>
    </row>
    <row r="6" spans="1:2" x14ac:dyDescent="0.25">
      <c r="A6" t="s">
        <v>14</v>
      </c>
      <c r="B6" t="str">
        <f t="shared" si="0"/>
        <v/>
      </c>
    </row>
    <row r="7" spans="1:2" x14ac:dyDescent="0.25">
      <c r="A7" t="s">
        <v>15</v>
      </c>
      <c r="B7" t="str">
        <f t="shared" si="0"/>
        <v/>
      </c>
    </row>
    <row r="8" spans="1:2" x14ac:dyDescent="0.25">
      <c r="A8" t="s">
        <v>3</v>
      </c>
      <c r="B8" t="str">
        <f t="shared" si="0"/>
        <v>6 7/8, 7, 7 1/8, 7 1/4, 7 3/8, 7 1/2, 7 5/8</v>
      </c>
    </row>
    <row r="9" spans="1:2" x14ac:dyDescent="0.25">
      <c r="A9" t="s">
        <v>16</v>
      </c>
      <c r="B9" t="str">
        <f t="shared" si="0"/>
        <v>Black Charcoal Cognac Olive</v>
      </c>
    </row>
    <row r="10" spans="1:2" x14ac:dyDescent="0.25">
      <c r="A10" t="s">
        <v>17</v>
      </c>
      <c r="B10" t="str">
        <f t="shared" si="0"/>
        <v>61433BH CAVALIER</v>
      </c>
    </row>
    <row r="11" spans="1:2" x14ac:dyDescent="0.25">
      <c r="A11" t="s">
        <v>18</v>
      </c>
      <c r="B11" t="str">
        <f t="shared" si="0"/>
        <v/>
      </c>
    </row>
    <row r="12" spans="1:2" x14ac:dyDescent="0.25">
      <c r="A12" t="s">
        <v>19</v>
      </c>
      <c r="B12" t="str">
        <f t="shared" si="0"/>
        <v/>
      </c>
    </row>
    <row r="13" spans="1:2" x14ac:dyDescent="0.25">
      <c r="A13" t="s">
        <v>5</v>
      </c>
      <c r="B13" t="str">
        <f t="shared" si="0"/>
        <v/>
      </c>
    </row>
    <row r="14" spans="1:2" x14ac:dyDescent="0.25">
      <c r="A14" t="s">
        <v>13</v>
      </c>
      <c r="B14" t="str">
        <f t="shared" si="0"/>
        <v/>
      </c>
    </row>
    <row r="15" spans="1:2" x14ac:dyDescent="0.25">
      <c r="A15" t="s">
        <v>14</v>
      </c>
      <c r="B15" t="str">
        <f t="shared" si="0"/>
        <v/>
      </c>
    </row>
    <row r="16" spans="1:2" x14ac:dyDescent="0.25">
      <c r="A16" t="s">
        <v>15</v>
      </c>
      <c r="B16" t="str">
        <f t="shared" si="0"/>
        <v/>
      </c>
    </row>
    <row r="17" spans="1:2" x14ac:dyDescent="0.25">
      <c r="A17" t="s">
        <v>1</v>
      </c>
      <c r="B17" t="str">
        <f t="shared" si="0"/>
        <v>S, M, L, XL</v>
      </c>
    </row>
    <row r="18" spans="1:2" x14ac:dyDescent="0.25">
      <c r="A18" t="s">
        <v>20</v>
      </c>
      <c r="B18" t="str">
        <f t="shared" si="0"/>
        <v>Black Maple</v>
      </c>
    </row>
    <row r="19" spans="1:2" x14ac:dyDescent="0.25">
      <c r="A19" t="s">
        <v>21</v>
      </c>
      <c r="B19" t="str">
        <f t="shared" si="0"/>
        <v>61424BH RALAT</v>
      </c>
    </row>
    <row r="20" spans="1:2" x14ac:dyDescent="0.25">
      <c r="A20" t="s">
        <v>11</v>
      </c>
      <c r="B20" t="str">
        <f t="shared" si="0"/>
        <v/>
      </c>
    </row>
    <row r="21" spans="1:2" x14ac:dyDescent="0.25">
      <c r="A21" t="s">
        <v>22</v>
      </c>
      <c r="B21" t="str">
        <f t="shared" si="0"/>
        <v/>
      </c>
    </row>
    <row r="22" spans="1:2" x14ac:dyDescent="0.25">
      <c r="A22" t="s">
        <v>5</v>
      </c>
      <c r="B22" t="str">
        <f t="shared" si="0"/>
        <v/>
      </c>
    </row>
    <row r="23" spans="1:2" x14ac:dyDescent="0.25">
      <c r="A23" t="s">
        <v>23</v>
      </c>
      <c r="B23" t="str">
        <f t="shared" si="0"/>
        <v/>
      </c>
    </row>
    <row r="24" spans="1:2" x14ac:dyDescent="0.25">
      <c r="A24" t="s">
        <v>13</v>
      </c>
      <c r="B24" t="str">
        <f t="shared" si="0"/>
        <v/>
      </c>
    </row>
    <row r="25" spans="1:2" x14ac:dyDescent="0.25">
      <c r="A25" t="s">
        <v>24</v>
      </c>
      <c r="B25" t="str">
        <f t="shared" si="0"/>
        <v/>
      </c>
    </row>
    <row r="26" spans="1:2" x14ac:dyDescent="0.25">
      <c r="A26" t="s">
        <v>15</v>
      </c>
      <c r="B26" t="str">
        <f t="shared" si="0"/>
        <v/>
      </c>
    </row>
    <row r="27" spans="1:2" x14ac:dyDescent="0.25">
      <c r="A27" t="s">
        <v>1</v>
      </c>
      <c r="B27" t="str">
        <f t="shared" si="0"/>
        <v>S, M, L, XL</v>
      </c>
    </row>
    <row r="28" spans="1:2" x14ac:dyDescent="0.25">
      <c r="A28" t="s">
        <v>25</v>
      </c>
      <c r="B28" t="str">
        <f t="shared" si="0"/>
        <v>Black Charcoal</v>
      </c>
    </row>
    <row r="29" spans="1:2" x14ac:dyDescent="0.25">
      <c r="A29" t="s">
        <v>2</v>
      </c>
      <c r="B29" t="str">
        <f t="shared" si="0"/>
        <v>61432BH THE ARCHITECT</v>
      </c>
    </row>
    <row r="30" spans="1:2" x14ac:dyDescent="0.25">
      <c r="A30" t="s">
        <v>26</v>
      </c>
      <c r="B30" t="str">
        <f t="shared" si="0"/>
        <v/>
      </c>
    </row>
    <row r="31" spans="1:2" x14ac:dyDescent="0.25">
      <c r="A31" t="s">
        <v>19</v>
      </c>
      <c r="B31" t="str">
        <f t="shared" si="0"/>
        <v/>
      </c>
    </row>
    <row r="32" spans="1:2" x14ac:dyDescent="0.25">
      <c r="A32" t="s">
        <v>5</v>
      </c>
      <c r="B32" t="str">
        <f t="shared" si="0"/>
        <v/>
      </c>
    </row>
    <row r="33" spans="1:2" x14ac:dyDescent="0.25">
      <c r="A33" t="s">
        <v>13</v>
      </c>
      <c r="B33" t="str">
        <f t="shared" si="0"/>
        <v/>
      </c>
    </row>
    <row r="34" spans="1:2" x14ac:dyDescent="0.25">
      <c r="A34" t="s">
        <v>14</v>
      </c>
      <c r="B34" t="str">
        <f t="shared" si="0"/>
        <v/>
      </c>
    </row>
    <row r="35" spans="1:2" x14ac:dyDescent="0.25">
      <c r="A35" t="s">
        <v>15</v>
      </c>
      <c r="B35" t="str">
        <f t="shared" si="0"/>
        <v/>
      </c>
    </row>
    <row r="36" spans="1:2" x14ac:dyDescent="0.25">
      <c r="A36" t="s">
        <v>1</v>
      </c>
      <c r="B36" t="str">
        <f t="shared" si="0"/>
        <v>S, M, L, XL</v>
      </c>
    </row>
    <row r="37" spans="1:2" x14ac:dyDescent="0.25">
      <c r="A37" t="s">
        <v>27</v>
      </c>
      <c r="B37" t="str">
        <f t="shared" si="0"/>
        <v>Black Buckskin</v>
      </c>
    </row>
    <row r="38" spans="1:2" x14ac:dyDescent="0.25">
      <c r="A38" t="s">
        <v>28</v>
      </c>
      <c r="B38" t="str">
        <f t="shared" si="0"/>
        <v>61442BH NILSON</v>
      </c>
    </row>
    <row r="39" spans="1:2" x14ac:dyDescent="0.25">
      <c r="A39" t="s">
        <v>0</v>
      </c>
      <c r="B39" t="str">
        <f t="shared" si="0"/>
        <v/>
      </c>
    </row>
    <row r="40" spans="1:2" x14ac:dyDescent="0.25">
      <c r="A40" t="s">
        <v>29</v>
      </c>
      <c r="B40" t="str">
        <f t="shared" si="0"/>
        <v/>
      </c>
    </row>
    <row r="41" spans="1:2" x14ac:dyDescent="0.25">
      <c r="A41" t="s">
        <v>5</v>
      </c>
      <c r="B41" t="str">
        <f t="shared" si="0"/>
        <v/>
      </c>
    </row>
    <row r="42" spans="1:2" x14ac:dyDescent="0.25">
      <c r="A42" t="s">
        <v>30</v>
      </c>
      <c r="B42" t="str">
        <f t="shared" si="0"/>
        <v/>
      </c>
    </row>
    <row r="43" spans="1:2" x14ac:dyDescent="0.25">
      <c r="A43" t="s">
        <v>13</v>
      </c>
      <c r="B43" t="str">
        <f t="shared" si="0"/>
        <v/>
      </c>
    </row>
    <row r="44" spans="1:2" x14ac:dyDescent="0.25">
      <c r="A44" t="s">
        <v>14</v>
      </c>
      <c r="B44" t="str">
        <f t="shared" si="0"/>
        <v/>
      </c>
    </row>
    <row r="45" spans="1:2" x14ac:dyDescent="0.25">
      <c r="A45" t="s">
        <v>15</v>
      </c>
      <c r="B45" t="str">
        <f t="shared" si="0"/>
        <v/>
      </c>
    </row>
    <row r="46" spans="1:2" x14ac:dyDescent="0.25">
      <c r="A46" t="s">
        <v>1</v>
      </c>
      <c r="B46" t="str">
        <f t="shared" si="0"/>
        <v>S, M, L, XL</v>
      </c>
    </row>
    <row r="47" spans="1:2" x14ac:dyDescent="0.25">
      <c r="A47" t="s">
        <v>31</v>
      </c>
      <c r="B47" t="str">
        <f t="shared" si="0"/>
        <v>Copper Slate Uniform Green</v>
      </c>
    </row>
    <row r="48" spans="1:2" x14ac:dyDescent="0.25">
      <c r="A48" t="s">
        <v>4</v>
      </c>
      <c r="B48" t="str">
        <f t="shared" si="0"/>
        <v>61430BH TRINELL</v>
      </c>
    </row>
    <row r="49" spans="1:2" x14ac:dyDescent="0.25">
      <c r="A49" t="s">
        <v>32</v>
      </c>
      <c r="B49" t="str">
        <f t="shared" si="0"/>
        <v/>
      </c>
    </row>
    <row r="50" spans="1:2" x14ac:dyDescent="0.25">
      <c r="A50" t="s">
        <v>33</v>
      </c>
      <c r="B50" t="str">
        <f t="shared" si="0"/>
        <v/>
      </c>
    </row>
    <row r="51" spans="1:2" x14ac:dyDescent="0.25">
      <c r="A51" t="s">
        <v>5</v>
      </c>
      <c r="B51" t="str">
        <f t="shared" si="0"/>
        <v/>
      </c>
    </row>
    <row r="52" spans="1:2" x14ac:dyDescent="0.25">
      <c r="A52" t="s">
        <v>34</v>
      </c>
      <c r="B52" t="str">
        <f t="shared" si="0"/>
        <v/>
      </c>
    </row>
    <row r="53" spans="1:2" x14ac:dyDescent="0.25">
      <c r="A53" t="s">
        <v>14</v>
      </c>
      <c r="B53" t="str">
        <f t="shared" si="0"/>
        <v/>
      </c>
    </row>
    <row r="54" spans="1:2" x14ac:dyDescent="0.25">
      <c r="A54" t="s">
        <v>35</v>
      </c>
      <c r="B54" t="str">
        <f t="shared" si="0"/>
        <v/>
      </c>
    </row>
    <row r="55" spans="1:2" x14ac:dyDescent="0.25">
      <c r="A55" t="s">
        <v>15</v>
      </c>
      <c r="B55" t="str">
        <f t="shared" si="0"/>
        <v/>
      </c>
    </row>
    <row r="56" spans="1:2" x14ac:dyDescent="0.25">
      <c r="A56" t="s">
        <v>1</v>
      </c>
      <c r="B56" t="str">
        <f t="shared" si="0"/>
        <v>S, M, L, XL</v>
      </c>
    </row>
    <row r="57" spans="1:2" x14ac:dyDescent="0.25">
      <c r="A57" t="s">
        <v>36</v>
      </c>
      <c r="B57" t="str">
        <f t="shared" si="0"/>
        <v>Black Light Mink</v>
      </c>
    </row>
    <row r="58" spans="1:2" x14ac:dyDescent="0.25">
      <c r="A58" t="s">
        <v>37</v>
      </c>
      <c r="B58" t="str">
        <f t="shared" si="0"/>
        <v>61428BH GIRVIN</v>
      </c>
    </row>
    <row r="59" spans="1:2" x14ac:dyDescent="0.25">
      <c r="A59" t="s">
        <v>38</v>
      </c>
      <c r="B59" t="str">
        <f t="shared" si="0"/>
        <v/>
      </c>
    </row>
    <row r="60" spans="1:2" x14ac:dyDescent="0.25">
      <c r="A60" t="s">
        <v>39</v>
      </c>
      <c r="B60" t="str">
        <f t="shared" si="0"/>
        <v/>
      </c>
    </row>
    <row r="61" spans="1:2" x14ac:dyDescent="0.25">
      <c r="A61" t="s">
        <v>5</v>
      </c>
      <c r="B61" t="str">
        <f t="shared" si="0"/>
        <v/>
      </c>
    </row>
    <row r="62" spans="1:2" x14ac:dyDescent="0.25">
      <c r="A62" t="s">
        <v>13</v>
      </c>
      <c r="B62" t="str">
        <f t="shared" si="0"/>
        <v/>
      </c>
    </row>
    <row r="63" spans="1:2" x14ac:dyDescent="0.25">
      <c r="A63" t="s">
        <v>14</v>
      </c>
      <c r="B63" t="str">
        <f t="shared" si="0"/>
        <v/>
      </c>
    </row>
    <row r="64" spans="1:2" x14ac:dyDescent="0.25">
      <c r="A64" t="s">
        <v>15</v>
      </c>
      <c r="B64" t="str">
        <f t="shared" si="0"/>
        <v/>
      </c>
    </row>
    <row r="65" spans="1:2" x14ac:dyDescent="0.25">
      <c r="A65" t="s">
        <v>35</v>
      </c>
      <c r="B65" t="str">
        <f t="shared" si="0"/>
        <v/>
      </c>
    </row>
    <row r="66" spans="1:2" x14ac:dyDescent="0.25">
      <c r="A66" t="s">
        <v>1</v>
      </c>
      <c r="B66" t="str">
        <f t="shared" si="0"/>
        <v>S, M, L, XL</v>
      </c>
    </row>
    <row r="67" spans="1:2" x14ac:dyDescent="0.25">
      <c r="A67" t="s">
        <v>40</v>
      </c>
      <c r="B67" t="str">
        <f t="shared" ref="B67:B128" si="1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</row>
    <row r="68" spans="1:2" x14ac:dyDescent="0.25">
      <c r="A68" t="s">
        <v>41</v>
      </c>
      <c r="B68" t="str">
        <f t="shared" si="1"/>
        <v>47009BH FLUME</v>
      </c>
    </row>
    <row r="69" spans="1:2" x14ac:dyDescent="0.25">
      <c r="A69" t="s">
        <v>11</v>
      </c>
      <c r="B69" t="str">
        <f t="shared" si="1"/>
        <v/>
      </c>
    </row>
    <row r="70" spans="1:2" x14ac:dyDescent="0.25">
      <c r="A70" t="s">
        <v>12</v>
      </c>
      <c r="B70" t="str">
        <f t="shared" si="1"/>
        <v/>
      </c>
    </row>
    <row r="71" spans="1:2" x14ac:dyDescent="0.25">
      <c r="A71" t="s">
        <v>42</v>
      </c>
      <c r="B71" t="str">
        <f t="shared" si="1"/>
        <v/>
      </c>
    </row>
    <row r="72" spans="1:2" x14ac:dyDescent="0.25">
      <c r="A72" t="s">
        <v>43</v>
      </c>
      <c r="B72" t="str">
        <f t="shared" si="1"/>
        <v/>
      </c>
    </row>
    <row r="73" spans="1:2" x14ac:dyDescent="0.25">
      <c r="A73" t="s">
        <v>24</v>
      </c>
      <c r="B73" t="str">
        <f t="shared" si="1"/>
        <v/>
      </c>
    </row>
    <row r="74" spans="1:2" x14ac:dyDescent="0.25">
      <c r="A74" t="s">
        <v>15</v>
      </c>
      <c r="B74" t="str">
        <f t="shared" si="1"/>
        <v/>
      </c>
    </row>
    <row r="75" spans="1:2" x14ac:dyDescent="0.25">
      <c r="A75" t="s">
        <v>1</v>
      </c>
      <c r="B75" t="str">
        <f t="shared" si="1"/>
        <v>S, M, L, XL</v>
      </c>
    </row>
    <row r="76" spans="1:2" x14ac:dyDescent="0.25">
      <c r="A76" t="s">
        <v>44</v>
      </c>
      <c r="B76" t="str">
        <f t="shared" si="1"/>
        <v>Aubergine Black Mink</v>
      </c>
    </row>
    <row r="77" spans="1:2" x14ac:dyDescent="0.25">
      <c r="A77" t="s">
        <v>45</v>
      </c>
      <c r="B77" t="str">
        <f t="shared" si="1"/>
        <v>61426BH AUMAN</v>
      </c>
    </row>
    <row r="78" spans="1:2" x14ac:dyDescent="0.25">
      <c r="A78" t="s">
        <v>32</v>
      </c>
      <c r="B78" t="str">
        <f t="shared" si="1"/>
        <v/>
      </c>
    </row>
    <row r="79" spans="1:2" x14ac:dyDescent="0.25">
      <c r="A79" t="s">
        <v>33</v>
      </c>
      <c r="B79" t="str">
        <f t="shared" si="1"/>
        <v/>
      </c>
    </row>
    <row r="80" spans="1:2" x14ac:dyDescent="0.25">
      <c r="A80" t="s">
        <v>5</v>
      </c>
      <c r="B80" t="str">
        <f t="shared" si="1"/>
        <v/>
      </c>
    </row>
    <row r="81" spans="1:2" x14ac:dyDescent="0.25">
      <c r="A81" t="s">
        <v>46</v>
      </c>
      <c r="B81" t="str">
        <f t="shared" si="1"/>
        <v/>
      </c>
    </row>
    <row r="82" spans="1:2" x14ac:dyDescent="0.25">
      <c r="A82" t="s">
        <v>13</v>
      </c>
      <c r="B82" t="str">
        <f t="shared" si="1"/>
        <v/>
      </c>
    </row>
    <row r="83" spans="1:2" x14ac:dyDescent="0.25">
      <c r="A83" t="s">
        <v>24</v>
      </c>
      <c r="B83" t="str">
        <f t="shared" si="1"/>
        <v/>
      </c>
    </row>
    <row r="84" spans="1:2" x14ac:dyDescent="0.25">
      <c r="A84" t="s">
        <v>15</v>
      </c>
      <c r="B84" t="str">
        <f t="shared" si="1"/>
        <v/>
      </c>
    </row>
    <row r="85" spans="1:2" x14ac:dyDescent="0.25">
      <c r="A85" t="s">
        <v>1</v>
      </c>
      <c r="B85" t="str">
        <f t="shared" si="1"/>
        <v>S, M, L, XL</v>
      </c>
    </row>
    <row r="86" spans="1:2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</row>
    <row r="87" spans="1:2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</row>
    <row r="88" spans="1:2" x14ac:dyDescent="0.25">
      <c r="A88" t="s">
        <v>48</v>
      </c>
      <c r="B88" t="str">
        <f t="shared" si="1"/>
        <v/>
      </c>
    </row>
    <row r="89" spans="1:2" x14ac:dyDescent="0.25">
      <c r="A89" t="s">
        <v>49</v>
      </c>
      <c r="B89" t="str">
        <f t="shared" si="1"/>
        <v/>
      </c>
    </row>
    <row r="90" spans="1:2" x14ac:dyDescent="0.25">
      <c r="A90" t="s">
        <v>50</v>
      </c>
      <c r="B90" t="str">
        <f t="shared" si="1"/>
        <v/>
      </c>
    </row>
    <row r="91" spans="1:2" x14ac:dyDescent="0.25">
      <c r="A91" t="s">
        <v>51</v>
      </c>
      <c r="B91" t="str">
        <f t="shared" si="1"/>
        <v/>
      </c>
    </row>
    <row r="92" spans="1:2" x14ac:dyDescent="0.25">
      <c r="A92" t="s">
        <v>52</v>
      </c>
      <c r="B92" t="str">
        <f t="shared" si="1"/>
        <v/>
      </c>
    </row>
    <row r="93" spans="1:2" x14ac:dyDescent="0.25">
      <c r="A93" t="s">
        <v>14</v>
      </c>
      <c r="B93" t="str">
        <f t="shared" si="1"/>
        <v/>
      </c>
    </row>
    <row r="94" spans="1:2" x14ac:dyDescent="0.25">
      <c r="A94" t="s">
        <v>15</v>
      </c>
      <c r="B94" t="str">
        <f t="shared" si="1"/>
        <v/>
      </c>
    </row>
    <row r="95" spans="1:2" x14ac:dyDescent="0.25">
      <c r="A95" t="s">
        <v>1</v>
      </c>
      <c r="B95" t="str">
        <f t="shared" si="1"/>
        <v>S, M, L, XL</v>
      </c>
    </row>
    <row r="96" spans="1:2" x14ac:dyDescent="0.25">
      <c r="A96" t="s">
        <v>53</v>
      </c>
      <c r="B96" t="str">
        <f t="shared" si="1"/>
        <v>Black Nickel Soft Khaki Stucco</v>
      </c>
    </row>
    <row r="97" spans="1:2" x14ac:dyDescent="0.25">
      <c r="A97" t="s">
        <v>54</v>
      </c>
      <c r="B97" t="str">
        <f t="shared" si="1"/>
        <v>37189BH GODWIN</v>
      </c>
    </row>
    <row r="98" spans="1:2" x14ac:dyDescent="0.25">
      <c r="A98" t="s">
        <v>38</v>
      </c>
      <c r="B98" t="str">
        <f t="shared" si="1"/>
        <v/>
      </c>
    </row>
    <row r="99" spans="1:2" x14ac:dyDescent="0.25">
      <c r="A99" t="s">
        <v>55</v>
      </c>
      <c r="B99" t="str">
        <f t="shared" si="1"/>
        <v/>
      </c>
    </row>
    <row r="100" spans="1:2" x14ac:dyDescent="0.25">
      <c r="A100" t="s">
        <v>50</v>
      </c>
      <c r="B100" t="str">
        <f t="shared" si="1"/>
        <v/>
      </c>
    </row>
    <row r="101" spans="1:2" x14ac:dyDescent="0.25">
      <c r="A101" t="s">
        <v>56</v>
      </c>
      <c r="B101" t="str">
        <f t="shared" si="1"/>
        <v/>
      </c>
    </row>
    <row r="102" spans="1:2" x14ac:dyDescent="0.25">
      <c r="A102" t="s">
        <v>30</v>
      </c>
      <c r="B102" t="str">
        <f t="shared" si="1"/>
        <v/>
      </c>
    </row>
    <row r="103" spans="1:2" x14ac:dyDescent="0.25">
      <c r="A103" t="s">
        <v>24</v>
      </c>
      <c r="B103" t="str">
        <f t="shared" si="1"/>
        <v/>
      </c>
    </row>
    <row r="104" spans="1:2" x14ac:dyDescent="0.25">
      <c r="A104" t="s">
        <v>15</v>
      </c>
      <c r="B104" t="str">
        <f t="shared" si="1"/>
        <v/>
      </c>
    </row>
    <row r="105" spans="1:2" x14ac:dyDescent="0.25">
      <c r="A105" t="s">
        <v>1</v>
      </c>
      <c r="B105" t="str">
        <f t="shared" si="1"/>
        <v>S, M, L, XL</v>
      </c>
    </row>
    <row r="106" spans="1:2" x14ac:dyDescent="0.25">
      <c r="A106" t="s">
        <v>57</v>
      </c>
      <c r="B106" t="str">
        <f t="shared" si="1"/>
        <v>Black Eggplant Lazuli Blue Oak Taupe</v>
      </c>
    </row>
    <row r="107" spans="1:2" x14ac:dyDescent="0.25">
      <c r="A107" t="s">
        <v>58</v>
      </c>
      <c r="B107" t="str">
        <f t="shared" si="1"/>
        <v>37190BH TREVEL</v>
      </c>
    </row>
    <row r="108" spans="1:2" x14ac:dyDescent="0.25">
      <c r="A108" t="s">
        <v>18</v>
      </c>
      <c r="B108" t="str">
        <f t="shared" si="1"/>
        <v/>
      </c>
    </row>
    <row r="109" spans="1:2" x14ac:dyDescent="0.25">
      <c r="A109" t="s">
        <v>55</v>
      </c>
      <c r="B109" t="str">
        <f t="shared" si="1"/>
        <v/>
      </c>
    </row>
    <row r="110" spans="1:2" x14ac:dyDescent="0.25">
      <c r="A110" t="s">
        <v>50</v>
      </c>
      <c r="B110" t="str">
        <f t="shared" si="1"/>
        <v/>
      </c>
    </row>
    <row r="111" spans="1:2" x14ac:dyDescent="0.25">
      <c r="A111" t="s">
        <v>59</v>
      </c>
      <c r="B111" t="str">
        <f t="shared" si="1"/>
        <v/>
      </c>
    </row>
    <row r="112" spans="1:2" x14ac:dyDescent="0.25">
      <c r="A112" t="s">
        <v>30</v>
      </c>
      <c r="B112" t="str">
        <f t="shared" si="1"/>
        <v/>
      </c>
    </row>
    <row r="113" spans="1:2" x14ac:dyDescent="0.25">
      <c r="A113" t="s">
        <v>24</v>
      </c>
      <c r="B113" t="str">
        <f t="shared" si="1"/>
        <v/>
      </c>
    </row>
    <row r="114" spans="1:2" x14ac:dyDescent="0.25">
      <c r="A114" t="s">
        <v>15</v>
      </c>
      <c r="B114" t="str">
        <f t="shared" si="1"/>
        <v/>
      </c>
    </row>
    <row r="115" spans="1:2" x14ac:dyDescent="0.25">
      <c r="A115" t="s">
        <v>1</v>
      </c>
      <c r="B115" t="str">
        <f t="shared" si="1"/>
        <v>S, M, L, XL</v>
      </c>
    </row>
    <row r="116" spans="1:2" x14ac:dyDescent="0.25">
      <c r="A116" t="s">
        <v>60</v>
      </c>
      <c r="B116" t="str">
        <f t="shared" si="1"/>
        <v>Black Copper Nickel</v>
      </c>
    </row>
    <row r="117" spans="1:2" x14ac:dyDescent="0.25">
      <c r="A117" t="s">
        <v>61</v>
      </c>
      <c r="B117" t="str">
        <f t="shared" si="1"/>
        <v>37172BH BOGAN</v>
      </c>
    </row>
    <row r="118" spans="1:2" x14ac:dyDescent="0.25">
      <c r="A118" t="s">
        <v>62</v>
      </c>
      <c r="B118" t="str">
        <f t="shared" si="1"/>
        <v/>
      </c>
    </row>
    <row r="119" spans="1:2" x14ac:dyDescent="0.25">
      <c r="A119" t="s">
        <v>63</v>
      </c>
      <c r="B119" t="str">
        <f t="shared" si="1"/>
        <v/>
      </c>
    </row>
    <row r="120" spans="1:2" x14ac:dyDescent="0.25">
      <c r="A120" t="s">
        <v>64</v>
      </c>
      <c r="B120" t="str">
        <f t="shared" si="1"/>
        <v/>
      </c>
    </row>
    <row r="121" spans="1:2" x14ac:dyDescent="0.25">
      <c r="A121" t="s">
        <v>13</v>
      </c>
      <c r="B121" t="str">
        <f t="shared" si="1"/>
        <v/>
      </c>
    </row>
    <row r="122" spans="1:2" x14ac:dyDescent="0.25">
      <c r="A122" t="s">
        <v>24</v>
      </c>
      <c r="B122" t="str">
        <f t="shared" si="1"/>
        <v/>
      </c>
    </row>
    <row r="123" spans="1:2" x14ac:dyDescent="0.25">
      <c r="A123" t="s">
        <v>15</v>
      </c>
      <c r="B123" t="str">
        <f t="shared" si="1"/>
        <v/>
      </c>
    </row>
    <row r="124" spans="1:2" x14ac:dyDescent="0.25">
      <c r="A124" t="s">
        <v>1</v>
      </c>
      <c r="B124" t="str">
        <f t="shared" si="1"/>
        <v>S, M, L, XL</v>
      </c>
    </row>
    <row r="125" spans="1:2" x14ac:dyDescent="0.25">
      <c r="A125" t="s">
        <v>65</v>
      </c>
      <c r="B125" t="str">
        <f t="shared" si="1"/>
        <v>Peacoat Plaza Taupe Saddle Steel</v>
      </c>
    </row>
    <row r="126" spans="1:2" x14ac:dyDescent="0.25">
      <c r="A126" t="s">
        <v>66</v>
      </c>
      <c r="B126" t="str">
        <f t="shared" si="1"/>
        <v>Almond Black Camel</v>
      </c>
    </row>
    <row r="127" spans="1:2" x14ac:dyDescent="0.25">
      <c r="A127" t="s">
        <v>67</v>
      </c>
      <c r="B127" t="str">
        <f t="shared" si="1"/>
        <v>20007BH CLORINDON</v>
      </c>
    </row>
    <row r="128" spans="1:2" x14ac:dyDescent="0.25">
      <c r="A128" t="s">
        <v>38</v>
      </c>
      <c r="B128" t="str">
        <f t="shared" si="1"/>
        <v/>
      </c>
    </row>
    <row r="129" spans="1:2" x14ac:dyDescent="0.25">
      <c r="A129" t="s">
        <v>68</v>
      </c>
      <c r="B129" t="str">
        <f t="shared" ref="B129:B192" si="2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</row>
    <row r="130" spans="1:2" x14ac:dyDescent="0.25">
      <c r="A130" t="s">
        <v>69</v>
      </c>
      <c r="B130" t="str">
        <f t="shared" si="2"/>
        <v/>
      </c>
    </row>
    <row r="131" spans="1:2" x14ac:dyDescent="0.25">
      <c r="A131" t="s">
        <v>70</v>
      </c>
      <c r="B131" t="str">
        <f t="shared" si="2"/>
        <v/>
      </c>
    </row>
    <row r="132" spans="1:2" x14ac:dyDescent="0.25">
      <c r="A132" t="s">
        <v>71</v>
      </c>
      <c r="B132" t="str">
        <f t="shared" si="2"/>
        <v/>
      </c>
    </row>
    <row r="133" spans="1:2" x14ac:dyDescent="0.25">
      <c r="A133" t="s">
        <v>72</v>
      </c>
      <c r="B133" t="str">
        <f t="shared" si="2"/>
        <v/>
      </c>
    </row>
    <row r="134" spans="1:2" x14ac:dyDescent="0.25">
      <c r="A134" t="s">
        <v>15</v>
      </c>
      <c r="B134" t="str">
        <f t="shared" si="2"/>
        <v/>
      </c>
    </row>
    <row r="135" spans="1:2" x14ac:dyDescent="0.25">
      <c r="A135" t="s">
        <v>1</v>
      </c>
      <c r="B135" t="str">
        <f t="shared" si="2"/>
        <v>S, M, L, XL</v>
      </c>
    </row>
    <row r="136" spans="1:2" x14ac:dyDescent="0.25">
      <c r="A136" t="s">
        <v>73</v>
      </c>
      <c r="B136" t="str">
        <f t="shared" si="2"/>
        <v>Black Unbleached</v>
      </c>
    </row>
    <row r="137" spans="1:2" x14ac:dyDescent="0.25">
      <c r="A137" t="s">
        <v>74</v>
      </c>
      <c r="B137" t="str">
        <f t="shared" si="2"/>
        <v>37193BH CONLON</v>
      </c>
    </row>
    <row r="138" spans="1:2" x14ac:dyDescent="0.25">
      <c r="A138" t="s">
        <v>32</v>
      </c>
      <c r="B138" t="str">
        <f t="shared" si="2"/>
        <v/>
      </c>
    </row>
    <row r="139" spans="1:2" x14ac:dyDescent="0.25">
      <c r="A139" t="s">
        <v>75</v>
      </c>
      <c r="B139" t="str">
        <f t="shared" si="2"/>
        <v/>
      </c>
    </row>
    <row r="140" spans="1:2" x14ac:dyDescent="0.25">
      <c r="A140" t="s">
        <v>76</v>
      </c>
      <c r="B140" t="str">
        <f t="shared" si="2"/>
        <v/>
      </c>
    </row>
    <row r="141" spans="1:2" x14ac:dyDescent="0.25">
      <c r="A141" t="s">
        <v>77</v>
      </c>
      <c r="B141" t="str">
        <f t="shared" si="2"/>
        <v/>
      </c>
    </row>
    <row r="142" spans="1:2" x14ac:dyDescent="0.25">
      <c r="A142" t="s">
        <v>24</v>
      </c>
      <c r="B142" t="str">
        <f t="shared" si="2"/>
        <v/>
      </c>
    </row>
    <row r="143" spans="1:2" x14ac:dyDescent="0.25">
      <c r="A143" t="s">
        <v>15</v>
      </c>
      <c r="B143" t="str">
        <f t="shared" si="2"/>
        <v/>
      </c>
    </row>
    <row r="144" spans="1:2" x14ac:dyDescent="0.25">
      <c r="A144" t="s">
        <v>1</v>
      </c>
      <c r="B144" t="str">
        <f t="shared" si="2"/>
        <v>S, M, L, XL</v>
      </c>
    </row>
    <row r="145" spans="1:2" x14ac:dyDescent="0.25">
      <c r="A145" t="s">
        <v>78</v>
      </c>
      <c r="B145" t="str">
        <f t="shared" si="2"/>
        <v>Black Lazuli Blue Uniform Green</v>
      </c>
    </row>
    <row r="146" spans="1:2" x14ac:dyDescent="0.25">
      <c r="A146" t="s">
        <v>79</v>
      </c>
      <c r="B146" t="str">
        <f t="shared" si="2"/>
        <v>37192BH CROFT</v>
      </c>
    </row>
    <row r="147" spans="1:2" x14ac:dyDescent="0.25">
      <c r="A147" t="s">
        <v>80</v>
      </c>
      <c r="B147" t="str">
        <f t="shared" si="2"/>
        <v/>
      </c>
    </row>
    <row r="148" spans="1:2" x14ac:dyDescent="0.25">
      <c r="A148" t="s">
        <v>39</v>
      </c>
      <c r="B148" t="str">
        <f t="shared" si="2"/>
        <v/>
      </c>
    </row>
    <row r="149" spans="1:2" x14ac:dyDescent="0.25">
      <c r="A149" t="s">
        <v>76</v>
      </c>
      <c r="B149" t="str">
        <f t="shared" si="2"/>
        <v/>
      </c>
    </row>
    <row r="150" spans="1:2" x14ac:dyDescent="0.25">
      <c r="A150" t="s">
        <v>81</v>
      </c>
      <c r="B150" t="str">
        <f t="shared" si="2"/>
        <v/>
      </c>
    </row>
    <row r="151" spans="1:2" x14ac:dyDescent="0.25">
      <c r="A151" t="s">
        <v>24</v>
      </c>
      <c r="B151" t="str">
        <f t="shared" si="2"/>
        <v/>
      </c>
    </row>
    <row r="152" spans="1:2" x14ac:dyDescent="0.25">
      <c r="A152" t="s">
        <v>15</v>
      </c>
      <c r="B152" t="str">
        <f t="shared" si="2"/>
        <v/>
      </c>
    </row>
    <row r="153" spans="1:2" x14ac:dyDescent="0.25">
      <c r="A153" t="s">
        <v>1</v>
      </c>
      <c r="B153" t="str">
        <f t="shared" si="2"/>
        <v>S, M, L, XL</v>
      </c>
    </row>
    <row r="154" spans="1:2" x14ac:dyDescent="0.25">
      <c r="A154" t="s">
        <v>82</v>
      </c>
      <c r="B154" t="str">
        <f t="shared" si="2"/>
        <v>Black Copper Taupe</v>
      </c>
    </row>
    <row r="155" spans="1:2" x14ac:dyDescent="0.25">
      <c r="A155" t="s">
        <v>83</v>
      </c>
      <c r="B155" t="str">
        <f t="shared" si="2"/>
        <v>20001BH COLVER</v>
      </c>
    </row>
    <row r="156" spans="1:2" x14ac:dyDescent="0.25">
      <c r="A156" t="s">
        <v>18</v>
      </c>
      <c r="B156" t="str">
        <f t="shared" si="2"/>
        <v/>
      </c>
    </row>
    <row r="157" spans="1:2" x14ac:dyDescent="0.25">
      <c r="A157" t="s">
        <v>68</v>
      </c>
      <c r="B157" t="str">
        <f t="shared" si="2"/>
        <v/>
      </c>
    </row>
    <row r="158" spans="1:2" x14ac:dyDescent="0.25">
      <c r="A158" t="s">
        <v>69</v>
      </c>
      <c r="B158" t="str">
        <f t="shared" si="2"/>
        <v/>
      </c>
    </row>
    <row r="159" spans="1:2" x14ac:dyDescent="0.25">
      <c r="A159" t="s">
        <v>84</v>
      </c>
      <c r="B159" t="str">
        <f t="shared" si="2"/>
        <v/>
      </c>
    </row>
    <row r="160" spans="1:2" x14ac:dyDescent="0.25">
      <c r="A160" t="s">
        <v>85</v>
      </c>
      <c r="B160" t="str">
        <f t="shared" si="2"/>
        <v/>
      </c>
    </row>
    <row r="161" spans="1:2" x14ac:dyDescent="0.25">
      <c r="A161" t="s">
        <v>15</v>
      </c>
      <c r="B161" t="str">
        <f t="shared" si="2"/>
        <v/>
      </c>
    </row>
    <row r="162" spans="1:2" x14ac:dyDescent="0.25">
      <c r="A162" t="s">
        <v>1</v>
      </c>
      <c r="B162" t="str">
        <f t="shared" si="2"/>
        <v>S, M, L, XL</v>
      </c>
    </row>
    <row r="163" spans="1:2" x14ac:dyDescent="0.25">
      <c r="A163" t="s">
        <v>86</v>
      </c>
      <c r="B163" t="str">
        <f t="shared" si="2"/>
        <v>Greige Honey Ochre Silver Lining</v>
      </c>
    </row>
    <row r="164" spans="1:2" x14ac:dyDescent="0.25">
      <c r="A164" t="s">
        <v>87</v>
      </c>
      <c r="B164" t="str">
        <f t="shared" si="2"/>
        <v>Avion Black Chestnut</v>
      </c>
    </row>
    <row r="165" spans="1:2" x14ac:dyDescent="0.25">
      <c r="A165" t="s">
        <v>88</v>
      </c>
      <c r="B165" t="str">
        <f t="shared" si="2"/>
        <v>20009BH COLTER</v>
      </c>
    </row>
    <row r="166" spans="1:2" x14ac:dyDescent="0.25">
      <c r="A166" t="s">
        <v>89</v>
      </c>
      <c r="B166" t="str">
        <f t="shared" si="2"/>
        <v/>
      </c>
    </row>
    <row r="167" spans="1:2" x14ac:dyDescent="0.25">
      <c r="A167" t="s">
        <v>90</v>
      </c>
      <c r="B167" t="str">
        <f t="shared" si="2"/>
        <v/>
      </c>
    </row>
    <row r="168" spans="1:2" x14ac:dyDescent="0.25">
      <c r="A168" t="s">
        <v>69</v>
      </c>
      <c r="B168" t="str">
        <f t="shared" si="2"/>
        <v/>
      </c>
    </row>
    <row r="169" spans="1:2" x14ac:dyDescent="0.25">
      <c r="A169" t="s">
        <v>91</v>
      </c>
      <c r="B169" t="str">
        <f t="shared" si="2"/>
        <v/>
      </c>
    </row>
    <row r="170" spans="1:2" x14ac:dyDescent="0.25">
      <c r="A170" t="s">
        <v>24</v>
      </c>
      <c r="B170" t="str">
        <f t="shared" si="2"/>
        <v/>
      </c>
    </row>
    <row r="171" spans="1:2" x14ac:dyDescent="0.25">
      <c r="A171" t="s">
        <v>15</v>
      </c>
      <c r="B171" t="str">
        <f t="shared" si="2"/>
        <v/>
      </c>
    </row>
    <row r="172" spans="1:2" x14ac:dyDescent="0.25">
      <c r="A172" t="s">
        <v>1</v>
      </c>
      <c r="B172" t="str">
        <f t="shared" si="2"/>
        <v>S, M, L, XL</v>
      </c>
    </row>
    <row r="173" spans="1:2" x14ac:dyDescent="0.25">
      <c r="A173" t="s">
        <v>92</v>
      </c>
      <c r="B173" t="str">
        <f t="shared" si="2"/>
        <v>Black Nickel Oak</v>
      </c>
    </row>
    <row r="174" spans="1:2" x14ac:dyDescent="0.25">
      <c r="A174" t="s">
        <v>93</v>
      </c>
      <c r="B174" t="str">
        <f t="shared" si="2"/>
        <v>30003BH LANG</v>
      </c>
    </row>
    <row r="175" spans="1:2" x14ac:dyDescent="0.25">
      <c r="A175" t="s">
        <v>94</v>
      </c>
      <c r="B175" t="str">
        <f t="shared" si="2"/>
        <v/>
      </c>
    </row>
    <row r="176" spans="1:2" x14ac:dyDescent="0.25">
      <c r="A176" t="s">
        <v>95</v>
      </c>
      <c r="B176" t="str">
        <f t="shared" si="2"/>
        <v/>
      </c>
    </row>
    <row r="177" spans="1:2" x14ac:dyDescent="0.25">
      <c r="A177" t="s">
        <v>96</v>
      </c>
      <c r="B177" t="str">
        <f t="shared" si="2"/>
        <v/>
      </c>
    </row>
    <row r="178" spans="1:2" x14ac:dyDescent="0.25">
      <c r="A178" t="s">
        <v>24</v>
      </c>
      <c r="B178" t="str">
        <f t="shared" si="2"/>
        <v/>
      </c>
    </row>
    <row r="179" spans="1:2" x14ac:dyDescent="0.25">
      <c r="A179" t="s">
        <v>15</v>
      </c>
      <c r="B179" t="str">
        <f t="shared" si="2"/>
        <v/>
      </c>
    </row>
    <row r="180" spans="1:2" x14ac:dyDescent="0.25">
      <c r="A180" t="s">
        <v>1</v>
      </c>
      <c r="B180" t="str">
        <f t="shared" si="2"/>
        <v>S, M, L, XL</v>
      </c>
    </row>
    <row r="181" spans="1:2" x14ac:dyDescent="0.25">
      <c r="A181" t="s">
        <v>97</v>
      </c>
      <c r="B181" t="str">
        <f t="shared" si="2"/>
        <v>Avion Black Uniform Green</v>
      </c>
    </row>
    <row r="182" spans="1:2" x14ac:dyDescent="0.25">
      <c r="A182" t="s">
        <v>98</v>
      </c>
      <c r="B182" t="str">
        <f t="shared" si="2"/>
        <v>37191BH LEVON</v>
      </c>
    </row>
    <row r="183" spans="1:2" x14ac:dyDescent="0.25">
      <c r="A183" t="s">
        <v>99</v>
      </c>
      <c r="B183" t="str">
        <f t="shared" si="2"/>
        <v/>
      </c>
    </row>
    <row r="184" spans="1:2" x14ac:dyDescent="0.25">
      <c r="A184" t="s">
        <v>39</v>
      </c>
      <c r="B184" t="str">
        <f t="shared" si="2"/>
        <v/>
      </c>
    </row>
    <row r="185" spans="1:2" x14ac:dyDescent="0.25">
      <c r="A185" t="s">
        <v>100</v>
      </c>
      <c r="B185" t="str">
        <f t="shared" si="2"/>
        <v/>
      </c>
    </row>
    <row r="186" spans="1:2" x14ac:dyDescent="0.25">
      <c r="A186" t="s">
        <v>101</v>
      </c>
      <c r="B186" t="str">
        <f t="shared" si="2"/>
        <v/>
      </c>
    </row>
    <row r="187" spans="1:2" x14ac:dyDescent="0.25">
      <c r="A187" t="s">
        <v>24</v>
      </c>
      <c r="B187" t="str">
        <f t="shared" si="2"/>
        <v/>
      </c>
    </row>
    <row r="188" spans="1:2" x14ac:dyDescent="0.25">
      <c r="A188" t="s">
        <v>1</v>
      </c>
      <c r="B188" t="str">
        <f t="shared" si="2"/>
        <v>S, M, L, XL</v>
      </c>
    </row>
    <row r="189" spans="1:2" x14ac:dyDescent="0.25">
      <c r="A189" t="s">
        <v>102</v>
      </c>
      <c r="B189" t="str">
        <f t="shared" si="2"/>
        <v>Black Lazuli Blue Oak</v>
      </c>
    </row>
    <row r="190" spans="1:2" x14ac:dyDescent="0.25">
      <c r="A190" t="s">
        <v>103</v>
      </c>
      <c r="B190" t="str">
        <f t="shared" si="2"/>
        <v>37180BH STEDMAN</v>
      </c>
    </row>
    <row r="191" spans="1:2" x14ac:dyDescent="0.25">
      <c r="A191" t="s">
        <v>80</v>
      </c>
      <c r="B191" t="str">
        <f t="shared" si="2"/>
        <v/>
      </c>
    </row>
    <row r="192" spans="1:2" x14ac:dyDescent="0.25">
      <c r="A192" t="s">
        <v>39</v>
      </c>
      <c r="B192" t="str">
        <f t="shared" si="2"/>
        <v/>
      </c>
    </row>
    <row r="193" spans="1:2" x14ac:dyDescent="0.25">
      <c r="A193" t="s">
        <v>100</v>
      </c>
      <c r="B193" t="str">
        <f t="shared" ref="B193:B256" si="3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</row>
    <row r="194" spans="1:2" x14ac:dyDescent="0.25">
      <c r="A194" t="s">
        <v>104</v>
      </c>
      <c r="B194" t="str">
        <f t="shared" si="3"/>
        <v/>
      </c>
    </row>
    <row r="195" spans="1:2" x14ac:dyDescent="0.25">
      <c r="A195" t="s">
        <v>85</v>
      </c>
      <c r="B195" t="str">
        <f t="shared" si="3"/>
        <v/>
      </c>
    </row>
    <row r="196" spans="1:2" x14ac:dyDescent="0.25">
      <c r="A196" t="s">
        <v>105</v>
      </c>
      <c r="B196" t="str">
        <f t="shared" si="3"/>
        <v>S, M, L, XL, XXL</v>
      </c>
    </row>
    <row r="197" spans="1:2" x14ac:dyDescent="0.25">
      <c r="A197" t="s">
        <v>106</v>
      </c>
      <c r="B197" t="str">
        <f t="shared" si="3"/>
        <v>Black Camel Oak Stucco</v>
      </c>
    </row>
    <row r="198" spans="1:2" x14ac:dyDescent="0.25">
      <c r="A198" t="s">
        <v>7</v>
      </c>
      <c r="B198" t="str">
        <f t="shared" si="3"/>
        <v>30001BH WALSH</v>
      </c>
    </row>
    <row r="199" spans="1:2" x14ac:dyDescent="0.25">
      <c r="A199" t="s">
        <v>107</v>
      </c>
      <c r="B199" t="str">
        <f t="shared" si="3"/>
        <v/>
      </c>
    </row>
    <row r="200" spans="1:2" x14ac:dyDescent="0.25">
      <c r="A200" t="s">
        <v>39</v>
      </c>
      <c r="B200" t="str">
        <f t="shared" si="3"/>
        <v/>
      </c>
    </row>
    <row r="201" spans="1:2" x14ac:dyDescent="0.25">
      <c r="A201" t="s">
        <v>96</v>
      </c>
      <c r="B201" t="str">
        <f t="shared" si="3"/>
        <v/>
      </c>
    </row>
    <row r="202" spans="1:2" x14ac:dyDescent="0.25">
      <c r="A202" t="s">
        <v>13</v>
      </c>
      <c r="B202" t="str">
        <f t="shared" si="3"/>
        <v/>
      </c>
    </row>
    <row r="203" spans="1:2" x14ac:dyDescent="0.25">
      <c r="A203" t="s">
        <v>23</v>
      </c>
      <c r="B203" t="str">
        <f t="shared" si="3"/>
        <v/>
      </c>
    </row>
    <row r="204" spans="1:2" x14ac:dyDescent="0.25">
      <c r="A204" t="s">
        <v>108</v>
      </c>
      <c r="B204" t="str">
        <f t="shared" si="3"/>
        <v/>
      </c>
    </row>
    <row r="205" spans="1:2" x14ac:dyDescent="0.25">
      <c r="A205" t="s">
        <v>15</v>
      </c>
      <c r="B205" t="str">
        <f t="shared" si="3"/>
        <v/>
      </c>
    </row>
    <row r="206" spans="1:2" x14ac:dyDescent="0.25">
      <c r="A206" t="s">
        <v>1</v>
      </c>
      <c r="B206" t="str">
        <f t="shared" si="3"/>
        <v>S, M, L, XL</v>
      </c>
    </row>
    <row r="207" spans="1:2" x14ac:dyDescent="0.25">
      <c r="A207" t="s">
        <v>109</v>
      </c>
      <c r="B207" t="str">
        <f t="shared" si="3"/>
        <v>Black Plaza Taupe</v>
      </c>
    </row>
    <row r="208" spans="1:2" x14ac:dyDescent="0.25">
      <c r="A208" t="s">
        <v>110</v>
      </c>
      <c r="B208" t="str">
        <f t="shared" si="3"/>
        <v>37185BH ELLETT</v>
      </c>
    </row>
    <row r="209" spans="1:2" x14ac:dyDescent="0.25">
      <c r="A209" t="s">
        <v>111</v>
      </c>
      <c r="B209" t="str">
        <f t="shared" si="3"/>
        <v/>
      </c>
    </row>
    <row r="210" spans="1:2" x14ac:dyDescent="0.25">
      <c r="A210" t="s">
        <v>112</v>
      </c>
      <c r="B210" t="str">
        <f t="shared" si="3"/>
        <v/>
      </c>
    </row>
    <row r="211" spans="1:2" x14ac:dyDescent="0.25">
      <c r="A211" t="s">
        <v>64</v>
      </c>
      <c r="B211" t="str">
        <f t="shared" si="3"/>
        <v/>
      </c>
    </row>
    <row r="212" spans="1:2" x14ac:dyDescent="0.25">
      <c r="A212" t="s">
        <v>113</v>
      </c>
      <c r="B212" t="str">
        <f t="shared" si="3"/>
        <v/>
      </c>
    </row>
    <row r="213" spans="1:2" x14ac:dyDescent="0.25">
      <c r="A213" t="s">
        <v>30</v>
      </c>
      <c r="B213" t="str">
        <f t="shared" si="3"/>
        <v/>
      </c>
    </row>
    <row r="214" spans="1:2" x14ac:dyDescent="0.25">
      <c r="A214" t="s">
        <v>24</v>
      </c>
      <c r="B214" t="str">
        <f t="shared" si="3"/>
        <v/>
      </c>
    </row>
    <row r="215" spans="1:2" x14ac:dyDescent="0.25">
      <c r="A215" t="s">
        <v>15</v>
      </c>
      <c r="B215" t="str">
        <f t="shared" si="3"/>
        <v/>
      </c>
    </row>
    <row r="216" spans="1:2" x14ac:dyDescent="0.25">
      <c r="A216" t="s">
        <v>1</v>
      </c>
      <c r="B216" t="str">
        <f t="shared" si="3"/>
        <v>S, M, L, XL</v>
      </c>
    </row>
    <row r="217" spans="1:2" x14ac:dyDescent="0.25">
      <c r="A217" t="s">
        <v>114</v>
      </c>
      <c r="B217" t="str">
        <f t="shared" si="3"/>
        <v>Avion Black Soft Khaki</v>
      </c>
    </row>
    <row r="218" spans="1:2" x14ac:dyDescent="0.25">
      <c r="A218" t="s">
        <v>8</v>
      </c>
      <c r="B218" t="str">
        <f t="shared" si="3"/>
        <v>37171BH WINTERS</v>
      </c>
    </row>
    <row r="219" spans="1:2" x14ac:dyDescent="0.25">
      <c r="A219" t="s">
        <v>62</v>
      </c>
      <c r="B219" t="str">
        <f t="shared" si="3"/>
        <v/>
      </c>
    </row>
    <row r="220" spans="1:2" x14ac:dyDescent="0.25">
      <c r="A220" t="s">
        <v>12</v>
      </c>
      <c r="B220" t="str">
        <f t="shared" si="3"/>
        <v/>
      </c>
    </row>
    <row r="221" spans="1:2" x14ac:dyDescent="0.25">
      <c r="A221" t="s">
        <v>64</v>
      </c>
      <c r="B221" t="str">
        <f t="shared" si="3"/>
        <v/>
      </c>
    </row>
    <row r="222" spans="1:2" x14ac:dyDescent="0.25">
      <c r="A222" t="s">
        <v>13</v>
      </c>
      <c r="B222" t="str">
        <f t="shared" si="3"/>
        <v/>
      </c>
    </row>
    <row r="223" spans="1:2" x14ac:dyDescent="0.25">
      <c r="A223" t="s">
        <v>24</v>
      </c>
      <c r="B223" t="str">
        <f t="shared" si="3"/>
        <v/>
      </c>
    </row>
    <row r="224" spans="1:2" x14ac:dyDescent="0.25">
      <c r="A224" t="s">
        <v>15</v>
      </c>
      <c r="B224" t="str">
        <f t="shared" si="3"/>
        <v/>
      </c>
    </row>
    <row r="225" spans="1:2" x14ac:dyDescent="0.25">
      <c r="A225" t="s">
        <v>1</v>
      </c>
      <c r="B225" t="str">
        <f t="shared" si="3"/>
        <v>S, M, L, XL</v>
      </c>
    </row>
    <row r="226" spans="1:2" x14ac:dyDescent="0.25">
      <c r="A226" t="s">
        <v>65</v>
      </c>
      <c r="B226" t="str">
        <f t="shared" si="3"/>
        <v>Peacoat Plaza Taupe Saddle Steel</v>
      </c>
    </row>
    <row r="227" spans="1:2" x14ac:dyDescent="0.25">
      <c r="A227" t="s">
        <v>66</v>
      </c>
      <c r="B227" t="str">
        <f t="shared" si="3"/>
        <v>Almond Black Camel</v>
      </c>
    </row>
    <row r="228" spans="1:2" x14ac:dyDescent="0.25">
      <c r="A228" t="s">
        <v>115</v>
      </c>
      <c r="B228" t="str">
        <f t="shared" si="3"/>
        <v>37186BH ERNEST</v>
      </c>
    </row>
    <row r="229" spans="1:2" x14ac:dyDescent="0.25">
      <c r="A229" t="s">
        <v>38</v>
      </c>
      <c r="B229" t="str">
        <f t="shared" si="3"/>
        <v/>
      </c>
    </row>
    <row r="230" spans="1:2" x14ac:dyDescent="0.25">
      <c r="A230" t="s">
        <v>49</v>
      </c>
      <c r="B230" t="str">
        <f t="shared" si="3"/>
        <v/>
      </c>
    </row>
    <row r="231" spans="1:2" x14ac:dyDescent="0.25">
      <c r="A231" t="s">
        <v>116</v>
      </c>
      <c r="B231" t="str">
        <f t="shared" si="3"/>
        <v/>
      </c>
    </row>
    <row r="232" spans="1:2" x14ac:dyDescent="0.25">
      <c r="A232" t="s">
        <v>117</v>
      </c>
      <c r="B232" t="str">
        <f t="shared" si="3"/>
        <v/>
      </c>
    </row>
    <row r="233" spans="1:2" x14ac:dyDescent="0.25">
      <c r="A233" t="s">
        <v>118</v>
      </c>
      <c r="B233" t="str">
        <f t="shared" si="3"/>
        <v/>
      </c>
    </row>
    <row r="234" spans="1:2" x14ac:dyDescent="0.25">
      <c r="A234" t="s">
        <v>24</v>
      </c>
      <c r="B234" t="str">
        <f t="shared" si="3"/>
        <v/>
      </c>
    </row>
    <row r="235" spans="1:2" x14ac:dyDescent="0.25">
      <c r="A235" t="s">
        <v>15</v>
      </c>
      <c r="B235" t="str">
        <f t="shared" si="3"/>
        <v/>
      </c>
    </row>
    <row r="236" spans="1:2" x14ac:dyDescent="0.25">
      <c r="A236" t="s">
        <v>1</v>
      </c>
      <c r="B236" t="str">
        <f t="shared" si="3"/>
        <v>S, M, L, XL</v>
      </c>
    </row>
    <row r="237" spans="1:2" x14ac:dyDescent="0.25">
      <c r="A237" t="s">
        <v>119</v>
      </c>
      <c r="B237" t="str">
        <f t="shared" si="3"/>
        <v>Black Midnight Brown Unbleached</v>
      </c>
    </row>
    <row r="238" spans="1:2" x14ac:dyDescent="0.25">
      <c r="A238" t="s">
        <v>6</v>
      </c>
      <c r="B238" t="str">
        <f t="shared" si="3"/>
        <v>37173BH AMMON</v>
      </c>
    </row>
    <row r="239" spans="1:2" x14ac:dyDescent="0.25">
      <c r="A239" t="s">
        <v>120</v>
      </c>
      <c r="B239" t="str">
        <f t="shared" si="3"/>
        <v/>
      </c>
    </row>
    <row r="240" spans="1:2" x14ac:dyDescent="0.25">
      <c r="A240" t="s">
        <v>121</v>
      </c>
      <c r="B240" t="str">
        <f t="shared" si="3"/>
        <v/>
      </c>
    </row>
    <row r="241" spans="1:2" x14ac:dyDescent="0.25">
      <c r="A241" t="s">
        <v>64</v>
      </c>
      <c r="B241" t="str">
        <f t="shared" si="3"/>
        <v/>
      </c>
    </row>
    <row r="242" spans="1:2" x14ac:dyDescent="0.25">
      <c r="A242" t="s">
        <v>13</v>
      </c>
      <c r="B242" t="str">
        <f t="shared" si="3"/>
        <v/>
      </c>
    </row>
    <row r="243" spans="1:2" x14ac:dyDescent="0.25">
      <c r="A243" t="s">
        <v>24</v>
      </c>
      <c r="B243" t="str">
        <f t="shared" si="3"/>
        <v/>
      </c>
    </row>
    <row r="244" spans="1:2" x14ac:dyDescent="0.25">
      <c r="A244" t="s">
        <v>15</v>
      </c>
      <c r="B244" t="str">
        <f t="shared" si="3"/>
        <v/>
      </c>
    </row>
    <row r="245" spans="1:2" x14ac:dyDescent="0.25">
      <c r="A245" t="s">
        <v>1</v>
      </c>
      <c r="B245" t="str">
        <f t="shared" si="3"/>
        <v>S, M, L, XL</v>
      </c>
    </row>
    <row r="246" spans="1:2" x14ac:dyDescent="0.25">
      <c r="A246" t="s">
        <v>65</v>
      </c>
      <c r="B246" t="str">
        <f t="shared" si="3"/>
        <v>Peacoat Plaza Taupe Saddle Steel</v>
      </c>
    </row>
    <row r="247" spans="1:2" x14ac:dyDescent="0.25">
      <c r="A247" t="s">
        <v>122</v>
      </c>
      <c r="B247" t="str">
        <f t="shared" si="3"/>
        <v>Almond Black Camel Henna</v>
      </c>
    </row>
    <row r="248" spans="1:2" x14ac:dyDescent="0.25">
      <c r="A248" t="s">
        <v>123</v>
      </c>
      <c r="B248" t="str">
        <f t="shared" si="3"/>
        <v>30002BH BARKSDALE</v>
      </c>
    </row>
    <row r="249" spans="1:2" x14ac:dyDescent="0.25">
      <c r="A249" t="s">
        <v>18</v>
      </c>
      <c r="B249" t="str">
        <f t="shared" si="3"/>
        <v/>
      </c>
    </row>
    <row r="250" spans="1:2" x14ac:dyDescent="0.25">
      <c r="A250" t="s">
        <v>124</v>
      </c>
      <c r="B250" t="str">
        <f t="shared" si="3"/>
        <v/>
      </c>
    </row>
    <row r="251" spans="1:2" x14ac:dyDescent="0.25">
      <c r="A251" t="s">
        <v>96</v>
      </c>
      <c r="B251" t="str">
        <f t="shared" si="3"/>
        <v/>
      </c>
    </row>
    <row r="252" spans="1:2" x14ac:dyDescent="0.25">
      <c r="A252" t="s">
        <v>125</v>
      </c>
      <c r="B252" t="str">
        <f t="shared" si="3"/>
        <v/>
      </c>
    </row>
    <row r="253" spans="1:2" x14ac:dyDescent="0.25">
      <c r="A253" t="s">
        <v>30</v>
      </c>
      <c r="B253" t="str">
        <f t="shared" si="3"/>
        <v/>
      </c>
    </row>
    <row r="254" spans="1:2" x14ac:dyDescent="0.25">
      <c r="A254" t="s">
        <v>24</v>
      </c>
      <c r="B254" t="str">
        <f t="shared" si="3"/>
        <v/>
      </c>
    </row>
    <row r="255" spans="1:2" x14ac:dyDescent="0.25">
      <c r="A255" t="s">
        <v>35</v>
      </c>
      <c r="B255" t="str">
        <f t="shared" si="3"/>
        <v/>
      </c>
    </row>
    <row r="256" spans="1:2" x14ac:dyDescent="0.25">
      <c r="A256" t="s">
        <v>15</v>
      </c>
      <c r="B256" t="str">
        <f t="shared" si="3"/>
        <v/>
      </c>
    </row>
    <row r="257" spans="1:2" x14ac:dyDescent="0.25">
      <c r="A257" t="s">
        <v>1</v>
      </c>
      <c r="B257" t="str">
        <f t="shared" ref="B257:B313" si="4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</row>
    <row r="258" spans="1:2" x14ac:dyDescent="0.25">
      <c r="A258" t="s">
        <v>126</v>
      </c>
      <c r="B258" t="str">
        <f t="shared" si="4"/>
        <v>Beech Black Whiskey</v>
      </c>
    </row>
    <row r="259" spans="1:2" x14ac:dyDescent="0.25">
      <c r="A259" t="s">
        <v>127</v>
      </c>
      <c r="B259" t="str">
        <f t="shared" si="4"/>
        <v>20006BH DEVERS</v>
      </c>
    </row>
    <row r="260" spans="1:2" x14ac:dyDescent="0.25">
      <c r="A260" t="s">
        <v>38</v>
      </c>
      <c r="B260" t="str">
        <f t="shared" si="4"/>
        <v/>
      </c>
    </row>
    <row r="261" spans="1:2" x14ac:dyDescent="0.25">
      <c r="A261" t="s">
        <v>39</v>
      </c>
      <c r="B261" t="str">
        <f t="shared" si="4"/>
        <v/>
      </c>
    </row>
    <row r="262" spans="1:2" x14ac:dyDescent="0.25">
      <c r="A262" t="s">
        <v>69</v>
      </c>
      <c r="B262" t="str">
        <f t="shared" si="4"/>
        <v/>
      </c>
    </row>
    <row r="263" spans="1:2" x14ac:dyDescent="0.25">
      <c r="A263" t="s">
        <v>128</v>
      </c>
      <c r="B263" t="str">
        <f t="shared" si="4"/>
        <v/>
      </c>
    </row>
    <row r="264" spans="1:2" x14ac:dyDescent="0.25">
      <c r="A264" t="s">
        <v>24</v>
      </c>
      <c r="B264" t="str">
        <f t="shared" si="4"/>
        <v/>
      </c>
    </row>
    <row r="265" spans="1:2" x14ac:dyDescent="0.25">
      <c r="A265" t="s">
        <v>15</v>
      </c>
      <c r="B265" t="str">
        <f t="shared" si="4"/>
        <v/>
      </c>
    </row>
    <row r="266" spans="1:2" x14ac:dyDescent="0.25">
      <c r="A266" t="s">
        <v>1</v>
      </c>
      <c r="B266" t="str">
        <f t="shared" si="4"/>
        <v>S, M, L, XL</v>
      </c>
    </row>
    <row r="267" spans="1:2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</row>
    <row r="268" spans="1:2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</row>
    <row r="269" spans="1:2" x14ac:dyDescent="0.25">
      <c r="A269" t="s">
        <v>62</v>
      </c>
      <c r="B269" t="str">
        <f t="shared" si="4"/>
        <v/>
      </c>
    </row>
    <row r="270" spans="1:2" x14ac:dyDescent="0.25">
      <c r="A270" t="s">
        <v>131</v>
      </c>
      <c r="B270" t="str">
        <f t="shared" si="4"/>
        <v/>
      </c>
    </row>
    <row r="271" spans="1:2" x14ac:dyDescent="0.25">
      <c r="A271" t="s">
        <v>132</v>
      </c>
      <c r="B271" t="str">
        <f t="shared" si="4"/>
        <v/>
      </c>
    </row>
    <row r="272" spans="1:2" x14ac:dyDescent="0.25">
      <c r="A272" t="s">
        <v>133</v>
      </c>
      <c r="B272" t="str">
        <f t="shared" si="4"/>
        <v/>
      </c>
    </row>
    <row r="273" spans="1:2" x14ac:dyDescent="0.25">
      <c r="A273" t="s">
        <v>24</v>
      </c>
      <c r="B273" t="str">
        <f t="shared" si="4"/>
        <v/>
      </c>
    </row>
    <row r="274" spans="1:2" x14ac:dyDescent="0.25">
      <c r="A274" t="s">
        <v>15</v>
      </c>
      <c r="B274" t="str">
        <f t="shared" si="4"/>
        <v/>
      </c>
    </row>
    <row r="275" spans="1:2" x14ac:dyDescent="0.25">
      <c r="A275" t="s">
        <v>134</v>
      </c>
      <c r="B275" t="str">
        <f t="shared" si="4"/>
        <v>S, M, L, XL, XXL, XXXL</v>
      </c>
    </row>
    <row r="276" spans="1:2" x14ac:dyDescent="0.25">
      <c r="A276" t="s">
        <v>135</v>
      </c>
      <c r="B276" t="str">
        <f t="shared" si="4"/>
        <v>Black Black Mix Bluestone Walnut</v>
      </c>
    </row>
    <row r="277" spans="1:2" x14ac:dyDescent="0.25">
      <c r="A277" t="s">
        <v>136</v>
      </c>
      <c r="B277" t="str">
        <f t="shared" si="4"/>
        <v>37161BH PERRY</v>
      </c>
    </row>
    <row r="278" spans="1:2" x14ac:dyDescent="0.25">
      <c r="A278" t="s">
        <v>62</v>
      </c>
      <c r="B278" t="str">
        <f t="shared" si="4"/>
        <v/>
      </c>
    </row>
    <row r="279" spans="1:2" x14ac:dyDescent="0.25">
      <c r="A279" t="s">
        <v>63</v>
      </c>
      <c r="B279" t="str">
        <f t="shared" si="4"/>
        <v/>
      </c>
    </row>
    <row r="280" spans="1:2" x14ac:dyDescent="0.25">
      <c r="A280" t="s">
        <v>132</v>
      </c>
      <c r="B280" t="str">
        <f t="shared" si="4"/>
        <v/>
      </c>
    </row>
    <row r="281" spans="1:2" x14ac:dyDescent="0.25">
      <c r="A281" t="s">
        <v>133</v>
      </c>
      <c r="B281" t="str">
        <f t="shared" si="4"/>
        <v/>
      </c>
    </row>
    <row r="282" spans="1:2" x14ac:dyDescent="0.25">
      <c r="A282" t="s">
        <v>24</v>
      </c>
      <c r="B282" t="str">
        <f t="shared" si="4"/>
        <v/>
      </c>
    </row>
    <row r="283" spans="1:2" x14ac:dyDescent="0.25">
      <c r="A283" t="s">
        <v>15</v>
      </c>
      <c r="B283" t="str">
        <f t="shared" si="4"/>
        <v/>
      </c>
    </row>
    <row r="284" spans="1:2" x14ac:dyDescent="0.25">
      <c r="A284" t="s">
        <v>1</v>
      </c>
      <c r="B284" t="str">
        <f t="shared" si="4"/>
        <v>S, M, L, XL</v>
      </c>
    </row>
    <row r="285" spans="1:2" x14ac:dyDescent="0.25">
      <c r="A285" t="s">
        <v>137</v>
      </c>
      <c r="B285" t="str">
        <f t="shared" si="4"/>
        <v>Navy Serpent Walnut</v>
      </c>
    </row>
    <row r="286" spans="1:2" x14ac:dyDescent="0.25">
      <c r="A286" t="s">
        <v>138</v>
      </c>
      <c r="B286" t="str">
        <f t="shared" si="4"/>
        <v>70656BH ACKER</v>
      </c>
    </row>
    <row r="287" spans="1:2" x14ac:dyDescent="0.25">
      <c r="A287" t="s">
        <v>62</v>
      </c>
      <c r="B287" t="str">
        <f t="shared" si="4"/>
        <v/>
      </c>
    </row>
    <row r="288" spans="1:2" x14ac:dyDescent="0.25">
      <c r="A288" t="s">
        <v>139</v>
      </c>
      <c r="B288" t="str">
        <f t="shared" si="4"/>
        <v/>
      </c>
    </row>
    <row r="289" spans="1:2" x14ac:dyDescent="0.25">
      <c r="A289" t="s">
        <v>140</v>
      </c>
      <c r="B289" t="str">
        <f t="shared" si="4"/>
        <v/>
      </c>
    </row>
    <row r="290" spans="1:2" x14ac:dyDescent="0.25">
      <c r="A290" t="s">
        <v>141</v>
      </c>
      <c r="B290" t="str">
        <f t="shared" si="4"/>
        <v/>
      </c>
    </row>
    <row r="291" spans="1:2" x14ac:dyDescent="0.25">
      <c r="A291" t="s">
        <v>142</v>
      </c>
      <c r="B291" t="str">
        <f t="shared" si="4"/>
        <v/>
      </c>
    </row>
    <row r="292" spans="1:2" x14ac:dyDescent="0.25">
      <c r="A292" t="s">
        <v>143</v>
      </c>
      <c r="B292" t="str">
        <f t="shared" si="4"/>
        <v/>
      </c>
    </row>
    <row r="293" spans="1:2" x14ac:dyDescent="0.25">
      <c r="A293" t="s">
        <v>1</v>
      </c>
      <c r="B293" t="str">
        <f t="shared" si="4"/>
        <v>S, M, L, XL</v>
      </c>
    </row>
    <row r="294" spans="1:2" x14ac:dyDescent="0.25">
      <c r="A294" t="s">
        <v>119</v>
      </c>
      <c r="B294" t="str">
        <f t="shared" si="4"/>
        <v>Black Midnight Brown Unbleached</v>
      </c>
    </row>
    <row r="295" spans="1:2" x14ac:dyDescent="0.25">
      <c r="A295" t="s">
        <v>144</v>
      </c>
      <c r="B295" t="str">
        <f t="shared" si="4"/>
        <v>7034 BLIXEN</v>
      </c>
    </row>
    <row r="296" spans="1:2" x14ac:dyDescent="0.25">
      <c r="A296" t="s">
        <v>62</v>
      </c>
      <c r="B296" t="str">
        <f t="shared" si="4"/>
        <v/>
      </c>
    </row>
    <row r="297" spans="1:2" x14ac:dyDescent="0.25">
      <c r="A297" t="s">
        <v>112</v>
      </c>
      <c r="B297" t="str">
        <f t="shared" si="4"/>
        <v/>
      </c>
    </row>
    <row r="298" spans="1:2" x14ac:dyDescent="0.25">
      <c r="A298" t="s">
        <v>140</v>
      </c>
      <c r="B298" t="str">
        <f t="shared" si="4"/>
        <v/>
      </c>
    </row>
    <row r="299" spans="1:2" x14ac:dyDescent="0.25">
      <c r="A299" t="s">
        <v>13</v>
      </c>
      <c r="B299" t="str">
        <f t="shared" si="4"/>
        <v/>
      </c>
    </row>
    <row r="300" spans="1:2" x14ac:dyDescent="0.25">
      <c r="A300" t="s">
        <v>35</v>
      </c>
      <c r="B300" t="str">
        <f t="shared" si="4"/>
        <v/>
      </c>
    </row>
    <row r="301" spans="1:2" x14ac:dyDescent="0.25">
      <c r="A301" t="s">
        <v>143</v>
      </c>
      <c r="B301" t="str">
        <f t="shared" si="4"/>
        <v/>
      </c>
    </row>
    <row r="302" spans="1:2" x14ac:dyDescent="0.25">
      <c r="A302" t="s">
        <v>105</v>
      </c>
      <c r="B302" t="str">
        <f t="shared" si="4"/>
        <v>S, M, L, XL, XXL</v>
      </c>
    </row>
    <row r="303" spans="1:2" x14ac:dyDescent="0.25">
      <c r="A303" t="s">
        <v>145</v>
      </c>
      <c r="B303" t="str">
        <f t="shared" si="4"/>
        <v>Navy Nickel Satin Brass Silverbelly Vintage Blue</v>
      </c>
    </row>
    <row r="304" spans="1:2" x14ac:dyDescent="0.25">
      <c r="A304" t="s">
        <v>344</v>
      </c>
      <c r="B304" t="str">
        <f t="shared" si="4"/>
        <v>Black Cognac Copper Medium Brown Mix Basalt Avion</v>
      </c>
    </row>
    <row r="305" spans="1:2" x14ac:dyDescent="0.25">
      <c r="A305" t="s">
        <v>146</v>
      </c>
      <c r="B305" t="str">
        <f t="shared" si="4"/>
        <v>7006 BRIAR</v>
      </c>
    </row>
    <row r="306" spans="1:2" x14ac:dyDescent="0.25">
      <c r="A306" t="s">
        <v>120</v>
      </c>
      <c r="B306" t="str">
        <f t="shared" si="4"/>
        <v/>
      </c>
    </row>
    <row r="307" spans="1:2" x14ac:dyDescent="0.25">
      <c r="A307" t="s">
        <v>147</v>
      </c>
      <c r="B307" t="str">
        <f t="shared" si="4"/>
        <v/>
      </c>
    </row>
    <row r="308" spans="1:2" x14ac:dyDescent="0.25">
      <c r="A308" t="s">
        <v>140</v>
      </c>
      <c r="B308" t="str">
        <f t="shared" si="4"/>
        <v/>
      </c>
    </row>
    <row r="309" spans="1:2" x14ac:dyDescent="0.25">
      <c r="A309" t="s">
        <v>133</v>
      </c>
      <c r="B309" t="str">
        <f t="shared" si="4"/>
        <v/>
      </c>
    </row>
    <row r="310" spans="1:2" x14ac:dyDescent="0.25">
      <c r="A310" t="s">
        <v>143</v>
      </c>
      <c r="B310" t="str">
        <f t="shared" si="4"/>
        <v/>
      </c>
    </row>
    <row r="311" spans="1:2" x14ac:dyDescent="0.25">
      <c r="A311" t="s">
        <v>1</v>
      </c>
      <c r="B311" t="str">
        <f t="shared" si="4"/>
        <v>S, M, L, XL</v>
      </c>
    </row>
    <row r="312" spans="1:2" x14ac:dyDescent="0.25">
      <c r="A312" t="s">
        <v>148</v>
      </c>
      <c r="B312" t="str">
        <f t="shared" si="4"/>
        <v>Black Unbleached Woodland Mix</v>
      </c>
    </row>
    <row r="313" spans="1:2" x14ac:dyDescent="0.25">
      <c r="A313" t="s">
        <v>149</v>
      </c>
      <c r="B313" t="str">
        <f t="shared" si="4"/>
        <v>70655BH LUND</v>
      </c>
    </row>
    <row r="314" spans="1:2" x14ac:dyDescent="0.25">
      <c r="A314" t="s">
        <v>38</v>
      </c>
      <c r="B314" t="str">
        <f t="shared" ref="B314:B377" si="5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</row>
    <row r="315" spans="1:2" x14ac:dyDescent="0.25">
      <c r="A315" t="s">
        <v>19</v>
      </c>
      <c r="B315" t="str">
        <f t="shared" si="5"/>
        <v/>
      </c>
    </row>
    <row r="316" spans="1:2" x14ac:dyDescent="0.25">
      <c r="A316" t="s">
        <v>140</v>
      </c>
      <c r="B316" t="str">
        <f t="shared" si="5"/>
        <v/>
      </c>
    </row>
    <row r="317" spans="1:2" x14ac:dyDescent="0.25">
      <c r="A317" t="s">
        <v>150</v>
      </c>
      <c r="B317" t="str">
        <f t="shared" si="5"/>
        <v/>
      </c>
    </row>
    <row r="318" spans="1:2" x14ac:dyDescent="0.25">
      <c r="A318" t="s">
        <v>35</v>
      </c>
      <c r="B318" t="str">
        <f t="shared" si="5"/>
        <v/>
      </c>
    </row>
    <row r="319" spans="1:2" x14ac:dyDescent="0.25">
      <c r="A319" t="s">
        <v>143</v>
      </c>
      <c r="B319" t="str">
        <f t="shared" si="5"/>
        <v/>
      </c>
    </row>
    <row r="320" spans="1:2" x14ac:dyDescent="0.25">
      <c r="A320" t="s">
        <v>1</v>
      </c>
      <c r="B320" t="str">
        <f t="shared" si="5"/>
        <v>S, M, L, XL</v>
      </c>
    </row>
    <row r="321" spans="1:2" x14ac:dyDescent="0.25">
      <c r="A321" t="s">
        <v>151</v>
      </c>
      <c r="B321" t="str">
        <f t="shared" si="5"/>
        <v>Black Ochre</v>
      </c>
    </row>
    <row r="322" spans="1:2" x14ac:dyDescent="0.25">
      <c r="A322" t="s">
        <v>152</v>
      </c>
      <c r="B322" t="str">
        <f t="shared" si="5"/>
        <v>70658BH MOLIN</v>
      </c>
    </row>
    <row r="323" spans="1:2" x14ac:dyDescent="0.25">
      <c r="A323" t="s">
        <v>80</v>
      </c>
      <c r="B323" t="str">
        <f t="shared" si="5"/>
        <v/>
      </c>
    </row>
    <row r="324" spans="1:2" x14ac:dyDescent="0.25">
      <c r="A324" t="s">
        <v>153</v>
      </c>
      <c r="B324" t="str">
        <f t="shared" si="5"/>
        <v/>
      </c>
    </row>
    <row r="325" spans="1:2" x14ac:dyDescent="0.25">
      <c r="A325" t="s">
        <v>140</v>
      </c>
      <c r="B325" t="str">
        <f t="shared" si="5"/>
        <v/>
      </c>
    </row>
    <row r="326" spans="1:2" x14ac:dyDescent="0.25">
      <c r="A326" t="s">
        <v>154</v>
      </c>
      <c r="B326" t="str">
        <f t="shared" si="5"/>
        <v/>
      </c>
    </row>
    <row r="327" spans="1:2" x14ac:dyDescent="0.25">
      <c r="A327" t="s">
        <v>143</v>
      </c>
      <c r="B327" t="str">
        <f t="shared" si="5"/>
        <v/>
      </c>
    </row>
    <row r="328" spans="1:2" x14ac:dyDescent="0.25">
      <c r="A328" t="s">
        <v>1</v>
      </c>
      <c r="B328" t="str">
        <f t="shared" si="5"/>
        <v>S, M, L, XL</v>
      </c>
    </row>
    <row r="329" spans="1:2" x14ac:dyDescent="0.25">
      <c r="A329" t="s">
        <v>155</v>
      </c>
      <c r="B329" t="str">
        <f t="shared" si="5"/>
        <v>Black Oak</v>
      </c>
    </row>
    <row r="330" spans="1:2" x14ac:dyDescent="0.25">
      <c r="A330" t="s">
        <v>156</v>
      </c>
      <c r="B330" t="str">
        <f t="shared" si="5"/>
        <v>70657BH FALCON</v>
      </c>
    </row>
    <row r="331" spans="1:2" x14ac:dyDescent="0.25">
      <c r="A331" t="s">
        <v>157</v>
      </c>
      <c r="B331" t="str">
        <f t="shared" si="5"/>
        <v/>
      </c>
    </row>
    <row r="332" spans="1:2" x14ac:dyDescent="0.25">
      <c r="A332" t="s">
        <v>29</v>
      </c>
      <c r="B332" t="str">
        <f t="shared" si="5"/>
        <v/>
      </c>
    </row>
    <row r="333" spans="1:2" x14ac:dyDescent="0.25">
      <c r="A333" t="s">
        <v>140</v>
      </c>
      <c r="B333" t="str">
        <f t="shared" si="5"/>
        <v/>
      </c>
    </row>
    <row r="334" spans="1:2" x14ac:dyDescent="0.25">
      <c r="A334" t="s">
        <v>158</v>
      </c>
      <c r="B334" t="str">
        <f t="shared" si="5"/>
        <v/>
      </c>
    </row>
    <row r="335" spans="1:2" x14ac:dyDescent="0.25">
      <c r="A335" t="s">
        <v>30</v>
      </c>
      <c r="B335" t="str">
        <f t="shared" si="5"/>
        <v/>
      </c>
    </row>
    <row r="336" spans="1:2" x14ac:dyDescent="0.25">
      <c r="A336" t="s">
        <v>143</v>
      </c>
      <c r="B336" t="str">
        <f t="shared" si="5"/>
        <v/>
      </c>
    </row>
    <row r="337" spans="1:2" x14ac:dyDescent="0.25">
      <c r="A337" t="s">
        <v>1</v>
      </c>
      <c r="B337" t="str">
        <f t="shared" si="5"/>
        <v>S, M, L, XL</v>
      </c>
    </row>
    <row r="338" spans="1:2" x14ac:dyDescent="0.25">
      <c r="A338" t="s">
        <v>159</v>
      </c>
      <c r="B338" t="str">
        <f t="shared" si="5"/>
        <v>Avion Black</v>
      </c>
    </row>
    <row r="339" spans="1:2" x14ac:dyDescent="0.25">
      <c r="A339" t="s">
        <v>160</v>
      </c>
      <c r="B339" t="str">
        <f t="shared" si="5"/>
        <v>70659BH COLVIN</v>
      </c>
    </row>
    <row r="340" spans="1:2" x14ac:dyDescent="0.25">
      <c r="A340" t="s">
        <v>32</v>
      </c>
      <c r="B340" t="str">
        <f t="shared" si="5"/>
        <v/>
      </c>
    </row>
    <row r="341" spans="1:2" x14ac:dyDescent="0.25">
      <c r="A341" t="s">
        <v>75</v>
      </c>
      <c r="B341" t="str">
        <f t="shared" si="5"/>
        <v/>
      </c>
    </row>
    <row r="342" spans="1:2" x14ac:dyDescent="0.25">
      <c r="A342" t="s">
        <v>140</v>
      </c>
      <c r="B342" t="str">
        <f t="shared" si="5"/>
        <v/>
      </c>
    </row>
    <row r="343" spans="1:2" x14ac:dyDescent="0.25">
      <c r="A343" t="s">
        <v>161</v>
      </c>
      <c r="B343" t="str">
        <f t="shared" si="5"/>
        <v/>
      </c>
    </row>
    <row r="344" spans="1:2" x14ac:dyDescent="0.25">
      <c r="A344" t="s">
        <v>143</v>
      </c>
      <c r="B344" t="str">
        <f t="shared" si="5"/>
        <v/>
      </c>
    </row>
    <row r="345" spans="1:2" x14ac:dyDescent="0.25">
      <c r="A345" t="s">
        <v>1</v>
      </c>
      <c r="B345" t="str">
        <f t="shared" si="5"/>
        <v>S, M, L, XL</v>
      </c>
    </row>
    <row r="346" spans="1:2" x14ac:dyDescent="0.25">
      <c r="A346" t="s">
        <v>162</v>
      </c>
      <c r="B346" t="str">
        <f t="shared" si="5"/>
        <v>Black Honey Uniform Green</v>
      </c>
    </row>
    <row r="347" spans="1:2" x14ac:dyDescent="0.25">
      <c r="A347" t="s">
        <v>163</v>
      </c>
      <c r="B347" t="str">
        <f t="shared" si="5"/>
        <v>70660BH ERLER</v>
      </c>
    </row>
    <row r="348" spans="1:2" x14ac:dyDescent="0.25">
      <c r="A348" t="s">
        <v>164</v>
      </c>
      <c r="B348" t="str">
        <f t="shared" si="5"/>
        <v/>
      </c>
    </row>
    <row r="349" spans="1:2" x14ac:dyDescent="0.25">
      <c r="A349" t="s">
        <v>139</v>
      </c>
      <c r="B349" t="str">
        <f t="shared" si="5"/>
        <v/>
      </c>
    </row>
    <row r="350" spans="1:2" x14ac:dyDescent="0.25">
      <c r="A350" t="s">
        <v>140</v>
      </c>
      <c r="B350" t="str">
        <f t="shared" si="5"/>
        <v/>
      </c>
    </row>
    <row r="351" spans="1:2" x14ac:dyDescent="0.25">
      <c r="A351" t="s">
        <v>165</v>
      </c>
      <c r="B351" t="str">
        <f t="shared" si="5"/>
        <v/>
      </c>
    </row>
    <row r="352" spans="1:2" x14ac:dyDescent="0.25">
      <c r="A352" t="s">
        <v>30</v>
      </c>
      <c r="B352" t="str">
        <f t="shared" si="5"/>
        <v/>
      </c>
    </row>
    <row r="353" spans="1:2" x14ac:dyDescent="0.25">
      <c r="A353" t="s">
        <v>166</v>
      </c>
      <c r="B353" t="str">
        <f t="shared" si="5"/>
        <v/>
      </c>
    </row>
    <row r="354" spans="1:2" x14ac:dyDescent="0.25">
      <c r="A354" t="s">
        <v>143</v>
      </c>
      <c r="B354" t="str">
        <f t="shared" si="5"/>
        <v/>
      </c>
    </row>
    <row r="355" spans="1:2" x14ac:dyDescent="0.25">
      <c r="A355" t="s">
        <v>1</v>
      </c>
      <c r="B355" t="str">
        <f t="shared" si="5"/>
        <v>S, M, L, XL</v>
      </c>
    </row>
    <row r="356" spans="1:2" x14ac:dyDescent="0.25">
      <c r="A356" t="s">
        <v>167</v>
      </c>
      <c r="B356" t="str">
        <f t="shared" si="5"/>
        <v>Black Nickel Satin Brass Uniform Green</v>
      </c>
    </row>
    <row r="357" spans="1:2" x14ac:dyDescent="0.25">
      <c r="A357" t="s">
        <v>168</v>
      </c>
      <c r="B357" t="str">
        <f t="shared" si="5"/>
        <v>7021 DARRON</v>
      </c>
    </row>
    <row r="358" spans="1:2" x14ac:dyDescent="0.25">
      <c r="A358" t="s">
        <v>169</v>
      </c>
      <c r="B358" t="str">
        <f t="shared" si="5"/>
        <v/>
      </c>
    </row>
    <row r="359" spans="1:2" x14ac:dyDescent="0.25">
      <c r="A359" t="s">
        <v>170</v>
      </c>
      <c r="B359" t="str">
        <f t="shared" si="5"/>
        <v/>
      </c>
    </row>
    <row r="360" spans="1:2" x14ac:dyDescent="0.25">
      <c r="A360" t="s">
        <v>140</v>
      </c>
      <c r="B360" t="str">
        <f t="shared" si="5"/>
        <v/>
      </c>
    </row>
    <row r="361" spans="1:2" x14ac:dyDescent="0.25">
      <c r="A361" t="s">
        <v>13</v>
      </c>
      <c r="B361" t="str">
        <f t="shared" si="5"/>
        <v/>
      </c>
    </row>
    <row r="362" spans="1:2" x14ac:dyDescent="0.25">
      <c r="A362" t="s">
        <v>143</v>
      </c>
      <c r="B362" t="str">
        <f t="shared" si="5"/>
        <v/>
      </c>
    </row>
    <row r="363" spans="1:2" x14ac:dyDescent="0.25">
      <c r="A363" t="s">
        <v>105</v>
      </c>
      <c r="B363" t="str">
        <f t="shared" si="5"/>
        <v>S, M, L, XL, XXL</v>
      </c>
    </row>
    <row r="364" spans="1:2" x14ac:dyDescent="0.25">
      <c r="A364" t="s">
        <v>171</v>
      </c>
      <c r="B364" t="str">
        <f t="shared" si="5"/>
        <v>Black Caramel Gun Metal Satin Brass Soft Khaki</v>
      </c>
    </row>
    <row r="365" spans="1:2" x14ac:dyDescent="0.25">
      <c r="A365" t="s">
        <v>172</v>
      </c>
      <c r="B365" t="str">
        <f t="shared" si="5"/>
        <v>7005 CURTIS</v>
      </c>
    </row>
    <row r="366" spans="1:2" x14ac:dyDescent="0.25">
      <c r="A366" t="s">
        <v>173</v>
      </c>
      <c r="B366" t="str">
        <f t="shared" si="5"/>
        <v/>
      </c>
    </row>
    <row r="367" spans="1:2" x14ac:dyDescent="0.25">
      <c r="A367" t="s">
        <v>174</v>
      </c>
      <c r="B367" t="str">
        <f t="shared" si="5"/>
        <v/>
      </c>
    </row>
    <row r="368" spans="1:2" x14ac:dyDescent="0.25">
      <c r="A368" t="s">
        <v>140</v>
      </c>
      <c r="B368" t="str">
        <f t="shared" si="5"/>
        <v/>
      </c>
    </row>
    <row r="369" spans="1:2" x14ac:dyDescent="0.25">
      <c r="A369" t="s">
        <v>13</v>
      </c>
      <c r="B369" t="str">
        <f t="shared" si="5"/>
        <v/>
      </c>
    </row>
    <row r="370" spans="1:2" x14ac:dyDescent="0.25">
      <c r="A370" t="s">
        <v>143</v>
      </c>
      <c r="B370" t="str">
        <f t="shared" si="5"/>
        <v/>
      </c>
    </row>
    <row r="371" spans="1:2" x14ac:dyDescent="0.25">
      <c r="A371" t="s">
        <v>105</v>
      </c>
      <c r="B371" t="str">
        <f t="shared" si="5"/>
        <v>S, M, L, XL, XXL</v>
      </c>
    </row>
    <row r="372" spans="1:2" x14ac:dyDescent="0.25">
      <c r="A372" t="s">
        <v>175</v>
      </c>
      <c r="B372" t="str">
        <f t="shared" si="5"/>
        <v>Sea Breeze Serpent Speckled Egg Mix Uniform Green Vintage Blue</v>
      </c>
    </row>
    <row r="373" spans="1:2" x14ac:dyDescent="0.25">
      <c r="A373" t="s">
        <v>176</v>
      </c>
      <c r="B373" t="str">
        <f t="shared" si="5"/>
        <v>Antique Black Contrapposto Grey Navy</v>
      </c>
    </row>
    <row r="374" spans="1:2" x14ac:dyDescent="0.25">
      <c r="A374" t="s">
        <v>177</v>
      </c>
      <c r="B374" t="str">
        <f t="shared" si="5"/>
        <v>70652BH MARACK</v>
      </c>
    </row>
    <row r="375" spans="1:2" x14ac:dyDescent="0.25">
      <c r="A375" t="s">
        <v>38</v>
      </c>
      <c r="B375" t="str">
        <f t="shared" si="5"/>
        <v/>
      </c>
    </row>
    <row r="376" spans="1:2" x14ac:dyDescent="0.25">
      <c r="A376" t="s">
        <v>49</v>
      </c>
      <c r="B376" t="str">
        <f t="shared" si="5"/>
        <v/>
      </c>
    </row>
    <row r="377" spans="1:2" x14ac:dyDescent="0.25">
      <c r="A377" t="s">
        <v>140</v>
      </c>
      <c r="B377" t="str">
        <f t="shared" si="5"/>
        <v/>
      </c>
    </row>
    <row r="378" spans="1:2" x14ac:dyDescent="0.25">
      <c r="A378" t="s">
        <v>178</v>
      </c>
      <c r="B378" t="str">
        <f t="shared" ref="B378:B441" si="6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</row>
    <row r="379" spans="1:2" x14ac:dyDescent="0.25">
      <c r="A379" t="s">
        <v>35</v>
      </c>
      <c r="B379" t="str">
        <f t="shared" si="6"/>
        <v/>
      </c>
    </row>
    <row r="380" spans="1:2" x14ac:dyDescent="0.25">
      <c r="A380" t="s">
        <v>143</v>
      </c>
      <c r="B380" t="str">
        <f t="shared" si="6"/>
        <v/>
      </c>
    </row>
    <row r="381" spans="1:2" x14ac:dyDescent="0.25">
      <c r="A381" t="s">
        <v>1</v>
      </c>
      <c r="B381" t="str">
        <f t="shared" si="6"/>
        <v>S, M, L, XL</v>
      </c>
    </row>
    <row r="382" spans="1:2" x14ac:dyDescent="0.25">
      <c r="A382" t="s">
        <v>179</v>
      </c>
      <c r="B382" t="str">
        <f t="shared" si="6"/>
        <v>Black Oxford Mix</v>
      </c>
    </row>
    <row r="383" spans="1:2" x14ac:dyDescent="0.25">
      <c r="A383" t="s">
        <v>180</v>
      </c>
      <c r="B383" t="str">
        <f t="shared" si="6"/>
        <v>70646BH NELLES</v>
      </c>
    </row>
    <row r="384" spans="1:2" x14ac:dyDescent="0.25">
      <c r="A384" t="s">
        <v>181</v>
      </c>
      <c r="B384" t="str">
        <f t="shared" si="6"/>
        <v/>
      </c>
    </row>
    <row r="385" spans="1:2" x14ac:dyDescent="0.25">
      <c r="A385" t="s">
        <v>174</v>
      </c>
      <c r="B385" t="str">
        <f t="shared" si="6"/>
        <v/>
      </c>
    </row>
    <row r="386" spans="1:2" x14ac:dyDescent="0.25">
      <c r="A386" t="s">
        <v>140</v>
      </c>
      <c r="B386" t="str">
        <f t="shared" si="6"/>
        <v/>
      </c>
    </row>
    <row r="387" spans="1:2" x14ac:dyDescent="0.25">
      <c r="A387" t="s">
        <v>182</v>
      </c>
      <c r="B387" t="str">
        <f t="shared" si="6"/>
        <v/>
      </c>
    </row>
    <row r="388" spans="1:2" x14ac:dyDescent="0.25">
      <c r="A388" t="s">
        <v>183</v>
      </c>
      <c r="B388" t="str">
        <f t="shared" si="6"/>
        <v/>
      </c>
    </row>
    <row r="389" spans="1:2" x14ac:dyDescent="0.25">
      <c r="A389" t="s">
        <v>1</v>
      </c>
      <c r="B389" t="str">
        <f t="shared" si="6"/>
        <v>S, M, L, XL</v>
      </c>
    </row>
    <row r="390" spans="1:2" x14ac:dyDescent="0.25">
      <c r="A390" t="s">
        <v>184</v>
      </c>
      <c r="B390" t="str">
        <f t="shared" si="6"/>
        <v>Black Camel Pale Olive Whiskey</v>
      </c>
    </row>
    <row r="391" spans="1:2" x14ac:dyDescent="0.25">
      <c r="A391" t="s">
        <v>185</v>
      </c>
      <c r="B391" t="str">
        <f t="shared" si="6"/>
        <v>70654BH TREPORT</v>
      </c>
    </row>
    <row r="392" spans="1:2" x14ac:dyDescent="0.25">
      <c r="A392" t="s">
        <v>48</v>
      </c>
      <c r="B392" t="str">
        <f t="shared" si="6"/>
        <v/>
      </c>
    </row>
    <row r="393" spans="1:2" x14ac:dyDescent="0.25">
      <c r="A393" t="s">
        <v>49</v>
      </c>
      <c r="B393" t="str">
        <f t="shared" si="6"/>
        <v/>
      </c>
    </row>
    <row r="394" spans="1:2" x14ac:dyDescent="0.25">
      <c r="A394" t="s">
        <v>140</v>
      </c>
      <c r="B394" t="str">
        <f t="shared" si="6"/>
        <v/>
      </c>
    </row>
    <row r="395" spans="1:2" x14ac:dyDescent="0.25">
      <c r="A395" t="s">
        <v>186</v>
      </c>
      <c r="B395" t="str">
        <f t="shared" si="6"/>
        <v/>
      </c>
    </row>
    <row r="396" spans="1:2" x14ac:dyDescent="0.25">
      <c r="A396" t="s">
        <v>143</v>
      </c>
      <c r="B396" t="str">
        <f t="shared" si="6"/>
        <v/>
      </c>
    </row>
    <row r="397" spans="1:2" x14ac:dyDescent="0.25">
      <c r="A397" t="s">
        <v>1</v>
      </c>
      <c r="B397" t="str">
        <f t="shared" si="6"/>
        <v>S, M, L, XL</v>
      </c>
    </row>
    <row r="398" spans="1:2" x14ac:dyDescent="0.25">
      <c r="A398" t="s">
        <v>187</v>
      </c>
      <c r="B398" t="str">
        <f t="shared" si="6"/>
        <v>Ink Blue Olive Mix Rust</v>
      </c>
    </row>
    <row r="399" spans="1:2" x14ac:dyDescent="0.25">
      <c r="A399" t="s">
        <v>188</v>
      </c>
      <c r="B399" t="str">
        <f t="shared" si="6"/>
        <v>7002 FEDORA</v>
      </c>
    </row>
    <row r="400" spans="1:2" x14ac:dyDescent="0.25">
      <c r="A400" t="s">
        <v>48</v>
      </c>
      <c r="B400" t="str">
        <f t="shared" si="6"/>
        <v/>
      </c>
    </row>
    <row r="401" spans="1:2" x14ac:dyDescent="0.25">
      <c r="A401" t="s">
        <v>49</v>
      </c>
      <c r="B401" t="str">
        <f t="shared" si="6"/>
        <v/>
      </c>
    </row>
    <row r="402" spans="1:2" x14ac:dyDescent="0.25">
      <c r="A402" t="s">
        <v>140</v>
      </c>
      <c r="B402" t="str">
        <f t="shared" si="6"/>
        <v/>
      </c>
    </row>
    <row r="403" spans="1:2" x14ac:dyDescent="0.25">
      <c r="A403" t="s">
        <v>13</v>
      </c>
      <c r="B403" t="str">
        <f t="shared" si="6"/>
        <v/>
      </c>
    </row>
    <row r="404" spans="1:2" x14ac:dyDescent="0.25">
      <c r="A404" t="s">
        <v>35</v>
      </c>
      <c r="B404" t="str">
        <f t="shared" si="6"/>
        <v/>
      </c>
    </row>
    <row r="405" spans="1:2" x14ac:dyDescent="0.25">
      <c r="A405" t="s">
        <v>143</v>
      </c>
      <c r="B405" t="str">
        <f t="shared" si="6"/>
        <v/>
      </c>
    </row>
    <row r="406" spans="1:2" x14ac:dyDescent="0.25">
      <c r="A406" t="s">
        <v>1</v>
      </c>
      <c r="B406" t="str">
        <f t="shared" si="6"/>
        <v>S, M, L, XL</v>
      </c>
    </row>
    <row r="407" spans="1:2" x14ac:dyDescent="0.25">
      <c r="A407" t="s">
        <v>189</v>
      </c>
      <c r="B407" t="str">
        <f t="shared" si="6"/>
        <v>Black Graphite Nickel Red</v>
      </c>
    </row>
    <row r="408" spans="1:2" x14ac:dyDescent="0.25">
      <c r="A408" t="s">
        <v>190</v>
      </c>
      <c r="B408" t="str">
        <f t="shared" si="6"/>
        <v>70613BH SPERLING</v>
      </c>
    </row>
    <row r="409" spans="1:2" x14ac:dyDescent="0.25">
      <c r="A409" t="s">
        <v>173</v>
      </c>
      <c r="B409" t="str">
        <f t="shared" si="6"/>
        <v/>
      </c>
    </row>
    <row r="410" spans="1:2" x14ac:dyDescent="0.25">
      <c r="A410" t="s">
        <v>174</v>
      </c>
      <c r="B410" t="str">
        <f t="shared" si="6"/>
        <v/>
      </c>
    </row>
    <row r="411" spans="1:2" x14ac:dyDescent="0.25">
      <c r="A411" t="s">
        <v>140</v>
      </c>
      <c r="B411" t="str">
        <f t="shared" si="6"/>
        <v/>
      </c>
    </row>
    <row r="412" spans="1:2" x14ac:dyDescent="0.25">
      <c r="A412" t="s">
        <v>133</v>
      </c>
      <c r="B412" t="str">
        <f t="shared" si="6"/>
        <v/>
      </c>
    </row>
    <row r="413" spans="1:2" x14ac:dyDescent="0.25">
      <c r="A413" t="s">
        <v>183</v>
      </c>
      <c r="B413" t="str">
        <f t="shared" si="6"/>
        <v/>
      </c>
    </row>
    <row r="414" spans="1:2" x14ac:dyDescent="0.25">
      <c r="A414" t="s">
        <v>1</v>
      </c>
      <c r="B414" t="str">
        <f t="shared" si="6"/>
        <v>S, M, L, XL</v>
      </c>
    </row>
    <row r="415" spans="1:2" x14ac:dyDescent="0.25">
      <c r="A415" t="s">
        <v>191</v>
      </c>
      <c r="B415" t="str">
        <f t="shared" si="6"/>
        <v>Bluestone Serpent Woodland Mix</v>
      </c>
    </row>
    <row r="416" spans="1:2" x14ac:dyDescent="0.25">
      <c r="A416" t="s">
        <v>192</v>
      </c>
      <c r="B416" t="str">
        <f t="shared" si="6"/>
        <v>70653BH BURNELL</v>
      </c>
    </row>
    <row r="417" spans="1:2" x14ac:dyDescent="0.25">
      <c r="A417" t="s">
        <v>62</v>
      </c>
      <c r="B417" t="str">
        <f t="shared" si="6"/>
        <v/>
      </c>
    </row>
    <row r="418" spans="1:2" x14ac:dyDescent="0.25">
      <c r="A418" t="s">
        <v>22</v>
      </c>
      <c r="B418" t="str">
        <f t="shared" si="6"/>
        <v/>
      </c>
    </row>
    <row r="419" spans="1:2" x14ac:dyDescent="0.25">
      <c r="A419" t="s">
        <v>140</v>
      </c>
      <c r="B419" t="str">
        <f t="shared" si="6"/>
        <v/>
      </c>
    </row>
    <row r="420" spans="1:2" x14ac:dyDescent="0.25">
      <c r="A420" t="s">
        <v>193</v>
      </c>
      <c r="B420" t="str">
        <f t="shared" si="6"/>
        <v/>
      </c>
    </row>
    <row r="421" spans="1:2" x14ac:dyDescent="0.25">
      <c r="A421" t="s">
        <v>30</v>
      </c>
      <c r="B421" t="str">
        <f t="shared" si="6"/>
        <v/>
      </c>
    </row>
    <row r="422" spans="1:2" x14ac:dyDescent="0.25">
      <c r="A422" t="s">
        <v>194</v>
      </c>
      <c r="B422" t="str">
        <f t="shared" si="6"/>
        <v/>
      </c>
    </row>
    <row r="423" spans="1:2" x14ac:dyDescent="0.25">
      <c r="A423" t="s">
        <v>143</v>
      </c>
      <c r="B423" t="str">
        <f t="shared" si="6"/>
        <v/>
      </c>
    </row>
    <row r="424" spans="1:2" x14ac:dyDescent="0.25">
      <c r="A424" t="s">
        <v>1</v>
      </c>
      <c r="B424" t="str">
        <f t="shared" si="6"/>
        <v>S, M, L, XL</v>
      </c>
    </row>
    <row r="425" spans="1:2" x14ac:dyDescent="0.25">
      <c r="A425" t="s">
        <v>195</v>
      </c>
      <c r="B425" t="str">
        <f t="shared" si="6"/>
        <v>Natural Mix Ochre</v>
      </c>
    </row>
    <row r="426" spans="1:2" x14ac:dyDescent="0.25">
      <c r="A426" t="s">
        <v>196</v>
      </c>
      <c r="B426" t="str">
        <f t="shared" si="6"/>
        <v>7016 WYNN</v>
      </c>
    </row>
    <row r="427" spans="1:2" x14ac:dyDescent="0.25">
      <c r="A427" t="s">
        <v>120</v>
      </c>
      <c r="B427" t="str">
        <f t="shared" si="6"/>
        <v/>
      </c>
    </row>
    <row r="428" spans="1:2" x14ac:dyDescent="0.25">
      <c r="A428" t="s">
        <v>197</v>
      </c>
      <c r="B428" t="str">
        <f t="shared" si="6"/>
        <v/>
      </c>
    </row>
    <row r="429" spans="1:2" x14ac:dyDescent="0.25">
      <c r="A429" t="s">
        <v>140</v>
      </c>
      <c r="B429" t="str">
        <f t="shared" si="6"/>
        <v/>
      </c>
    </row>
    <row r="430" spans="1:2" x14ac:dyDescent="0.25">
      <c r="A430" t="s">
        <v>13</v>
      </c>
      <c r="B430" t="str">
        <f t="shared" si="6"/>
        <v/>
      </c>
    </row>
    <row r="431" spans="1:2" x14ac:dyDescent="0.25">
      <c r="A431" t="s">
        <v>143</v>
      </c>
      <c r="B431" t="str">
        <f t="shared" si="6"/>
        <v/>
      </c>
    </row>
    <row r="432" spans="1:2" x14ac:dyDescent="0.25">
      <c r="A432" t="s">
        <v>1</v>
      </c>
      <c r="B432" t="str">
        <f t="shared" si="6"/>
        <v>S, M, L, XL</v>
      </c>
    </row>
    <row r="433" spans="1:2" x14ac:dyDescent="0.25">
      <c r="A433" t="s">
        <v>198</v>
      </c>
      <c r="B433" t="str">
        <f t="shared" si="6"/>
        <v>Oxblood Pewter Serpent Silverbelly</v>
      </c>
    </row>
    <row r="434" spans="1:2" x14ac:dyDescent="0.25">
      <c r="A434" t="s">
        <v>199</v>
      </c>
      <c r="B434" t="str">
        <f t="shared" si="6"/>
        <v>Black Cognac Olive Mix</v>
      </c>
    </row>
    <row r="435" spans="1:2" x14ac:dyDescent="0.25">
      <c r="A435" t="s">
        <v>200</v>
      </c>
      <c r="B435" t="str">
        <f t="shared" si="6"/>
        <v>7055 ATMORE</v>
      </c>
    </row>
    <row r="436" spans="1:2" x14ac:dyDescent="0.25">
      <c r="A436" t="s">
        <v>38</v>
      </c>
      <c r="B436" t="str">
        <f t="shared" si="6"/>
        <v/>
      </c>
    </row>
    <row r="437" spans="1:2" x14ac:dyDescent="0.25">
      <c r="A437" t="s">
        <v>201</v>
      </c>
      <c r="B437" t="str">
        <f t="shared" si="6"/>
        <v/>
      </c>
    </row>
    <row r="438" spans="1:2" x14ac:dyDescent="0.25">
      <c r="A438" t="s">
        <v>202</v>
      </c>
      <c r="B438" t="str">
        <f t="shared" si="6"/>
        <v/>
      </c>
    </row>
    <row r="439" spans="1:2" x14ac:dyDescent="0.25">
      <c r="A439" t="s">
        <v>23</v>
      </c>
      <c r="B439" t="str">
        <f t="shared" si="6"/>
        <v/>
      </c>
    </row>
    <row r="440" spans="1:2" x14ac:dyDescent="0.25">
      <c r="A440" t="s">
        <v>143</v>
      </c>
      <c r="B440" t="str">
        <f t="shared" si="6"/>
        <v/>
      </c>
    </row>
    <row r="441" spans="1:2" x14ac:dyDescent="0.25">
      <c r="A441" t="s">
        <v>1</v>
      </c>
      <c r="B441" t="str">
        <f t="shared" si="6"/>
        <v>S, M, L, XL</v>
      </c>
    </row>
    <row r="442" spans="1:2" x14ac:dyDescent="0.25">
      <c r="A442" t="s">
        <v>203</v>
      </c>
      <c r="B442" t="str">
        <f t="shared" ref="B442:B503" si="7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</row>
    <row r="443" spans="1:2" x14ac:dyDescent="0.25">
      <c r="A443" t="s">
        <v>204</v>
      </c>
      <c r="B443" t="str">
        <f t="shared" si="7"/>
        <v>7001 TINO</v>
      </c>
    </row>
    <row r="444" spans="1:2" x14ac:dyDescent="0.25">
      <c r="A444" t="s">
        <v>62</v>
      </c>
      <c r="B444" t="str">
        <f t="shared" si="7"/>
        <v/>
      </c>
    </row>
    <row r="445" spans="1:2" x14ac:dyDescent="0.25">
      <c r="A445" t="s">
        <v>63</v>
      </c>
      <c r="B445" t="str">
        <f t="shared" si="7"/>
        <v/>
      </c>
    </row>
    <row r="446" spans="1:2" x14ac:dyDescent="0.25">
      <c r="A446" t="s">
        <v>140</v>
      </c>
      <c r="B446" t="str">
        <f t="shared" si="7"/>
        <v/>
      </c>
    </row>
    <row r="447" spans="1:2" x14ac:dyDescent="0.25">
      <c r="A447" t="s">
        <v>13</v>
      </c>
      <c r="B447" t="str">
        <f t="shared" si="7"/>
        <v/>
      </c>
    </row>
    <row r="448" spans="1:2" x14ac:dyDescent="0.25">
      <c r="A448" t="s">
        <v>35</v>
      </c>
      <c r="B448" t="str">
        <f t="shared" si="7"/>
        <v/>
      </c>
    </row>
    <row r="449" spans="1:2" x14ac:dyDescent="0.25">
      <c r="A449" t="s">
        <v>143</v>
      </c>
      <c r="B449" t="str">
        <f t="shared" si="7"/>
        <v/>
      </c>
    </row>
    <row r="450" spans="1:2" x14ac:dyDescent="0.25">
      <c r="A450" t="s">
        <v>105</v>
      </c>
      <c r="B450" t="str">
        <f t="shared" si="7"/>
        <v>S, M, L, XL, XXL</v>
      </c>
    </row>
    <row r="451" spans="1:2" x14ac:dyDescent="0.25">
      <c r="A451" t="s">
        <v>205</v>
      </c>
      <c r="B451" t="str">
        <f t="shared" si="7"/>
        <v>Contrapposto Copper Natural Mix Navy Port</v>
      </c>
    </row>
    <row r="452" spans="1:2" x14ac:dyDescent="0.25">
      <c r="A452" t="s">
        <v>206</v>
      </c>
      <c r="B452" t="s">
        <v>206</v>
      </c>
    </row>
    <row r="453" spans="1:2" x14ac:dyDescent="0.25">
      <c r="A453" t="s">
        <v>207</v>
      </c>
      <c r="B453" t="str">
        <f t="shared" si="7"/>
        <v>Basalt Black Black Mix Brown</v>
      </c>
    </row>
    <row r="454" spans="1:2" x14ac:dyDescent="0.25">
      <c r="A454" t="s">
        <v>208</v>
      </c>
      <c r="B454" t="str">
        <f t="shared" si="7"/>
        <v>38367BH NIALL</v>
      </c>
    </row>
    <row r="455" spans="1:2" x14ac:dyDescent="0.25">
      <c r="A455" t="s">
        <v>26</v>
      </c>
      <c r="B455" t="str">
        <f t="shared" si="7"/>
        <v/>
      </c>
    </row>
    <row r="456" spans="1:2" x14ac:dyDescent="0.25">
      <c r="A456" t="s">
        <v>209</v>
      </c>
      <c r="B456" t="str">
        <f t="shared" si="7"/>
        <v/>
      </c>
    </row>
    <row r="457" spans="1:2" x14ac:dyDescent="0.25">
      <c r="A457" t="s">
        <v>210</v>
      </c>
      <c r="B457" t="str">
        <f t="shared" si="7"/>
        <v/>
      </c>
    </row>
    <row r="458" spans="1:2" x14ac:dyDescent="0.25">
      <c r="A458" t="s">
        <v>211</v>
      </c>
      <c r="B458" t="str">
        <f t="shared" si="7"/>
        <v/>
      </c>
    </row>
    <row r="459" spans="1:2" x14ac:dyDescent="0.25">
      <c r="A459" t="s">
        <v>24</v>
      </c>
      <c r="B459" t="str">
        <f t="shared" si="7"/>
        <v/>
      </c>
    </row>
    <row r="460" spans="1:2" x14ac:dyDescent="0.25">
      <c r="A460" t="s">
        <v>1</v>
      </c>
      <c r="B460" t="str">
        <f t="shared" si="7"/>
        <v>S, M, L, XL</v>
      </c>
    </row>
    <row r="461" spans="1:2" x14ac:dyDescent="0.25">
      <c r="A461" t="s">
        <v>212</v>
      </c>
      <c r="B461" t="str">
        <f t="shared" si="7"/>
        <v>Black Cognac Fawn</v>
      </c>
    </row>
    <row r="462" spans="1:2" x14ac:dyDescent="0.25">
      <c r="A462" t="s">
        <v>213</v>
      </c>
      <c r="B462" t="str">
        <f t="shared" si="7"/>
        <v>38359BH TROPE</v>
      </c>
    </row>
    <row r="463" spans="1:2" x14ac:dyDescent="0.25">
      <c r="A463" t="s">
        <v>62</v>
      </c>
      <c r="B463" t="str">
        <f t="shared" si="7"/>
        <v/>
      </c>
    </row>
    <row r="464" spans="1:2" x14ac:dyDescent="0.25">
      <c r="A464" t="s">
        <v>214</v>
      </c>
      <c r="B464" t="str">
        <f t="shared" si="7"/>
        <v/>
      </c>
    </row>
    <row r="465" spans="1:2" x14ac:dyDescent="0.25">
      <c r="A465" t="s">
        <v>210</v>
      </c>
      <c r="B465" t="str">
        <f t="shared" si="7"/>
        <v/>
      </c>
    </row>
    <row r="466" spans="1:2" x14ac:dyDescent="0.25">
      <c r="A466" t="s">
        <v>215</v>
      </c>
      <c r="B466" t="str">
        <f t="shared" si="7"/>
        <v/>
      </c>
    </row>
    <row r="467" spans="1:2" x14ac:dyDescent="0.25">
      <c r="A467" t="s">
        <v>216</v>
      </c>
      <c r="B467" t="str">
        <f t="shared" si="7"/>
        <v/>
      </c>
    </row>
    <row r="468" spans="1:2" x14ac:dyDescent="0.25">
      <c r="A468" t="s">
        <v>24</v>
      </c>
      <c r="B468" t="str">
        <f t="shared" si="7"/>
        <v/>
      </c>
    </row>
    <row r="469" spans="1:2" x14ac:dyDescent="0.25">
      <c r="A469" t="s">
        <v>1</v>
      </c>
      <c r="B469" t="str">
        <f t="shared" si="7"/>
        <v>S, M, L, XL</v>
      </c>
    </row>
    <row r="470" spans="1:2" x14ac:dyDescent="0.25">
      <c r="A470" t="s">
        <v>217</v>
      </c>
      <c r="B470" t="str">
        <f t="shared" si="7"/>
        <v>Black Uniform Green</v>
      </c>
    </row>
    <row r="471" spans="1:2" x14ac:dyDescent="0.25">
      <c r="A471" t="s">
        <v>218</v>
      </c>
      <c r="B471" t="str">
        <f t="shared" si="7"/>
        <v>38368BH CYD</v>
      </c>
    </row>
    <row r="472" spans="1:2" x14ac:dyDescent="0.25">
      <c r="A472" t="s">
        <v>32</v>
      </c>
      <c r="B472" t="str">
        <f t="shared" si="7"/>
        <v/>
      </c>
    </row>
    <row r="473" spans="1:2" x14ac:dyDescent="0.25">
      <c r="A473" t="s">
        <v>39</v>
      </c>
      <c r="B473" t="str">
        <f t="shared" si="7"/>
        <v/>
      </c>
    </row>
    <row r="474" spans="1:2" x14ac:dyDescent="0.25">
      <c r="A474" t="s">
        <v>210</v>
      </c>
      <c r="B474" t="str">
        <f t="shared" si="7"/>
        <v/>
      </c>
    </row>
    <row r="475" spans="1:2" x14ac:dyDescent="0.25">
      <c r="A475" t="s">
        <v>13</v>
      </c>
      <c r="B475" t="str">
        <f t="shared" si="7"/>
        <v/>
      </c>
    </row>
    <row r="476" spans="1:2" x14ac:dyDescent="0.25">
      <c r="A476" t="s">
        <v>24</v>
      </c>
      <c r="B476" t="str">
        <f t="shared" si="7"/>
        <v/>
      </c>
    </row>
    <row r="477" spans="1:2" x14ac:dyDescent="0.25">
      <c r="A477" t="s">
        <v>1</v>
      </c>
      <c r="B477" t="str">
        <f t="shared" si="7"/>
        <v>S, M, L, XL</v>
      </c>
    </row>
    <row r="478" spans="1:2" x14ac:dyDescent="0.25">
      <c r="A478" t="s">
        <v>219</v>
      </c>
      <c r="B478" t="str">
        <f t="shared" si="7"/>
        <v>Avion Black Whiskey</v>
      </c>
    </row>
    <row r="479" spans="1:2" x14ac:dyDescent="0.25">
      <c r="A479" t="s">
        <v>220</v>
      </c>
      <c r="B479" t="str">
        <f t="shared" si="7"/>
        <v>38366BH THALER</v>
      </c>
    </row>
    <row r="480" spans="1:2" x14ac:dyDescent="0.25">
      <c r="A480" t="s">
        <v>181</v>
      </c>
      <c r="B480" t="str">
        <f t="shared" si="7"/>
        <v/>
      </c>
    </row>
    <row r="481" spans="1:2" x14ac:dyDescent="0.25">
      <c r="A481" t="s">
        <v>39</v>
      </c>
      <c r="B481" t="str">
        <f t="shared" si="7"/>
        <v/>
      </c>
    </row>
    <row r="482" spans="1:2" x14ac:dyDescent="0.25">
      <c r="A482" t="s">
        <v>210</v>
      </c>
      <c r="B482" t="str">
        <f t="shared" si="7"/>
        <v/>
      </c>
    </row>
    <row r="483" spans="1:2" x14ac:dyDescent="0.25">
      <c r="A483" t="s">
        <v>221</v>
      </c>
      <c r="B483" t="str">
        <f t="shared" si="7"/>
        <v/>
      </c>
    </row>
    <row r="484" spans="1:2" x14ac:dyDescent="0.25">
      <c r="A484" t="s">
        <v>24</v>
      </c>
      <c r="B484" t="str">
        <f t="shared" si="7"/>
        <v/>
      </c>
    </row>
    <row r="485" spans="1:2" x14ac:dyDescent="0.25">
      <c r="A485" t="s">
        <v>1</v>
      </c>
      <c r="B485" t="str">
        <f t="shared" si="7"/>
        <v>S, M, L, XL</v>
      </c>
    </row>
    <row r="486" spans="1:2" x14ac:dyDescent="0.25">
      <c r="A486" t="s">
        <v>222</v>
      </c>
      <c r="B486" t="str">
        <f t="shared" si="7"/>
        <v>Black Nickel Uniform Green</v>
      </c>
    </row>
    <row r="487" spans="1:2" x14ac:dyDescent="0.25">
      <c r="A487" t="s">
        <v>223</v>
      </c>
      <c r="B487" t="str">
        <f t="shared" si="7"/>
        <v>3817 GODFATHER</v>
      </c>
    </row>
    <row r="488" spans="1:2" x14ac:dyDescent="0.25">
      <c r="A488" t="s">
        <v>224</v>
      </c>
      <c r="B488" t="str">
        <f t="shared" si="7"/>
        <v/>
      </c>
    </row>
    <row r="489" spans="1:2" x14ac:dyDescent="0.25">
      <c r="A489" t="s">
        <v>225</v>
      </c>
      <c r="B489" t="str">
        <f t="shared" si="7"/>
        <v/>
      </c>
    </row>
    <row r="490" spans="1:2" x14ac:dyDescent="0.25">
      <c r="A490" t="s">
        <v>210</v>
      </c>
      <c r="B490" t="str">
        <f t="shared" si="7"/>
        <v/>
      </c>
    </row>
    <row r="491" spans="1:2" x14ac:dyDescent="0.25">
      <c r="A491" t="s">
        <v>143</v>
      </c>
      <c r="B491" t="str">
        <f t="shared" si="7"/>
        <v/>
      </c>
    </row>
    <row r="492" spans="1:2" x14ac:dyDescent="0.25">
      <c r="A492" t="s">
        <v>35</v>
      </c>
      <c r="B492" t="str">
        <f t="shared" si="7"/>
        <v/>
      </c>
    </row>
    <row r="493" spans="1:2" x14ac:dyDescent="0.25">
      <c r="A493" t="s">
        <v>15</v>
      </c>
      <c r="B493" t="str">
        <f t="shared" si="7"/>
        <v/>
      </c>
    </row>
    <row r="494" spans="1:2" x14ac:dyDescent="0.25">
      <c r="A494" t="s">
        <v>105</v>
      </c>
      <c r="B494" t="str">
        <f t="shared" si="7"/>
        <v>S, M, L, XL, XXL</v>
      </c>
    </row>
    <row r="495" spans="1:2" x14ac:dyDescent="0.25">
      <c r="A495" t="s">
        <v>9</v>
      </c>
      <c r="B495" t="str">
        <f t="shared" si="7"/>
        <v>Black</v>
      </c>
    </row>
    <row r="496" spans="1:2" x14ac:dyDescent="0.25">
      <c r="A496" t="s">
        <v>226</v>
      </c>
      <c r="B496" t="str">
        <f t="shared" si="7"/>
        <v>3814 GANGSTER</v>
      </c>
    </row>
    <row r="497" spans="1:2" x14ac:dyDescent="0.25">
      <c r="A497" t="s">
        <v>62</v>
      </c>
      <c r="B497" t="str">
        <f t="shared" si="7"/>
        <v/>
      </c>
    </row>
    <row r="498" spans="1:2" x14ac:dyDescent="0.25">
      <c r="A498" t="s">
        <v>139</v>
      </c>
      <c r="B498" t="str">
        <f t="shared" si="7"/>
        <v/>
      </c>
    </row>
    <row r="499" spans="1:2" x14ac:dyDescent="0.25">
      <c r="A499" t="s">
        <v>210</v>
      </c>
      <c r="B499" t="str">
        <f t="shared" si="7"/>
        <v/>
      </c>
    </row>
    <row r="500" spans="1:2" x14ac:dyDescent="0.25">
      <c r="A500" t="s">
        <v>143</v>
      </c>
      <c r="B500" t="str">
        <f t="shared" si="7"/>
        <v/>
      </c>
    </row>
    <row r="501" spans="1:2" x14ac:dyDescent="0.25">
      <c r="A501" t="s">
        <v>35</v>
      </c>
      <c r="B501" t="str">
        <f t="shared" si="7"/>
        <v/>
      </c>
    </row>
    <row r="502" spans="1:2" x14ac:dyDescent="0.25">
      <c r="A502" t="s">
        <v>15</v>
      </c>
      <c r="B502" t="str">
        <f t="shared" si="7"/>
        <v/>
      </c>
    </row>
    <row r="503" spans="1:2" x14ac:dyDescent="0.25">
      <c r="A503" t="s">
        <v>105</v>
      </c>
      <c r="B503" t="str">
        <f t="shared" si="7"/>
        <v>S, M, L, XL, XXL</v>
      </c>
    </row>
    <row r="504" spans="1:2" x14ac:dyDescent="0.25">
      <c r="A504" t="s">
        <v>9</v>
      </c>
      <c r="B504" t="str">
        <f t="shared" ref="B504:B567" si="8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</row>
    <row r="505" spans="1:2" x14ac:dyDescent="0.25">
      <c r="A505" t="s">
        <v>227</v>
      </c>
      <c r="B505" t="str">
        <f t="shared" si="8"/>
        <v>38345BH MAGLOR</v>
      </c>
    </row>
    <row r="506" spans="1:2" x14ac:dyDescent="0.25">
      <c r="A506" t="s">
        <v>120</v>
      </c>
      <c r="B506" t="str">
        <f t="shared" si="8"/>
        <v/>
      </c>
    </row>
    <row r="507" spans="1:2" x14ac:dyDescent="0.25">
      <c r="A507" t="s">
        <v>228</v>
      </c>
      <c r="B507" t="str">
        <f t="shared" si="8"/>
        <v/>
      </c>
    </row>
    <row r="508" spans="1:2" x14ac:dyDescent="0.25">
      <c r="A508" t="s">
        <v>210</v>
      </c>
      <c r="B508" t="str">
        <f t="shared" si="8"/>
        <v/>
      </c>
    </row>
    <row r="509" spans="1:2" x14ac:dyDescent="0.25">
      <c r="A509" t="s">
        <v>229</v>
      </c>
      <c r="B509" t="str">
        <f t="shared" si="8"/>
        <v/>
      </c>
    </row>
    <row r="510" spans="1:2" x14ac:dyDescent="0.25">
      <c r="A510" t="s">
        <v>143</v>
      </c>
      <c r="B510" t="str">
        <f t="shared" si="8"/>
        <v/>
      </c>
    </row>
    <row r="511" spans="1:2" x14ac:dyDescent="0.25">
      <c r="A511" t="s">
        <v>15</v>
      </c>
      <c r="B511" t="str">
        <f t="shared" si="8"/>
        <v/>
      </c>
    </row>
    <row r="512" spans="1:2" x14ac:dyDescent="0.25">
      <c r="A512" t="s">
        <v>1</v>
      </c>
      <c r="B512" t="str">
        <f t="shared" si="8"/>
        <v>S, M, L, XL</v>
      </c>
    </row>
    <row r="513" spans="1:2" x14ac:dyDescent="0.25">
      <c r="A513" t="s">
        <v>230</v>
      </c>
      <c r="B513" t="str">
        <f t="shared" si="8"/>
        <v>Black Chocolate Forest Navy</v>
      </c>
    </row>
    <row r="514" spans="1:2" x14ac:dyDescent="0.25">
      <c r="A514" t="s">
        <v>231</v>
      </c>
      <c r="B514" t="str">
        <f t="shared" si="8"/>
        <v>7100 RIFF</v>
      </c>
    </row>
    <row r="515" spans="1:2" x14ac:dyDescent="0.25">
      <c r="A515" t="s">
        <v>62</v>
      </c>
      <c r="B515" t="str">
        <f t="shared" si="8"/>
        <v/>
      </c>
    </row>
    <row r="516" spans="1:2" x14ac:dyDescent="0.25">
      <c r="A516" t="s">
        <v>63</v>
      </c>
      <c r="B516" t="str">
        <f t="shared" si="8"/>
        <v/>
      </c>
    </row>
    <row r="517" spans="1:2" x14ac:dyDescent="0.25">
      <c r="A517" t="s">
        <v>232</v>
      </c>
      <c r="B517" t="str">
        <f t="shared" si="8"/>
        <v/>
      </c>
    </row>
    <row r="518" spans="1:2" x14ac:dyDescent="0.25">
      <c r="A518" t="s">
        <v>13</v>
      </c>
      <c r="B518" t="str">
        <f t="shared" si="8"/>
        <v/>
      </c>
    </row>
    <row r="519" spans="1:2" x14ac:dyDescent="0.25">
      <c r="A519" t="s">
        <v>24</v>
      </c>
      <c r="B519" t="str">
        <f t="shared" si="8"/>
        <v/>
      </c>
    </row>
    <row r="520" spans="1:2" x14ac:dyDescent="0.25">
      <c r="A520" t="s">
        <v>15</v>
      </c>
      <c r="B520" t="str">
        <f t="shared" si="8"/>
        <v/>
      </c>
    </row>
    <row r="521" spans="1:2" x14ac:dyDescent="0.25">
      <c r="A521" t="s">
        <v>105</v>
      </c>
      <c r="B521" t="str">
        <f t="shared" si="8"/>
        <v>S, M, L, XL, XXL</v>
      </c>
    </row>
    <row r="522" spans="1:2" x14ac:dyDescent="0.25">
      <c r="A522" t="s">
        <v>233</v>
      </c>
      <c r="B522" t="str">
        <f t="shared" si="8"/>
        <v>Black Lazuli Blue Mink Ochre</v>
      </c>
    </row>
    <row r="523" spans="1:2" x14ac:dyDescent="0.25">
      <c r="A523" t="s">
        <v>234</v>
      </c>
      <c r="B523" t="str">
        <f t="shared" si="8"/>
        <v>38350BH PISTON</v>
      </c>
    </row>
    <row r="524" spans="1:2" x14ac:dyDescent="0.25">
      <c r="A524" t="s">
        <v>120</v>
      </c>
      <c r="B524" t="str">
        <f t="shared" si="8"/>
        <v/>
      </c>
    </row>
    <row r="525" spans="1:2" x14ac:dyDescent="0.25">
      <c r="A525" t="s">
        <v>235</v>
      </c>
      <c r="B525" t="str">
        <f t="shared" si="8"/>
        <v/>
      </c>
    </row>
    <row r="526" spans="1:2" x14ac:dyDescent="0.25">
      <c r="A526" t="s">
        <v>210</v>
      </c>
      <c r="B526" t="str">
        <f t="shared" si="8"/>
        <v/>
      </c>
    </row>
    <row r="527" spans="1:2" x14ac:dyDescent="0.25">
      <c r="A527" t="s">
        <v>236</v>
      </c>
      <c r="B527" t="str">
        <f t="shared" si="8"/>
        <v/>
      </c>
    </row>
    <row r="528" spans="1:2" x14ac:dyDescent="0.25">
      <c r="A528" t="s">
        <v>143</v>
      </c>
      <c r="B528" t="str">
        <f t="shared" si="8"/>
        <v/>
      </c>
    </row>
    <row r="529" spans="1:2" x14ac:dyDescent="0.25">
      <c r="A529" t="s">
        <v>15</v>
      </c>
      <c r="B529" t="str">
        <f t="shared" si="8"/>
        <v/>
      </c>
    </row>
    <row r="530" spans="1:2" x14ac:dyDescent="0.25">
      <c r="A530" t="s">
        <v>1</v>
      </c>
      <c r="B530" t="str">
        <f t="shared" si="8"/>
        <v>S, M, L, XL</v>
      </c>
    </row>
    <row r="531" spans="1:2" x14ac:dyDescent="0.25">
      <c r="A531" t="s">
        <v>237</v>
      </c>
      <c r="B531" t="str">
        <f t="shared" si="8"/>
        <v>Black Caramel Navy Olive</v>
      </c>
    </row>
    <row r="532" spans="1:2" x14ac:dyDescent="0.25">
      <c r="A532" t="s">
        <v>238</v>
      </c>
      <c r="B532" t="str">
        <f t="shared" si="8"/>
        <v>38357BH KISNER</v>
      </c>
    </row>
    <row r="533" spans="1:2" x14ac:dyDescent="0.25">
      <c r="A533" t="s">
        <v>239</v>
      </c>
      <c r="B533" t="str">
        <f t="shared" si="8"/>
        <v/>
      </c>
    </row>
    <row r="534" spans="1:2" x14ac:dyDescent="0.25">
      <c r="A534" t="s">
        <v>209</v>
      </c>
      <c r="B534" t="str">
        <f t="shared" si="8"/>
        <v/>
      </c>
    </row>
    <row r="535" spans="1:2" x14ac:dyDescent="0.25">
      <c r="A535" t="s">
        <v>240</v>
      </c>
      <c r="B535" t="str">
        <f t="shared" si="8"/>
        <v/>
      </c>
    </row>
    <row r="536" spans="1:2" x14ac:dyDescent="0.25">
      <c r="A536" t="s">
        <v>241</v>
      </c>
      <c r="B536" t="str">
        <f t="shared" si="8"/>
        <v/>
      </c>
    </row>
    <row r="537" spans="1:2" x14ac:dyDescent="0.25">
      <c r="A537" t="s">
        <v>242</v>
      </c>
      <c r="B537" t="str">
        <f t="shared" si="8"/>
        <v/>
      </c>
    </row>
    <row r="538" spans="1:2" x14ac:dyDescent="0.25">
      <c r="A538" t="s">
        <v>24</v>
      </c>
      <c r="B538" t="str">
        <f t="shared" si="8"/>
        <v/>
      </c>
    </row>
    <row r="539" spans="1:2" x14ac:dyDescent="0.25">
      <c r="A539" t="s">
        <v>15</v>
      </c>
      <c r="B539" t="str">
        <f t="shared" si="8"/>
        <v/>
      </c>
    </row>
    <row r="540" spans="1:2" x14ac:dyDescent="0.25">
      <c r="A540" t="s">
        <v>1</v>
      </c>
      <c r="B540" t="str">
        <f t="shared" si="8"/>
        <v>S, M, L, XL</v>
      </c>
    </row>
    <row r="541" spans="1:2" x14ac:dyDescent="0.25">
      <c r="A541" t="s">
        <v>243</v>
      </c>
      <c r="B541" t="str">
        <f t="shared" si="8"/>
        <v>Black Silver Sand</v>
      </c>
    </row>
    <row r="542" spans="1:2" x14ac:dyDescent="0.25">
      <c r="A542" t="s">
        <v>244</v>
      </c>
      <c r="B542" t="str">
        <f t="shared" si="8"/>
        <v>71001BH CRISS</v>
      </c>
    </row>
    <row r="543" spans="1:2" x14ac:dyDescent="0.25">
      <c r="A543" t="s">
        <v>38</v>
      </c>
      <c r="B543" t="str">
        <f t="shared" si="8"/>
        <v/>
      </c>
    </row>
    <row r="544" spans="1:2" x14ac:dyDescent="0.25">
      <c r="A544" t="s">
        <v>49</v>
      </c>
      <c r="B544" t="str">
        <f t="shared" si="8"/>
        <v/>
      </c>
    </row>
    <row r="545" spans="1:2" x14ac:dyDescent="0.25">
      <c r="A545" t="s">
        <v>232</v>
      </c>
      <c r="B545" t="str">
        <f t="shared" si="8"/>
        <v/>
      </c>
    </row>
    <row r="546" spans="1:2" x14ac:dyDescent="0.25">
      <c r="A546" t="s">
        <v>13</v>
      </c>
      <c r="B546" t="str">
        <f t="shared" si="8"/>
        <v/>
      </c>
    </row>
    <row r="547" spans="1:2" x14ac:dyDescent="0.25">
      <c r="A547" t="s">
        <v>24</v>
      </c>
      <c r="B547" t="str">
        <f t="shared" si="8"/>
        <v/>
      </c>
    </row>
    <row r="548" spans="1:2" x14ac:dyDescent="0.25">
      <c r="A548" t="s">
        <v>15</v>
      </c>
      <c r="B548" t="str">
        <f t="shared" si="8"/>
        <v/>
      </c>
    </row>
    <row r="549" spans="1:2" x14ac:dyDescent="0.25">
      <c r="A549" t="s">
        <v>1</v>
      </c>
      <c r="B549" t="str">
        <f t="shared" si="8"/>
        <v>S, M, L, XL</v>
      </c>
    </row>
    <row r="550" spans="1:2" x14ac:dyDescent="0.25">
      <c r="A550" t="s">
        <v>245</v>
      </c>
      <c r="B550" t="str">
        <f t="shared" si="8"/>
        <v>Bitter Chocolate Black Mink Night Shade Navy</v>
      </c>
    </row>
    <row r="551" spans="1:2" x14ac:dyDescent="0.25">
      <c r="A551" t="s">
        <v>246</v>
      </c>
      <c r="B551" t="str">
        <f t="shared" si="8"/>
        <v>10001BH BRODNAX</v>
      </c>
    </row>
    <row r="552" spans="1:2" x14ac:dyDescent="0.25">
      <c r="A552" t="s">
        <v>247</v>
      </c>
      <c r="B552" t="str">
        <f t="shared" si="8"/>
        <v/>
      </c>
    </row>
    <row r="553" spans="1:2" x14ac:dyDescent="0.25">
      <c r="A553" t="s">
        <v>248</v>
      </c>
      <c r="B553" t="str">
        <f t="shared" si="8"/>
        <v/>
      </c>
    </row>
    <row r="554" spans="1:2" x14ac:dyDescent="0.25">
      <c r="A554" t="s">
        <v>249</v>
      </c>
      <c r="B554" t="str">
        <f t="shared" si="8"/>
        <v/>
      </c>
    </row>
    <row r="555" spans="1:2" x14ac:dyDescent="0.25">
      <c r="A555" t="s">
        <v>250</v>
      </c>
      <c r="B555" t="str">
        <f t="shared" si="8"/>
        <v/>
      </c>
    </row>
    <row r="556" spans="1:2" x14ac:dyDescent="0.25">
      <c r="A556" t="s">
        <v>251</v>
      </c>
      <c r="B556" t="str">
        <f t="shared" si="8"/>
        <v/>
      </c>
    </row>
    <row r="557" spans="1:2" x14ac:dyDescent="0.25">
      <c r="A557" t="s">
        <v>30</v>
      </c>
      <c r="B557" t="str">
        <f t="shared" si="8"/>
        <v/>
      </c>
    </row>
    <row r="558" spans="1:2" x14ac:dyDescent="0.25">
      <c r="A558" t="s">
        <v>143</v>
      </c>
      <c r="B558" t="str">
        <f t="shared" si="8"/>
        <v/>
      </c>
    </row>
    <row r="559" spans="1:2" x14ac:dyDescent="0.25">
      <c r="A559" t="s">
        <v>1</v>
      </c>
      <c r="B559" t="str">
        <f t="shared" si="8"/>
        <v>S, M, L, XL</v>
      </c>
    </row>
    <row r="560" spans="1:2" x14ac:dyDescent="0.25">
      <c r="A560" t="s">
        <v>252</v>
      </c>
      <c r="B560" t="str">
        <f t="shared" si="8"/>
        <v>Black Olive Oil Plaza Taupe</v>
      </c>
    </row>
    <row r="561" spans="1:2" x14ac:dyDescent="0.25">
      <c r="A561" t="s">
        <v>253</v>
      </c>
      <c r="B561" t="str">
        <f t="shared" si="8"/>
        <v>38358BH STERNE</v>
      </c>
    </row>
    <row r="562" spans="1:2" x14ac:dyDescent="0.25">
      <c r="A562" t="s">
        <v>11</v>
      </c>
      <c r="B562" t="str">
        <f t="shared" si="8"/>
        <v/>
      </c>
    </row>
    <row r="563" spans="1:2" x14ac:dyDescent="0.25">
      <c r="A563" t="s">
        <v>55</v>
      </c>
      <c r="B563" t="str">
        <f t="shared" si="8"/>
        <v/>
      </c>
    </row>
    <row r="564" spans="1:2" x14ac:dyDescent="0.25">
      <c r="A564" t="s">
        <v>210</v>
      </c>
      <c r="B564" t="str">
        <f t="shared" si="8"/>
        <v/>
      </c>
    </row>
    <row r="565" spans="1:2" x14ac:dyDescent="0.25">
      <c r="A565" t="s">
        <v>254</v>
      </c>
      <c r="B565" t="str">
        <f t="shared" si="8"/>
        <v/>
      </c>
    </row>
    <row r="566" spans="1:2" x14ac:dyDescent="0.25">
      <c r="A566" t="s">
        <v>255</v>
      </c>
      <c r="B566" t="str">
        <f t="shared" si="8"/>
        <v/>
      </c>
    </row>
    <row r="567" spans="1:2" x14ac:dyDescent="0.25">
      <c r="A567" t="s">
        <v>14</v>
      </c>
      <c r="B567" t="str">
        <f t="shared" si="8"/>
        <v/>
      </c>
    </row>
    <row r="568" spans="1:2" x14ac:dyDescent="0.25">
      <c r="A568" t="s">
        <v>15</v>
      </c>
      <c r="B568" t="str">
        <f t="shared" ref="B568:B631" si="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</row>
    <row r="569" spans="1:2" x14ac:dyDescent="0.25">
      <c r="A569" t="s">
        <v>1</v>
      </c>
      <c r="B569" t="str">
        <f t="shared" si="9"/>
        <v>S, M, L, XL</v>
      </c>
    </row>
    <row r="570" spans="1:2" x14ac:dyDescent="0.25">
      <c r="A570" t="s">
        <v>256</v>
      </c>
      <c r="B570" t="str">
        <f t="shared" si="9"/>
        <v>Ochre Soft Khaki</v>
      </c>
    </row>
    <row r="571" spans="1:2" x14ac:dyDescent="0.25">
      <c r="A571" t="s">
        <v>257</v>
      </c>
      <c r="B571" t="str">
        <f t="shared" si="9"/>
        <v>38349BH KLAXON</v>
      </c>
    </row>
    <row r="572" spans="1:2" x14ac:dyDescent="0.25">
      <c r="A572" t="s">
        <v>99</v>
      </c>
      <c r="B572" t="str">
        <f t="shared" si="9"/>
        <v/>
      </c>
    </row>
    <row r="573" spans="1:2" x14ac:dyDescent="0.25">
      <c r="A573" t="s">
        <v>258</v>
      </c>
      <c r="B573" t="str">
        <f t="shared" si="9"/>
        <v/>
      </c>
    </row>
    <row r="574" spans="1:2" x14ac:dyDescent="0.25">
      <c r="A574" t="s">
        <v>210</v>
      </c>
      <c r="B574" t="str">
        <f t="shared" si="9"/>
        <v/>
      </c>
    </row>
    <row r="575" spans="1:2" x14ac:dyDescent="0.25">
      <c r="A575" t="s">
        <v>229</v>
      </c>
      <c r="B575" t="str">
        <f t="shared" si="9"/>
        <v/>
      </c>
    </row>
    <row r="576" spans="1:2" x14ac:dyDescent="0.25">
      <c r="A576" t="s">
        <v>143</v>
      </c>
      <c r="B576" t="str">
        <f t="shared" si="9"/>
        <v/>
      </c>
    </row>
    <row r="577" spans="1:2" x14ac:dyDescent="0.25">
      <c r="A577" t="s">
        <v>15</v>
      </c>
      <c r="B577" t="str">
        <f t="shared" si="9"/>
        <v/>
      </c>
    </row>
    <row r="578" spans="1:2" x14ac:dyDescent="0.25">
      <c r="A578" t="s">
        <v>1</v>
      </c>
      <c r="B578" t="str">
        <f t="shared" si="9"/>
        <v>S, M, L, XL</v>
      </c>
    </row>
    <row r="579" spans="1:2" x14ac:dyDescent="0.25">
      <c r="A579" t="s">
        <v>259</v>
      </c>
      <c r="B579" t="str">
        <f t="shared" si="9"/>
        <v>Black Navy</v>
      </c>
    </row>
    <row r="580" spans="1:2" x14ac:dyDescent="0.25">
      <c r="A580" t="s">
        <v>260</v>
      </c>
      <c r="B580" t="str">
        <f t="shared" si="9"/>
        <v>1451 JETT</v>
      </c>
    </row>
    <row r="581" spans="1:2" x14ac:dyDescent="0.25">
      <c r="A581" t="s">
        <v>261</v>
      </c>
      <c r="B581" t="str">
        <f t="shared" si="9"/>
        <v/>
      </c>
    </row>
    <row r="582" spans="1:2" x14ac:dyDescent="0.25">
      <c r="A582" t="s">
        <v>63</v>
      </c>
      <c r="B582" t="str">
        <f t="shared" si="9"/>
        <v/>
      </c>
    </row>
    <row r="583" spans="1:2" x14ac:dyDescent="0.25">
      <c r="A583" t="s">
        <v>232</v>
      </c>
      <c r="B583" t="str">
        <f t="shared" si="9"/>
        <v/>
      </c>
    </row>
    <row r="584" spans="1:2" x14ac:dyDescent="0.25">
      <c r="A584" t="s">
        <v>143</v>
      </c>
      <c r="B584" t="str">
        <f t="shared" si="9"/>
        <v/>
      </c>
    </row>
    <row r="585" spans="1:2" x14ac:dyDescent="0.25">
      <c r="A585" t="s">
        <v>35</v>
      </c>
      <c r="B585" t="str">
        <f t="shared" si="9"/>
        <v/>
      </c>
    </row>
    <row r="586" spans="1:2" x14ac:dyDescent="0.25">
      <c r="A586" t="s">
        <v>15</v>
      </c>
      <c r="B586" t="str">
        <f t="shared" si="9"/>
        <v/>
      </c>
    </row>
    <row r="587" spans="1:2" x14ac:dyDescent="0.25">
      <c r="A587" t="s">
        <v>262</v>
      </c>
      <c r="B587" t="str">
        <f t="shared" si="9"/>
        <v>6 3/4, 6 7/8, 7, 7 1/8, 7 1/4, 7 3/8, 7 1/2, 7 5/8</v>
      </c>
    </row>
    <row r="588" spans="1:2" x14ac:dyDescent="0.25">
      <c r="A588" t="s">
        <v>9</v>
      </c>
      <c r="B588" t="str">
        <f t="shared" si="9"/>
        <v>Black</v>
      </c>
    </row>
    <row r="589" spans="1:2" x14ac:dyDescent="0.25">
      <c r="A589" t="s">
        <v>263</v>
      </c>
      <c r="B589" t="str">
        <f t="shared" si="9"/>
        <v>1452 HARKER</v>
      </c>
    </row>
    <row r="590" spans="1:2" x14ac:dyDescent="0.25">
      <c r="A590" t="s">
        <v>264</v>
      </c>
      <c r="B590" t="str">
        <f t="shared" si="9"/>
        <v/>
      </c>
    </row>
    <row r="591" spans="1:2" x14ac:dyDescent="0.25">
      <c r="A591" t="s">
        <v>265</v>
      </c>
      <c r="B591" t="str">
        <f t="shared" si="9"/>
        <v/>
      </c>
    </row>
    <row r="592" spans="1:2" x14ac:dyDescent="0.25">
      <c r="A592" t="s">
        <v>232</v>
      </c>
      <c r="B592" t="str">
        <f t="shared" si="9"/>
        <v/>
      </c>
    </row>
    <row r="593" spans="1:2" x14ac:dyDescent="0.25">
      <c r="A593" t="s">
        <v>143</v>
      </c>
      <c r="B593" t="str">
        <f t="shared" si="9"/>
        <v/>
      </c>
    </row>
    <row r="594" spans="1:2" x14ac:dyDescent="0.25">
      <c r="A594" t="s">
        <v>35</v>
      </c>
      <c r="B594" t="str">
        <f t="shared" si="9"/>
        <v/>
      </c>
    </row>
    <row r="595" spans="1:2" x14ac:dyDescent="0.25">
      <c r="A595" t="s">
        <v>15</v>
      </c>
      <c r="B595" t="str">
        <f t="shared" si="9"/>
        <v/>
      </c>
    </row>
    <row r="596" spans="1:2" x14ac:dyDescent="0.25">
      <c r="A596" t="s">
        <v>262</v>
      </c>
      <c r="B596" t="str">
        <f t="shared" si="9"/>
        <v>6 3/4, 6 7/8, 7, 7 1/8, 7 1/4, 7 3/8, 7 1/2, 7 5/8</v>
      </c>
    </row>
    <row r="597" spans="1:2" x14ac:dyDescent="0.25">
      <c r="A597" t="s">
        <v>266</v>
      </c>
      <c r="B597" t="str">
        <f t="shared" si="9"/>
        <v>Black Hemlock</v>
      </c>
    </row>
    <row r="598" spans="1:2" x14ac:dyDescent="0.25">
      <c r="A598" t="s">
        <v>267</v>
      </c>
      <c r="B598" t="str">
        <f t="shared" si="9"/>
        <v>3813 ICE</v>
      </c>
    </row>
    <row r="599" spans="1:2" x14ac:dyDescent="0.25">
      <c r="A599" t="s">
        <v>268</v>
      </c>
      <c r="B599" t="str">
        <f t="shared" si="9"/>
        <v/>
      </c>
    </row>
    <row r="600" spans="1:2" x14ac:dyDescent="0.25">
      <c r="A600" t="s">
        <v>269</v>
      </c>
      <c r="B600" t="str">
        <f t="shared" si="9"/>
        <v/>
      </c>
    </row>
    <row r="601" spans="1:2" x14ac:dyDescent="0.25">
      <c r="A601" t="s">
        <v>210</v>
      </c>
      <c r="B601" t="str">
        <f t="shared" si="9"/>
        <v/>
      </c>
    </row>
    <row r="602" spans="1:2" x14ac:dyDescent="0.25">
      <c r="A602" t="s">
        <v>143</v>
      </c>
      <c r="B602" t="str">
        <f t="shared" si="9"/>
        <v/>
      </c>
    </row>
    <row r="603" spans="1:2" x14ac:dyDescent="0.25">
      <c r="A603" t="s">
        <v>35</v>
      </c>
      <c r="B603" t="str">
        <f t="shared" si="9"/>
        <v/>
      </c>
    </row>
    <row r="604" spans="1:2" x14ac:dyDescent="0.25">
      <c r="A604" t="s">
        <v>15</v>
      </c>
      <c r="B604" t="str">
        <f t="shared" si="9"/>
        <v/>
      </c>
    </row>
    <row r="605" spans="1:2" x14ac:dyDescent="0.25">
      <c r="A605" t="s">
        <v>1</v>
      </c>
      <c r="B605" t="str">
        <f t="shared" si="9"/>
        <v>S, M, L, XL</v>
      </c>
    </row>
    <row r="606" spans="1:2" x14ac:dyDescent="0.25">
      <c r="A606" t="s">
        <v>9</v>
      </c>
      <c r="B606" t="str">
        <f t="shared" si="9"/>
        <v>Black</v>
      </c>
    </row>
    <row r="607" spans="1:2" x14ac:dyDescent="0.25">
      <c r="A607" t="s">
        <v>270</v>
      </c>
      <c r="B607" t="str">
        <f t="shared" si="9"/>
        <v>3816 DERBY</v>
      </c>
    </row>
    <row r="608" spans="1:2" x14ac:dyDescent="0.25">
      <c r="A608" t="s">
        <v>264</v>
      </c>
      <c r="B608" t="str">
        <f t="shared" si="9"/>
        <v/>
      </c>
    </row>
    <row r="609" spans="1:2" x14ac:dyDescent="0.25">
      <c r="A609" t="s">
        <v>269</v>
      </c>
      <c r="B609" t="str">
        <f t="shared" si="9"/>
        <v/>
      </c>
    </row>
    <row r="610" spans="1:2" x14ac:dyDescent="0.25">
      <c r="A610" t="s">
        <v>210</v>
      </c>
      <c r="B610" t="str">
        <f t="shared" si="9"/>
        <v/>
      </c>
    </row>
    <row r="611" spans="1:2" x14ac:dyDescent="0.25">
      <c r="A611" t="s">
        <v>143</v>
      </c>
      <c r="B611" t="str">
        <f t="shared" si="9"/>
        <v/>
      </c>
    </row>
    <row r="612" spans="1:2" x14ac:dyDescent="0.25">
      <c r="A612" t="s">
        <v>35</v>
      </c>
      <c r="B612" t="str">
        <f t="shared" si="9"/>
        <v/>
      </c>
    </row>
    <row r="613" spans="1:2" x14ac:dyDescent="0.25">
      <c r="A613" t="s">
        <v>15</v>
      </c>
      <c r="B613" t="str">
        <f t="shared" si="9"/>
        <v/>
      </c>
    </row>
    <row r="614" spans="1:2" x14ac:dyDescent="0.25">
      <c r="A614" t="s">
        <v>105</v>
      </c>
      <c r="B614" t="str">
        <f t="shared" si="9"/>
        <v>S, M, L, XL, XXL</v>
      </c>
    </row>
    <row r="615" spans="1:2" x14ac:dyDescent="0.25">
      <c r="A615" t="s">
        <v>271</v>
      </c>
      <c r="B615" t="str">
        <f t="shared" si="9"/>
        <v>Black Brown White</v>
      </c>
    </row>
    <row r="616" spans="1:2" x14ac:dyDescent="0.25">
      <c r="A616" t="s">
        <v>272</v>
      </c>
      <c r="B616" t="str">
        <f t="shared" si="9"/>
        <v>81670 BILLY</v>
      </c>
    </row>
    <row r="617" spans="1:2" x14ac:dyDescent="0.25">
      <c r="A617" t="s">
        <v>273</v>
      </c>
      <c r="B617" t="str">
        <f t="shared" si="9"/>
        <v/>
      </c>
    </row>
    <row r="618" spans="1:2" x14ac:dyDescent="0.25">
      <c r="A618" t="s">
        <v>274</v>
      </c>
      <c r="B618" t="str">
        <f t="shared" si="9"/>
        <v/>
      </c>
    </row>
    <row r="619" spans="1:2" x14ac:dyDescent="0.25">
      <c r="A619" t="s">
        <v>275</v>
      </c>
      <c r="B619" t="str">
        <f t="shared" si="9"/>
        <v/>
      </c>
    </row>
    <row r="620" spans="1:2" x14ac:dyDescent="0.25">
      <c r="A620" t="s">
        <v>143</v>
      </c>
      <c r="B620" t="str">
        <f t="shared" si="9"/>
        <v/>
      </c>
    </row>
    <row r="621" spans="1:2" x14ac:dyDescent="0.25">
      <c r="A621" t="s">
        <v>105</v>
      </c>
      <c r="B621" t="str">
        <f t="shared" si="9"/>
        <v>S, M, L, XL, XXL</v>
      </c>
    </row>
    <row r="622" spans="1:2" x14ac:dyDescent="0.25">
      <c r="A622" t="s">
        <v>276</v>
      </c>
      <c r="B622" t="str">
        <f t="shared" si="9"/>
        <v>Fog Latte Navy Static Tan</v>
      </c>
    </row>
    <row r="623" spans="1:2" x14ac:dyDescent="0.25">
      <c r="A623" t="s">
        <v>277</v>
      </c>
      <c r="B623" t="str">
        <f t="shared" si="9"/>
        <v>Birch Black Coconut Deep Red Espresso</v>
      </c>
    </row>
    <row r="624" spans="1:2" x14ac:dyDescent="0.25">
      <c r="A624" t="s">
        <v>278</v>
      </c>
      <c r="B624" t="str">
        <f t="shared" si="9"/>
        <v>81690 MANNES</v>
      </c>
    </row>
    <row r="625" spans="1:2" x14ac:dyDescent="0.25">
      <c r="A625" t="s">
        <v>273</v>
      </c>
      <c r="B625" t="str">
        <f t="shared" si="9"/>
        <v/>
      </c>
    </row>
    <row r="626" spans="1:2" x14ac:dyDescent="0.25">
      <c r="A626" t="s">
        <v>274</v>
      </c>
      <c r="B626" t="str">
        <f t="shared" si="9"/>
        <v/>
      </c>
    </row>
    <row r="627" spans="1:2" x14ac:dyDescent="0.25">
      <c r="A627" t="s">
        <v>279</v>
      </c>
      <c r="B627" t="str">
        <f t="shared" si="9"/>
        <v/>
      </c>
    </row>
    <row r="628" spans="1:2" x14ac:dyDescent="0.25">
      <c r="A628" t="s">
        <v>143</v>
      </c>
      <c r="B628" t="str">
        <f t="shared" si="9"/>
        <v/>
      </c>
    </row>
    <row r="629" spans="1:2" x14ac:dyDescent="0.25">
      <c r="A629" t="s">
        <v>105</v>
      </c>
      <c r="B629" t="str">
        <f t="shared" si="9"/>
        <v>S, M, L, XL, XXL</v>
      </c>
    </row>
    <row r="630" spans="1:2" x14ac:dyDescent="0.25">
      <c r="A630" t="s">
        <v>280</v>
      </c>
      <c r="B630" t="str">
        <f t="shared" si="9"/>
        <v>Navy Multi Nordic Multi Overcast Skydiver Woods Multi</v>
      </c>
    </row>
    <row r="631" spans="1:2" x14ac:dyDescent="0.25">
      <c r="A631" t="s">
        <v>345</v>
      </c>
      <c r="B631" t="str">
        <f t="shared" si="9"/>
        <v>Cement Multi Deep Red Multi Light Grey Multi Natural Multi Brown Multi Charcoal Multi</v>
      </c>
    </row>
    <row r="632" spans="1:2" x14ac:dyDescent="0.25">
      <c r="A632" t="s">
        <v>281</v>
      </c>
      <c r="B632" t="str">
        <f t="shared" ref="B632:B644" si="10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</row>
    <row r="633" spans="1:2" x14ac:dyDescent="0.25">
      <c r="A633" t="s">
        <v>282</v>
      </c>
      <c r="B633" t="str">
        <f t="shared" si="10"/>
        <v/>
      </c>
    </row>
    <row r="634" spans="1:2" x14ac:dyDescent="0.25">
      <c r="A634" t="s">
        <v>143</v>
      </c>
      <c r="B634" t="str">
        <f t="shared" si="10"/>
        <v/>
      </c>
    </row>
    <row r="635" spans="1:2" x14ac:dyDescent="0.25">
      <c r="A635" t="s">
        <v>15</v>
      </c>
      <c r="B635" t="str">
        <f t="shared" si="10"/>
        <v/>
      </c>
    </row>
    <row r="636" spans="1:2" x14ac:dyDescent="0.25">
      <c r="A636" t="s">
        <v>1</v>
      </c>
      <c r="B636" t="str">
        <f t="shared" si="10"/>
        <v>S, M, L, XL</v>
      </c>
    </row>
    <row r="637" spans="1:2" x14ac:dyDescent="0.25">
      <c r="A637" t="s">
        <v>283</v>
      </c>
      <c r="B637" t="str">
        <f t="shared" si="10"/>
        <v>Black Blue Bronze</v>
      </c>
    </row>
    <row r="638" spans="1:2" x14ac:dyDescent="0.25">
      <c r="A638" t="s">
        <v>284</v>
      </c>
      <c r="B638" t="str">
        <f t="shared" si="10"/>
        <v>25553BH ABEL</v>
      </c>
    </row>
    <row r="639" spans="1:2" x14ac:dyDescent="0.25">
      <c r="A639" t="s">
        <v>285</v>
      </c>
      <c r="B639" t="str">
        <f t="shared" si="10"/>
        <v/>
      </c>
    </row>
    <row r="640" spans="1:2" x14ac:dyDescent="0.25">
      <c r="A640" t="s">
        <v>286</v>
      </c>
      <c r="B640" t="str">
        <f t="shared" si="10"/>
        <v/>
      </c>
    </row>
    <row r="641" spans="1:2" x14ac:dyDescent="0.25">
      <c r="A641" t="s">
        <v>287</v>
      </c>
      <c r="B641" t="str">
        <f t="shared" si="10"/>
        <v/>
      </c>
    </row>
    <row r="642" spans="1:2" x14ac:dyDescent="0.25">
      <c r="A642" t="s">
        <v>143</v>
      </c>
      <c r="B642" t="str">
        <f t="shared" si="10"/>
        <v/>
      </c>
    </row>
    <row r="643" spans="1:2" x14ac:dyDescent="0.25">
      <c r="A643" t="s">
        <v>15</v>
      </c>
      <c r="B643" t="str">
        <f t="shared" si="10"/>
        <v/>
      </c>
    </row>
    <row r="644" spans="1:2" x14ac:dyDescent="0.25">
      <c r="A644" t="s">
        <v>1</v>
      </c>
      <c r="B644" t="str">
        <f t="shared" si="10"/>
        <v>S, M, L, XL</v>
      </c>
    </row>
    <row r="645" spans="1:2" x14ac:dyDescent="0.25">
      <c r="A645" t="s">
        <v>288</v>
      </c>
      <c r="B645" t="str">
        <f t="shared" ref="B645:B690" si="11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</row>
    <row r="646" spans="1:2" x14ac:dyDescent="0.25">
      <c r="A646" t="s">
        <v>289</v>
      </c>
      <c r="B646" t="str">
        <f t="shared" si="11"/>
        <v>25552BH CLAUD</v>
      </c>
    </row>
    <row r="647" spans="1:2" x14ac:dyDescent="0.25">
      <c r="A647" t="s">
        <v>290</v>
      </c>
      <c r="B647" t="str">
        <f t="shared" si="11"/>
        <v/>
      </c>
    </row>
    <row r="648" spans="1:2" x14ac:dyDescent="0.25">
      <c r="A648" t="s">
        <v>287</v>
      </c>
      <c r="B648" t="str">
        <f t="shared" si="11"/>
        <v/>
      </c>
    </row>
    <row r="649" spans="1:2" x14ac:dyDescent="0.25">
      <c r="A649" t="s">
        <v>143</v>
      </c>
      <c r="B649" t="str">
        <f t="shared" si="11"/>
        <v/>
      </c>
    </row>
    <row r="650" spans="1:2" x14ac:dyDescent="0.25">
      <c r="A650" t="s">
        <v>15</v>
      </c>
      <c r="B650" t="str">
        <f t="shared" si="11"/>
        <v/>
      </c>
    </row>
    <row r="651" spans="1:2" x14ac:dyDescent="0.25">
      <c r="A651" t="s">
        <v>1</v>
      </c>
      <c r="B651" t="str">
        <f t="shared" si="11"/>
        <v>S, M, L, XL</v>
      </c>
    </row>
    <row r="652" spans="1:2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</row>
    <row r="653" spans="1:2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</row>
    <row r="654" spans="1:2" x14ac:dyDescent="0.25">
      <c r="A654" t="s">
        <v>290</v>
      </c>
      <c r="B654" t="str">
        <f t="shared" si="11"/>
        <v/>
      </c>
    </row>
    <row r="655" spans="1:2" x14ac:dyDescent="0.25">
      <c r="A655" t="s">
        <v>287</v>
      </c>
      <c r="B655" t="str">
        <f t="shared" si="11"/>
        <v/>
      </c>
    </row>
    <row r="656" spans="1:2" x14ac:dyDescent="0.25">
      <c r="A656" t="s">
        <v>292</v>
      </c>
      <c r="B656" t="str">
        <f t="shared" si="11"/>
        <v/>
      </c>
    </row>
    <row r="657" spans="1:2" x14ac:dyDescent="0.25">
      <c r="A657" t="s">
        <v>143</v>
      </c>
      <c r="B657" t="str">
        <f t="shared" si="11"/>
        <v/>
      </c>
    </row>
    <row r="658" spans="1:2" x14ac:dyDescent="0.25">
      <c r="A658" t="s">
        <v>15</v>
      </c>
      <c r="B658" t="str">
        <f t="shared" si="11"/>
        <v/>
      </c>
    </row>
    <row r="659" spans="1:2" x14ac:dyDescent="0.25">
      <c r="A659" t="s">
        <v>1</v>
      </c>
      <c r="B659" t="str">
        <f t="shared" si="11"/>
        <v>S, M, L, XL</v>
      </c>
    </row>
    <row r="660" spans="1:2" x14ac:dyDescent="0.25">
      <c r="A660" t="s">
        <v>293</v>
      </c>
      <c r="B660" t="str">
        <f t="shared" si="11"/>
        <v>Avion Black Oak</v>
      </c>
    </row>
    <row r="661" spans="1:2" x14ac:dyDescent="0.25">
      <c r="A661" t="s">
        <v>294</v>
      </c>
      <c r="B661" t="str">
        <f t="shared" si="11"/>
        <v>25555BH APOSTO</v>
      </c>
    </row>
    <row r="662" spans="1:2" x14ac:dyDescent="0.25">
      <c r="A662" t="s">
        <v>285</v>
      </c>
      <c r="B662" t="str">
        <f t="shared" si="11"/>
        <v/>
      </c>
    </row>
    <row r="663" spans="1:2" x14ac:dyDescent="0.25">
      <c r="A663" t="s">
        <v>287</v>
      </c>
      <c r="B663" t="str">
        <f t="shared" si="11"/>
        <v/>
      </c>
    </row>
    <row r="664" spans="1:2" x14ac:dyDescent="0.25">
      <c r="A664" t="s">
        <v>143</v>
      </c>
      <c r="B664" t="str">
        <f t="shared" si="11"/>
        <v/>
      </c>
    </row>
    <row r="665" spans="1:2" x14ac:dyDescent="0.25">
      <c r="A665" t="s">
        <v>15</v>
      </c>
      <c r="B665" t="str">
        <f t="shared" si="11"/>
        <v/>
      </c>
    </row>
    <row r="666" spans="1:2" x14ac:dyDescent="0.25">
      <c r="A666" t="s">
        <v>1</v>
      </c>
      <c r="B666" t="str">
        <f t="shared" si="11"/>
        <v>S, M, L, XL</v>
      </c>
    </row>
    <row r="667" spans="1:2" x14ac:dyDescent="0.25">
      <c r="A667" t="s">
        <v>295</v>
      </c>
      <c r="B667" t="str">
        <f t="shared" si="11"/>
        <v>Beige Stripe Black Stripe Avion Stripe</v>
      </c>
    </row>
    <row r="668" spans="1:2" x14ac:dyDescent="0.25">
      <c r="A668" t="s">
        <v>296</v>
      </c>
      <c r="B668" t="str">
        <f t="shared" si="11"/>
        <v>25554BH LOU</v>
      </c>
    </row>
    <row r="669" spans="1:2" x14ac:dyDescent="0.25">
      <c r="A669" t="s">
        <v>297</v>
      </c>
      <c r="B669" t="str">
        <f t="shared" si="11"/>
        <v/>
      </c>
    </row>
    <row r="670" spans="1:2" x14ac:dyDescent="0.25">
      <c r="A670" t="s">
        <v>287</v>
      </c>
      <c r="B670" t="str">
        <f t="shared" si="11"/>
        <v/>
      </c>
    </row>
    <row r="671" spans="1:2" x14ac:dyDescent="0.25">
      <c r="A671" t="s">
        <v>143</v>
      </c>
      <c r="B671" t="str">
        <f t="shared" si="11"/>
        <v/>
      </c>
    </row>
    <row r="672" spans="1:2" x14ac:dyDescent="0.25">
      <c r="A672" t="s">
        <v>15</v>
      </c>
      <c r="B672" t="str">
        <f t="shared" si="11"/>
        <v/>
      </c>
    </row>
    <row r="673" spans="1:2" x14ac:dyDescent="0.25">
      <c r="A673" t="s">
        <v>1</v>
      </c>
      <c r="B673" t="str">
        <f t="shared" si="11"/>
        <v>S, M, L, XL</v>
      </c>
    </row>
    <row r="674" spans="1:2" x14ac:dyDescent="0.25">
      <c r="A674" t="s">
        <v>298</v>
      </c>
      <c r="B674" t="str">
        <f t="shared" si="11"/>
        <v>Oak Plaid</v>
      </c>
    </row>
    <row r="675" spans="1:2" x14ac:dyDescent="0.25">
      <c r="A675" t="s">
        <v>299</v>
      </c>
      <c r="B675" t="str">
        <f t="shared" si="11"/>
        <v>25558BH FURMAN</v>
      </c>
    </row>
    <row r="676" spans="1:2" x14ac:dyDescent="0.25">
      <c r="A676" t="s">
        <v>300</v>
      </c>
      <c r="B676" t="str">
        <f t="shared" si="11"/>
        <v/>
      </c>
    </row>
    <row r="677" spans="1:2" x14ac:dyDescent="0.25">
      <c r="A677" t="s">
        <v>287</v>
      </c>
      <c r="B677" t="str">
        <f t="shared" si="11"/>
        <v/>
      </c>
    </row>
    <row r="678" spans="1:2" x14ac:dyDescent="0.25">
      <c r="A678" t="s">
        <v>143</v>
      </c>
      <c r="B678" t="str">
        <f t="shared" si="11"/>
        <v/>
      </c>
    </row>
    <row r="679" spans="1:2" x14ac:dyDescent="0.25">
      <c r="A679" t="s">
        <v>15</v>
      </c>
      <c r="B679" t="str">
        <f t="shared" si="11"/>
        <v/>
      </c>
    </row>
    <row r="680" spans="1:2" x14ac:dyDescent="0.25">
      <c r="A680" t="s">
        <v>1</v>
      </c>
      <c r="B680" t="str">
        <f t="shared" si="11"/>
        <v>S, M, L, XL</v>
      </c>
    </row>
    <row r="681" spans="1:2" x14ac:dyDescent="0.25">
      <c r="A681" t="s">
        <v>301</v>
      </c>
      <c r="B681" t="str">
        <f t="shared" si="11"/>
        <v>Blue Plaid Copper Plaid Uniform Green Plaid</v>
      </c>
    </row>
    <row r="682" spans="1:2" x14ac:dyDescent="0.25">
      <c r="A682" t="s">
        <v>302</v>
      </c>
      <c r="B682" t="str">
        <f t="shared" si="11"/>
        <v>25440 ORMOND</v>
      </c>
    </row>
    <row r="683" spans="1:2" x14ac:dyDescent="0.25">
      <c r="A683" t="s">
        <v>297</v>
      </c>
      <c r="B683" t="str">
        <f t="shared" si="11"/>
        <v/>
      </c>
    </row>
    <row r="684" spans="1:2" x14ac:dyDescent="0.25">
      <c r="A684" t="s">
        <v>287</v>
      </c>
      <c r="B684" t="str">
        <f t="shared" si="11"/>
        <v/>
      </c>
    </row>
    <row r="685" spans="1:2" x14ac:dyDescent="0.25">
      <c r="A685" t="s">
        <v>143</v>
      </c>
      <c r="B685" t="str">
        <f t="shared" si="11"/>
        <v/>
      </c>
    </row>
    <row r="686" spans="1:2" x14ac:dyDescent="0.25">
      <c r="A686" t="s">
        <v>15</v>
      </c>
      <c r="B686" t="str">
        <f t="shared" si="11"/>
        <v/>
      </c>
    </row>
    <row r="687" spans="1:2" x14ac:dyDescent="0.25">
      <c r="A687" t="s">
        <v>105</v>
      </c>
      <c r="B687" t="str">
        <f t="shared" si="11"/>
        <v>S, M, L, XL, XXL</v>
      </c>
    </row>
    <row r="688" spans="1:2" x14ac:dyDescent="0.25">
      <c r="A688" t="s">
        <v>303</v>
      </c>
      <c r="B688" t="str">
        <f t="shared" si="11"/>
        <v>Black Paid Brown Herringbone</v>
      </c>
    </row>
    <row r="689" spans="1:2" x14ac:dyDescent="0.25">
      <c r="A689" t="s">
        <v>304</v>
      </c>
      <c r="B689" t="str">
        <f t="shared" si="11"/>
        <v>25548BH FINNEGAN</v>
      </c>
    </row>
    <row r="690" spans="1:2" x14ac:dyDescent="0.25">
      <c r="A690" t="s">
        <v>300</v>
      </c>
      <c r="B690" t="str">
        <f t="shared" si="11"/>
        <v/>
      </c>
    </row>
    <row r="691" spans="1:2" x14ac:dyDescent="0.25">
      <c r="A691" t="s">
        <v>287</v>
      </c>
      <c r="B691" t="str">
        <f t="shared" ref="B691:B752" si="12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</row>
    <row r="692" spans="1:2" x14ac:dyDescent="0.25">
      <c r="A692" t="s">
        <v>143</v>
      </c>
      <c r="B692" t="str">
        <f t="shared" si="12"/>
        <v/>
      </c>
    </row>
    <row r="693" spans="1:2" x14ac:dyDescent="0.25">
      <c r="A693" t="s">
        <v>15</v>
      </c>
      <c r="B693" t="str">
        <f t="shared" si="12"/>
        <v/>
      </c>
    </row>
    <row r="694" spans="1:2" x14ac:dyDescent="0.25">
      <c r="A694" t="s">
        <v>1</v>
      </c>
      <c r="B694" t="str">
        <f t="shared" si="12"/>
        <v>S, M, L, XL</v>
      </c>
    </row>
    <row r="695" spans="1:2" x14ac:dyDescent="0.25">
      <c r="A695" t="s">
        <v>151</v>
      </c>
      <c r="B695" t="str">
        <f t="shared" si="12"/>
        <v>Black Ochre</v>
      </c>
    </row>
    <row r="696" spans="1:2" x14ac:dyDescent="0.25">
      <c r="A696" t="s">
        <v>305</v>
      </c>
      <c r="B696" t="str">
        <f t="shared" si="12"/>
        <v>25557BH BRUNE</v>
      </c>
    </row>
    <row r="697" spans="1:2" x14ac:dyDescent="0.25">
      <c r="A697" t="s">
        <v>300</v>
      </c>
      <c r="B697" t="str">
        <f t="shared" si="12"/>
        <v/>
      </c>
    </row>
    <row r="698" spans="1:2" x14ac:dyDescent="0.25">
      <c r="A698" t="s">
        <v>287</v>
      </c>
      <c r="B698" t="str">
        <f t="shared" si="12"/>
        <v/>
      </c>
    </row>
    <row r="699" spans="1:2" x14ac:dyDescent="0.25">
      <c r="A699" t="s">
        <v>143</v>
      </c>
      <c r="B699" t="str">
        <f t="shared" si="12"/>
        <v/>
      </c>
    </row>
    <row r="700" spans="1:2" x14ac:dyDescent="0.25">
      <c r="A700" t="s">
        <v>15</v>
      </c>
      <c r="B700" t="str">
        <f t="shared" si="12"/>
        <v/>
      </c>
    </row>
    <row r="701" spans="1:2" x14ac:dyDescent="0.25">
      <c r="A701" t="s">
        <v>1</v>
      </c>
      <c r="B701" t="str">
        <f t="shared" si="12"/>
        <v>S, M, L, XL</v>
      </c>
    </row>
    <row r="702" spans="1:2" x14ac:dyDescent="0.25">
      <c r="A702" t="s">
        <v>306</v>
      </c>
      <c r="B702" t="str">
        <f t="shared" si="12"/>
        <v>Avion Grey</v>
      </c>
    </row>
    <row r="703" spans="1:2" x14ac:dyDescent="0.25">
      <c r="A703" t="s">
        <v>307</v>
      </c>
      <c r="B703" t="str">
        <f t="shared" si="12"/>
        <v>25556BH GRIFF</v>
      </c>
    </row>
    <row r="704" spans="1:2" x14ac:dyDescent="0.25">
      <c r="A704" t="s">
        <v>297</v>
      </c>
      <c r="B704" t="str">
        <f t="shared" si="12"/>
        <v/>
      </c>
    </row>
    <row r="705" spans="1:2" x14ac:dyDescent="0.25">
      <c r="A705" t="s">
        <v>287</v>
      </c>
      <c r="B705" t="str">
        <f t="shared" si="12"/>
        <v/>
      </c>
    </row>
    <row r="706" spans="1:2" x14ac:dyDescent="0.25">
      <c r="A706" t="s">
        <v>143</v>
      </c>
      <c r="B706" t="str">
        <f t="shared" si="12"/>
        <v/>
      </c>
    </row>
    <row r="707" spans="1:2" x14ac:dyDescent="0.25">
      <c r="A707" t="s">
        <v>15</v>
      </c>
      <c r="B707" t="str">
        <f t="shared" si="12"/>
        <v/>
      </c>
    </row>
    <row r="708" spans="1:2" x14ac:dyDescent="0.25">
      <c r="A708" t="s">
        <v>1</v>
      </c>
      <c r="B708" t="str">
        <f t="shared" si="12"/>
        <v>S, M, L, XL</v>
      </c>
    </row>
    <row r="709" spans="1:2" x14ac:dyDescent="0.25">
      <c r="A709" t="s">
        <v>308</v>
      </c>
      <c r="B709" t="str">
        <f t="shared" si="12"/>
        <v>Avion Plaid Oak Twill Uniform Green Plaid</v>
      </c>
    </row>
    <row r="710" spans="1:2" x14ac:dyDescent="0.25">
      <c r="A710" t="s">
        <v>309</v>
      </c>
      <c r="B710" t="str">
        <f t="shared" si="12"/>
        <v>1365 GRAHAM</v>
      </c>
    </row>
    <row r="711" spans="1:2" x14ac:dyDescent="0.25">
      <c r="A711" t="s">
        <v>310</v>
      </c>
      <c r="B711" t="str">
        <f t="shared" si="12"/>
        <v/>
      </c>
    </row>
    <row r="712" spans="1:2" x14ac:dyDescent="0.25">
      <c r="A712" t="s">
        <v>143</v>
      </c>
      <c r="B712" t="str">
        <f t="shared" si="12"/>
        <v/>
      </c>
    </row>
    <row r="713" spans="1:2" x14ac:dyDescent="0.25">
      <c r="A713" t="s">
        <v>15</v>
      </c>
      <c r="B713" t="str">
        <f t="shared" si="12"/>
        <v/>
      </c>
    </row>
    <row r="714" spans="1:2" x14ac:dyDescent="0.25">
      <c r="A714" t="s">
        <v>105</v>
      </c>
      <c r="B714" t="str">
        <f t="shared" si="12"/>
        <v>S, M, L, XL, XXL</v>
      </c>
    </row>
    <row r="715" spans="1:2" x14ac:dyDescent="0.25">
      <c r="A715" t="s">
        <v>311</v>
      </c>
      <c r="B715" t="str">
        <f t="shared" si="12"/>
        <v>Black Chino Navy Tan</v>
      </c>
    </row>
    <row r="716" spans="1:2" x14ac:dyDescent="0.25">
      <c r="A716" t="s">
        <v>312</v>
      </c>
      <c r="B716" t="str">
        <f t="shared" si="12"/>
        <v>25150BH REFFELL</v>
      </c>
    </row>
    <row r="717" spans="1:2" x14ac:dyDescent="0.25">
      <c r="A717" t="s">
        <v>313</v>
      </c>
      <c r="B717" t="str">
        <f t="shared" si="12"/>
        <v/>
      </c>
    </row>
    <row r="718" spans="1:2" x14ac:dyDescent="0.25">
      <c r="A718" t="s">
        <v>143</v>
      </c>
      <c r="B718" t="str">
        <f t="shared" si="12"/>
        <v/>
      </c>
    </row>
    <row r="719" spans="1:2" x14ac:dyDescent="0.25">
      <c r="A719" t="s">
        <v>15</v>
      </c>
      <c r="B719" t="str">
        <f t="shared" si="12"/>
        <v/>
      </c>
    </row>
    <row r="720" spans="1:2" x14ac:dyDescent="0.25">
      <c r="A720" t="s">
        <v>1</v>
      </c>
      <c r="B720" t="str">
        <f t="shared" si="12"/>
        <v>S, M, L, XL</v>
      </c>
    </row>
    <row r="721" spans="1:2" x14ac:dyDescent="0.25">
      <c r="A721" t="s">
        <v>314</v>
      </c>
      <c r="B721" t="str">
        <f t="shared" si="12"/>
        <v>Black Copper</v>
      </c>
    </row>
    <row r="722" spans="1:2" x14ac:dyDescent="0.25">
      <c r="A722" t="s">
        <v>315</v>
      </c>
      <c r="B722" t="str">
        <f t="shared" si="12"/>
        <v>25102 TAXTEN</v>
      </c>
    </row>
    <row r="723" spans="1:2" x14ac:dyDescent="0.25">
      <c r="A723" t="s">
        <v>316</v>
      </c>
      <c r="B723" t="str">
        <f t="shared" si="12"/>
        <v/>
      </c>
    </row>
    <row r="724" spans="1:2" x14ac:dyDescent="0.25">
      <c r="A724" t="s">
        <v>143</v>
      </c>
      <c r="B724" t="str">
        <f t="shared" si="12"/>
        <v/>
      </c>
    </row>
    <row r="725" spans="1:2" x14ac:dyDescent="0.25">
      <c r="A725" t="s">
        <v>15</v>
      </c>
      <c r="B725" t="str">
        <f t="shared" si="12"/>
        <v/>
      </c>
    </row>
    <row r="726" spans="1:2" x14ac:dyDescent="0.25">
      <c r="A726" t="s">
        <v>1</v>
      </c>
      <c r="B726" t="str">
        <f t="shared" si="12"/>
        <v>S, M, L, XL</v>
      </c>
    </row>
    <row r="727" spans="1:2" x14ac:dyDescent="0.25">
      <c r="A727" t="s">
        <v>317</v>
      </c>
      <c r="B727" t="str">
        <f t="shared" si="12"/>
        <v>Brown</v>
      </c>
    </row>
    <row r="728" spans="1:2" x14ac:dyDescent="0.25">
      <c r="A728" t="s">
        <v>318</v>
      </c>
      <c r="B728" t="str">
        <f t="shared" si="12"/>
        <v>25101 STOCKTON</v>
      </c>
    </row>
    <row r="729" spans="1:2" x14ac:dyDescent="0.25">
      <c r="A729" t="s">
        <v>319</v>
      </c>
      <c r="B729" t="str">
        <f t="shared" si="12"/>
        <v/>
      </c>
    </row>
    <row r="730" spans="1:2" x14ac:dyDescent="0.25">
      <c r="A730" t="s">
        <v>320</v>
      </c>
      <c r="B730" t="str">
        <f t="shared" si="12"/>
        <v/>
      </c>
    </row>
    <row r="731" spans="1:2" x14ac:dyDescent="0.25">
      <c r="A731" t="s">
        <v>321</v>
      </c>
      <c r="B731" t="str">
        <f t="shared" si="12"/>
        <v/>
      </c>
    </row>
    <row r="732" spans="1:2" x14ac:dyDescent="0.25">
      <c r="A732" t="s">
        <v>15</v>
      </c>
      <c r="B732" t="str">
        <f t="shared" si="12"/>
        <v/>
      </c>
    </row>
    <row r="733" spans="1:2" x14ac:dyDescent="0.25">
      <c r="A733" t="s">
        <v>1</v>
      </c>
      <c r="B733" t="str">
        <f t="shared" si="12"/>
        <v>S, M, L, XL</v>
      </c>
    </row>
    <row r="734" spans="1:2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</row>
    <row r="735" spans="1:2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</row>
    <row r="736" spans="1:2" x14ac:dyDescent="0.25">
      <c r="A736" t="s">
        <v>316</v>
      </c>
      <c r="B736" t="str">
        <f t="shared" si="12"/>
        <v/>
      </c>
    </row>
    <row r="737" spans="1:2" x14ac:dyDescent="0.25">
      <c r="A737" t="s">
        <v>143</v>
      </c>
      <c r="B737" t="str">
        <f t="shared" si="12"/>
        <v/>
      </c>
    </row>
    <row r="738" spans="1:2" x14ac:dyDescent="0.25">
      <c r="A738" t="s">
        <v>15</v>
      </c>
      <c r="B738" t="str">
        <f t="shared" si="12"/>
        <v/>
      </c>
    </row>
    <row r="739" spans="1:2" x14ac:dyDescent="0.25">
      <c r="A739" t="s">
        <v>1</v>
      </c>
      <c r="B739" t="str">
        <f t="shared" si="12"/>
        <v>S, M, L, XL</v>
      </c>
    </row>
    <row r="740" spans="1:2" x14ac:dyDescent="0.25">
      <c r="A740" t="s">
        <v>323</v>
      </c>
      <c r="B740" t="str">
        <f t="shared" si="12"/>
        <v>Dark Coffee</v>
      </c>
    </row>
    <row r="741" spans="1:2" x14ac:dyDescent="0.25">
      <c r="A741" t="s">
        <v>324</v>
      </c>
      <c r="B741" t="str">
        <f t="shared" si="12"/>
        <v>25100 NOCLIN</v>
      </c>
    </row>
    <row r="742" spans="1:2" x14ac:dyDescent="0.25">
      <c r="A742" t="s">
        <v>290</v>
      </c>
      <c r="B742" t="str">
        <f t="shared" si="12"/>
        <v/>
      </c>
    </row>
    <row r="743" spans="1:2" x14ac:dyDescent="0.25">
      <c r="A743" t="s">
        <v>320</v>
      </c>
      <c r="B743" t="str">
        <f t="shared" si="12"/>
        <v/>
      </c>
    </row>
    <row r="744" spans="1:2" x14ac:dyDescent="0.25">
      <c r="A744" t="s">
        <v>321</v>
      </c>
      <c r="B744" t="str">
        <f t="shared" si="12"/>
        <v/>
      </c>
    </row>
    <row r="745" spans="1:2" x14ac:dyDescent="0.25">
      <c r="A745" t="s">
        <v>15</v>
      </c>
      <c r="B745" t="str">
        <f t="shared" si="12"/>
        <v/>
      </c>
    </row>
    <row r="746" spans="1:2" x14ac:dyDescent="0.25">
      <c r="A746" t="s">
        <v>1</v>
      </c>
      <c r="B746" t="str">
        <f t="shared" si="12"/>
        <v>S, M, L, XL</v>
      </c>
    </row>
    <row r="747" spans="1:2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</row>
    <row r="748" spans="1:2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</row>
    <row r="749" spans="1:2" x14ac:dyDescent="0.25">
      <c r="A749" t="s">
        <v>326</v>
      </c>
      <c r="B749" t="str">
        <f t="shared" si="12"/>
        <v/>
      </c>
    </row>
    <row r="750" spans="1:2" x14ac:dyDescent="0.25">
      <c r="A750" t="s">
        <v>327</v>
      </c>
      <c r="B750" t="str">
        <f t="shared" si="12"/>
        <v/>
      </c>
    </row>
    <row r="751" spans="1:2" x14ac:dyDescent="0.25">
      <c r="A751" t="s">
        <v>15</v>
      </c>
      <c r="B751" t="str">
        <f t="shared" si="12"/>
        <v/>
      </c>
    </row>
    <row r="752" spans="1:2" x14ac:dyDescent="0.25">
      <c r="A752" t="s">
        <v>1</v>
      </c>
      <c r="B752" t="str">
        <f t="shared" si="12"/>
        <v>S, M, L, XL</v>
      </c>
    </row>
    <row r="753" spans="1:2" x14ac:dyDescent="0.25">
      <c r="A753" t="s">
        <v>9</v>
      </c>
      <c r="B753" t="str">
        <f t="shared" ref="B753:B783" si="13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</row>
    <row r="754" spans="1:2" x14ac:dyDescent="0.25">
      <c r="A754" t="s">
        <v>328</v>
      </c>
      <c r="B754" t="str">
        <f t="shared" si="13"/>
        <v>25141BH BRODIE</v>
      </c>
    </row>
    <row r="755" spans="1:2" x14ac:dyDescent="0.25">
      <c r="A755" t="s">
        <v>326</v>
      </c>
      <c r="B755" t="str">
        <f t="shared" si="13"/>
        <v/>
      </c>
    </row>
    <row r="756" spans="1:2" x14ac:dyDescent="0.25">
      <c r="A756" t="s">
        <v>329</v>
      </c>
      <c r="B756" t="str">
        <f t="shared" si="13"/>
        <v/>
      </c>
    </row>
    <row r="757" spans="1:2" x14ac:dyDescent="0.25">
      <c r="A757" t="s">
        <v>15</v>
      </c>
      <c r="B757" t="str">
        <f t="shared" si="13"/>
        <v/>
      </c>
    </row>
    <row r="758" spans="1:2" x14ac:dyDescent="0.25">
      <c r="A758" t="s">
        <v>1</v>
      </c>
      <c r="B758" t="str">
        <f t="shared" si="13"/>
        <v>S, M, L, XL</v>
      </c>
    </row>
    <row r="759" spans="1:2" x14ac:dyDescent="0.25">
      <c r="A759" t="s">
        <v>330</v>
      </c>
      <c r="B759" t="str">
        <f t="shared" si="13"/>
        <v>Marl Black Navy Plaid</v>
      </c>
    </row>
    <row r="760" spans="1:2" x14ac:dyDescent="0.25">
      <c r="A760" t="s">
        <v>331</v>
      </c>
      <c r="B760" t="str">
        <f t="shared" si="13"/>
        <v>25119 VERNON</v>
      </c>
    </row>
    <row r="761" spans="1:2" x14ac:dyDescent="0.25">
      <c r="A761" t="s">
        <v>326</v>
      </c>
      <c r="B761" t="str">
        <f t="shared" si="13"/>
        <v/>
      </c>
    </row>
    <row r="762" spans="1:2" x14ac:dyDescent="0.25">
      <c r="A762" t="s">
        <v>332</v>
      </c>
      <c r="B762" t="str">
        <f t="shared" si="13"/>
        <v/>
      </c>
    </row>
    <row r="763" spans="1:2" x14ac:dyDescent="0.25">
      <c r="A763" t="s">
        <v>333</v>
      </c>
      <c r="B763" t="str">
        <f t="shared" si="13"/>
        <v/>
      </c>
    </row>
    <row r="764" spans="1:2" x14ac:dyDescent="0.25">
      <c r="A764" t="s">
        <v>15</v>
      </c>
      <c r="B764" t="str">
        <f t="shared" si="13"/>
        <v/>
      </c>
    </row>
    <row r="765" spans="1:2" x14ac:dyDescent="0.25">
      <c r="A765" t="s">
        <v>1</v>
      </c>
      <c r="B765" t="str">
        <f t="shared" si="13"/>
        <v>S, M, L, XL</v>
      </c>
    </row>
    <row r="766" spans="1:2" x14ac:dyDescent="0.25">
      <c r="A766" t="s">
        <v>334</v>
      </c>
      <c r="B766" t="str">
        <f t="shared" si="13"/>
        <v>Black Brown</v>
      </c>
    </row>
    <row r="767" spans="1:2" x14ac:dyDescent="0.25">
      <c r="A767" t="s">
        <v>335</v>
      </c>
      <c r="B767" t="str">
        <f t="shared" si="13"/>
        <v>1362 DALTON</v>
      </c>
    </row>
    <row r="768" spans="1:2" x14ac:dyDescent="0.25">
      <c r="A768" t="s">
        <v>336</v>
      </c>
      <c r="B768" t="str">
        <f t="shared" si="13"/>
        <v/>
      </c>
    </row>
    <row r="769" spans="1:2" x14ac:dyDescent="0.25">
      <c r="A769" t="s">
        <v>337</v>
      </c>
      <c r="B769" t="str">
        <f t="shared" si="13"/>
        <v/>
      </c>
    </row>
    <row r="770" spans="1:2" x14ac:dyDescent="0.25">
      <c r="A770" t="s">
        <v>310</v>
      </c>
      <c r="B770" t="str">
        <f t="shared" si="13"/>
        <v/>
      </c>
    </row>
    <row r="771" spans="1:2" x14ac:dyDescent="0.25">
      <c r="A771" t="s">
        <v>143</v>
      </c>
      <c r="B771" t="str">
        <f t="shared" si="13"/>
        <v/>
      </c>
    </row>
    <row r="772" spans="1:2" x14ac:dyDescent="0.25">
      <c r="A772" t="s">
        <v>105</v>
      </c>
      <c r="B772" t="str">
        <f t="shared" si="13"/>
        <v>S, M, L, XL, XXL</v>
      </c>
    </row>
    <row r="773" spans="1:2" x14ac:dyDescent="0.25">
      <c r="A773" t="s">
        <v>311</v>
      </c>
      <c r="B773" t="str">
        <f t="shared" si="13"/>
        <v>Black Chino Navy Tan</v>
      </c>
    </row>
    <row r="774" spans="1:2" x14ac:dyDescent="0.25">
      <c r="A774" t="s">
        <v>338</v>
      </c>
      <c r="B774" t="str">
        <f t="shared" si="13"/>
        <v>1369 JACKMAN</v>
      </c>
    </row>
    <row r="775" spans="1:2" x14ac:dyDescent="0.25">
      <c r="A775" t="s">
        <v>339</v>
      </c>
      <c r="B775" t="str">
        <f t="shared" si="13"/>
        <v/>
      </c>
    </row>
    <row r="776" spans="1:2" x14ac:dyDescent="0.25">
      <c r="A776" t="s">
        <v>340</v>
      </c>
      <c r="B776" t="str">
        <f t="shared" si="13"/>
        <v/>
      </c>
    </row>
    <row r="777" spans="1:2" x14ac:dyDescent="0.25">
      <c r="A777" t="s">
        <v>341</v>
      </c>
      <c r="B777" t="str">
        <f t="shared" si="13"/>
        <v/>
      </c>
    </row>
    <row r="778" spans="1:2" x14ac:dyDescent="0.25">
      <c r="A778" t="s">
        <v>342</v>
      </c>
      <c r="B778" t="str">
        <f t="shared" si="13"/>
        <v/>
      </c>
    </row>
    <row r="779" spans="1:2" x14ac:dyDescent="0.25">
      <c r="A779" t="s">
        <v>24</v>
      </c>
      <c r="B779" t="str">
        <f t="shared" si="13"/>
        <v/>
      </c>
    </row>
    <row r="780" spans="1:2" x14ac:dyDescent="0.25">
      <c r="A780" t="s">
        <v>343</v>
      </c>
      <c r="B780" t="str">
        <f t="shared" si="13"/>
        <v/>
      </c>
    </row>
    <row r="781" spans="1:2" x14ac:dyDescent="0.25">
      <c r="A781" t="s">
        <v>105</v>
      </c>
      <c r="B781" t="str">
        <f t="shared" si="13"/>
        <v>S, M, L, XL, XXL</v>
      </c>
    </row>
    <row r="782" spans="1:2" x14ac:dyDescent="0.25">
      <c r="A782" t="s">
        <v>346</v>
      </c>
      <c r="B782" t="str">
        <f t="shared" si="13"/>
        <v>Charcoal Dk. Brown Navy Black Burgundy</v>
      </c>
    </row>
    <row r="783" spans="1:2" x14ac:dyDescent="0.25">
      <c r="B783" t="str">
        <f t="shared" si="1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opLeftCell="C1" workbookViewId="0">
      <selection activeCell="D92" sqref="D2:D92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7.5703125" customWidth="1"/>
    <col min="4" max="4" width="144.140625" bestFit="1" customWidth="1"/>
    <col min="5" max="5" width="76.140625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ref="E2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ref="E3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ref="E4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ref="E5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ref="E6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ref="E7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ref="E8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ref="E9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ref="E10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ref="E1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ref="E12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ref="E13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ref="E14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ref="E15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ref="E16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ref="E17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ref="E18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ref="E19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ref="E20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ref="E2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ref="E22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ref="E23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ref="E24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ref="E25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ref="E26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ref="E27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ref="E28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ref="E29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ref="E30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ref="E3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ref="E32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ref="E33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ref="E34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ref="E35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ref="E36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ref="E37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ref="E38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ref="E39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ref="E40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ref="E4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ref="E42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ref="E43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ref="E44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ref="E45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ref="E46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ref="E47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ref="E48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ref="E49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ref="E50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ref="E5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ref="E52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ref="E53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ref="E54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ref="E55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ref="E56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ref="E57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ref="E58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ref="E59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ref="E60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ref="E6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ref="E62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ref="E63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ref="E64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ref="E65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ref="E66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ref="E67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ref="E68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ref="E69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 t="shared" si="1"/>
        <v>Navy, Multi, Nordic, Multi, Overcast, Skydiver, Woods, Multi, Cement, Multi, Deep, Red, Multi, Light, Grey, Multi, Natural, Multi, Brown, Multi, Charcoal, Multi</v>
      </c>
      <c r="E70" t="str" cm="1">
        <f t="array" ref="E70">ReplaceColorsSeparators(D70)</f>
        <v>Navy Multi, Nordic Multi, Overcast, Skydiver, Woods Multi, Cement Multi, Deep Red, Multi Light,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ref="E7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ref="E72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ref="E73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ref="E74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ref="E75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ref="E76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ref="E77">ReplaceColorsSeparators(D77)</f>
        <v>Blue Plaid, Copper Plaid, Uniform Green,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ref="E78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ref="E79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ref="E80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ref="E81">ReplaceColorsSeparators(D81)</f>
        <v>Avion Plaid, Oak Twill, Uniform Green,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ref="E82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ref="E83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ref="E84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ref="E85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ref="E86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ref="E87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ref="E88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ref="E89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ref="E90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ref="E9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ref="E92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C50"/>
  <sheetViews>
    <sheetView zoomScaleNormal="100" workbookViewId="0">
      <selection activeCell="B2" sqref="B2"/>
    </sheetView>
  </sheetViews>
  <sheetFormatPr defaultRowHeight="15" x14ac:dyDescent="0.25"/>
  <cols>
    <col min="1" max="1" width="20.42578125" bestFit="1" customWidth="1"/>
    <col min="2" max="3" width="19.28515625" bestFit="1" customWidth="1"/>
  </cols>
  <sheetData>
    <row r="1" spans="1:3" x14ac:dyDescent="0.25">
      <c r="A1" s="2" t="s">
        <v>503</v>
      </c>
      <c r="B1" s="2" t="s">
        <v>506</v>
      </c>
      <c r="C1" s="2" t="s">
        <v>455</v>
      </c>
    </row>
    <row r="2" spans="1:3" x14ac:dyDescent="0.25">
      <c r="A2" t="str">
        <f>SUBSTITUTE(B2," ",", ")</f>
        <v>Uniform, Green</v>
      </c>
      <c r="B2" t="str">
        <f>TRIM(C2)</f>
        <v>Uniform Green</v>
      </c>
      <c r="C2" t="s">
        <v>456</v>
      </c>
    </row>
    <row r="3" spans="1:3" x14ac:dyDescent="0.25">
      <c r="A3" t="str">
        <f t="shared" ref="A3:A50" si="0">SUBSTITUTE(B3," ",", ")</f>
        <v>Light, Mink</v>
      </c>
      <c r="B3" t="str">
        <f>TRIM(C3)</f>
        <v>Light Mink</v>
      </c>
      <c r="C3" t="s">
        <v>457</v>
      </c>
    </row>
    <row r="4" spans="1:3" x14ac:dyDescent="0.25">
      <c r="A4" t="str">
        <f t="shared" si="0"/>
        <v>Soft, Khaki</v>
      </c>
      <c r="B4" t="str">
        <f>TRIM(C4)</f>
        <v>Soft Khaki</v>
      </c>
      <c r="C4" t="s">
        <v>458</v>
      </c>
    </row>
    <row r="5" spans="1:3" x14ac:dyDescent="0.25">
      <c r="A5" t="str">
        <f t="shared" si="0"/>
        <v>Lazuli, Blue</v>
      </c>
      <c r="B5" t="str">
        <f>TRIM(C5)</f>
        <v>Lazuli Blue</v>
      </c>
      <c r="C5" t="s">
        <v>459</v>
      </c>
    </row>
    <row r="6" spans="1:3" x14ac:dyDescent="0.25">
      <c r="A6" t="str">
        <f t="shared" si="0"/>
        <v>Silver, Lining</v>
      </c>
      <c r="B6" t="str">
        <f>TRIM(C6)</f>
        <v>Silver Lining</v>
      </c>
      <c r="C6" t="s">
        <v>460</v>
      </c>
    </row>
    <row r="7" spans="1:3" x14ac:dyDescent="0.25">
      <c r="A7" t="str">
        <f t="shared" si="0"/>
        <v>Plaza, Taupe</v>
      </c>
      <c r="B7" t="str">
        <f>TRIM(C7)</f>
        <v>Plaza Taupe</v>
      </c>
      <c r="C7" t="s">
        <v>461</v>
      </c>
    </row>
    <row r="8" spans="1:3" x14ac:dyDescent="0.25">
      <c r="A8" t="str">
        <f t="shared" si="0"/>
        <v>Midnight, Brown</v>
      </c>
      <c r="B8" t="str">
        <f>TRIM(C8)</f>
        <v>Midnight Brown</v>
      </c>
      <c r="C8" t="s">
        <v>462</v>
      </c>
    </row>
    <row r="9" spans="1:3" x14ac:dyDescent="0.25">
      <c r="A9" t="str">
        <f t="shared" si="0"/>
        <v>Black, Mix</v>
      </c>
      <c r="B9" t="str">
        <f>TRIM(C9)</f>
        <v>Black Mix</v>
      </c>
      <c r="C9" t="s">
        <v>463</v>
      </c>
    </row>
    <row r="10" spans="1:3" x14ac:dyDescent="0.25">
      <c r="A10" t="str">
        <f t="shared" si="0"/>
        <v>Woodland, Mix</v>
      </c>
      <c r="B10" t="str">
        <f>TRIM(C10)</f>
        <v>Woodland Mix</v>
      </c>
      <c r="C10" t="s">
        <v>464</v>
      </c>
    </row>
    <row r="11" spans="1:3" x14ac:dyDescent="0.25">
      <c r="A11" t="str">
        <f t="shared" si="0"/>
        <v>Satin, Brass</v>
      </c>
      <c r="B11" t="str">
        <f>TRIM(C11)</f>
        <v>Satin Brass</v>
      </c>
      <c r="C11" t="s">
        <v>465</v>
      </c>
    </row>
    <row r="12" spans="1:3" x14ac:dyDescent="0.25">
      <c r="A12" t="str">
        <f t="shared" si="0"/>
        <v>Medium, Brown, Mix</v>
      </c>
      <c r="B12" t="str">
        <f>TRIM(C12)</f>
        <v>Medium Brown Mix</v>
      </c>
      <c r="C12" t="s">
        <v>203</v>
      </c>
    </row>
    <row r="13" spans="1:3" x14ac:dyDescent="0.25">
      <c r="A13" t="str">
        <f t="shared" si="0"/>
        <v>Vintage, Blue</v>
      </c>
      <c r="B13" t="str">
        <f>TRIM(C13)</f>
        <v>Vintage Blue</v>
      </c>
      <c r="C13" t="s">
        <v>466</v>
      </c>
    </row>
    <row r="14" spans="1:3" x14ac:dyDescent="0.25">
      <c r="A14" t="str">
        <f t="shared" si="0"/>
        <v>Speckled, Egg, Mix</v>
      </c>
      <c r="B14" t="str">
        <f>TRIM(C14)</f>
        <v>Speckled Egg Mix</v>
      </c>
      <c r="C14" t="s">
        <v>467</v>
      </c>
    </row>
    <row r="15" spans="1:3" x14ac:dyDescent="0.25">
      <c r="A15" t="str">
        <f t="shared" si="0"/>
        <v>Ink, Blue</v>
      </c>
      <c r="B15" t="str">
        <f>TRIM(C15)</f>
        <v>Ink Blue</v>
      </c>
      <c r="C15" t="s">
        <v>468</v>
      </c>
    </row>
    <row r="16" spans="1:3" x14ac:dyDescent="0.25">
      <c r="A16" t="str">
        <f t="shared" si="0"/>
        <v>Olive, Mix</v>
      </c>
      <c r="B16" t="str">
        <f>TRIM(C16)</f>
        <v>Olive Mix</v>
      </c>
      <c r="C16" t="s">
        <v>469</v>
      </c>
    </row>
    <row r="17" spans="1:3" x14ac:dyDescent="0.25">
      <c r="A17" t="str">
        <f t="shared" si="0"/>
        <v>Gun, Metal</v>
      </c>
      <c r="B17" t="str">
        <f>TRIM(C17)</f>
        <v>Gun Metal</v>
      </c>
      <c r="C17" t="s">
        <v>470</v>
      </c>
    </row>
    <row r="18" spans="1:3" x14ac:dyDescent="0.25">
      <c r="A18" t="str">
        <f t="shared" si="0"/>
        <v>Pale, Olive</v>
      </c>
      <c r="B18" t="str">
        <f>TRIM(C18)</f>
        <v>Pale Olive</v>
      </c>
      <c r="C18" t="s">
        <v>471</v>
      </c>
    </row>
    <row r="19" spans="1:3" x14ac:dyDescent="0.25">
      <c r="A19" t="str">
        <f t="shared" si="0"/>
        <v>Natural, Mix</v>
      </c>
      <c r="B19" t="str">
        <f>TRIM(C19)</f>
        <v>Natural Mix</v>
      </c>
      <c r="C19" t="s">
        <v>472</v>
      </c>
    </row>
    <row r="20" spans="1:3" x14ac:dyDescent="0.25">
      <c r="A20" t="str">
        <f t="shared" si="0"/>
        <v>Oxford, Mix</v>
      </c>
      <c r="B20" t="str">
        <f>TRIM(C20)</f>
        <v>Oxford Mix</v>
      </c>
      <c r="C20" t="s">
        <v>473</v>
      </c>
    </row>
    <row r="21" spans="1:3" x14ac:dyDescent="0.25">
      <c r="A21" t="str">
        <f t="shared" si="0"/>
        <v>Sea, Breeze</v>
      </c>
      <c r="B21" t="str">
        <f>TRIM(C21)</f>
        <v>Sea Breeze</v>
      </c>
      <c r="C21" t="s">
        <v>474</v>
      </c>
    </row>
    <row r="22" spans="1:3" x14ac:dyDescent="0.25">
      <c r="A22" t="str">
        <f t="shared" si="0"/>
        <v>Bitter, Chocolate</v>
      </c>
      <c r="B22" t="str">
        <f>TRIM(C22)</f>
        <v>Bitter Chocolate</v>
      </c>
      <c r="C22" t="s">
        <v>475</v>
      </c>
    </row>
    <row r="23" spans="1:3" x14ac:dyDescent="0.25">
      <c r="A23" t="str">
        <f t="shared" si="0"/>
        <v>Night, Shade</v>
      </c>
      <c r="B23" t="str">
        <f>TRIM(C23)</f>
        <v>Night Shade</v>
      </c>
      <c r="C23" t="s">
        <v>476</v>
      </c>
    </row>
    <row r="24" spans="1:3" x14ac:dyDescent="0.25">
      <c r="A24" t="str">
        <f t="shared" si="0"/>
        <v>Silver, Sand</v>
      </c>
      <c r="B24" t="str">
        <f>TRIM(C24)</f>
        <v>Silver Sand</v>
      </c>
      <c r="C24" t="s">
        <v>477</v>
      </c>
    </row>
    <row r="25" spans="1:3" x14ac:dyDescent="0.25">
      <c r="A25" t="str">
        <f t="shared" si="0"/>
        <v>Olive, Oil</v>
      </c>
      <c r="B25" t="str">
        <f>TRIM(C25)</f>
        <v>Olive Oil</v>
      </c>
      <c r="C25" t="s">
        <v>478</v>
      </c>
    </row>
    <row r="26" spans="1:3" x14ac:dyDescent="0.25">
      <c r="A26" t="str">
        <f t="shared" si="0"/>
        <v>Charcoal, Multi</v>
      </c>
      <c r="B26" t="str">
        <f>TRIM(C26)</f>
        <v>Charcoal Multi</v>
      </c>
      <c r="C26" t="s">
        <v>481</v>
      </c>
    </row>
    <row r="27" spans="1:3" x14ac:dyDescent="0.25">
      <c r="A27" t="str">
        <f t="shared" si="0"/>
        <v>Brown, Multi</v>
      </c>
      <c r="B27" t="str">
        <f>TRIM(C27)</f>
        <v>Brown Multi</v>
      </c>
      <c r="C27" t="s">
        <v>480</v>
      </c>
    </row>
    <row r="28" spans="1:3" x14ac:dyDescent="0.25">
      <c r="A28" t="str">
        <f t="shared" si="0"/>
        <v>Cement, Multi</v>
      </c>
      <c r="B28" t="str">
        <f>TRIM(C28)</f>
        <v>Cement Multi</v>
      </c>
      <c r="C28" t="s">
        <v>485</v>
      </c>
    </row>
    <row r="29" spans="1:3" x14ac:dyDescent="0.25">
      <c r="A29" t="str">
        <f t="shared" si="0"/>
        <v>Woods, Multi</v>
      </c>
      <c r="B29" t="str">
        <f>TRIM(C29)</f>
        <v>Woods Multi</v>
      </c>
      <c r="C29" t="s">
        <v>482</v>
      </c>
    </row>
    <row r="30" spans="1:3" x14ac:dyDescent="0.25">
      <c r="A30" t="str">
        <f t="shared" si="0"/>
        <v>Navy, Multi</v>
      </c>
      <c r="B30" t="str">
        <f>TRIM(C30)</f>
        <v>Navy Multi</v>
      </c>
      <c r="C30" t="s">
        <v>483</v>
      </c>
    </row>
    <row r="31" spans="1:3" x14ac:dyDescent="0.25">
      <c r="A31" t="str">
        <f t="shared" si="0"/>
        <v>Nordic, Multi</v>
      </c>
      <c r="B31" t="str">
        <f>TRIM(C31)</f>
        <v>Nordic Multi</v>
      </c>
      <c r="C31" t="s">
        <v>484</v>
      </c>
    </row>
    <row r="32" spans="1:3" x14ac:dyDescent="0.25">
      <c r="A32" t="str">
        <f t="shared" si="0"/>
        <v>Deep, Red</v>
      </c>
      <c r="B32" t="str">
        <f>TRIM(C32)</f>
        <v>Deep Red</v>
      </c>
      <c r="C32" t="s">
        <v>479</v>
      </c>
    </row>
    <row r="33" spans="1:3" x14ac:dyDescent="0.25">
      <c r="A33" t="str">
        <f t="shared" si="0"/>
        <v>Multi, Light</v>
      </c>
      <c r="B33" t="str">
        <f>TRIM(C33)</f>
        <v>Multi Light</v>
      </c>
      <c r="C33" t="s">
        <v>486</v>
      </c>
    </row>
    <row r="34" spans="1:3" x14ac:dyDescent="0.25">
      <c r="A34" t="str">
        <f t="shared" si="0"/>
        <v>Grey, Multi</v>
      </c>
      <c r="B34" t="str">
        <f>TRIM(C34)</f>
        <v>Grey Multi</v>
      </c>
      <c r="C34" t="s">
        <v>488</v>
      </c>
    </row>
    <row r="35" spans="1:3" x14ac:dyDescent="0.25">
      <c r="A35" t="str">
        <f t="shared" si="0"/>
        <v>Natural, Multi</v>
      </c>
      <c r="B35" t="str">
        <f>TRIM(C35)</f>
        <v>Natural Multi</v>
      </c>
      <c r="C35" t="s">
        <v>487</v>
      </c>
    </row>
    <row r="36" spans="1:3" x14ac:dyDescent="0.25">
      <c r="A36" t="str">
        <f t="shared" si="0"/>
        <v>Oak, Plaid</v>
      </c>
      <c r="B36" t="str">
        <f>TRIM(C36)</f>
        <v>Oak Plaid</v>
      </c>
      <c r="C36" t="s">
        <v>298</v>
      </c>
    </row>
    <row r="37" spans="1:3" x14ac:dyDescent="0.25">
      <c r="A37" t="str">
        <f t="shared" si="0"/>
        <v>Beige, Stripe</v>
      </c>
      <c r="B37" t="str">
        <f>TRIM(C37)</f>
        <v>Beige Stripe</v>
      </c>
      <c r="C37" t="s">
        <v>489</v>
      </c>
    </row>
    <row r="38" spans="1:3" x14ac:dyDescent="0.25">
      <c r="A38" t="str">
        <f t="shared" si="0"/>
        <v>Black, Stripe</v>
      </c>
      <c r="B38" t="str">
        <f>TRIM(C38)</f>
        <v>Black Stripe</v>
      </c>
      <c r="C38" t="s">
        <v>490</v>
      </c>
    </row>
    <row r="39" spans="1:3" x14ac:dyDescent="0.25">
      <c r="A39" t="str">
        <f t="shared" si="0"/>
        <v>Avion, Stripe</v>
      </c>
      <c r="B39" t="str">
        <f>TRIM(C39)</f>
        <v>Avion Stripe</v>
      </c>
      <c r="C39" t="s">
        <v>491</v>
      </c>
    </row>
    <row r="40" spans="1:3" x14ac:dyDescent="0.25">
      <c r="A40" t="str">
        <f t="shared" si="0"/>
        <v>Avion, Plaid</v>
      </c>
      <c r="B40" t="str">
        <f>TRIM(C40)</f>
        <v>Avion Plaid</v>
      </c>
      <c r="C40" t="s">
        <v>493</v>
      </c>
    </row>
    <row r="41" spans="1:3" x14ac:dyDescent="0.25">
      <c r="A41" t="str">
        <f t="shared" si="0"/>
        <v>Blue, Plaid</v>
      </c>
      <c r="B41" t="str">
        <f>TRIM(C41)</f>
        <v>Blue Plaid</v>
      </c>
      <c r="C41" t="s">
        <v>497</v>
      </c>
    </row>
    <row r="42" spans="1:3" x14ac:dyDescent="0.25">
      <c r="A42" t="str">
        <f t="shared" si="0"/>
        <v>Black, Paid</v>
      </c>
      <c r="B42" t="str">
        <f>TRIM(C42)</f>
        <v>Black Paid</v>
      </c>
      <c r="C42" t="s">
        <v>498</v>
      </c>
    </row>
    <row r="43" spans="1:3" x14ac:dyDescent="0.25">
      <c r="A43" t="str">
        <f t="shared" si="0"/>
        <v>Dark, Coffee</v>
      </c>
      <c r="B43" t="str">
        <f>TRIM(C43)</f>
        <v>Dark Coffee</v>
      </c>
      <c r="C43" t="s">
        <v>323</v>
      </c>
    </row>
    <row r="44" spans="1:3" x14ac:dyDescent="0.25">
      <c r="A44" t="str">
        <f t="shared" si="0"/>
        <v>Marl, Black</v>
      </c>
      <c r="B44" t="str">
        <f>TRIM(C44)</f>
        <v>Marl Black</v>
      </c>
      <c r="C44" t="s">
        <v>500</v>
      </c>
    </row>
    <row r="45" spans="1:3" x14ac:dyDescent="0.25">
      <c r="A45" t="str">
        <f t="shared" si="0"/>
        <v>Dk., Brown</v>
      </c>
      <c r="B45" t="str">
        <f>TRIM(C45)</f>
        <v>Dk. Brown</v>
      </c>
      <c r="C45" t="s">
        <v>492</v>
      </c>
    </row>
    <row r="46" spans="1:3" x14ac:dyDescent="0.25">
      <c r="A46" t="str">
        <f t="shared" si="0"/>
        <v>Uniform, Green, Plaid</v>
      </c>
      <c r="B46" t="str">
        <f>TRIM(C46)</f>
        <v>Uniform Green Plaid</v>
      </c>
      <c r="C46" t="s">
        <v>494</v>
      </c>
    </row>
    <row r="47" spans="1:3" x14ac:dyDescent="0.25">
      <c r="A47" t="str">
        <f t="shared" si="0"/>
        <v>Oak, Twill</v>
      </c>
      <c r="B47" t="str">
        <f>TRIM(C47)</f>
        <v>Oak Twill</v>
      </c>
      <c r="C47" t="s">
        <v>495</v>
      </c>
    </row>
    <row r="48" spans="1:3" x14ac:dyDescent="0.25">
      <c r="A48" t="str">
        <f t="shared" si="0"/>
        <v>Copper, Plaid</v>
      </c>
      <c r="B48" t="str">
        <f>TRIM(C48)</f>
        <v>Copper Plaid</v>
      </c>
      <c r="C48" t="s">
        <v>496</v>
      </c>
    </row>
    <row r="49" spans="1:3" x14ac:dyDescent="0.25">
      <c r="A49" t="str">
        <f t="shared" si="0"/>
        <v>Brown, Herringbone</v>
      </c>
      <c r="B49" t="str">
        <f>TRIM(C49)</f>
        <v>Brown Herringbone</v>
      </c>
      <c r="C49" t="s">
        <v>499</v>
      </c>
    </row>
    <row r="50" spans="1:3" x14ac:dyDescent="0.25">
      <c r="A50" t="str">
        <f t="shared" si="0"/>
        <v>Navy, Plaid</v>
      </c>
      <c r="B50" t="str">
        <f>TRIM(C50)</f>
        <v>Navy Plaid</v>
      </c>
      <c r="C50" t="s">
        <v>501</v>
      </c>
    </row>
  </sheetData>
  <conditionalFormatting sqref="C37:C1048576 C1:C3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E92"/>
  <sheetViews>
    <sheetView tabSelected="1" workbookViewId="0">
      <pane ySplit="1" topLeftCell="A75" activePane="bottomLeft" state="frozen"/>
      <selection pane="bottomLeft" activeCell="C97" sqref="C97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B1" s="2" t="s">
        <v>507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tr">
        <f>TRIM(_xlfn.XLOOKUP(Результат!C2,Таблица!A:A,Таблица!E:E,"Ошибка",0))</f>
        <v>Copper, Slate, Uniform Green</v>
      </c>
    </row>
    <row r="3" spans="1:5" x14ac:dyDescent="0.25">
      <c r="B3" t="s">
        <v>348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str">
        <f>TRIM(_xlfn.XLOOKUP(Результат!C3,Таблица!A:A,Таблица!E:E,"Ошибка",0))</f>
        <v>Black, Charcoal</v>
      </c>
    </row>
    <row r="4" spans="1:5" x14ac:dyDescent="0.25">
      <c r="B4" t="s">
        <v>349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str">
        <f>TRIM(_xlfn.XLOOKUP(Результат!C4,Таблица!A:A,Таблица!E:E,"Ошибка",0))</f>
        <v>Black, Buckskin</v>
      </c>
    </row>
    <row r="5" spans="1:5" x14ac:dyDescent="0.25">
      <c r="B5" t="s">
        <v>350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str">
        <f>TRIM(_xlfn.XLOOKUP(Результат!C5,Таблица!A:A,Таблица!E:E,"Ошибка",0))</f>
        <v>Black, Light Mink</v>
      </c>
    </row>
    <row r="6" spans="1:5" x14ac:dyDescent="0.25">
      <c r="B6" t="s">
        <v>351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str">
        <f>TRIM(_xlfn.XLOOKUP(Результат!C6,Таблица!A:A,Таблица!E:E,"Ошибка",0))</f>
        <v>Black, Chocolate</v>
      </c>
    </row>
    <row r="7" spans="1:5" x14ac:dyDescent="0.25">
      <c r="B7" t="s">
        <v>352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str">
        <f>TRIM(_xlfn.XLOOKUP(Результат!C7,Таблица!A:A,Таблица!E:E,"Ошибка",0))</f>
        <v>Black, Maple</v>
      </c>
    </row>
    <row r="8" spans="1:5" x14ac:dyDescent="0.25">
      <c r="B8" t="s">
        <v>353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str">
        <f>TRIM(_xlfn.XLOOKUP(Результат!C8,Таблица!A:A,Таблица!E:E,"Ошибка",0))</f>
        <v>Black, Charcoal, Cognac, Olive</v>
      </c>
    </row>
    <row r="9" spans="1:5" x14ac:dyDescent="0.25">
      <c r="B9" t="s">
        <v>354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str">
        <f>TRIM(_xlfn.XLOOKUP(Результат!C9,Таблица!A:A,Таблица!E:E,"Ошибка",0))</f>
        <v>Aubergine, Black, Mink</v>
      </c>
    </row>
    <row r="10" spans="1:5" x14ac:dyDescent="0.25">
      <c r="B10" t="s">
        <v>355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str">
        <f>TRIM(_xlfn.XLOOKUP(Результат!C10,Таблица!A:A,Таблица!E:E,"Ошибка",0))</f>
        <v>Black</v>
      </c>
    </row>
    <row r="11" spans="1:5" x14ac:dyDescent="0.25">
      <c r="B11" t="s">
        <v>356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str">
        <f>TRIM(_xlfn.XLOOKUP(Результат!C11,Таблица!A:A,Таблица!E:E,"Ошибка",0))</f>
        <v>Black, Nickel, Soft Khaki, Stucco</v>
      </c>
    </row>
    <row r="12" spans="1:5" x14ac:dyDescent="0.25">
      <c r="B12" t="s">
        <v>357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str">
        <f>TRIM(_xlfn.XLOOKUP(Результат!C12,Таблица!A:A,Таблица!E:E,"Ошибка",0))</f>
        <v>Black, Eggplant, Lazuli Blue, Oak, Taupe</v>
      </c>
    </row>
    <row r="13" spans="1:5" x14ac:dyDescent="0.25">
      <c r="B13" t="s">
        <v>358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str">
        <f>TRIM(_xlfn.XLOOKUP(Результат!C13,Таблица!A:A,Таблица!E:E,"Ошибка",0))</f>
        <v>Black, Copper, Nickel</v>
      </c>
    </row>
    <row r="14" spans="1:5" x14ac:dyDescent="0.25">
      <c r="B14" t="s">
        <v>359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str">
        <f>TRIM(_xlfn.XLOOKUP(Результат!C14,Таблица!A:A,Таблица!E:E,"Ошибка",0))</f>
        <v>Black, Nickel, Oak</v>
      </c>
    </row>
    <row r="15" spans="1:5" x14ac:dyDescent="0.25">
      <c r="B15" t="s">
        <v>360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str">
        <f>TRIM(_xlfn.XLOOKUP(Результат!C15,Таблица!A:A,Таблица!E:E,"Ошибка",0))</f>
        <v>Avion, Black, Uniform Green</v>
      </c>
    </row>
    <row r="16" spans="1:5" x14ac:dyDescent="0.25">
      <c r="B16" t="s">
        <v>361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str">
        <f>TRIM(_xlfn.XLOOKUP(Результат!C16,Таблица!A:A,Таблица!E:E,"Ошибка",0))</f>
        <v>Black, Copper, Taupe</v>
      </c>
    </row>
    <row r="17" spans="2:5" x14ac:dyDescent="0.25">
      <c r="B17" t="s">
        <v>362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str">
        <f>TRIM(_xlfn.XLOOKUP(Результат!C17,Таблица!A:A,Таблица!E:E,"Ошибка",0))</f>
        <v>Black, Lazuli Blue, Oak</v>
      </c>
    </row>
    <row r="18" spans="2:5" x14ac:dyDescent="0.25">
      <c r="B18" t="s">
        <v>363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str">
        <f>TRIM(_xlfn.XLOOKUP(Результат!C18,Таблица!A:A,Таблица!E:E,"Ошибка",0))</f>
        <v>Black, Lazuli Blue, Uniform Green</v>
      </c>
    </row>
    <row r="19" spans="2:5" x14ac:dyDescent="0.25">
      <c r="B19" t="s">
        <v>364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str">
        <f>TRIM(_xlfn.XLOOKUP(Результат!C19,Таблица!A:A,Таблица!E:E,"Ошибка",0))</f>
        <v>Greige, Honey, Ochre, Silver Lining, Avion, Black, Chestnut</v>
      </c>
    </row>
    <row r="20" spans="2:5" x14ac:dyDescent="0.25">
      <c r="B20" t="s">
        <v>365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str">
        <f>TRIM(_xlfn.XLOOKUP(Результат!C20,Таблица!A:A,Таблица!E:E,"Ошибка",0))</f>
        <v>Peacoat, Plaza Taupe, Saddle, Steel, Almond, Black, Camel</v>
      </c>
    </row>
    <row r="21" spans="2:5" x14ac:dyDescent="0.25">
      <c r="B21" t="s">
        <v>366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str">
        <f>TRIM(_xlfn.XLOOKUP(Результат!C21,Таблица!A:A,Таблица!E:E,"Ошибка",0))</f>
        <v>Black, Unbleached</v>
      </c>
    </row>
    <row r="22" spans="2:5" x14ac:dyDescent="0.25">
      <c r="B22" t="s">
        <v>367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str">
        <f>TRIM(_xlfn.XLOOKUP(Результат!C22,Таблица!A:A,Таблица!E:E,"Ошибка",0))</f>
        <v>Black, Camel, Oak, Stucco</v>
      </c>
    </row>
    <row r="23" spans="2:5" x14ac:dyDescent="0.25">
      <c r="B23" t="s">
        <v>368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str">
        <f>TRIM(_xlfn.XLOOKUP(Результат!C23,Таблица!A:A,Таблица!E:E,"Ошибка",0))</f>
        <v>Beech, Black, Whiskey</v>
      </c>
    </row>
    <row r="24" spans="2:5" x14ac:dyDescent="0.25">
      <c r="B24" t="s">
        <v>369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str">
        <f>TRIM(_xlfn.XLOOKUP(Результат!C24,Таблица!A:A,Таблица!E:E,"Ошибка",0))</f>
        <v>Black, Plaza Taupe</v>
      </c>
    </row>
    <row r="25" spans="2:5" x14ac:dyDescent="0.25">
      <c r="B25" t="s">
        <v>370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str">
        <f>TRIM(_xlfn.XLOOKUP(Результат!C25,Таблица!A:A,Таблица!E:E,"Ошибка",0))</f>
        <v>Black, Midnight Brown, Unbleached</v>
      </c>
    </row>
    <row r="26" spans="2:5" x14ac:dyDescent="0.25">
      <c r="B26" t="s">
        <v>371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str">
        <f>TRIM(_xlfn.XLOOKUP(Результат!C26,Таблица!A:A,Таблица!E:E,"Ошибка",0))</f>
        <v>Avion, Black, Soft Khaki</v>
      </c>
    </row>
    <row r="27" spans="2:5" x14ac:dyDescent="0.25">
      <c r="B27" t="s">
        <v>372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str">
        <f>TRIM(_xlfn.XLOOKUP(Результат!C27,Таблица!A:A,Таблица!E:E,"Ошибка",0))</f>
        <v>Ink Blue, Plaza Taupe</v>
      </c>
    </row>
    <row r="28" spans="2:5" x14ac:dyDescent="0.25">
      <c r="B28" t="s">
        <v>373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str">
        <f>TRIM(_xlfn.XLOOKUP(Результат!C28,Таблица!A:A,Таблица!E:E,"Ошибка",0))</f>
        <v>Peacoat, Plaza Taupe, Saddle, Steel, Almond, Black, Camel, Henna</v>
      </c>
    </row>
    <row r="29" spans="2:5" x14ac:dyDescent="0.25">
      <c r="B29" t="s">
        <v>374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str">
        <f>TRIM(_xlfn.XLOOKUP(Результат!C29,Таблица!A:A,Таблица!E:E,"Ошибка",0))</f>
        <v>Peacoat, Plaza Taupe, Saddle, Steel, Almond, Black, Camel</v>
      </c>
    </row>
    <row r="30" spans="2:5" x14ac:dyDescent="0.25">
      <c r="B30" t="s">
        <v>375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str">
        <f>TRIM(_xlfn.XLOOKUP(Результат!C30,Таблица!A:A,Таблица!E:E,"Ошибка",0))</f>
        <v>Navy, Serpent, Walnut</v>
      </c>
    </row>
    <row r="31" spans="2:5" x14ac:dyDescent="0.25">
      <c r="B31" t="s">
        <v>376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str">
        <f>TRIM(_xlfn.XLOOKUP(Результат!C31,Таблица!A:A,Таблица!E:E,"Ошибка",0))</f>
        <v>Black, Black Mix, Bluestone, Walnut</v>
      </c>
    </row>
    <row r="32" spans="2:5" x14ac:dyDescent="0.25">
      <c r="B32" t="s">
        <v>377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str">
        <f>TRIM(_xlfn.XLOOKUP(Результат!C32,Таблица!A:A,Таблица!E:E,"Ошибка",0))</f>
        <v>Avion, Black</v>
      </c>
    </row>
    <row r="33" spans="2:5" x14ac:dyDescent="0.25">
      <c r="B33" t="s">
        <v>378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str">
        <f>TRIM(_xlfn.XLOOKUP(Результат!C33,Таблица!A:A,Таблица!E:E,"Ошибка",0))</f>
        <v>Black, Oak</v>
      </c>
    </row>
    <row r="34" spans="2:5" x14ac:dyDescent="0.25">
      <c r="B34" t="s">
        <v>379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str">
        <f>TRIM(_xlfn.XLOOKUP(Результат!C34,Таблица!A:A,Таблица!E:E,"Ошибка",0))</f>
        <v>Black, Honey, Uniform Green</v>
      </c>
    </row>
    <row r="35" spans="2:5" x14ac:dyDescent="0.25">
      <c r="B35" t="s">
        <v>380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str">
        <f>TRIM(_xlfn.XLOOKUP(Результат!C35,Таблица!A:A,Таблица!E:E,"Ошибка",0))</f>
        <v>Black, Nickel, Satin Brass, Uniform Green</v>
      </c>
    </row>
    <row r="36" spans="2:5" x14ac:dyDescent="0.25">
      <c r="B36" t="s">
        <v>381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str">
        <f>TRIM(_xlfn.XLOOKUP(Результат!C36,Таблица!A:A,Таблица!E:E,"Ошибка",0))</f>
        <v>Black, Midnight Brown, Unbleached</v>
      </c>
    </row>
    <row r="37" spans="2:5" x14ac:dyDescent="0.25">
      <c r="B37" t="s">
        <v>382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str">
        <f>TRIM(_xlfn.XLOOKUP(Результат!C37,Таблица!A:A,Таблица!E:E,"Ошибка",0))</f>
        <v>Black, Ochre</v>
      </c>
    </row>
    <row r="38" spans="2:5" x14ac:dyDescent="0.25">
      <c r="B38" t="s">
        <v>383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str">
        <f>TRIM(_xlfn.XLOOKUP(Результат!C38,Таблица!A:A,Таблица!E:E,"Ошибка",0))</f>
        <v>Black, Unbleached, Woodland Mix</v>
      </c>
    </row>
    <row r="39" spans="2:5" x14ac:dyDescent="0.25">
      <c r="B39" t="s">
        <v>384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str">
        <f>TRIM(_xlfn.XLOOKUP(Результат!C39,Таблица!A:A,Таблица!E:E,"Ошибка",0))</f>
        <v>Navy, Nickel, Satin Brass, Silverbelly, Vintage Blue, Black, Cognac, Copper, Medium Brown Mix, Basalt, Avion</v>
      </c>
    </row>
    <row r="40" spans="2:5" x14ac:dyDescent="0.25">
      <c r="B40" t="s">
        <v>385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str">
        <f>TRIM(_xlfn.XLOOKUP(Результат!C40,Таблица!A:A,Таблица!E:E,"Ошибка",0))</f>
        <v>Bluestone, Serpent, Woodland Mix</v>
      </c>
    </row>
    <row r="41" spans="2:5" x14ac:dyDescent="0.25">
      <c r="B41" t="s">
        <v>386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str">
        <f>TRIM(_xlfn.XLOOKUP(Результат!C41,Таблица!A:A,Таблица!E:E,"Ошибка",0))</f>
        <v>Sea Breeze, Serpent, Speckled Egg Mix, Uniform Green, Vintage Blue, Antique, Black, Contrapposto, Grey, Navy</v>
      </c>
    </row>
    <row r="42" spans="2:5" x14ac:dyDescent="0.25">
      <c r="B42" t="s">
        <v>387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str">
        <f>TRIM(_xlfn.XLOOKUP(Результат!C42,Таблица!A:A,Таблица!E:E,"Ошибка",0))</f>
        <v>Black, Caramel, Gun Metal, Satin Brass, Soft Khaki</v>
      </c>
    </row>
    <row r="43" spans="2:5" x14ac:dyDescent="0.25">
      <c r="B43" t="s">
        <v>388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str">
        <f>TRIM(_xlfn.XLOOKUP(Результат!C43,Таблица!A:A,Таблица!E:E,"Ошибка",0))</f>
        <v>Natural Mix, Ochre</v>
      </c>
    </row>
    <row r="44" spans="2:5" x14ac:dyDescent="0.25">
      <c r="B44" t="s">
        <v>389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str">
        <f>TRIM(_xlfn.XLOOKUP(Результат!C44,Таблица!A:A,Таблица!E:E,"Ошибка",0))</f>
        <v>Black, Graphite, Nickel, Red</v>
      </c>
    </row>
    <row r="45" spans="2:5" x14ac:dyDescent="0.25">
      <c r="B45" t="s">
        <v>390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str">
        <f>TRIM(_xlfn.XLOOKUP(Результат!C45,Таблица!A:A,Таблица!E:E,"Ошибка",0))</f>
        <v>Ink Blue, Olive Mix, Rust</v>
      </c>
    </row>
    <row r="46" spans="2:5" x14ac:dyDescent="0.25">
      <c r="B46" t="s">
        <v>391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str">
        <f>TRIM(_xlfn.XLOOKUP(Результат!C46,Таблица!A:A,Таблица!E:E,"Ошибка",0))</f>
        <v>Black, Camel, Pale Olive, Whiskey</v>
      </c>
    </row>
    <row r="47" spans="2:5" x14ac:dyDescent="0.25">
      <c r="B47" t="s">
        <v>392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str">
        <f>TRIM(_xlfn.XLOOKUP(Результат!C47,Таблица!A:A,Таблица!E:E,"Ошибка",0))</f>
        <v>Black, Oxford Mix</v>
      </c>
    </row>
    <row r="48" spans="2:5" x14ac:dyDescent="0.25">
      <c r="B48" t="s">
        <v>393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str">
        <f>TRIM(_xlfn.XLOOKUP(Результат!C48,Таблица!A:A,Таблица!E:E,"Ошибка",0))</f>
        <v>Oxblood, Pewter, Serpent, Silverbelly, Black, Cognac, Olive Mix</v>
      </c>
    </row>
    <row r="49" spans="2:5" x14ac:dyDescent="0.25">
      <c r="B49" t="s">
        <v>394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str">
        <f>TRIM(_xlfn.XLOOKUP(Результат!C49,Таблица!A:A,Таблица!E:E,"Ошибка",0))</f>
        <v>Medium Brown Mix</v>
      </c>
    </row>
    <row r="50" spans="2:5" x14ac:dyDescent="0.25">
      <c r="B50" t="s">
        <v>395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str">
        <f>TRIM(_xlfn.XLOOKUP(Результат!C50,Таблица!A:A,Таблица!E:E,"Ошибка",0))</f>
        <v>Contrapposto, Copper, Natural Mix, Navy, Port, Red, Satin Brass, Sea Breeze, Unbleached, Vintage Blue, Basalt, Black, Black Mix, Brown</v>
      </c>
    </row>
    <row r="51" spans="2:5" x14ac:dyDescent="0.25">
      <c r="B51" t="s">
        <v>396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str">
        <f>TRIM(_xlfn.XLOOKUP(Результат!C51,Таблица!A:A,Таблица!E:E,"Ошибка",0))</f>
        <v>Black, Cognac, Fawn</v>
      </c>
    </row>
    <row r="52" spans="2:5" x14ac:dyDescent="0.25">
      <c r="B52" t="s">
        <v>397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str">
        <f>TRIM(_xlfn.XLOOKUP(Результат!C52,Таблица!A:A,Таблица!E:E,"Ошибка",0))</f>
        <v>Black, Uniform Green</v>
      </c>
    </row>
    <row r="53" spans="2:5" x14ac:dyDescent="0.25">
      <c r="B53" t="s">
        <v>398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str">
        <f>TRIM(_xlfn.XLOOKUP(Результат!C53,Таблица!A:A,Таблица!E:E,"Ошибка",0))</f>
        <v>Avion, Black, Whiskey</v>
      </c>
    </row>
    <row r="54" spans="2:5" x14ac:dyDescent="0.25">
      <c r="B54" t="s">
        <v>399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str">
        <f>TRIM(_xlfn.XLOOKUP(Результат!C54,Таблица!A:A,Таблица!E:E,"Ошибка",0))</f>
        <v>Black, Nickel, Uniform Green</v>
      </c>
    </row>
    <row r="55" spans="2:5" x14ac:dyDescent="0.25">
      <c r="B55" t="s">
        <v>400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str">
        <f>TRIM(_xlfn.XLOOKUP(Результат!C55,Таблица!A:A,Таблица!E:E,"Ошибка",0))</f>
        <v>Black, Lazuli Blue, Mink, Ochre</v>
      </c>
    </row>
    <row r="56" spans="2:5" x14ac:dyDescent="0.25">
      <c r="B56" t="s">
        <v>401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str">
        <f>TRIM(_xlfn.XLOOKUP(Результат!C56,Таблица!A:A,Таблица!E:E,"Ошибка",0))</f>
        <v>Black</v>
      </c>
    </row>
    <row r="57" spans="2:5" x14ac:dyDescent="0.25">
      <c r="B57" t="s">
        <v>402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str">
        <f>TRIM(_xlfn.XLOOKUP(Результат!C57,Таблица!A:A,Таблица!E:E,"Ошибка",0))</f>
        <v>Black, Chocolate, Forest, Navy</v>
      </c>
    </row>
    <row r="58" spans="2:5" x14ac:dyDescent="0.25">
      <c r="B58" t="s">
        <v>403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str">
        <f>TRIM(_xlfn.XLOOKUP(Результат!C58,Таблица!A:A,Таблица!E:E,"Ошибка",0))</f>
        <v>Black</v>
      </c>
    </row>
    <row r="59" spans="2:5" x14ac:dyDescent="0.25">
      <c r="B59" t="s">
        <v>404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str">
        <f>TRIM(_xlfn.XLOOKUP(Результат!C59,Таблица!A:A,Таблица!E:E,"Ошибка",0))</f>
        <v>Bitter Chocolate, Black, Mink, Night Shade, Navy</v>
      </c>
    </row>
    <row r="60" spans="2:5" x14ac:dyDescent="0.25">
      <c r="B60" t="s">
        <v>405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str">
        <f>TRIM(_xlfn.XLOOKUP(Результат!C60,Таблица!A:A,Таблица!E:E,"Ошибка",0))</f>
        <v>Black, Silver Sand</v>
      </c>
    </row>
    <row r="61" spans="2:5" x14ac:dyDescent="0.25">
      <c r="B61" t="s">
        <v>406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str">
        <f>TRIM(_xlfn.XLOOKUP(Результат!C61,Таблица!A:A,Таблица!E:E,"Ошибка",0))</f>
        <v>Black, Caramel, Navy, Olive</v>
      </c>
    </row>
    <row r="62" spans="2:5" x14ac:dyDescent="0.25">
      <c r="B62" t="s">
        <v>407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str">
        <f>TRIM(_xlfn.XLOOKUP(Результат!C62,Таблица!A:A,Таблица!E:E,"Ошибка",0))</f>
        <v>Black, Olive Oil, Plaza Taupe</v>
      </c>
    </row>
    <row r="63" spans="2:5" x14ac:dyDescent="0.25">
      <c r="B63" t="s">
        <v>408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str">
        <f>TRIM(_xlfn.XLOOKUP(Результат!C63,Таблица!A:A,Таблица!E:E,"Ошибка",0))</f>
        <v>Ochre, Soft Khaki</v>
      </c>
    </row>
    <row r="64" spans="2:5" x14ac:dyDescent="0.25">
      <c r="B64" t="s">
        <v>409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str">
        <f>TRIM(_xlfn.XLOOKUP(Результат!C64,Таблица!A:A,Таблица!E:E,"Ошибка",0))</f>
        <v>Black, Navy</v>
      </c>
    </row>
    <row r="65" spans="2:5" x14ac:dyDescent="0.25">
      <c r="B65" t="s">
        <v>410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str">
        <f>TRIM(_xlfn.XLOOKUP(Результат!C65,Таблица!A:A,Таблица!E:E,"Ошибка",0))</f>
        <v>Black</v>
      </c>
    </row>
    <row r="66" spans="2:5" x14ac:dyDescent="0.25">
      <c r="B66" t="s">
        <v>411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str">
        <f>TRIM(_xlfn.XLOOKUP(Результат!C66,Таблица!A:A,Таблица!E:E,"Ошибка",0))</f>
        <v>Black, Brown, White</v>
      </c>
    </row>
    <row r="67" spans="2:5" x14ac:dyDescent="0.25">
      <c r="B67" t="s">
        <v>412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str">
        <f>TRIM(_xlfn.XLOOKUP(Результат!C67,Таблица!A:A,Таблица!E:E,"Ошибка",0))</f>
        <v>Black, Hemlock</v>
      </c>
    </row>
    <row r="68" spans="2:5" x14ac:dyDescent="0.25">
      <c r="B68" t="s">
        <v>413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str">
        <f>TRIM(_xlfn.XLOOKUP(Результат!C68,Таблица!A:A,Таблица!E:E,"Ошибка",0))</f>
        <v>Black</v>
      </c>
    </row>
    <row r="69" spans="2:5" x14ac:dyDescent="0.25">
      <c r="B69" t="s">
        <v>414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str">
        <f>TRIM(_xlfn.XLOOKUP(Результат!C69,Таблица!A:A,Таблица!E:E,"Ошибка",0))</f>
        <v>Fog, Latte, Navy, Static, Tan, Birch, Black, Coconut, Deep Red, Espresso</v>
      </c>
    </row>
    <row r="70" spans="2:5" x14ac:dyDescent="0.25">
      <c r="B70" t="s">
        <v>415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str">
        <f>TRIM(_xlfn.XLOOKUP(Результат!C70,Таблица!A:A,Таблица!E:E,"Ошибка",0))</f>
        <v>Navy Multi, Nordic Multi, Overcast, Skydiver, Woods Multi, Cement Multi, Deep Red, Multi Light, Grey Multi, Natural Multi, Brown Multi, Charcoal Multi</v>
      </c>
    </row>
    <row r="71" spans="2:5" x14ac:dyDescent="0.25">
      <c r="B71" t="s">
        <v>416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str">
        <f>TRIM(_xlfn.XLOOKUP(Результат!C71,Таблица!A:A,Таблица!E:E,"Ошибка",0))</f>
        <v>Black, Blue, Bronze</v>
      </c>
    </row>
    <row r="72" spans="2:5" x14ac:dyDescent="0.25">
      <c r="B72" t="s">
        <v>417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str">
        <f>TRIM(_xlfn.XLOOKUP(Результат!C72,Таблица!A:A,Таблица!E:E,"Ошибка",0))</f>
        <v>Black, Blue, Bronze</v>
      </c>
    </row>
    <row r="73" spans="2:5" x14ac:dyDescent="0.25">
      <c r="B73" t="s">
        <v>418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str">
        <f>TRIM(_xlfn.XLOOKUP(Результат!C73,Таблица!A:A,Таблица!E:E,"Ошибка",0))</f>
        <v>Copper, Green, Grey</v>
      </c>
    </row>
    <row r="74" spans="2:5" x14ac:dyDescent="0.25">
      <c r="B74" t="s">
        <v>419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str">
        <f>TRIM(_xlfn.XLOOKUP(Результат!C74,Таблица!A:A,Таблица!E:E,"Ошибка",0))</f>
        <v>Oak Plaid</v>
      </c>
    </row>
    <row r="75" spans="2:5" x14ac:dyDescent="0.25">
      <c r="B75" t="s">
        <v>420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str">
        <f>TRIM(_xlfn.XLOOKUP(Результат!C75,Таблица!A:A,Таблица!E:E,"Ошибка",0))</f>
        <v>Beige Stripe, Black Stripe, Avion Stripe</v>
      </c>
    </row>
    <row r="76" spans="2:5" x14ac:dyDescent="0.25">
      <c r="B76" t="s">
        <v>421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str">
        <f>TRIM(_xlfn.XLOOKUP(Результат!C76,Таблица!A:A,Таблица!E:E,"Ошибка",0))</f>
        <v>Avion, Black, Oak</v>
      </c>
    </row>
    <row r="77" spans="2:5" x14ac:dyDescent="0.25">
      <c r="B77" t="s">
        <v>422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str">
        <f>TRIM(_xlfn.XLOOKUP(Результат!C77,Таблица!A:A,Таблица!E:E,"Ошибка",0))</f>
        <v>Avion Plaid, Oak Twill, Uniform Green, Plaid</v>
      </c>
    </row>
    <row r="78" spans="2:5" x14ac:dyDescent="0.25">
      <c r="B78" t="s">
        <v>423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str">
        <f>TRIM(_xlfn.XLOOKUP(Результат!C78,Таблица!A:A,Таблица!E:E,"Ошибка",0))</f>
        <v>Avion, Grey</v>
      </c>
    </row>
    <row r="79" spans="2:5" x14ac:dyDescent="0.25">
      <c r="B79" t="s">
        <v>424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str">
        <f>TRIM(_xlfn.XLOOKUP(Результат!C79,Таблица!A:A,Таблица!E:E,"Ошибка",0))</f>
        <v>Blue Plaid, Copper Plaid, Uniform Green, Plaid</v>
      </c>
    </row>
    <row r="80" spans="2:5" x14ac:dyDescent="0.25">
      <c r="B80" t="s">
        <v>425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str">
        <f>TRIM(_xlfn.XLOOKUP(Результат!C80,Таблица!A:A,Таблица!E:E,"Ошибка",0))</f>
        <v>Black, Copper</v>
      </c>
    </row>
    <row r="81" spans="2:5" x14ac:dyDescent="0.25">
      <c r="B81" t="s">
        <v>426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str">
        <f>TRIM(_xlfn.XLOOKUP(Результат!C81,Таблица!A:A,Таблица!E:E,"Ошибка",0))</f>
        <v>Black, Ochre</v>
      </c>
    </row>
    <row r="82" spans="2:5" x14ac:dyDescent="0.25">
      <c r="B82" t="s">
        <v>427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str">
        <f>TRIM(_xlfn.XLOOKUP(Результат!C82,Таблица!A:A,Таблица!E:E,"Ошибка",0))</f>
        <v>Black, Chino, Navy, Tan</v>
      </c>
    </row>
    <row r="83" spans="2:5" x14ac:dyDescent="0.25">
      <c r="B83" t="s">
        <v>428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str">
        <f>TRIM(_xlfn.XLOOKUP(Результат!C83,Таблица!A:A,Таблица!E:E,"Ошибка",0))</f>
        <v>Black Paid, Brown Herringbone</v>
      </c>
    </row>
    <row r="84" spans="2:5" x14ac:dyDescent="0.25">
      <c r="B84" t="s">
        <v>429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str">
        <f>TRIM(_xlfn.XLOOKUP(Результат!C84,Таблица!A:A,Таблица!E:E,"Ошибка",0))</f>
        <v>Dark Coffee</v>
      </c>
    </row>
    <row r="85" spans="2:5" x14ac:dyDescent="0.25">
      <c r="B85" t="s">
        <v>430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str">
        <f>TRIM(_xlfn.XLOOKUP(Результат!C85,Таблица!A:A,Таблица!E:E,"Ошибка",0))</f>
        <v>Black</v>
      </c>
    </row>
    <row r="86" spans="2:5" x14ac:dyDescent="0.25">
      <c r="B86" t="s">
        <v>431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str">
        <f>TRIM(_xlfn.XLOOKUP(Результат!C86,Таблица!A:A,Таблица!E:E,"Ошибка",0))</f>
        <v>Brown</v>
      </c>
    </row>
    <row r="87" spans="2:5" x14ac:dyDescent="0.25">
      <c r="B87" t="s">
        <v>432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str">
        <f>TRIM(_xlfn.XLOOKUP(Результат!C87,Таблица!A:A,Таблица!E:E,"Ошибка",0))</f>
        <v>Black</v>
      </c>
    </row>
    <row r="88" spans="2:5" x14ac:dyDescent="0.25">
      <c r="B88" t="s">
        <v>433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str">
        <f>TRIM(_xlfn.XLOOKUP(Результат!C88,Таблица!A:A,Таблица!E:E,"Ошибка",0))</f>
        <v>Marl Black, Navy Plaid</v>
      </c>
    </row>
    <row r="89" spans="2:5" x14ac:dyDescent="0.25">
      <c r="B89" t="s">
        <v>434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str">
        <f>TRIM(_xlfn.XLOOKUP(Результат!C89,Таблица!A:A,Таблица!E:E,"Ошибка",0))</f>
        <v>Black, Brown</v>
      </c>
    </row>
    <row r="90" spans="2:5" x14ac:dyDescent="0.25">
      <c r="B90" t="s">
        <v>435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str">
        <f>TRIM(_xlfn.XLOOKUP(Результат!C90,Таблица!A:A,Таблица!E:E,"Ошибка",0))</f>
        <v>Black</v>
      </c>
    </row>
    <row r="91" spans="2:5" x14ac:dyDescent="0.25">
      <c r="B91" t="s">
        <v>436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str">
        <f>TRIM(_xlfn.XLOOKUP(Результат!C91,Таблица!A:A,Таблица!E:E,"Ошибка",0))</f>
        <v>Charcoal, Dk. Brown, Navy, Black, Burgundy</v>
      </c>
    </row>
    <row r="92" spans="2:5" x14ac:dyDescent="0.25">
      <c r="B92" t="s">
        <v>437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str">
        <f>TRIM(_xlfn.XLOOKUP(Результат!C92,Таблица!A:A,Таблица!E:E,"Ошибка",0))</f>
        <v>Black, Chino, Navy, Tan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87" activePane="bottomLeft" state="frozen"/>
      <selection pane="bottomLeft" activeCell="E91" sqref="E91"/>
    </sheetView>
  </sheetViews>
  <sheetFormatPr defaultRowHeight="15" x14ac:dyDescent="0.25"/>
  <cols>
    <col min="1" max="1" width="21.42578125" customWidth="1"/>
    <col min="2" max="2" width="14.42578125" hidden="1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ht="74.45" customHeight="1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>TRIM(_xlfn.XLOOKUP('Результат (Save)'!C2,Таблица!A:A,Таблица!E:E,"Ошибка",0))</f>
        <v>Copper, Slate, Uniform Green</v>
      </c>
    </row>
    <row r="3" spans="1:5" ht="68.849999999999994" customHeight="1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>TRIM(_xlfn.XLOOKUP('Результат (Save)'!C3,Таблица!A:A,Таблица!E:E,"Ошибка",0))</f>
        <v>Black, Charcoal</v>
      </c>
    </row>
    <row r="4" spans="1:5" ht="80.45" customHeight="1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>TRIM(_xlfn.XLOOKUP('Результат (Save)'!C4,Таблица!A:A,Таблица!E:E,"Ошибка",0))</f>
        <v>Black, Buckskin</v>
      </c>
    </row>
    <row r="5" spans="1:5" ht="76.349999999999994" customHeight="1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>TRIM(_xlfn.XLOOKUP('Результат (Save)'!C5,Таблица!A:A,Таблица!E:E,"Ошибка",0))</f>
        <v>Black, Light Mink</v>
      </c>
    </row>
    <row r="6" spans="1:5" ht="78.75" customHeight="1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>TRIM(_xlfn.XLOOKUP('Результат (Save)'!C6,Таблица!A:A,Таблица!E:E,"Ошибка",0))</f>
        <v>Black, Chocolate</v>
      </c>
    </row>
    <row r="7" spans="1:5" ht="77.099999999999994" customHeight="1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>TRIM(_xlfn.XLOOKUP('Результат (Save)'!C7,Таблица!A:A,Таблица!E:E,"Ошибка",0))</f>
        <v>Black, Maple</v>
      </c>
    </row>
    <row r="8" spans="1:5" ht="84.6" customHeight="1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>TRIM(_xlfn.XLOOKUP('Результат (Save)'!C8,Таблица!A:A,Таблица!E:E,"Ошибка",0))</f>
        <v>Black, Charcoal, Cognac, Olive</v>
      </c>
    </row>
    <row r="9" spans="1:5" ht="76.900000000000006" customHeight="1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>TRIM(_xlfn.XLOOKUP('Результат (Save)'!C9,Таблица!A:A,Таблица!E:E,"Ошибка",0))</f>
        <v>Aubergine, Black, Mink</v>
      </c>
    </row>
    <row r="10" spans="1:5" ht="72.599999999999994" customHeight="1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>TRIM(_xlfn.XLOOKUP('Результат (Save)'!C10,Таблица!A:A,Таблица!E:E,"Ошибка",0))</f>
        <v>Black</v>
      </c>
    </row>
    <row r="11" spans="1:5" ht="79.349999999999994" customHeight="1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>TRIM(_xlfn.XLOOKUP('Результат (Save)'!C11,Таблица!A:A,Таблица!E:E,"Ошибка",0))</f>
        <v>Black, Nickel, Soft Khaki, Stucco</v>
      </c>
    </row>
    <row r="12" spans="1:5" ht="78.400000000000006" customHeight="1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>TRIM(_xlfn.XLOOKUP('Результат (Save)'!C12,Таблица!A:A,Таблица!E:E,"Ошибка",0))</f>
        <v>Black, Eggplant, Lazuli Blue, Oak, Taupe</v>
      </c>
    </row>
    <row r="13" spans="1:5" ht="77.099999999999994" customHeight="1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>TRIM(_xlfn.XLOOKUP('Результат (Save)'!C13,Таблица!A:A,Таблица!E:E,"Ошибка",0))</f>
        <v>Black, Copper, Nickel</v>
      </c>
    </row>
    <row r="14" spans="1:5" ht="78.599999999999994" customHeight="1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>TRIM(_xlfn.XLOOKUP('Результат (Save)'!C14,Таблица!A:A,Таблица!E:E,"Ошибка",0))</f>
        <v>Black, Nickel, Oak</v>
      </c>
    </row>
    <row r="15" spans="1:5" ht="76.7" customHeight="1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>TRIM(_xlfn.XLOOKUP('Результат (Save)'!C15,Таблица!A:A,Таблица!E:E,"Ошибка",0))</f>
        <v>Avion, Black, Uniform Green</v>
      </c>
    </row>
    <row r="16" spans="1:5" ht="72.95" customHeight="1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>TRIM(_xlfn.XLOOKUP('Результат (Save)'!C16,Таблица!A:A,Таблица!E:E,"Ошибка",0))</f>
        <v>Black, Copper, Taupe</v>
      </c>
    </row>
    <row r="17" spans="2:5" ht="81.95" customHeight="1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>TRIM(_xlfn.XLOOKUP('Результат (Save)'!C17,Таблица!A:A,Таблица!E:E,"Ошибка",0))</f>
        <v>Black, Lazuli Blue, Oak</v>
      </c>
    </row>
    <row r="18" spans="2:5" ht="74.650000000000006" customHeight="1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>TRIM(_xlfn.XLOOKUP('Результат (Save)'!C18,Таблица!A:A,Таблица!E:E,"Ошибка",0))</f>
        <v>Black, Lazuli Blue, Uniform Green</v>
      </c>
    </row>
    <row r="19" spans="2:5" ht="74.849999999999994" customHeight="1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>TRIM(_xlfn.XLOOKUP('Результат (Save)'!C19,Таблица!A:A,Таблица!E:E,"Ошибка",0))</f>
        <v>Greige, Honey, Ochre, Silver Lining, Avion, Black, Chestnut</v>
      </c>
    </row>
    <row r="20" spans="2:5" ht="78.400000000000006" customHeight="1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>TRIM(_xlfn.XLOOKUP('Результат (Save)'!C20,Таблица!A:A,Таблица!E:E,"Ошибка",0))</f>
        <v>Peacoat, Plaza Taupe, Saddle, Steel, Almond, Black, Camel</v>
      </c>
    </row>
    <row r="21" spans="2:5" ht="74.25" customHeight="1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>TRIM(_xlfn.XLOOKUP('Результат (Save)'!C21,Таблица!A:A,Таблица!E:E,"Ошибка",0))</f>
        <v>Black, Unbleached</v>
      </c>
    </row>
    <row r="22" spans="2:5" ht="81.95" customHeight="1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>TRIM(_xlfn.XLOOKUP('Результат (Save)'!C22,Таблица!A:A,Таблица!E:E,"Ошибка",0))</f>
        <v>Black, Camel, Oak, Stucco</v>
      </c>
    </row>
    <row r="23" spans="2:5" ht="71.45" customHeight="1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>TRIM(_xlfn.XLOOKUP('Результат (Save)'!C23,Таблица!A:A,Таблица!E:E,"Ошибка",0))</f>
        <v>Beech, Black, Whiskey</v>
      </c>
    </row>
    <row r="24" spans="2:5" ht="70.900000000000006" customHeight="1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>TRIM(_xlfn.XLOOKUP('Результат (Save)'!C24,Таблица!A:A,Таблица!E:E,"Ошибка",0))</f>
        <v>Black, Plaza Taupe</v>
      </c>
    </row>
    <row r="25" spans="2:5" ht="72.400000000000006" customHeight="1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>TRIM(_xlfn.XLOOKUP('Результат (Save)'!C25,Таблица!A:A,Таблица!E:E,"Ошибка",0))</f>
        <v>Black, Midnight Brown, Unbleached</v>
      </c>
    </row>
    <row r="26" spans="2:5" ht="76.349999999999994" customHeight="1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>TRIM(_xlfn.XLOOKUP('Результат (Save)'!C26,Таблица!A:A,Таблица!E:E,"Ошибка",0))</f>
        <v>Avion, Black, Soft Khaki</v>
      </c>
    </row>
    <row r="27" spans="2:5" ht="77.849999999999994" customHeight="1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>TRIM(_xlfn.XLOOKUP('Результат (Save)'!C27,Таблица!A:A,Таблица!E:E,"Ошибка",0))</f>
        <v>Ink Blue, Plaza Taupe</v>
      </c>
    </row>
    <row r="28" spans="2:5" ht="78.400000000000006" customHeight="1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>TRIM(_xlfn.XLOOKUP('Результат (Save)'!C28,Таблица!A:A,Таблица!E:E,"Ошибка",0))</f>
        <v>Peacoat, Plaza Taupe, Saddle, Steel, Almond, Black, Camel, Henna</v>
      </c>
    </row>
    <row r="29" spans="2:5" ht="90.75" customHeight="1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>TRIM(_xlfn.XLOOKUP('Результат (Save)'!C29,Таблица!A:A,Таблица!E:E,"Ошибка",0))</f>
        <v>Peacoat, Plaza Taupe, Saddle, Steel, Almond, Black, Camel</v>
      </c>
    </row>
    <row r="30" spans="2:5" ht="94.35" customHeight="1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>TRIM(_xlfn.XLOOKUP('Результат (Save)'!C30,Таблица!A:A,Таблица!E:E,"Ошибка",0))</f>
        <v>Navy, Serpent, Walnut</v>
      </c>
    </row>
    <row r="31" spans="2:5" ht="75.599999999999994" customHeight="1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>TRIM(_xlfn.XLOOKUP('Результат (Save)'!C31,Таблица!A:A,Таблица!E:E,"Ошибка",0))</f>
        <v>Black, Black Mix, Bluestone, Walnut</v>
      </c>
    </row>
    <row r="32" spans="2:5" ht="81.95" customHeight="1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>TRIM(_xlfn.XLOOKUP('Результат (Save)'!C32,Таблица!A:A,Таблица!E:E,"Ошибка",0))</f>
        <v>Avion, Black</v>
      </c>
    </row>
    <row r="33" spans="2:5" ht="81" customHeight="1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>TRIM(_xlfn.XLOOKUP('Результат (Save)'!C33,Таблица!A:A,Таблица!E:E,"Ошибка",0))</f>
        <v>Black, Oak</v>
      </c>
    </row>
    <row r="34" spans="2:5" ht="81.95" customHeight="1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>TRIM(_xlfn.XLOOKUP('Результат (Save)'!C34,Таблица!A:A,Таблица!E:E,"Ошибка",0))</f>
        <v>Black, Honey, Uniform Green</v>
      </c>
    </row>
    <row r="35" spans="2:5" ht="79.900000000000006" customHeight="1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>TRIM(_xlfn.XLOOKUP('Результат (Save)'!C35,Таблица!A:A,Таблица!E:E,"Ошибка",0))</f>
        <v>Black, Nickel, Satin Brass, Uniform Green</v>
      </c>
    </row>
    <row r="36" spans="2:5" ht="79.150000000000006" customHeight="1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>TRIM(_xlfn.XLOOKUP('Результат (Save)'!C36,Таблица!A:A,Таблица!E:E,"Ошибка",0))</f>
        <v>Black, Midnight Brown, Unbleached</v>
      </c>
    </row>
    <row r="37" spans="2:5" ht="88.9" customHeight="1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>TRIM(_xlfn.XLOOKUP('Результат (Save)'!C37,Таблица!A:A,Таблица!E:E,"Ошибка",0))</f>
        <v>Black, Ochre</v>
      </c>
    </row>
    <row r="38" spans="2:5" ht="79.349999999999994" customHeight="1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>TRIM(_xlfn.XLOOKUP('Результат (Save)'!C38,Таблица!A:A,Таблица!E:E,"Ошибка",0))</f>
        <v>Black, Unbleached, Woodland Mix</v>
      </c>
    </row>
    <row r="39" spans="2:5" ht="78" customHeight="1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ht="87.2" customHeight="1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>TRIM(_xlfn.XLOOKUP('Результат (Save)'!C40,Таблица!A:A,Таблица!E:E,"Ошибка",0))</f>
        <v>Bluestone, Serpent, Woodland Mix</v>
      </c>
    </row>
    <row r="41" spans="2:5" ht="82.9" customHeight="1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ht="77.45" customHeight="1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>TRIM(_xlfn.XLOOKUP('Результат (Save)'!C42,Таблица!A:A,Таблица!E:E,"Ошибка",0))</f>
        <v>Black, Caramel, Gun Metal, Satin Brass, Soft Khaki</v>
      </c>
    </row>
    <row r="43" spans="2:5" ht="73.150000000000006" customHeight="1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>TRIM(_xlfn.XLOOKUP('Результат (Save)'!C43,Таблица!A:A,Таблица!E:E,"Ошибка",0))</f>
        <v>Natural Mix, Ochre</v>
      </c>
    </row>
    <row r="44" spans="2:5" ht="75.599999999999994" customHeight="1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>TRIM(_xlfn.XLOOKUP('Результат (Save)'!C44,Таблица!A:A,Таблица!E:E,"Ошибка",0))</f>
        <v>Black, Graphite, Nickel, Red</v>
      </c>
    </row>
    <row r="45" spans="2:5" ht="73.7" customHeight="1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>TRIM(_xlfn.XLOOKUP('Результат (Save)'!C45,Таблица!A:A,Таблица!E:E,"Ошибка",0))</f>
        <v>Ink Blue, Olive Mix, Rust</v>
      </c>
    </row>
    <row r="46" spans="2:5" ht="79.7" customHeight="1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>TRIM(_xlfn.XLOOKUP('Результат (Save)'!C46,Таблица!A:A,Таблица!E:E,"Ошибка",0))</f>
        <v>Black, Camel, Pale Olive, Whiskey</v>
      </c>
    </row>
    <row r="47" spans="2:5" ht="78.599999999999994" customHeight="1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>TRIM(_xlfn.XLOOKUP('Результат (Save)'!C47,Таблица!A:A,Таблица!E:E,"Ошибка",0))</f>
        <v>Black, Oxford Mix</v>
      </c>
    </row>
    <row r="48" spans="2:5" ht="88.5" customHeight="1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>TRIM(_xlfn.XLOOKUP('Результат (Save)'!C48,Таблица!A:A,Таблица!E:E,"Ошибка",0))</f>
        <v>Oxblood, Pewter, Serpent, Silverbelly, Black, Cognac, Olive Mix</v>
      </c>
    </row>
    <row r="49" spans="2:5" ht="75.95" customHeight="1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>TRIM(_xlfn.XLOOKUP('Результат (Save)'!C49,Таблица!A:A,Таблица!E:E,"Ошибка",0))</f>
        <v>Medium Brown Mix</v>
      </c>
    </row>
    <row r="50" spans="2:5" ht="95.65" customHeight="1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ht="73.349999999999994" customHeight="1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>TRIM(_xlfn.XLOOKUP('Результат (Save)'!C51,Таблица!A:A,Таблица!E:E,"Ошибка",0))</f>
        <v>Black, Cognac, Fawn</v>
      </c>
    </row>
    <row r="52" spans="2:5" ht="77.25" customHeight="1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>TRIM(_xlfn.XLOOKUP('Результат (Save)'!C52,Таблица!A:A,Таблица!E:E,"Ошибка",0))</f>
        <v>Black, Uniform Green</v>
      </c>
    </row>
    <row r="53" spans="2:5" ht="80.25" customHeight="1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>TRIM(_xlfn.XLOOKUP('Результат (Save)'!C53,Таблица!A:A,Таблица!E:E,"Ошибка",0))</f>
        <v>Avion, Black, Whiskey</v>
      </c>
    </row>
    <row r="54" spans="2:5" ht="77.25" customHeight="1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>TRIM(_xlfn.XLOOKUP('Результат (Save)'!C54,Таблица!A:A,Таблица!E:E,"Ошибка",0))</f>
        <v>Black, Nickel, Uniform Green</v>
      </c>
    </row>
    <row r="55" spans="2:5" ht="81.400000000000006" customHeight="1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>TRIM(_xlfn.XLOOKUP('Результат (Save)'!C55,Таблица!A:A,Таблица!E:E,"Ошибка",0))</f>
        <v>Black, Lazuli Blue, Mink, Ochre</v>
      </c>
    </row>
    <row r="56" spans="2:5" ht="84.2" customHeight="1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>TRIM(_xlfn.XLOOKUP('Результат (Save)'!C56,Таблица!A:A,Таблица!E:E,"Ошибка",0))</f>
        <v>Black</v>
      </c>
    </row>
    <row r="57" spans="2:5" ht="84.95" customHeight="1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>TRIM(_xlfn.XLOOKUP('Результат (Save)'!C57,Таблица!A:A,Таблица!E:E,"Ошибка",0))</f>
        <v>Black, Chocolate, Forest, Navy</v>
      </c>
    </row>
    <row r="58" spans="2:5" ht="80.25" customHeight="1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>TRIM(_xlfn.XLOOKUP('Результат (Save)'!C58,Таблица!A:A,Таблица!E:E,"Ошибка",0))</f>
        <v>Black</v>
      </c>
    </row>
    <row r="59" spans="2:5" ht="83.25" customHeight="1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>TRIM(_xlfn.XLOOKUP('Результат (Save)'!C59,Таблица!A:A,Таблица!E:E,"Ошибка",0))</f>
        <v>Bitter Chocolate, Black, Mink, Night Shade, Navy</v>
      </c>
    </row>
    <row r="60" spans="2:5" ht="69" customHeight="1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>TRIM(_xlfn.XLOOKUP('Результат (Save)'!C60,Таблица!A:A,Таблица!E:E,"Ошибка",0))</f>
        <v>Black, Silver Sand</v>
      </c>
    </row>
    <row r="61" spans="2:5" ht="73.5" customHeight="1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>TRIM(_xlfn.XLOOKUP('Результат (Save)'!C61,Таблица!A:A,Таблица!E:E,"Ошибка",0))</f>
        <v>Black, Caramel, Navy, Olive</v>
      </c>
    </row>
    <row r="62" spans="2:5" ht="65.849999999999994" customHeight="1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>TRIM(_xlfn.XLOOKUP('Результат (Save)'!C62,Таблица!A:A,Таблица!E:E,"Ошибка",0))</f>
        <v>Black, Olive Oil, Plaza Taupe</v>
      </c>
    </row>
    <row r="63" spans="2:5" ht="76.349999999999994" customHeight="1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>TRIM(_xlfn.XLOOKUP('Результат (Save)'!C63,Таблица!A:A,Таблица!E:E,"Ошибка",0))</f>
        <v>Ochre, Soft Khaki</v>
      </c>
    </row>
    <row r="64" spans="2:5" ht="75.95" customHeight="1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>TRIM(_xlfn.XLOOKUP('Результат (Save)'!C64,Таблица!A:A,Таблица!E:E,"Ошибка",0))</f>
        <v>Black, Navy</v>
      </c>
    </row>
    <row r="65" spans="2:5" ht="71.650000000000006" customHeight="1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>TRIM(_xlfn.XLOOKUP('Результат (Save)'!C65,Таблица!A:A,Таблица!E:E,"Ошибка",0))</f>
        <v>Black</v>
      </c>
    </row>
    <row r="66" spans="2:5" ht="84.2" customHeight="1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>TRIM(_xlfn.XLOOKUP('Результат (Save)'!C66,Таблица!A:A,Таблица!E:E,"Ошибка",0))</f>
        <v>Black, Brown, White</v>
      </c>
    </row>
    <row r="67" spans="2:5" ht="82.9" customHeight="1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>TRIM(_xlfn.XLOOKUP('Результат (Save)'!C67,Таблица!A:A,Таблица!E:E,"Ошибка",0))</f>
        <v>Black, Hemlock</v>
      </c>
    </row>
    <row r="68" spans="2:5" ht="91.9" customHeight="1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>TRIM(_xlfn.XLOOKUP('Результат (Save)'!C68,Таблица!A:A,Таблица!E:E,"Ошибка",0))</f>
        <v>Black</v>
      </c>
    </row>
    <row r="69" spans="2:5" ht="79.150000000000006" customHeight="1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>TRIM(_xlfn.XLOOKUP('Результат (Save)'!C69,Таблица!A:A,Таблица!E:E,"Ошибка",0))</f>
        <v>Fog, Latte, Navy, Static, Tan, Birch, Black, Coconut, Deep Red, Espresso</v>
      </c>
    </row>
    <row r="70" spans="2:5" ht="79.7" customHeight="1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>TRIM(_xlfn.XLOOKUP('Результат (Save)'!C70,Таблица!A:A,Таблица!E:E,"Ошибка",0))</f>
        <v>Navy Multi, Nordic Multi, Overcast, Skydiver, Woods Multi, Cement Multi, Deep Red, Multi Light, Grey Multi, Natural Multi, Brown Multi, Charcoal Multi</v>
      </c>
    </row>
    <row r="71" spans="2:5" ht="72.2" customHeight="1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>TRIM(_xlfn.XLOOKUP('Результат (Save)'!C71,Таблица!A:A,Таблица!E:E,"Ошибка",0))</f>
        <v>Black, Blue, Bronze</v>
      </c>
    </row>
    <row r="72" spans="2:5" ht="74.45" customHeight="1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>TRIM(_xlfn.XLOOKUP('Результат (Save)'!C72,Таблица!A:A,Таблица!E:E,"Ошибка",0))</f>
        <v>Black, Blue, Bronze</v>
      </c>
    </row>
    <row r="73" spans="2:5" ht="74.45" customHeight="1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>TRIM(_xlfn.XLOOKUP('Результат (Save)'!C73,Таблица!A:A,Таблица!E:E,"Ошибка",0))</f>
        <v>Copper, Green, Grey</v>
      </c>
    </row>
    <row r="74" spans="2:5" ht="72.75" customHeight="1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>TRIM(_xlfn.XLOOKUP('Результат (Save)'!C74,Таблица!A:A,Таблица!E:E,"Ошибка",0))</f>
        <v>Oak Plaid</v>
      </c>
    </row>
    <row r="75" spans="2:5" ht="74.849999999999994" customHeight="1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>TRIM(_xlfn.XLOOKUP('Результат (Save)'!C75,Таблица!A:A,Таблица!E:E,"Ошибка",0))</f>
        <v>Beige Stripe, Black Stripe, Avion Stripe</v>
      </c>
    </row>
    <row r="76" spans="2:5" ht="58.7" customHeight="1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>TRIM(_xlfn.XLOOKUP('Результат (Save)'!C76,Таблица!A:A,Таблица!E:E,"Ошибка",0))</f>
        <v>Avion, Black, Oak</v>
      </c>
    </row>
    <row r="77" spans="2:5" ht="72.95" customHeight="1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>TRIM(_xlfn.XLOOKUP('Результат (Save)'!C77,Таблица!A:A,Таблица!E:E,"Ошибка",0))</f>
        <v>Avion Plaid, Oak Twill, Uniform Green, Plaid</v>
      </c>
    </row>
    <row r="78" spans="2:5" ht="72.2" customHeight="1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>TRIM(_xlfn.XLOOKUP('Результат (Save)'!C78,Таблица!A:A,Таблица!E:E,"Ошибка",0))</f>
        <v>Avion, Grey</v>
      </c>
    </row>
    <row r="79" spans="2:5" ht="71.849999999999994" customHeight="1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>TRIM(_xlfn.XLOOKUP('Результат (Save)'!C79,Таблица!A:A,Таблица!E:E,"Ошибка",0))</f>
        <v>Blue Plaid, Copper Plaid, Uniform Green, Plaid</v>
      </c>
    </row>
    <row r="80" spans="2:5" ht="70.349999999999994" customHeight="1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>TRIM(_xlfn.XLOOKUP('Результат (Save)'!C80,Таблица!A:A,Таблица!E:E,"Ошибка",0))</f>
        <v>Black, Copper</v>
      </c>
    </row>
    <row r="81" spans="2:5" ht="68.45" customHeight="1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>TRIM(_xlfn.XLOOKUP('Результат (Save)'!C81,Таблица!A:A,Таблица!E:E,"Ошибка",0))</f>
        <v>Black, Ochre</v>
      </c>
    </row>
    <row r="82" spans="2:5" ht="71.099999999999994" customHeight="1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>TRIM(_xlfn.XLOOKUP('Результат (Save)'!C82,Таблица!A:A,Таблица!E:E,"Ошибка",0))</f>
        <v>Black, Chino, Navy, Tan</v>
      </c>
    </row>
    <row r="83" spans="2:5" ht="72.599999999999994" customHeight="1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>TRIM(_xlfn.XLOOKUP('Результат (Save)'!C83,Таблица!A:A,Таблица!E:E,"Ошибка",0))</f>
        <v>Black Paid, Brown Herringbone</v>
      </c>
    </row>
    <row r="84" spans="2:5" ht="67.7" customHeight="1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>TRIM(_xlfn.XLOOKUP('Результат (Save)'!C84,Таблица!A:A,Таблица!E:E,"Ошибка",0))</f>
        <v>Dark Coffee</v>
      </c>
    </row>
    <row r="85" spans="2:5" ht="74.45" customHeight="1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>TRIM(_xlfn.XLOOKUP('Результат (Save)'!C85,Таблица!A:A,Таблица!E:E,"Ошибка",0))</f>
        <v>Black</v>
      </c>
    </row>
    <row r="86" spans="2:5" ht="68.650000000000006" customHeight="1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>TRIM(_xlfn.XLOOKUP('Результат (Save)'!C86,Таблица!A:A,Таблица!E:E,"Ошибка",0))</f>
        <v>Brown</v>
      </c>
    </row>
    <row r="87" spans="2:5" ht="69.95" customHeight="1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>TRIM(_xlfn.XLOOKUP('Результат (Save)'!C87,Таблица!A:A,Таблица!E:E,"Ошибка",0))</f>
        <v>Black</v>
      </c>
    </row>
    <row r="88" spans="2:5" ht="66.400000000000006" customHeight="1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>TRIM(_xlfn.XLOOKUP('Результат (Save)'!C88,Таблица!A:A,Таблица!E:E,"Ошибка",0))</f>
        <v>Marl Black, Navy Plaid</v>
      </c>
    </row>
    <row r="89" spans="2:5" ht="65.650000000000006" customHeight="1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>TRIM(_xlfn.XLOOKUP('Результат (Save)'!C89,Таблица!A:A,Таблица!E:E,"Ошибка",0))</f>
        <v>Black, Brown</v>
      </c>
    </row>
    <row r="90" spans="2:5" ht="68.099999999999994" customHeight="1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>TRIM(_xlfn.XLOOKUP('Результат (Save)'!C90,Таблица!A:A,Таблица!E:E,"Ошибка",0))</f>
        <v>Black</v>
      </c>
    </row>
    <row r="91" spans="2:5" ht="80.099999999999994" customHeight="1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>TRIM(_xlfn.XLOOKUP('Результат (Save)'!C91,Таблица!A:A,Таблица!E:E,"Ошибка",0))</f>
        <v>Charcoal, Dk. Brown, Navy, Black, Burgundy</v>
      </c>
    </row>
    <row r="92" spans="2:5" ht="83.1" customHeight="1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Подготовка</vt:lpstr>
      <vt:lpstr>Вычисление</vt:lpstr>
      <vt:lpstr>Подготовка(Save)</vt:lpstr>
      <vt:lpstr>Таблица</vt:lpstr>
      <vt:lpstr>Цвета</vt:lpstr>
      <vt:lpstr>Результат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2022-01-24T14:02:27Z</dcterms:modified>
</cp:coreProperties>
</file>