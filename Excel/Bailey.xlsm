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715C91C4-9C0B-408B-A8CD-4DA52B06A87F}" xr6:coauthVersionLast="47" xr6:coauthVersionMax="47" xr10:uidLastSave="{00000000-0000-0000-0000-000000000000}"/>
  <bookViews>
    <workbookView xWindow="-120" yWindow="-120" windowWidth="29040" windowHeight="15840" activeTab="5" xr2:uid="{9E8BD5D7-3CAC-4A45-8D05-4165CCD83B9D}"/>
  </bookViews>
  <sheets>
    <sheet name="Подготовка" sheetId="11" r:id="rId1"/>
    <sheet name="Вычисление" sheetId="4" r:id="rId2"/>
    <sheet name="Подготовка(Save)" sheetId="5" state="hidden" r:id="rId3"/>
    <sheet name="Таблица" sheetId="7" r:id="rId4"/>
    <sheet name="Цвета" sheetId="12" r:id="rId5"/>
    <sheet name="Результат" sheetId="6" r:id="rId6"/>
  </sheets>
  <functionGroups builtInGroupCount="19"/>
  <definedNames>
    <definedName name="_xlpm.isName" hidden="1" xlm="1">#NAME?</definedName>
    <definedName name="_xlpm.isNameD" hidden="1" xlm="1">#NAME?</definedName>
    <definedName name="_xlpm.isNameDo" hidden="1" xlm="1">#NAME?</definedName>
    <definedName name="_xlpm.isNameDow" hidden="1" xlm="1">#NAME?</definedName>
    <definedName name="_xlpm.isNameDown" hidden="1" xlm="1">#NAME?</definedName>
    <definedName name="_xlpm.isNameU" hidden="1" xlm="1">#NAME?</definedName>
    <definedName name="_xlpm.isNameUp" hidden="1" xlm="1">#NAME?</definedName>
    <definedName name="_xlpm.isSizes" hidden="1" xlm="1">#NAME?</definedName>
    <definedName name="_xlpm.isSizesUp" hidden="1" xlm="1">#NAME?</definedName>
    <definedName name="_xlpm.SepColors" hidden="1" xlm="1">#NAME?</definedName>
    <definedName name="_xlpm.sizes" hidden="1" xlm="1">#NAME?</definedName>
    <definedName name="DoubleColors">Цвета!$A:$B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2" i="6"/>
  <c r="D2" i="7"/>
  <c r="A3" i="12"/>
  <c r="A4" i="12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2" i="12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E16" i="7" a="1"/>
  <c r="E60" i="7" a="1"/>
  <c r="E72" i="7" a="1"/>
  <c r="E80" i="7" a="1"/>
  <c r="E88" i="7" a="1"/>
  <c r="E41" i="7" a="1"/>
  <c r="E61" i="7" a="1"/>
  <c r="E81" i="7" a="1"/>
  <c r="E3" i="7" a="1"/>
  <c r="E35" i="7" a="1"/>
  <c r="E63" i="7" a="1"/>
  <c r="E83" i="7" a="1"/>
  <c r="E4" i="7" a="1"/>
  <c r="E8" i="7" a="1"/>
  <c r="E12" i="7" a="1"/>
  <c r="E20" i="7" a="1"/>
  <c r="E24" i="7" a="1"/>
  <c r="E28" i="7" a="1"/>
  <c r="E32" i="7" a="1"/>
  <c r="E36" i="7" a="1"/>
  <c r="E40" i="7" a="1"/>
  <c r="E44" i="7" a="1"/>
  <c r="E48" i="7" a="1"/>
  <c r="E52" i="7" a="1"/>
  <c r="E56" i="7" a="1"/>
  <c r="E64" i="7" a="1"/>
  <c r="E68" i="7" a="1"/>
  <c r="E76" i="7" a="1"/>
  <c r="E84" i="7" a="1"/>
  <c r="E92" i="7" a="1"/>
  <c r="E45" i="7" a="1"/>
  <c r="E65" i="7" a="1"/>
  <c r="E73" i="7" a="1"/>
  <c r="E85" i="7" a="1"/>
  <c r="E7" i="7" a="1"/>
  <c r="E27" i="7" a="1"/>
  <c r="E39" i="7" a="1"/>
  <c r="E59" i="7" a="1"/>
  <c r="E71" i="7" a="1"/>
  <c r="E5" i="7" a="1"/>
  <c r="E9" i="7" a="1"/>
  <c r="E13" i="7" a="1"/>
  <c r="E17" i="7" a="1"/>
  <c r="E21" i="7" a="1"/>
  <c r="E25" i="7" a="1"/>
  <c r="E29" i="7" a="1"/>
  <c r="E33" i="7" a="1"/>
  <c r="E37" i="7" a="1"/>
  <c r="E49" i="7" a="1"/>
  <c r="E53" i="7" a="1"/>
  <c r="E57" i="7" a="1"/>
  <c r="E69" i="7" a="1"/>
  <c r="E77" i="7" a="1"/>
  <c r="E89" i="7" a="1"/>
  <c r="E15" i="7" a="1"/>
  <c r="E47" i="7" a="1"/>
  <c r="E67" i="7" a="1"/>
  <c r="E91" i="7" a="1"/>
  <c r="E82" i="7" a="1"/>
  <c r="E19" i="7" a="1"/>
  <c r="E31" i="7" a="1"/>
  <c r="E51" i="7" a="1"/>
  <c r="E79" i="7" a="1"/>
  <c r="E6" i="7" a="1"/>
  <c r="E10" i="7" a="1"/>
  <c r="E14" i="7" a="1"/>
  <c r="E18" i="7" a="1"/>
  <c r="E22" i="7" a="1"/>
  <c r="E26" i="7" a="1"/>
  <c r="E30" i="7" a="1"/>
  <c r="E34" i="7" a="1"/>
  <c r="E38" i="7" a="1"/>
  <c r="E42" i="7" a="1"/>
  <c r="E46" i="7" a="1"/>
  <c r="E50" i="7" a="1"/>
  <c r="E54" i="7" a="1"/>
  <c r="E58" i="7" a="1"/>
  <c r="E62" i="7" a="1"/>
  <c r="E66" i="7" a="1"/>
  <c r="E70" i="7" a="1"/>
  <c r="E74" i="7" a="1"/>
  <c r="E78" i="7" a="1"/>
  <c r="E86" i="7" a="1"/>
  <c r="E90" i="7" a="1"/>
  <c r="E11" i="7" a="1"/>
  <c r="E23" i="7" a="1"/>
  <c r="E43" i="7" a="1"/>
  <c r="E55" i="7" a="1"/>
  <c r="E75" i="7" a="1"/>
  <c r="E87" i="7" a="1"/>
  <c r="E87" i="7" l="1"/>
  <c r="E75" i="7"/>
  <c r="E55" i="7"/>
  <c r="E43" i="7"/>
  <c r="E23" i="7"/>
  <c r="E11" i="7"/>
  <c r="E90" i="7"/>
  <c r="E86" i="7"/>
  <c r="E78" i="7"/>
  <c r="E74" i="7"/>
  <c r="E70" i="7"/>
  <c r="E66" i="7"/>
  <c r="E62" i="7"/>
  <c r="E58" i="7"/>
  <c r="E54" i="7"/>
  <c r="E50" i="7"/>
  <c r="E46" i="7"/>
  <c r="E42" i="7"/>
  <c r="E38" i="7"/>
  <c r="E34" i="7"/>
  <c r="E30" i="7"/>
  <c r="E26" i="7"/>
  <c r="E22" i="7"/>
  <c r="E18" i="7"/>
  <c r="E14" i="7"/>
  <c r="E10" i="7"/>
  <c r="E6" i="7"/>
  <c r="E79" i="7"/>
  <c r="E51" i="7"/>
  <c r="E31" i="7"/>
  <c r="E19" i="7"/>
  <c r="E82" i="7"/>
  <c r="E91" i="7"/>
  <c r="E67" i="7"/>
  <c r="E47" i="7"/>
  <c r="E15" i="7"/>
  <c r="E89" i="7"/>
  <c r="E77" i="7"/>
  <c r="E69" i="7"/>
  <c r="E57" i="7"/>
  <c r="E53" i="7"/>
  <c r="E49" i="7"/>
  <c r="E37" i="7"/>
  <c r="E33" i="7"/>
  <c r="E29" i="7"/>
  <c r="E25" i="7"/>
  <c r="E21" i="7"/>
  <c r="E17" i="7"/>
  <c r="E13" i="7"/>
  <c r="E9" i="7"/>
  <c r="E5" i="7"/>
  <c r="E71" i="7"/>
  <c r="E59" i="7"/>
  <c r="E39" i="7"/>
  <c r="E27" i="7"/>
  <c r="E7" i="7"/>
  <c r="E85" i="7"/>
  <c r="E73" i="7"/>
  <c r="E65" i="7"/>
  <c r="E45" i="7"/>
  <c r="E92" i="7"/>
  <c r="E84" i="7"/>
  <c r="E76" i="7"/>
  <c r="E68" i="7"/>
  <c r="E64" i="7"/>
  <c r="E56" i="7"/>
  <c r="E52" i="7"/>
  <c r="E48" i="7"/>
  <c r="E44" i="7"/>
  <c r="E40" i="7"/>
  <c r="E36" i="7"/>
  <c r="E32" i="7"/>
  <c r="E28" i="7"/>
  <c r="E24" i="7"/>
  <c r="E20" i="7"/>
  <c r="E12" i="7"/>
  <c r="E8" i="7"/>
  <c r="E4" i="7"/>
  <c r="E83" i="7"/>
  <c r="E63" i="7"/>
  <c r="E35" i="7"/>
  <c r="E3" i="7"/>
  <c r="E81" i="7"/>
  <c r="E61" i="7"/>
  <c r="E41" i="7"/>
  <c r="E88" i="7"/>
  <c r="E80" i="7"/>
  <c r="E72" i="7"/>
  <c r="E60" i="7"/>
  <c r="E16" i="7"/>
  <c r="C168" i="11"/>
  <c r="C200" i="11"/>
  <c r="C232" i="11"/>
  <c r="C264" i="11"/>
  <c r="B274" i="11"/>
  <c r="C273" i="11" s="1"/>
  <c r="B273" i="11"/>
  <c r="C272" i="11" s="1"/>
  <c r="B272" i="11"/>
  <c r="C271" i="11" s="1"/>
  <c r="B271" i="11"/>
  <c r="C270" i="11" s="1"/>
  <c r="B270" i="11"/>
  <c r="C269" i="11" s="1"/>
  <c r="B269" i="11"/>
  <c r="C268" i="11" s="1"/>
  <c r="B268" i="11"/>
  <c r="C267" i="11" s="1"/>
  <c r="B267" i="11"/>
  <c r="C266" i="11" s="1"/>
  <c r="B266" i="11"/>
  <c r="C265" i="11" s="1"/>
  <c r="B265" i="11"/>
  <c r="B264" i="11"/>
  <c r="C263" i="11" s="1"/>
  <c r="B263" i="11"/>
  <c r="C262" i="11" s="1"/>
  <c r="B262" i="11"/>
  <c r="C261" i="11" s="1"/>
  <c r="B261" i="11"/>
  <c r="C260" i="11" s="1"/>
  <c r="B260" i="11"/>
  <c r="C259" i="11" s="1"/>
  <c r="B259" i="11"/>
  <c r="C258" i="11" s="1"/>
  <c r="B258" i="11"/>
  <c r="C257" i="11" s="1"/>
  <c r="B257" i="11"/>
  <c r="C256" i="11" s="1"/>
  <c r="B256" i="11"/>
  <c r="C255" i="11" s="1"/>
  <c r="B255" i="11"/>
  <c r="C254" i="11" s="1"/>
  <c r="B254" i="11"/>
  <c r="C253" i="11" s="1"/>
  <c r="B253" i="11"/>
  <c r="C252" i="11" s="1"/>
  <c r="B252" i="11"/>
  <c r="C251" i="11" s="1"/>
  <c r="B251" i="11"/>
  <c r="C250" i="11" s="1"/>
  <c r="B250" i="11"/>
  <c r="C249" i="11" s="1"/>
  <c r="B249" i="11"/>
  <c r="C248" i="11" s="1"/>
  <c r="B248" i="11"/>
  <c r="C247" i="11" s="1"/>
  <c r="B247" i="11"/>
  <c r="C246" i="11" s="1"/>
  <c r="B246" i="11"/>
  <c r="C245" i="11" s="1"/>
  <c r="B245" i="11"/>
  <c r="C244" i="11" s="1"/>
  <c r="B244" i="11"/>
  <c r="C243" i="11" s="1"/>
  <c r="B243" i="11"/>
  <c r="C242" i="11" s="1"/>
  <c r="B242" i="11"/>
  <c r="C241" i="11" s="1"/>
  <c r="B241" i="11"/>
  <c r="C240" i="11" s="1"/>
  <c r="B240" i="11"/>
  <c r="C239" i="11" s="1"/>
  <c r="B239" i="11"/>
  <c r="C238" i="11" s="1"/>
  <c r="B238" i="11"/>
  <c r="C237" i="11" s="1"/>
  <c r="B237" i="11"/>
  <c r="C236" i="11" s="1"/>
  <c r="B236" i="11"/>
  <c r="C235" i="11" s="1"/>
  <c r="B235" i="11"/>
  <c r="C234" i="11" s="1"/>
  <c r="B234" i="11"/>
  <c r="C233" i="11" s="1"/>
  <c r="B233" i="11"/>
  <c r="B232" i="11"/>
  <c r="C231" i="11" s="1"/>
  <c r="B231" i="11"/>
  <c r="C230" i="11" s="1"/>
  <c r="B230" i="11"/>
  <c r="C229" i="11" s="1"/>
  <c r="B229" i="11"/>
  <c r="C228" i="11" s="1"/>
  <c r="B228" i="11"/>
  <c r="C227" i="11" s="1"/>
  <c r="B227" i="11"/>
  <c r="C226" i="11" s="1"/>
  <c r="B226" i="11"/>
  <c r="C225" i="11" s="1"/>
  <c r="B225" i="11"/>
  <c r="C224" i="11" s="1"/>
  <c r="B224" i="11"/>
  <c r="C223" i="11" s="1"/>
  <c r="B223" i="11"/>
  <c r="C222" i="11" s="1"/>
  <c r="B222" i="11"/>
  <c r="C221" i="11" s="1"/>
  <c r="B221" i="11"/>
  <c r="C220" i="11" s="1"/>
  <c r="B220" i="11"/>
  <c r="C219" i="11" s="1"/>
  <c r="B219" i="11"/>
  <c r="C218" i="11" s="1"/>
  <c r="B218" i="11"/>
  <c r="C217" i="11" s="1"/>
  <c r="B217" i="11"/>
  <c r="C216" i="11" s="1"/>
  <c r="B216" i="11"/>
  <c r="C215" i="11" s="1"/>
  <c r="B215" i="11"/>
  <c r="C214" i="11" s="1"/>
  <c r="B214" i="11"/>
  <c r="C213" i="11" s="1"/>
  <c r="B213" i="11"/>
  <c r="C212" i="11" s="1"/>
  <c r="B212" i="11"/>
  <c r="C211" i="11" s="1"/>
  <c r="B211" i="11"/>
  <c r="C210" i="11" s="1"/>
  <c r="B210" i="11"/>
  <c r="C209" i="11" s="1"/>
  <c r="B209" i="11"/>
  <c r="C208" i="11" s="1"/>
  <c r="B208" i="11"/>
  <c r="C207" i="11" s="1"/>
  <c r="B207" i="11"/>
  <c r="C206" i="11" s="1"/>
  <c r="B206" i="11"/>
  <c r="C205" i="11" s="1"/>
  <c r="B205" i="11"/>
  <c r="C204" i="11" s="1"/>
  <c r="B204" i="11"/>
  <c r="C203" i="11" s="1"/>
  <c r="B203" i="11"/>
  <c r="C202" i="11" s="1"/>
  <c r="B202" i="11"/>
  <c r="C201" i="11" s="1"/>
  <c r="B201" i="11"/>
  <c r="B200" i="11"/>
  <c r="C199" i="11" s="1"/>
  <c r="B199" i="11"/>
  <c r="C198" i="11" s="1"/>
  <c r="B198" i="11"/>
  <c r="C197" i="11" s="1"/>
  <c r="B197" i="11"/>
  <c r="C196" i="11" s="1"/>
  <c r="B196" i="11"/>
  <c r="C195" i="11" s="1"/>
  <c r="B195" i="11"/>
  <c r="C194" i="11" s="1"/>
  <c r="B194" i="11"/>
  <c r="C193" i="11" s="1"/>
  <c r="B193" i="11"/>
  <c r="C192" i="11" s="1"/>
  <c r="B192" i="11"/>
  <c r="C191" i="11" s="1"/>
  <c r="B191" i="11"/>
  <c r="C190" i="11" s="1"/>
  <c r="B190" i="11"/>
  <c r="C189" i="11" s="1"/>
  <c r="B189" i="11"/>
  <c r="C188" i="11" s="1"/>
  <c r="B188" i="11"/>
  <c r="C187" i="11" s="1"/>
  <c r="B187" i="11"/>
  <c r="C186" i="11" s="1"/>
  <c r="B186" i="11"/>
  <c r="C185" i="11" s="1"/>
  <c r="B185" i="11"/>
  <c r="C184" i="11" s="1"/>
  <c r="B184" i="11"/>
  <c r="C183" i="11" s="1"/>
  <c r="B183" i="11"/>
  <c r="C182" i="11" s="1"/>
  <c r="B182" i="11"/>
  <c r="C181" i="11" s="1"/>
  <c r="B181" i="11"/>
  <c r="C180" i="11" s="1"/>
  <c r="B180" i="11"/>
  <c r="C179" i="11" s="1"/>
  <c r="B179" i="11"/>
  <c r="C178" i="11" s="1"/>
  <c r="B178" i="11"/>
  <c r="C177" i="11" s="1"/>
  <c r="B177" i="11"/>
  <c r="C176" i="11" s="1"/>
  <c r="B176" i="11"/>
  <c r="C175" i="11" s="1"/>
  <c r="B175" i="11"/>
  <c r="C174" i="11" s="1"/>
  <c r="B174" i="11"/>
  <c r="C173" i="11" s="1"/>
  <c r="B173" i="11"/>
  <c r="C172" i="11" s="1"/>
  <c r="B172" i="11"/>
  <c r="C171" i="11" s="1"/>
  <c r="B171" i="11"/>
  <c r="C170" i="11" s="1"/>
  <c r="B170" i="11"/>
  <c r="C169" i="11" s="1"/>
  <c r="B169" i="11"/>
  <c r="B168" i="11"/>
  <c r="C167" i="11" s="1"/>
  <c r="B167" i="11"/>
  <c r="C166" i="11" s="1"/>
  <c r="B166" i="11"/>
  <c r="C165" i="11" s="1"/>
  <c r="B165" i="11"/>
  <c r="C164" i="11" s="1"/>
  <c r="B164" i="11"/>
  <c r="C163" i="11" s="1"/>
  <c r="B163" i="11"/>
  <c r="C162" i="11" s="1"/>
  <c r="B162" i="11"/>
  <c r="C161" i="11" s="1"/>
  <c r="B161" i="11"/>
  <c r="C160" i="11" s="1"/>
  <c r="B160" i="11"/>
  <c r="C159" i="11" s="1"/>
  <c r="B159" i="11"/>
  <c r="C158" i="11" s="1"/>
  <c r="B158" i="11"/>
  <c r="C157" i="11" s="1"/>
  <c r="B157" i="11"/>
  <c r="C156" i="11" s="1"/>
  <c r="B156" i="11"/>
  <c r="C155" i="11" s="1"/>
  <c r="B155" i="11"/>
  <c r="C154" i="11" s="1"/>
  <c r="B154" i="11"/>
  <c r="C153" i="11" s="1"/>
  <c r="B153" i="11"/>
  <c r="C152" i="11" s="1"/>
  <c r="B152" i="11"/>
  <c r="C151" i="11" s="1"/>
  <c r="B151" i="11"/>
  <c r="C150" i="11" s="1"/>
  <c r="B150" i="11"/>
  <c r="C149" i="11" s="1"/>
  <c r="B149" i="11"/>
  <c r="C148" i="11" s="1"/>
  <c r="B148" i="11"/>
  <c r="C147" i="11" s="1"/>
  <c r="B147" i="11"/>
  <c r="C146" i="11" s="1"/>
  <c r="B146" i="11"/>
  <c r="C145" i="11" s="1"/>
  <c r="B145" i="11"/>
  <c r="C144" i="11" s="1"/>
  <c r="B144" i="11"/>
  <c r="C143" i="11" s="1"/>
  <c r="B143" i="11"/>
  <c r="C142" i="11" s="1"/>
  <c r="B142" i="11"/>
  <c r="C141" i="11" s="1"/>
  <c r="B141" i="11"/>
  <c r="C140" i="11" s="1"/>
  <c r="B140" i="11"/>
  <c r="C139" i="11" s="1"/>
  <c r="B139" i="11"/>
  <c r="C138" i="11" s="1"/>
  <c r="B138" i="11"/>
  <c r="C137" i="11" s="1"/>
  <c r="B137" i="11"/>
  <c r="C136" i="11" s="1"/>
  <c r="B136" i="11"/>
  <c r="C135" i="11" s="1"/>
  <c r="B135" i="11"/>
  <c r="C134" i="11" s="1"/>
  <c r="B134" i="11"/>
  <c r="C133" i="11" s="1"/>
  <c r="B133" i="11"/>
  <c r="C132" i="11" s="1"/>
  <c r="B132" i="11"/>
  <c r="C131" i="11" s="1"/>
  <c r="B131" i="11"/>
  <c r="C130" i="11" s="1"/>
  <c r="B130" i="11"/>
  <c r="C129" i="11" s="1"/>
  <c r="B129" i="11"/>
  <c r="C128" i="11" s="1"/>
  <c r="B128" i="11"/>
  <c r="C127" i="11" s="1"/>
  <c r="B127" i="11"/>
  <c r="C126" i="11" s="1"/>
  <c r="B126" i="11"/>
  <c r="C125" i="11" s="1"/>
  <c r="B125" i="11"/>
  <c r="C124" i="11" s="1"/>
  <c r="B124" i="11"/>
  <c r="C123" i="11" s="1"/>
  <c r="B123" i="11"/>
  <c r="C122" i="11" s="1"/>
  <c r="B122" i="11"/>
  <c r="C121" i="11" s="1"/>
  <c r="B121" i="11"/>
  <c r="C120" i="11" s="1"/>
  <c r="B120" i="11"/>
  <c r="C119" i="11" s="1"/>
  <c r="B119" i="11"/>
  <c r="C118" i="11" s="1"/>
  <c r="B118" i="11"/>
  <c r="C117" i="11" s="1"/>
  <c r="B117" i="11"/>
  <c r="C116" i="11" s="1"/>
  <c r="B116" i="11"/>
  <c r="C115" i="11" s="1"/>
  <c r="B115" i="11"/>
  <c r="C114" i="11" s="1"/>
  <c r="B114" i="11"/>
  <c r="C113" i="11" s="1"/>
  <c r="B113" i="11"/>
  <c r="C112" i="11" s="1"/>
  <c r="B112" i="11"/>
  <c r="C111" i="11" s="1"/>
  <c r="B111" i="11"/>
  <c r="C110" i="11" s="1"/>
  <c r="B110" i="11"/>
  <c r="C109" i="11" s="1"/>
  <c r="B109" i="11"/>
  <c r="C108" i="11" s="1"/>
  <c r="B108" i="11"/>
  <c r="C107" i="11" s="1"/>
  <c r="B107" i="11"/>
  <c r="C106" i="11" s="1"/>
  <c r="B106" i="11"/>
  <c r="C105" i="11" s="1"/>
  <c r="B105" i="11"/>
  <c r="C104" i="11" s="1"/>
  <c r="B104" i="11"/>
  <c r="C103" i="11" s="1"/>
  <c r="B103" i="11"/>
  <c r="C102" i="11" s="1"/>
  <c r="B102" i="11"/>
  <c r="C101" i="11" s="1"/>
  <c r="B101" i="11"/>
  <c r="C100" i="11" s="1"/>
  <c r="B100" i="11"/>
  <c r="C99" i="11" s="1"/>
  <c r="B99" i="11"/>
  <c r="C98" i="11" s="1"/>
  <c r="B98" i="11"/>
  <c r="C97" i="11" s="1"/>
  <c r="B97" i="11"/>
  <c r="C96" i="11" s="1"/>
  <c r="B96" i="11"/>
  <c r="C95" i="11" s="1"/>
  <c r="B95" i="11"/>
  <c r="C94" i="11" s="1"/>
  <c r="B94" i="11"/>
  <c r="C93" i="11" s="1"/>
  <c r="B93" i="11"/>
  <c r="C92" i="11" s="1"/>
  <c r="B92" i="11"/>
  <c r="C91" i="11" s="1"/>
  <c r="B91" i="11"/>
  <c r="C90" i="11" s="1"/>
  <c r="B90" i="11"/>
  <c r="C89" i="11" s="1"/>
  <c r="B89" i="11"/>
  <c r="C88" i="11" s="1"/>
  <c r="B88" i="11"/>
  <c r="C87" i="11" s="1"/>
  <c r="B87" i="11"/>
  <c r="C86" i="11" s="1"/>
  <c r="B86" i="11"/>
  <c r="C85" i="11" s="1"/>
  <c r="B85" i="11"/>
  <c r="C84" i="11" s="1"/>
  <c r="B84" i="11"/>
  <c r="C83" i="11" s="1"/>
  <c r="B83" i="11"/>
  <c r="C82" i="11" s="1"/>
  <c r="B82" i="11"/>
  <c r="C81" i="11" s="1"/>
  <c r="B81" i="11"/>
  <c r="C80" i="11" s="1"/>
  <c r="B80" i="11"/>
  <c r="C79" i="11" s="1"/>
  <c r="B79" i="11"/>
  <c r="C78" i="11" s="1"/>
  <c r="B78" i="11"/>
  <c r="C77" i="11" s="1"/>
  <c r="B77" i="11"/>
  <c r="C76" i="11" s="1"/>
  <c r="B76" i="11"/>
  <c r="C75" i="11" s="1"/>
  <c r="B75" i="11"/>
  <c r="C74" i="11" s="1"/>
  <c r="B74" i="11"/>
  <c r="C73" i="11" s="1"/>
  <c r="B73" i="11"/>
  <c r="C72" i="11" s="1"/>
  <c r="B72" i="11"/>
  <c r="C71" i="11" s="1"/>
  <c r="B71" i="11"/>
  <c r="C70" i="11" s="1"/>
  <c r="B70" i="11"/>
  <c r="C69" i="11" s="1"/>
  <c r="B69" i="11"/>
  <c r="C68" i="11" s="1"/>
  <c r="B68" i="11"/>
  <c r="C67" i="11" s="1"/>
  <c r="B67" i="11"/>
  <c r="C66" i="11" s="1"/>
  <c r="B66" i="11"/>
  <c r="C65" i="11" s="1"/>
  <c r="B65" i="11"/>
  <c r="C64" i="11" s="1"/>
  <c r="B64" i="11"/>
  <c r="C63" i="11" s="1"/>
  <c r="B63" i="11"/>
  <c r="C62" i="11" s="1"/>
  <c r="B62" i="11"/>
  <c r="C61" i="11" s="1"/>
  <c r="B61" i="11"/>
  <c r="C60" i="11" s="1"/>
  <c r="B60" i="11"/>
  <c r="C59" i="11" s="1"/>
  <c r="B59" i="11"/>
  <c r="C58" i="11" s="1"/>
  <c r="B58" i="11"/>
  <c r="C57" i="11" s="1"/>
  <c r="B57" i="11"/>
  <c r="C56" i="11" s="1"/>
  <c r="B56" i="11"/>
  <c r="C55" i="11" s="1"/>
  <c r="B55" i="11"/>
  <c r="C54" i="11" s="1"/>
  <c r="B54" i="11"/>
  <c r="C53" i="11" s="1"/>
  <c r="B53" i="11"/>
  <c r="C52" i="11" s="1"/>
  <c r="B52" i="11"/>
  <c r="C51" i="11" s="1"/>
  <c r="B51" i="11"/>
  <c r="C50" i="11" s="1"/>
  <c r="B50" i="11"/>
  <c r="C49" i="11" s="1"/>
  <c r="B49" i="11"/>
  <c r="C48" i="11" s="1"/>
  <c r="B48" i="11"/>
  <c r="C47" i="11" s="1"/>
  <c r="B47" i="11"/>
  <c r="C46" i="11" s="1"/>
  <c r="B46" i="11"/>
  <c r="C45" i="11" s="1"/>
  <c r="B45" i="11"/>
  <c r="C44" i="11" s="1"/>
  <c r="B44" i="11"/>
  <c r="C43" i="11" s="1"/>
  <c r="B43" i="11"/>
  <c r="C42" i="11" s="1"/>
  <c r="B42" i="11"/>
  <c r="C41" i="11" s="1"/>
  <c r="B41" i="11"/>
  <c r="C40" i="11" s="1"/>
  <c r="B40" i="11"/>
  <c r="C39" i="11" s="1"/>
  <c r="B39" i="11"/>
  <c r="C38" i="11" s="1"/>
  <c r="B38" i="11"/>
  <c r="C37" i="11" s="1"/>
  <c r="B37" i="11"/>
  <c r="C36" i="11" s="1"/>
  <c r="B36" i="11"/>
  <c r="C35" i="11" s="1"/>
  <c r="B35" i="11"/>
  <c r="C34" i="11" s="1"/>
  <c r="B34" i="11"/>
  <c r="C33" i="11" s="1"/>
  <c r="B33" i="11"/>
  <c r="C32" i="11" s="1"/>
  <c r="B32" i="11"/>
  <c r="C31" i="11" s="1"/>
  <c r="B31" i="11"/>
  <c r="C30" i="11" s="1"/>
  <c r="B30" i="11"/>
  <c r="C29" i="11" s="1"/>
  <c r="B29" i="11"/>
  <c r="C28" i="11" s="1"/>
  <c r="B28" i="11"/>
  <c r="C27" i="11" s="1"/>
  <c r="B27" i="11"/>
  <c r="C26" i="11" s="1"/>
  <c r="B26" i="11"/>
  <c r="C25" i="11" s="1"/>
  <c r="B25" i="11"/>
  <c r="C24" i="11" s="1"/>
  <c r="B24" i="11"/>
  <c r="C23" i="11" s="1"/>
  <c r="B23" i="11"/>
  <c r="C22" i="11" s="1"/>
  <c r="B22" i="11"/>
  <c r="C21" i="11" s="1"/>
  <c r="B21" i="11"/>
  <c r="C20" i="11" s="1"/>
  <c r="B20" i="11"/>
  <c r="C19" i="11" s="1"/>
  <c r="B19" i="11"/>
  <c r="C18" i="11" s="1"/>
  <c r="B18" i="11"/>
  <c r="C17" i="11" s="1"/>
  <c r="B17" i="11"/>
  <c r="C16" i="11" s="1"/>
  <c r="B16" i="11"/>
  <c r="C15" i="11" s="1"/>
  <c r="B15" i="11"/>
  <c r="C14" i="11" s="1"/>
  <c r="B14" i="11"/>
  <c r="C13" i="11" s="1"/>
  <c r="B13" i="11"/>
  <c r="C12" i="11" s="1"/>
  <c r="B12" i="11"/>
  <c r="C11" i="11" s="1"/>
  <c r="B11" i="11"/>
  <c r="C10" i="11" s="1"/>
  <c r="B10" i="11"/>
  <c r="C9" i="11" s="1"/>
  <c r="B9" i="11"/>
  <c r="C8" i="11" s="1"/>
  <c r="B8" i="11"/>
  <c r="C7" i="11" s="1"/>
  <c r="B7" i="11"/>
  <c r="C6" i="11" s="1"/>
  <c r="B6" i="11"/>
  <c r="C5" i="11" s="1"/>
  <c r="B5" i="11"/>
  <c r="C4" i="11" s="1"/>
  <c r="B4" i="11"/>
  <c r="C3" i="11" s="1"/>
  <c r="B3" i="11"/>
  <c r="C2" i="11" s="1"/>
  <c r="B2" i="11"/>
  <c r="C165" i="5"/>
  <c r="C166" i="5"/>
  <c r="C173" i="5"/>
  <c r="C12" i="5"/>
  <c r="C20" i="5"/>
  <c r="C28" i="5"/>
  <c r="C36" i="5"/>
  <c r="C106" i="5"/>
  <c r="C284" i="5"/>
  <c r="B214" i="5"/>
  <c r="C213" i="5" s="1"/>
  <c r="B41" i="5"/>
  <c r="C40" i="5" s="1"/>
  <c r="B54" i="5"/>
  <c r="C53" i="5" s="1"/>
  <c r="B3" i="5"/>
  <c r="C2" i="5" s="1"/>
  <c r="B4" i="5"/>
  <c r="C3" i="5" s="1"/>
  <c r="B5" i="5"/>
  <c r="C4" i="5" s="1"/>
  <c r="B6" i="5"/>
  <c r="C5" i="5" s="1"/>
  <c r="B7" i="5"/>
  <c r="C6" i="5" s="1"/>
  <c r="B8" i="5"/>
  <c r="C7" i="5" s="1"/>
  <c r="B9" i="5"/>
  <c r="C8" i="5" s="1"/>
  <c r="B10" i="5"/>
  <c r="C9" i="5" s="1"/>
  <c r="B11" i="5"/>
  <c r="C10" i="5" s="1"/>
  <c r="B12" i="5"/>
  <c r="C11" i="5" s="1"/>
  <c r="B13" i="5"/>
  <c r="B14" i="5"/>
  <c r="C13" i="5" s="1"/>
  <c r="B15" i="5"/>
  <c r="C14" i="5" s="1"/>
  <c r="B16" i="5"/>
  <c r="C15" i="5" s="1"/>
  <c r="B17" i="5"/>
  <c r="C16" i="5" s="1"/>
  <c r="B18" i="5"/>
  <c r="C17" i="5" s="1"/>
  <c r="B19" i="5"/>
  <c r="C18" i="5" s="1"/>
  <c r="B20" i="5"/>
  <c r="C19" i="5" s="1"/>
  <c r="B21" i="5"/>
  <c r="B22" i="5"/>
  <c r="C21" i="5" s="1"/>
  <c r="B23" i="5"/>
  <c r="C22" i="5" s="1"/>
  <c r="B24" i="5"/>
  <c r="C23" i="5" s="1"/>
  <c r="B25" i="5"/>
  <c r="C24" i="5" s="1"/>
  <c r="B26" i="5"/>
  <c r="C25" i="5" s="1"/>
  <c r="B27" i="5"/>
  <c r="C26" i="5" s="1"/>
  <c r="B28" i="5"/>
  <c r="C27" i="5" s="1"/>
  <c r="B29" i="5"/>
  <c r="B30" i="5"/>
  <c r="C29" i="5" s="1"/>
  <c r="B31" i="5"/>
  <c r="C30" i="5" s="1"/>
  <c r="B32" i="5"/>
  <c r="C31" i="5" s="1"/>
  <c r="B33" i="5"/>
  <c r="C32" i="5" s="1"/>
  <c r="B34" i="5"/>
  <c r="C33" i="5" s="1"/>
  <c r="B35" i="5"/>
  <c r="C34" i="5" s="1"/>
  <c r="B36" i="5"/>
  <c r="C35" i="5" s="1"/>
  <c r="B37" i="5"/>
  <c r="B38" i="5"/>
  <c r="C37" i="5" s="1"/>
  <c r="B39" i="5"/>
  <c r="C38" i="5" s="1"/>
  <c r="B40" i="5"/>
  <c r="C39" i="5" s="1"/>
  <c r="B42" i="5"/>
  <c r="C41" i="5" s="1"/>
  <c r="B43" i="5"/>
  <c r="C42" i="5" s="1"/>
  <c r="B44" i="5"/>
  <c r="C43" i="5" s="1"/>
  <c r="B45" i="5"/>
  <c r="C44" i="5" s="1"/>
  <c r="B46" i="5"/>
  <c r="C45" i="5" s="1"/>
  <c r="B47" i="5"/>
  <c r="C46" i="5" s="1"/>
  <c r="B48" i="5"/>
  <c r="C47" i="5" s="1"/>
  <c r="B49" i="5"/>
  <c r="C48" i="5" s="1"/>
  <c r="B50" i="5"/>
  <c r="C49" i="5" s="1"/>
  <c r="B51" i="5"/>
  <c r="C50" i="5" s="1"/>
  <c r="B52" i="5"/>
  <c r="C51" i="5" s="1"/>
  <c r="B53" i="5"/>
  <c r="C52" i="5" s="1"/>
  <c r="B55" i="5"/>
  <c r="C54" i="5" s="1"/>
  <c r="B56" i="5"/>
  <c r="C55" i="5" s="1"/>
  <c r="B57" i="5"/>
  <c r="C56" i="5" s="1"/>
  <c r="B58" i="5"/>
  <c r="C57" i="5" s="1"/>
  <c r="B59" i="5"/>
  <c r="C58" i="5" s="1"/>
  <c r="B60" i="5"/>
  <c r="C59" i="5" s="1"/>
  <c r="B61" i="5"/>
  <c r="C60" i="5" s="1"/>
  <c r="B62" i="5"/>
  <c r="C61" i="5" s="1"/>
  <c r="B63" i="5"/>
  <c r="C62" i="5" s="1"/>
  <c r="B64" i="5"/>
  <c r="C63" i="5" s="1"/>
  <c r="B65" i="5"/>
  <c r="C64" i="5" s="1"/>
  <c r="B66" i="5"/>
  <c r="C65" i="5" s="1"/>
  <c r="B67" i="5"/>
  <c r="C66" i="5" s="1"/>
  <c r="B68" i="5"/>
  <c r="C67" i="5" s="1"/>
  <c r="B69" i="5"/>
  <c r="C68" i="5" s="1"/>
  <c r="B70" i="5"/>
  <c r="C69" i="5" s="1"/>
  <c r="B71" i="5"/>
  <c r="C70" i="5" s="1"/>
  <c r="B72" i="5"/>
  <c r="C71" i="5" s="1"/>
  <c r="B73" i="5"/>
  <c r="C72" i="5" s="1"/>
  <c r="B74" i="5"/>
  <c r="C73" i="5" s="1"/>
  <c r="B75" i="5"/>
  <c r="C74" i="5" s="1"/>
  <c r="B76" i="5"/>
  <c r="C75" i="5" s="1"/>
  <c r="B77" i="5"/>
  <c r="C76" i="5" s="1"/>
  <c r="B78" i="5"/>
  <c r="C77" i="5" s="1"/>
  <c r="B79" i="5"/>
  <c r="C78" i="5" s="1"/>
  <c r="B80" i="5"/>
  <c r="C79" i="5" s="1"/>
  <c r="B81" i="5"/>
  <c r="C80" i="5" s="1"/>
  <c r="B82" i="5"/>
  <c r="C81" i="5" s="1"/>
  <c r="B83" i="5"/>
  <c r="C82" i="5" s="1"/>
  <c r="B84" i="5"/>
  <c r="C83" i="5" s="1"/>
  <c r="B85" i="5"/>
  <c r="C84" i="5" s="1"/>
  <c r="B86" i="5"/>
  <c r="C85" i="5" s="1"/>
  <c r="B87" i="5"/>
  <c r="C86" i="5" s="1"/>
  <c r="B88" i="5"/>
  <c r="C87" i="5" s="1"/>
  <c r="B89" i="5"/>
  <c r="C88" i="5" s="1"/>
  <c r="B90" i="5"/>
  <c r="C89" i="5" s="1"/>
  <c r="B91" i="5"/>
  <c r="C90" i="5" s="1"/>
  <c r="B92" i="5"/>
  <c r="C91" i="5" s="1"/>
  <c r="B93" i="5"/>
  <c r="C92" i="5" s="1"/>
  <c r="B94" i="5"/>
  <c r="C93" i="5" s="1"/>
  <c r="B95" i="5"/>
  <c r="C94" i="5" s="1"/>
  <c r="B96" i="5"/>
  <c r="C95" i="5" s="1"/>
  <c r="B97" i="5"/>
  <c r="C96" i="5" s="1"/>
  <c r="B98" i="5"/>
  <c r="C97" i="5" s="1"/>
  <c r="B99" i="5"/>
  <c r="C98" i="5" s="1"/>
  <c r="B100" i="5"/>
  <c r="C99" i="5" s="1"/>
  <c r="B101" i="5"/>
  <c r="C100" i="5" s="1"/>
  <c r="B102" i="5"/>
  <c r="C101" i="5" s="1"/>
  <c r="B103" i="5"/>
  <c r="C102" i="5" s="1"/>
  <c r="B104" i="5"/>
  <c r="C103" i="5" s="1"/>
  <c r="B105" i="5"/>
  <c r="C104" i="5" s="1"/>
  <c r="B106" i="5"/>
  <c r="C105" i="5" s="1"/>
  <c r="B107" i="5"/>
  <c r="B108" i="5"/>
  <c r="C107" i="5" s="1"/>
  <c r="B109" i="5"/>
  <c r="C108" i="5" s="1"/>
  <c r="B110" i="5"/>
  <c r="C109" i="5" s="1"/>
  <c r="B111" i="5"/>
  <c r="C110" i="5" s="1"/>
  <c r="B112" i="5"/>
  <c r="C111" i="5" s="1"/>
  <c r="B113" i="5"/>
  <c r="C112" i="5" s="1"/>
  <c r="B114" i="5"/>
  <c r="C113" i="5" s="1"/>
  <c r="B115" i="5"/>
  <c r="C114" i="5" s="1"/>
  <c r="B116" i="5"/>
  <c r="C115" i="5" s="1"/>
  <c r="B117" i="5"/>
  <c r="C116" i="5" s="1"/>
  <c r="B118" i="5"/>
  <c r="C117" i="5" s="1"/>
  <c r="B119" i="5"/>
  <c r="C118" i="5" s="1"/>
  <c r="B120" i="5"/>
  <c r="C119" i="5" s="1"/>
  <c r="B121" i="5"/>
  <c r="C120" i="5" s="1"/>
  <c r="B122" i="5"/>
  <c r="C121" i="5" s="1"/>
  <c r="B123" i="5"/>
  <c r="C122" i="5" s="1"/>
  <c r="B124" i="5"/>
  <c r="C123" i="5" s="1"/>
  <c r="B125" i="5"/>
  <c r="C124" i="5" s="1"/>
  <c r="B126" i="5"/>
  <c r="C125" i="5" s="1"/>
  <c r="B127" i="5"/>
  <c r="C126" i="5" s="1"/>
  <c r="B128" i="5"/>
  <c r="C127" i="5" s="1"/>
  <c r="B129" i="5"/>
  <c r="C128" i="5" s="1"/>
  <c r="B130" i="5"/>
  <c r="C129" i="5" s="1"/>
  <c r="B131" i="5"/>
  <c r="C130" i="5" s="1"/>
  <c r="B132" i="5"/>
  <c r="C131" i="5" s="1"/>
  <c r="B133" i="5"/>
  <c r="C132" i="5" s="1"/>
  <c r="B134" i="5"/>
  <c r="C133" i="5" s="1"/>
  <c r="B135" i="5"/>
  <c r="C134" i="5" s="1"/>
  <c r="B136" i="5"/>
  <c r="C135" i="5" s="1"/>
  <c r="B137" i="5"/>
  <c r="C136" i="5" s="1"/>
  <c r="B138" i="5"/>
  <c r="C137" i="5" s="1"/>
  <c r="B139" i="5"/>
  <c r="C138" i="5" s="1"/>
  <c r="B140" i="5"/>
  <c r="C139" i="5" s="1"/>
  <c r="B141" i="5"/>
  <c r="C140" i="5" s="1"/>
  <c r="B142" i="5"/>
  <c r="C141" i="5" s="1"/>
  <c r="B143" i="5"/>
  <c r="C142" i="5" s="1"/>
  <c r="B144" i="5"/>
  <c r="C143" i="5" s="1"/>
  <c r="B145" i="5"/>
  <c r="C144" i="5" s="1"/>
  <c r="B146" i="5"/>
  <c r="C145" i="5" s="1"/>
  <c r="B147" i="5"/>
  <c r="C146" i="5" s="1"/>
  <c r="B148" i="5"/>
  <c r="C147" i="5" s="1"/>
  <c r="B149" i="5"/>
  <c r="C148" i="5" s="1"/>
  <c r="B150" i="5"/>
  <c r="C149" i="5" s="1"/>
  <c r="B151" i="5"/>
  <c r="C150" i="5" s="1"/>
  <c r="B152" i="5"/>
  <c r="C151" i="5" s="1"/>
  <c r="B153" i="5"/>
  <c r="C152" i="5" s="1"/>
  <c r="B154" i="5"/>
  <c r="C153" i="5" s="1"/>
  <c r="B155" i="5"/>
  <c r="C154" i="5" s="1"/>
  <c r="B156" i="5"/>
  <c r="C155" i="5" s="1"/>
  <c r="B157" i="5"/>
  <c r="C156" i="5" s="1"/>
  <c r="B158" i="5"/>
  <c r="C157" i="5" s="1"/>
  <c r="B159" i="5"/>
  <c r="C158" i="5" s="1"/>
  <c r="B160" i="5"/>
  <c r="C159" i="5" s="1"/>
  <c r="B161" i="5"/>
  <c r="C160" i="5" s="1"/>
  <c r="B162" i="5"/>
  <c r="C161" i="5" s="1"/>
  <c r="B163" i="5"/>
  <c r="C162" i="5" s="1"/>
  <c r="B164" i="5"/>
  <c r="C163" i="5" s="1"/>
  <c r="B165" i="5"/>
  <c r="C164" i="5" s="1"/>
  <c r="B166" i="5"/>
  <c r="B167" i="5"/>
  <c r="B168" i="5"/>
  <c r="C167" i="5" s="1"/>
  <c r="B169" i="5"/>
  <c r="C168" i="5" s="1"/>
  <c r="B170" i="5"/>
  <c r="C169" i="5" s="1"/>
  <c r="B171" i="5"/>
  <c r="C170" i="5" s="1"/>
  <c r="B172" i="5"/>
  <c r="C171" i="5" s="1"/>
  <c r="B173" i="5"/>
  <c r="C172" i="5" s="1"/>
  <c r="B174" i="5"/>
  <c r="B175" i="5"/>
  <c r="C174" i="5" s="1"/>
  <c r="B176" i="5"/>
  <c r="C175" i="5" s="1"/>
  <c r="B177" i="5"/>
  <c r="C176" i="5" s="1"/>
  <c r="B178" i="5"/>
  <c r="C177" i="5" s="1"/>
  <c r="B179" i="5"/>
  <c r="C178" i="5" s="1"/>
  <c r="B180" i="5"/>
  <c r="C179" i="5" s="1"/>
  <c r="B181" i="5"/>
  <c r="C180" i="5" s="1"/>
  <c r="B182" i="5"/>
  <c r="C181" i="5" s="1"/>
  <c r="B183" i="5"/>
  <c r="C182" i="5" s="1"/>
  <c r="B184" i="5"/>
  <c r="C183" i="5" s="1"/>
  <c r="B185" i="5"/>
  <c r="C184" i="5" s="1"/>
  <c r="B186" i="5"/>
  <c r="C185" i="5" s="1"/>
  <c r="B187" i="5"/>
  <c r="C186" i="5" s="1"/>
  <c r="B188" i="5"/>
  <c r="C187" i="5" s="1"/>
  <c r="B189" i="5"/>
  <c r="C188" i="5" s="1"/>
  <c r="B190" i="5"/>
  <c r="C189" i="5" s="1"/>
  <c r="B191" i="5"/>
  <c r="C190" i="5" s="1"/>
  <c r="B192" i="5"/>
  <c r="C191" i="5" s="1"/>
  <c r="B193" i="5"/>
  <c r="C192" i="5" s="1"/>
  <c r="B194" i="5"/>
  <c r="C193" i="5" s="1"/>
  <c r="B195" i="5"/>
  <c r="C194" i="5" s="1"/>
  <c r="B196" i="5"/>
  <c r="C195" i="5" s="1"/>
  <c r="B197" i="5"/>
  <c r="C196" i="5" s="1"/>
  <c r="B198" i="5"/>
  <c r="C197" i="5" s="1"/>
  <c r="B199" i="5"/>
  <c r="C198" i="5" s="1"/>
  <c r="B200" i="5"/>
  <c r="C199" i="5" s="1"/>
  <c r="B201" i="5"/>
  <c r="C200" i="5" s="1"/>
  <c r="B202" i="5"/>
  <c r="C201" i="5" s="1"/>
  <c r="B203" i="5"/>
  <c r="C202" i="5" s="1"/>
  <c r="B204" i="5"/>
  <c r="C203" i="5" s="1"/>
  <c r="B205" i="5"/>
  <c r="C204" i="5" s="1"/>
  <c r="B206" i="5"/>
  <c r="C205" i="5" s="1"/>
  <c r="B207" i="5"/>
  <c r="C206" i="5" s="1"/>
  <c r="B208" i="5"/>
  <c r="C207" i="5" s="1"/>
  <c r="B209" i="5"/>
  <c r="C208" i="5" s="1"/>
  <c r="B210" i="5"/>
  <c r="C209" i="5" s="1"/>
  <c r="B211" i="5"/>
  <c r="C210" i="5" s="1"/>
  <c r="B212" i="5"/>
  <c r="C211" i="5" s="1"/>
  <c r="B213" i="5"/>
  <c r="C212" i="5" s="1"/>
  <c r="B215" i="5"/>
  <c r="C214" i="5" s="1"/>
  <c r="B216" i="5"/>
  <c r="C215" i="5" s="1"/>
  <c r="B217" i="5"/>
  <c r="C216" i="5" s="1"/>
  <c r="B218" i="5"/>
  <c r="C217" i="5" s="1"/>
  <c r="B219" i="5"/>
  <c r="C218" i="5" s="1"/>
  <c r="B220" i="5"/>
  <c r="C219" i="5" s="1"/>
  <c r="B221" i="5"/>
  <c r="C220" i="5" s="1"/>
  <c r="B222" i="5"/>
  <c r="C221" i="5" s="1"/>
  <c r="B223" i="5"/>
  <c r="C222" i="5" s="1"/>
  <c r="B224" i="5"/>
  <c r="C223" i="5" s="1"/>
  <c r="B225" i="5"/>
  <c r="C224" i="5" s="1"/>
  <c r="B226" i="5"/>
  <c r="C225" i="5" s="1"/>
  <c r="B227" i="5"/>
  <c r="C226" i="5" s="1"/>
  <c r="B228" i="5"/>
  <c r="C227" i="5" s="1"/>
  <c r="B229" i="5"/>
  <c r="C228" i="5" s="1"/>
  <c r="B230" i="5"/>
  <c r="C229" i="5" s="1"/>
  <c r="B231" i="5"/>
  <c r="C230" i="5" s="1"/>
  <c r="B232" i="5"/>
  <c r="C231" i="5" s="1"/>
  <c r="B233" i="5"/>
  <c r="C232" i="5" s="1"/>
  <c r="B234" i="5"/>
  <c r="C233" i="5" s="1"/>
  <c r="B235" i="5"/>
  <c r="C234" i="5" s="1"/>
  <c r="B236" i="5"/>
  <c r="C235" i="5" s="1"/>
  <c r="B237" i="5"/>
  <c r="C236" i="5" s="1"/>
  <c r="B238" i="5"/>
  <c r="C237" i="5" s="1"/>
  <c r="B239" i="5"/>
  <c r="C238" i="5" s="1"/>
  <c r="B240" i="5"/>
  <c r="C239" i="5" s="1"/>
  <c r="B241" i="5"/>
  <c r="C240" i="5" s="1"/>
  <c r="B242" i="5"/>
  <c r="C241" i="5" s="1"/>
  <c r="B243" i="5"/>
  <c r="C242" i="5" s="1"/>
  <c r="B244" i="5"/>
  <c r="C243" i="5" s="1"/>
  <c r="B245" i="5"/>
  <c r="C244" i="5" s="1"/>
  <c r="B246" i="5"/>
  <c r="C245" i="5" s="1"/>
  <c r="B247" i="5"/>
  <c r="C246" i="5" s="1"/>
  <c r="B248" i="5"/>
  <c r="C247" i="5" s="1"/>
  <c r="B249" i="5"/>
  <c r="C248" i="5" s="1"/>
  <c r="B250" i="5"/>
  <c r="C249" i="5" s="1"/>
  <c r="B251" i="5"/>
  <c r="C250" i="5" s="1"/>
  <c r="B252" i="5"/>
  <c r="C251" i="5" s="1"/>
  <c r="B253" i="5"/>
  <c r="C252" i="5" s="1"/>
  <c r="B254" i="5"/>
  <c r="C253" i="5" s="1"/>
  <c r="B255" i="5"/>
  <c r="C254" i="5" s="1"/>
  <c r="B256" i="5"/>
  <c r="C255" i="5" s="1"/>
  <c r="B257" i="5"/>
  <c r="C256" i="5" s="1"/>
  <c r="B258" i="5"/>
  <c r="C257" i="5" s="1"/>
  <c r="B259" i="5"/>
  <c r="C258" i="5" s="1"/>
  <c r="B260" i="5"/>
  <c r="C259" i="5" s="1"/>
  <c r="B261" i="5"/>
  <c r="C260" i="5" s="1"/>
  <c r="B262" i="5"/>
  <c r="C261" i="5" s="1"/>
  <c r="B263" i="5"/>
  <c r="C262" i="5" s="1"/>
  <c r="B264" i="5"/>
  <c r="C263" i="5" s="1"/>
  <c r="B265" i="5"/>
  <c r="C264" i="5" s="1"/>
  <c r="B266" i="5"/>
  <c r="C265" i="5" s="1"/>
  <c r="B267" i="5"/>
  <c r="C266" i="5" s="1"/>
  <c r="B268" i="5"/>
  <c r="C267" i="5" s="1"/>
  <c r="B269" i="5"/>
  <c r="C268" i="5" s="1"/>
  <c r="B270" i="5"/>
  <c r="C269" i="5" s="1"/>
  <c r="B271" i="5"/>
  <c r="C270" i="5" s="1"/>
  <c r="B272" i="5"/>
  <c r="C271" i="5" s="1"/>
  <c r="B273" i="5"/>
  <c r="C272" i="5" s="1"/>
  <c r="B274" i="5"/>
  <c r="C273" i="5" s="1"/>
  <c r="B275" i="5"/>
  <c r="C274" i="5" s="1"/>
  <c r="B276" i="5"/>
  <c r="C275" i="5" s="1"/>
  <c r="B277" i="5"/>
  <c r="C276" i="5" s="1"/>
  <c r="B278" i="5"/>
  <c r="C277" i="5" s="1"/>
  <c r="B279" i="5"/>
  <c r="C278" i="5" s="1"/>
  <c r="B280" i="5"/>
  <c r="C279" i="5" s="1"/>
  <c r="B281" i="5"/>
  <c r="C280" i="5" s="1"/>
  <c r="B282" i="5"/>
  <c r="C281" i="5" s="1"/>
  <c r="B283" i="5"/>
  <c r="C282" i="5" s="1"/>
  <c r="B284" i="5"/>
  <c r="C283" i="5" s="1"/>
  <c r="B2" i="5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30" i="4"/>
  <c r="B303" i="4"/>
  <c r="B304" i="4"/>
  <c r="B305" i="4"/>
  <c r="B306" i="4"/>
  <c r="B307" i="4"/>
  <c r="B308" i="4"/>
  <c r="B309" i="4"/>
  <c r="B450" i="4"/>
  <c r="B451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2" i="4"/>
  <c r="B1" i="4"/>
  <c r="E2" i="7" a="1"/>
  <c r="E2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<sst xmlns="http://schemas.openxmlformats.org/spreadsheetml/2006/main" count="1860" uniqueCount="506">
  <si>
    <t>4” Long Teardrop</t>
  </si>
  <si>
    <t>S, M, L, XL</t>
  </si>
  <si>
    <t>61432BH THE ARCHITECT</t>
  </si>
  <si>
    <t>6 7/8, 7, 7 1/8, 7 1/4, 7 3/8, 7 1/2, 7 5/8</t>
  </si>
  <si>
    <t>61430BH TRINELL</t>
  </si>
  <si>
    <t>Superior Fur Felt</t>
  </si>
  <si>
    <t>37173BH AMMON</t>
  </si>
  <si>
    <t>30001BH WALSH</t>
  </si>
  <si>
    <t>37171BH WINTERS</t>
  </si>
  <si>
    <t>Black</t>
  </si>
  <si>
    <t>6140 DRAPER III</t>
  </si>
  <si>
    <t>5 1/4” Pinch Front Crown</t>
  </si>
  <si>
    <t>2 1/4” Snap Brim</t>
  </si>
  <si>
    <t>Japanese Grosgrain Trim</t>
  </si>
  <si>
    <t>Genuine Leather Sweatband</t>
  </si>
  <si>
    <t>Fully Lined</t>
  </si>
  <si>
    <t>Black Charcoal Cognac Olive</t>
  </si>
  <si>
    <t>61433BH CAVALIER</t>
  </si>
  <si>
    <t>4 3/4” Raised Front Teardrop Crown</t>
  </si>
  <si>
    <t>2 5/8” Brim</t>
  </si>
  <si>
    <t>Black Maple</t>
  </si>
  <si>
    <t>61424BH RALAT</t>
  </si>
  <si>
    <t>3” Snap Brim</t>
  </si>
  <si>
    <t>Vintage Flooring Nail</t>
  </si>
  <si>
    <t>Fine Woven Sweatband</t>
  </si>
  <si>
    <t>Black Charcoal</t>
  </si>
  <si>
    <t>4 1/2” Cattleman Crown</t>
  </si>
  <si>
    <t>Black Buckskin</t>
  </si>
  <si>
    <t>61442BH NILSON</t>
  </si>
  <si>
    <t>2 7/8” Brim</t>
  </si>
  <si>
    <t>Black Dipped Nail</t>
  </si>
  <si>
    <t>Copper Slate Uniform Green</t>
  </si>
  <si>
    <t>4 1/2” Raised Front Teardrop Crown</t>
  </si>
  <si>
    <t>2 3/4” Brim</t>
  </si>
  <si>
    <t>Lambskin Leather Pug Band with Metal Tip</t>
  </si>
  <si>
    <t>Removable Feather</t>
  </si>
  <si>
    <t>Black Light Mink</t>
  </si>
  <si>
    <t>61428BH GIRVIN</t>
  </si>
  <si>
    <t>4” Long Teardrop Crown</t>
  </si>
  <si>
    <t>3” Brim</t>
  </si>
  <si>
    <t>Black Chocolate</t>
  </si>
  <si>
    <t>47009BH FLUME</t>
  </si>
  <si>
    <t>Fur Velour</t>
  </si>
  <si>
    <t>Smooth Natural Lambskin Trim with Feather</t>
  </si>
  <si>
    <t>Aubergine Black Mink</t>
  </si>
  <si>
    <t>61426BH AUMAN</t>
  </si>
  <si>
    <t>Chain Link Detail</t>
  </si>
  <si>
    <t>37188BH COLBY</t>
  </si>
  <si>
    <t>4 1/2” Fedora Crown</t>
  </si>
  <si>
    <t>2 5/8” Snap Brim</t>
  </si>
  <si>
    <t>Superfine Velour Finish</t>
  </si>
  <si>
    <t>Narrow Leather Band with Thick Topstitch</t>
  </si>
  <si>
    <t>Leather Cord Knot at Crosspiece with Removable Feather</t>
  </si>
  <si>
    <t>Black Nickel Soft Khaki Stucco</t>
  </si>
  <si>
    <t>37189BH GODWIN</t>
  </si>
  <si>
    <t>3” Flat Brim</t>
  </si>
  <si>
    <t>Leather Band with Double Triangle Fold</t>
  </si>
  <si>
    <t>Black Eggplant Lazuli Blue Oak Taupe</t>
  </si>
  <si>
    <t>37190BH TREVEL</t>
  </si>
  <si>
    <t>Japanese Grosgrain Geometric Band</t>
  </si>
  <si>
    <t>Black Copper Nickel</t>
  </si>
  <si>
    <t>37172BH BOGAN</t>
  </si>
  <si>
    <t>4” Center Dent Crown</t>
  </si>
  <si>
    <t>2” Snap Brim</t>
  </si>
  <si>
    <t>Elite Finish</t>
  </si>
  <si>
    <t>Peacoat Plaza Taupe Saddle Steel</t>
  </si>
  <si>
    <t>Almond Black Camel</t>
  </si>
  <si>
    <t>20007BH CLORINDON</t>
  </si>
  <si>
    <t>3” Brim with Bound Edge</t>
  </si>
  <si>
    <t>Elite Stiffened Finish</t>
  </si>
  <si>
    <t>Wide Japanese Grosgrain Band</t>
  </si>
  <si>
    <t>Heathered Ribbon Overlay with Knotted End</t>
  </si>
  <si>
    <t>Leather Sweatband</t>
  </si>
  <si>
    <t>Black Unbleached</t>
  </si>
  <si>
    <t>37193BH CONLON</t>
  </si>
  <si>
    <t>3 1/4” Brim with Slight Curl</t>
  </si>
  <si>
    <t>Beaver Finish</t>
  </si>
  <si>
    <t>Thin Japanese Grosgrain Ribbon Band</t>
  </si>
  <si>
    <t>Black Lazuli Blue Uniform Green</t>
  </si>
  <si>
    <t>37192BH CROFT</t>
  </si>
  <si>
    <t>4” Outdoorsman Crown</t>
  </si>
  <si>
    <t>Japanese Grosgrain Band overlaid with Ostrich Leather Band</t>
  </si>
  <si>
    <t>Black Copper Taupe</t>
  </si>
  <si>
    <t>20001BH COLVER</t>
  </si>
  <si>
    <t>Japanese Grosgrain Trim with Vintage Flooring Nail</t>
  </si>
  <si>
    <t>Drilex® Sweatband</t>
  </si>
  <si>
    <t>Greige Honey Ochre Silver Lining</t>
  </si>
  <si>
    <t>Avion Black Chestnut</t>
  </si>
  <si>
    <t>20009BH COLTER</t>
  </si>
  <si>
    <t>5 1/4” Raised Front Teardrop Crown</t>
  </si>
  <si>
    <t>3” Flat Brim with Underbrim Color Accent</t>
  </si>
  <si>
    <t>Stacked Japanese Grosgrain Ribbon Band</t>
  </si>
  <si>
    <t>Black Nickel Oak</t>
  </si>
  <si>
    <t>30003BH LANG</t>
  </si>
  <si>
    <t>4 1/4” Teardrop Crown</t>
  </si>
  <si>
    <t>3” Flat Brim with Double Wrapped Leather Band</t>
  </si>
  <si>
    <t>Polished Elite Stiffened Finish</t>
  </si>
  <si>
    <t>Avion Black Uniform Green</t>
  </si>
  <si>
    <t>37191BH LEVON</t>
  </si>
  <si>
    <t>4” Telescope Crown</t>
  </si>
  <si>
    <t>Elite Velour Finish</t>
  </si>
  <si>
    <t>Velvet Band with Contrast Tipped Crosspiece</t>
  </si>
  <si>
    <t>Black Lazuli Blue Oak</t>
  </si>
  <si>
    <t>37180BH STEDMAN</t>
  </si>
  <si>
    <t>Leather Double Wrap Band</t>
  </si>
  <si>
    <t>S, M, L, XL, XXL</t>
  </si>
  <si>
    <t>Black Camel Oak Stucco</t>
  </si>
  <si>
    <t>4” Rounded Pork Pie Crown</t>
  </si>
  <si>
    <t>Goatskin Leather Sweatband</t>
  </si>
  <si>
    <t>Black Plaza Taupe</t>
  </si>
  <si>
    <t>37185BH ELLETT</t>
  </si>
  <si>
    <t>4” Sever Pinch Front Crown</t>
  </si>
  <si>
    <t>2 3/8” Snap Brim</t>
  </si>
  <si>
    <t>Japanese Wide Grosgrain Trim Folded with Pleated End Piece</t>
  </si>
  <si>
    <t>Avion Black Soft Khaki</t>
  </si>
  <si>
    <t>37186BH ERNEST</t>
  </si>
  <si>
    <t>Polished Elite Finish</t>
  </si>
  <si>
    <t>Wide Japanese Grosgrain Band with Contrast Stripe at Crosspiece</t>
  </si>
  <si>
    <t>Cream Dipped Nail</t>
  </si>
  <si>
    <t>Black Midnight Brown Unbleached</t>
  </si>
  <si>
    <t>4 1/2” Teardrop Crown</t>
  </si>
  <si>
    <t>2 7/8” Turn Down Brim</t>
  </si>
  <si>
    <t>Almond Black Camel Henna</t>
  </si>
  <si>
    <t>30002BH BARKSDALE</t>
  </si>
  <si>
    <t>3 1/4” Hand Curled Brim</t>
  </si>
  <si>
    <t>Japanese Herringbone Ribbon Trim with Metal Clamp</t>
  </si>
  <si>
    <t>Beech Black Whiskey</t>
  </si>
  <si>
    <t>20006BH DEVERS</t>
  </si>
  <si>
    <t>Pebbled Leather Band with Buckle Detail</t>
  </si>
  <si>
    <t>Ink Blue Plaza Taupe</t>
  </si>
  <si>
    <t>37158BH BRANDT</t>
  </si>
  <si>
    <t>2 1/2”” Turn Down Brim</t>
  </si>
  <si>
    <t>Lanolux®</t>
  </si>
  <si>
    <t>Natural Leather Trim</t>
  </si>
  <si>
    <t>S, M, L, XL, XXL, XXXL</t>
  </si>
  <si>
    <t>Black Black Mix Bluestone Walnut</t>
  </si>
  <si>
    <t>37161BH PERRY</t>
  </si>
  <si>
    <t>Navy Serpent Walnut</t>
  </si>
  <si>
    <t>70656BH ACKER</t>
  </si>
  <si>
    <t>2 1/2” Snap Brim</t>
  </si>
  <si>
    <t>LiteFelt®</t>
  </si>
  <si>
    <t>Dual Color Suede Band with Whip Stitch Detail</t>
  </si>
  <si>
    <t>Thin Metal Detail on Each Side</t>
  </si>
  <si>
    <t>Comfort Sweatband</t>
  </si>
  <si>
    <t>7034 BLIXEN</t>
  </si>
  <si>
    <t>Navy Nickel Satin Brass Silverbelly Vintage Blue</t>
  </si>
  <si>
    <t>7006 BRIAR</t>
  </si>
  <si>
    <t>3” Contour Turn Down Brim</t>
  </si>
  <si>
    <t>Black Unbleached Woodland Mix</t>
  </si>
  <si>
    <t>70655BH LUND</t>
  </si>
  <si>
    <t>Suede Braid Cording with Metal Ends</t>
  </si>
  <si>
    <t>Black Ochre</t>
  </si>
  <si>
    <t>70658BH MOLIN</t>
  </si>
  <si>
    <t>3” Turn Down Brim</t>
  </si>
  <si>
    <t>Japanese Ribbon with Leather Band Overlay</t>
  </si>
  <si>
    <t>Black Oak</t>
  </si>
  <si>
    <t>70657BH FALCON</t>
  </si>
  <si>
    <t>4” Outback Crown</t>
  </si>
  <si>
    <t>Japanese Grograin Band with a Two Tone Leather Band</t>
  </si>
  <si>
    <t>Avion Black</t>
  </si>
  <si>
    <t>70659BH COLVIN</t>
  </si>
  <si>
    <t>Thin Double Wrapped Leather Band</t>
  </si>
  <si>
    <t>Black Honey Uniform Green</t>
  </si>
  <si>
    <t>70660BH ERLER</t>
  </si>
  <si>
    <t>4” Severe Pinch Front Crown</t>
  </si>
  <si>
    <t>Partial Grosgrain Band</t>
  </si>
  <si>
    <t>Pinch Stitching on Crown</t>
  </si>
  <si>
    <t>Black Nickel Satin Brass Uniform Green</t>
  </si>
  <si>
    <t>7021 DARRON</t>
  </si>
  <si>
    <t>4 1/2” Telescope Crown</t>
  </si>
  <si>
    <t>1 1/2” Snap</t>
  </si>
  <si>
    <t>Black Caramel Gun Metal Satin Brass Soft Khaki</t>
  </si>
  <si>
    <t>7005 CURTIS</t>
  </si>
  <si>
    <t>4” Low Profile Pinch Front Crown</t>
  </si>
  <si>
    <t>2 1/2” Turn Down Brim</t>
  </si>
  <si>
    <t>Sea Breeze Serpent Speckled Egg Mix Uniform Green Vintage Blue</t>
  </si>
  <si>
    <t>Antique Black Contrapposto Grey Navy</t>
  </si>
  <si>
    <t>70652BH MARACK</t>
  </si>
  <si>
    <t>Japanese Double Layered Ribbon Band</t>
  </si>
  <si>
    <t>Black Oxford Mix</t>
  </si>
  <si>
    <t>70646BH NELLES</t>
  </si>
  <si>
    <t>4” Low Teardrop Crown</t>
  </si>
  <si>
    <t>Two Tone Braided Leather Cord Trim</t>
  </si>
  <si>
    <t>Moisture Wicking Sweatband</t>
  </si>
  <si>
    <t>Black Camel Pale Olive Whiskey</t>
  </si>
  <si>
    <t>70654BH TREPORT</t>
  </si>
  <si>
    <t>Aged Suede Band with Metal Trim</t>
  </si>
  <si>
    <t>Ink Blue Olive Mix Rust</t>
  </si>
  <si>
    <t>7002 FEDORA</t>
  </si>
  <si>
    <t>Black Graphite Nickel Red</t>
  </si>
  <si>
    <t>70613BH SPERLING</t>
  </si>
  <si>
    <t>Bluestone Serpent Woodland Mix</t>
  </si>
  <si>
    <t>70653BH BURNELL</t>
  </si>
  <si>
    <t>Japanese Ribbon with Two Slot Crosspiece</t>
  </si>
  <si>
    <t>Feather inserted into Slots</t>
  </si>
  <si>
    <t>Natural Mix Ochre</t>
  </si>
  <si>
    <t>7016 WYNN</t>
  </si>
  <si>
    <t>1 3/4” Contour Snap Brim</t>
  </si>
  <si>
    <t>Oxblood Pewter Serpent Silverbelly</t>
  </si>
  <si>
    <t>Black Cognac Olive Mix</t>
  </si>
  <si>
    <t>7055 ATMORE</t>
  </si>
  <si>
    <t>2 1/4” Brim</t>
  </si>
  <si>
    <t>Hand Torched LiteFelt®</t>
  </si>
  <si>
    <t>Medium Brown Mix</t>
  </si>
  <si>
    <t>7001 TINO</t>
  </si>
  <si>
    <t>Contrapposto Copper Natural Mix Navy Port</t>
  </si>
  <si>
    <t>Red Satin Brass Sea Breeze Unbleached Vintage Blue</t>
  </si>
  <si>
    <t>Basalt Black Black Mix Brown</t>
  </si>
  <si>
    <t>38367BH NIALL</t>
  </si>
  <si>
    <t>4” Brim</t>
  </si>
  <si>
    <t>Wool Felt</t>
  </si>
  <si>
    <t>Narrow Two Tone Japanese Grograin Trim</t>
  </si>
  <si>
    <t>Black Cognac Fawn</t>
  </si>
  <si>
    <t>38359BH TROPE</t>
  </si>
  <si>
    <t>2 1/2” Bound Brim</t>
  </si>
  <si>
    <t>No Band</t>
  </si>
  <si>
    <t>Bailey Oval Pin</t>
  </si>
  <si>
    <t>Black Uniform Green</t>
  </si>
  <si>
    <t>38368BH CYD</t>
  </si>
  <si>
    <t>Avion Black Whiskey</t>
  </si>
  <si>
    <t>38366BH THALER</t>
  </si>
  <si>
    <t>Pug Band</t>
  </si>
  <si>
    <t>Black Nickel Uniform Green</t>
  </si>
  <si>
    <t>3817 GODFATHER</t>
  </si>
  <si>
    <t>Homburg Crown</t>
  </si>
  <si>
    <t>2 3/4” Roll Brim with Binding</t>
  </si>
  <si>
    <t>3814 GANGSTER</t>
  </si>
  <si>
    <t>38345BH MAGLOR</t>
  </si>
  <si>
    <t>1 1/2” Brim</t>
  </si>
  <si>
    <t>Grosgrain Trim</t>
  </si>
  <si>
    <t>Black Chocolate Forest Navy</t>
  </si>
  <si>
    <t>7100 RIFF</t>
  </si>
  <si>
    <t>Polished Wool Felt</t>
  </si>
  <si>
    <t>Black Lazuli Blue Mink Ochre</t>
  </si>
  <si>
    <t>38350BH PISTON</t>
  </si>
  <si>
    <t>3 1/4” Brim</t>
  </si>
  <si>
    <t>Vegan Leather Bolo Cord</t>
  </si>
  <si>
    <t>Black Caramel Navy Olive</t>
  </si>
  <si>
    <t>38357BH KISNER</t>
  </si>
  <si>
    <t>5 1/2” Open Crown</t>
  </si>
  <si>
    <t>Stiffened Wool Felt</t>
  </si>
  <si>
    <t>Laser Etched Design at Center Back</t>
  </si>
  <si>
    <t>Logo Metal Staple</t>
  </si>
  <si>
    <t>Black Silver Sand</t>
  </si>
  <si>
    <t>71001BH CRISS</t>
  </si>
  <si>
    <t>Bitter Chocolate Black Mink Night Shade Navy</t>
  </si>
  <si>
    <t>10001BH BRODNAX</t>
  </si>
  <si>
    <t>4 1/2” Moldable Crown</t>
  </si>
  <si>
    <t>2 1/2” Brim</t>
  </si>
  <si>
    <t>Moldable Wool Felt Finish</t>
  </si>
  <si>
    <t>Japanese Grosgrain Ribbon</t>
  </si>
  <si>
    <t>Overlaid with Laced Leather Band</t>
  </si>
  <si>
    <t>Black Olive Oil Plaza Taupe</t>
  </si>
  <si>
    <t>38358BH STERNE</t>
  </si>
  <si>
    <t>Japanese Grosgrain Ribbon with Double Folded Loop</t>
  </si>
  <si>
    <t>Braided Leather Cord Overlay with Metal Ends</t>
  </si>
  <si>
    <t>Ochre Soft Khaki</t>
  </si>
  <si>
    <t>38349BH KLAXON</t>
  </si>
  <si>
    <t>2” Brim</t>
  </si>
  <si>
    <t>Black Navy</t>
  </si>
  <si>
    <t>1451 JETT</t>
  </si>
  <si>
    <t>4” Porkpie Crown</t>
  </si>
  <si>
    <t>6 3/4, 6 7/8, 7, 7 1/8, 7 1/4, 7 3/8, 7 1/2, 7 5/8</t>
  </si>
  <si>
    <t>1452 HARKER</t>
  </si>
  <si>
    <t>4 1/2” Derby Crown</t>
  </si>
  <si>
    <t>1 1/2” Stingy Rolled Brim</t>
  </si>
  <si>
    <t>Black Hemlock</t>
  </si>
  <si>
    <t>3813 ICE</t>
  </si>
  <si>
    <t>5” Tall Crown</t>
  </si>
  <si>
    <t>2 1/8” Roll Brim with Binding</t>
  </si>
  <si>
    <t>3816 DERBY</t>
  </si>
  <si>
    <t>Black Brown White</t>
  </si>
  <si>
    <t>81670 BILLY</t>
  </si>
  <si>
    <t>3 3/4” Teardrop Crown</t>
  </si>
  <si>
    <t>1 5/8” Snap Brim</t>
  </si>
  <si>
    <t>Braid</t>
  </si>
  <si>
    <t>Fog Latte Navy Static Tan</t>
  </si>
  <si>
    <t>Birch Black Coconut Deep Red Espresso</t>
  </si>
  <si>
    <t>81690 MANNES</t>
  </si>
  <si>
    <t>Contrast Rope Grosgrain Band</t>
  </si>
  <si>
    <t>Navy Multi Nordic Multi Overcast Skydiver Woods Multi</t>
  </si>
  <si>
    <t>25550BH DERIN</t>
  </si>
  <si>
    <t>Paneled Contour Fit</t>
  </si>
  <si>
    <t>Black Blue Bronze</t>
  </si>
  <si>
    <t>25553BH ABEL</t>
  </si>
  <si>
    <t>Classic Flat Cap</t>
  </si>
  <si>
    <t>Double Pinch Pleat Center Front</t>
  </si>
  <si>
    <t>Wool Blend</t>
  </si>
  <si>
    <t>Copper Green Grey</t>
  </si>
  <si>
    <t>25552BH CLAUD</t>
  </si>
  <si>
    <t>8/4 Cap</t>
  </si>
  <si>
    <t>25551BH FOSTER</t>
  </si>
  <si>
    <t>Convertible Earflaps</t>
  </si>
  <si>
    <t>Avion Black Oak</t>
  </si>
  <si>
    <t>25555BH APOSTO</t>
  </si>
  <si>
    <t>Beige Stripe Black Stripe Avion Stripe</t>
  </si>
  <si>
    <t>25554BH LOU</t>
  </si>
  <si>
    <t>Contour 5 Panel Cap</t>
  </si>
  <si>
    <t>Oak Plaid</t>
  </si>
  <si>
    <t>25558BH FURMAN</t>
  </si>
  <si>
    <t>Contour 8 Panel</t>
  </si>
  <si>
    <t>Blue Plaid Copper Plaid Uniform Green Plaid</t>
  </si>
  <si>
    <t>25440 ORMOND</t>
  </si>
  <si>
    <t>Black Paid Brown Herringbone</t>
  </si>
  <si>
    <t>25548BH FINNEGAN</t>
  </si>
  <si>
    <t>25557BH BRUNE</t>
  </si>
  <si>
    <t>Avion Grey</t>
  </si>
  <si>
    <t>25556BH GRIFF</t>
  </si>
  <si>
    <t>Avion Plaid Oak Twill Uniform Green Plaid</t>
  </si>
  <si>
    <t>1365 GRAHAM</t>
  </si>
  <si>
    <t>Water Resistant Poplin Fabric</t>
  </si>
  <si>
    <t>Black Chino Navy Tan</t>
  </si>
  <si>
    <t>25150BH REFFELL</t>
  </si>
  <si>
    <t>Leather</t>
  </si>
  <si>
    <t>Black Copper</t>
  </si>
  <si>
    <t>25102 TAXTEN</t>
  </si>
  <si>
    <t>Burnished Lambskin Leather</t>
  </si>
  <si>
    <t>Brown</t>
  </si>
  <si>
    <t>25101 STOCKTON</t>
  </si>
  <si>
    <t>Ivy Cap</t>
  </si>
  <si>
    <t>Genuine Leather</t>
  </si>
  <si>
    <t>Grosgrain Sweatband</t>
  </si>
  <si>
    <t>25111 LAZAR</t>
  </si>
  <si>
    <t>Dark Coffee</t>
  </si>
  <si>
    <t>25100 NOCLIN</t>
  </si>
  <si>
    <t>25105 VEGA</t>
  </si>
  <si>
    <t>Trapper</t>
  </si>
  <si>
    <t>Lambskin Leather / Faux Fur</t>
  </si>
  <si>
    <t>25141BH BRODIE</t>
  </si>
  <si>
    <t>100% Viscose / Faux Fur</t>
  </si>
  <si>
    <t>Marl Black Navy Plaid</t>
  </si>
  <si>
    <t>25119 VERNON</t>
  </si>
  <si>
    <t>Genuine Lambskin Leather / Rabbit Fur</t>
  </si>
  <si>
    <t>Hand Stitched Crown Detail</t>
  </si>
  <si>
    <t>Black Brown</t>
  </si>
  <si>
    <t>1362 DALTON</t>
  </si>
  <si>
    <t>4 1/2” Safari Crease Crown</t>
  </si>
  <si>
    <t>2 3/4” Turn Down Brim</t>
  </si>
  <si>
    <t>1369 JACKMAN</t>
  </si>
  <si>
    <t>4” Low Pinch Front Crown</t>
  </si>
  <si>
    <t>2 1/8” Brim</t>
  </si>
  <si>
    <t>Vegan Leather Trim</t>
  </si>
  <si>
    <t>Roll Up / Packable</t>
  </si>
  <si>
    <t>Includes Dust Bag</t>
  </si>
  <si>
    <t>Black Cognac Copper Medium Brown Mix Basalt Avion</t>
  </si>
  <si>
    <t>Cement Multi Deep Red Multi Light Grey Multi Natural Multi Brown Multi Charcoal Multi</t>
  </si>
  <si>
    <t>Charcoal Dk. Brown Navy Black Burgundy</t>
  </si>
  <si>
    <t>Image_001.jpg</t>
  </si>
  <si>
    <t>Image_004.png</t>
  </si>
  <si>
    <t>Image_007.png</t>
  </si>
  <si>
    <t>Image_010.png</t>
  </si>
  <si>
    <t>Image_013.png</t>
  </si>
  <si>
    <t>Image_016.png</t>
  </si>
  <si>
    <t>Image_019.png</t>
  </si>
  <si>
    <t>Image_022.png</t>
  </si>
  <si>
    <t>Image_025.png</t>
  </si>
  <si>
    <t>Image_028.jpg</t>
  </si>
  <si>
    <t>Image_031.jpg</t>
  </si>
  <si>
    <t>Image_034.png</t>
  </si>
  <si>
    <t>Image_037.png</t>
  </si>
  <si>
    <t>Image_040.png</t>
  </si>
  <si>
    <t>Image_043.jpg</t>
  </si>
  <si>
    <t>Image_046.png</t>
  </si>
  <si>
    <t>Image_049.png</t>
  </si>
  <si>
    <t>Image_052.jpg</t>
  </si>
  <si>
    <t>Image_056.png</t>
  </si>
  <si>
    <t>Image_060.png</t>
  </si>
  <si>
    <t>Image_063.png</t>
  </si>
  <si>
    <t>Image_066.jpg</t>
  </si>
  <si>
    <t>Image_069.png</t>
  </si>
  <si>
    <t>Image_072.jpg</t>
  </si>
  <si>
    <t>Image_075.jpg</t>
  </si>
  <si>
    <t>Image_078.png</t>
  </si>
  <si>
    <t>Image_081.png</t>
  </si>
  <si>
    <t>Image_085.png</t>
  </si>
  <si>
    <t>Image_089.png</t>
  </si>
  <si>
    <t>Image_092.png</t>
  </si>
  <si>
    <t>Image_095.png</t>
  </si>
  <si>
    <t>Image_098.png</t>
  </si>
  <si>
    <t>Image_101.png</t>
  </si>
  <si>
    <t>Image_104.png</t>
  </si>
  <si>
    <t>Image_107.png</t>
  </si>
  <si>
    <t>Image_110.png</t>
  </si>
  <si>
    <t>Image_113.jpg</t>
  </si>
  <si>
    <t>Image_117.jpg</t>
  </si>
  <si>
    <t>Image_121.png</t>
  </si>
  <si>
    <t>Image_124.png</t>
  </si>
  <si>
    <t>Image_128.png</t>
  </si>
  <si>
    <t>Image_131.png</t>
  </si>
  <si>
    <t>Image_134.png</t>
  </si>
  <si>
    <t>Image_137.png</t>
  </si>
  <si>
    <t>Image_140.png</t>
  </si>
  <si>
    <t>Image_143.png</t>
  </si>
  <si>
    <t>Image_146.png</t>
  </si>
  <si>
    <t>Image_150.png</t>
  </si>
  <si>
    <t>Image_153.png</t>
  </si>
  <si>
    <t>Image_158.jpg</t>
  </si>
  <si>
    <t>Image_161.png</t>
  </si>
  <si>
    <t>Image_164.jpg</t>
  </si>
  <si>
    <t>Image_167.png</t>
  </si>
  <si>
    <t>Image_170.jpg</t>
  </si>
  <si>
    <t>Image_173.png</t>
  </si>
  <si>
    <t>Image_176.png</t>
  </si>
  <si>
    <t>Image_179.png</t>
  </si>
  <si>
    <t>Image_182.png</t>
  </si>
  <si>
    <t>Image_185.jpg</t>
  </si>
  <si>
    <t>Image_188.png</t>
  </si>
  <si>
    <t>Image_191.png</t>
  </si>
  <si>
    <t>Image_194.jpg</t>
  </si>
  <si>
    <t>Image_197.png</t>
  </si>
  <si>
    <t>Image_200.png</t>
  </si>
  <si>
    <t>Image_203.png</t>
  </si>
  <si>
    <t>Image_206.png</t>
  </si>
  <si>
    <t>Image_209.png</t>
  </si>
  <si>
    <t>Image_212.png</t>
  </si>
  <si>
    <t>Image_216.png</t>
  </si>
  <si>
    <t>Image_221.png</t>
  </si>
  <si>
    <t>Image_224.png</t>
  </si>
  <si>
    <t>Image_227.png</t>
  </si>
  <si>
    <t>Image_230.png</t>
  </si>
  <si>
    <t>Image_233.png</t>
  </si>
  <si>
    <t>Image_236.png</t>
  </si>
  <si>
    <t>Image_239.png</t>
  </si>
  <si>
    <t>Image_242.png</t>
  </si>
  <si>
    <t>Image_245.png</t>
  </si>
  <si>
    <t>Image_248.png</t>
  </si>
  <si>
    <t>Image_251.png</t>
  </si>
  <si>
    <t>Image_254.png</t>
  </si>
  <si>
    <t>Image_257.png</t>
  </si>
  <si>
    <t>Image_260.png</t>
  </si>
  <si>
    <t>Image_263.png</t>
  </si>
  <si>
    <t>Image_266.png</t>
  </si>
  <si>
    <t>Image_269.png</t>
  </si>
  <si>
    <t>Image_272.png</t>
  </si>
  <si>
    <t>Image_275.png</t>
  </si>
  <si>
    <t>Image_278.png</t>
  </si>
  <si>
    <t>Image_281.png</t>
  </si>
  <si>
    <t>Image_285.png</t>
  </si>
  <si>
    <t>Название</t>
  </si>
  <si>
    <t>Данные</t>
  </si>
  <si>
    <t>Style</t>
  </si>
  <si>
    <t>Sizes</t>
  </si>
  <si>
    <t>Colors</t>
  </si>
  <si>
    <t>Fog Latte Navy Static Tan Birch Black Coconut Deep Red Espresso</t>
  </si>
  <si>
    <t>Peacoat Plaza Taupe Saddle Steel Almond Black Camel</t>
  </si>
  <si>
    <t>Greige Honey Ochre Silver Lining Avion Black Chestnut</t>
  </si>
  <si>
    <t>Цвета</t>
  </si>
  <si>
    <t>Peacoat Plaza Taupe Saddle Steel Almond Black Camel Henna</t>
  </si>
  <si>
    <t>Navy Nickel Satin Brass Silverbelly Vintage Blue Black Cognac Copper Medium Brown Mix Basalt Avion</t>
  </si>
  <si>
    <t>Sea Breeze Serpent Speckled Egg Mix Uniform Green Vintage Blue Antique Black Contrapposto Grey Navy</t>
  </si>
  <si>
    <t>Oxblood Pewter Serpent Silverbelly Black Cognac Olive Mix</t>
  </si>
  <si>
    <t>Navy Multi Nordic Multi Overcast Skydiver Woods Multi Cement Multi Deep Red Multi Light Grey Multi Natural Multi Brown Multi Charcoal Multi</t>
  </si>
  <si>
    <t xml:space="preserve">Charcoal Dk. Brown Navy Black Burgundy </t>
  </si>
  <si>
    <t>Red Satin Brass Sea Breeze Unbleached Vintage Blue Basalt Black Black Mix Brown</t>
  </si>
  <si>
    <t>Contrapposto Copper Natural Mix Navy Port Red Satin Brass Sea Breeze Unbleached Vintage Blue Basalt Black Black Mix Brown</t>
  </si>
  <si>
    <t>Двойные цвета</t>
  </si>
  <si>
    <t>Uniform Green</t>
  </si>
  <si>
    <t>Light Mink</t>
  </si>
  <si>
    <t>Soft Khaki</t>
  </si>
  <si>
    <t>Lazuli Blue</t>
  </si>
  <si>
    <t>Silver Lining</t>
  </si>
  <si>
    <t>Plaza Taupe</t>
  </si>
  <si>
    <t>Midnight Brown</t>
  </si>
  <si>
    <t>Black Mix</t>
  </si>
  <si>
    <t>Woodland Mix</t>
  </si>
  <si>
    <t>Satin Brass</t>
  </si>
  <si>
    <t>Vintage Blue</t>
  </si>
  <si>
    <t>Speckled Egg Mix</t>
  </si>
  <si>
    <t>Ink Blue</t>
  </si>
  <si>
    <t>Olive Mix</t>
  </si>
  <si>
    <t>Gun Metal</t>
  </si>
  <si>
    <t>Pale Olive</t>
  </si>
  <si>
    <t>Natural Mix</t>
  </si>
  <si>
    <t>Oxford Mix</t>
  </si>
  <si>
    <t>Sea Breeze</t>
  </si>
  <si>
    <t>Bitter Chocolate</t>
  </si>
  <si>
    <t>Night Shade</t>
  </si>
  <si>
    <t>Silver Sand</t>
  </si>
  <si>
    <t>Olive Oil</t>
  </si>
  <si>
    <t>Deep Red</t>
  </si>
  <si>
    <t>Brown Multi</t>
  </si>
  <si>
    <t>Charcoal Multi</t>
  </si>
  <si>
    <t>Woods Multi</t>
  </si>
  <si>
    <t>Navy Multi</t>
  </si>
  <si>
    <t>Nordic Multi</t>
  </si>
  <si>
    <t>Cement Multi</t>
  </si>
  <si>
    <t>Multi Light</t>
  </si>
  <si>
    <t>Natural Multi</t>
  </si>
  <si>
    <t>Grey Multi</t>
  </si>
  <si>
    <t>Beige Stripe</t>
  </si>
  <si>
    <t>Black Stripe</t>
  </si>
  <si>
    <t>Avion Stripe</t>
  </si>
  <si>
    <t>Dk. Brown</t>
  </si>
  <si>
    <t>Avion Plaid</t>
  </si>
  <si>
    <t>Uniform Green Plaid</t>
  </si>
  <si>
    <t>Oak Twill</t>
  </si>
  <si>
    <t>Copper Plaid</t>
  </si>
  <si>
    <t>Blue Plaid</t>
  </si>
  <si>
    <t>Black Paid</t>
  </si>
  <si>
    <t>Brown Herringbone</t>
  </si>
  <si>
    <t>Marl Black</t>
  </si>
  <si>
    <t>Navy Plaid</t>
  </si>
  <si>
    <t>Разобранные</t>
  </si>
  <si>
    <t>VLUP</t>
  </si>
  <si>
    <t>Запятые</t>
  </si>
  <si>
    <t>Photo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</si>
</sst>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left" vertical="center"/>
    </xf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6" Type="http://schemas.openxmlformats.org/officeDocument/2006/relationships/image" Target="../media/image16.png"/><Relationship Id="rId11" Type="http://schemas.openxmlformats.org/officeDocument/2006/relationships/image" Target="../media/image11.jpg"/><Relationship Id="rId32" Type="http://schemas.openxmlformats.org/officeDocument/2006/relationships/image" Target="../media/image32.png"/><Relationship Id="rId37" Type="http://schemas.openxmlformats.org/officeDocument/2006/relationships/image" Target="../media/image37.jp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14" Type="http://schemas.openxmlformats.org/officeDocument/2006/relationships/image" Target="../media/image14.png"/><Relationship Id="rId22" Type="http://schemas.openxmlformats.org/officeDocument/2006/relationships/image" Target="../media/image22.jp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jpg"/><Relationship Id="rId33" Type="http://schemas.openxmlformats.org/officeDocument/2006/relationships/image" Target="../media/image33.png"/><Relationship Id="rId38" Type="http://schemas.openxmlformats.org/officeDocument/2006/relationships/image" Target="../media/image38.jpg"/><Relationship Id="rId46" Type="http://schemas.openxmlformats.org/officeDocument/2006/relationships/image" Target="../media/image46.png"/><Relationship Id="rId59" Type="http://schemas.openxmlformats.org/officeDocument/2006/relationships/image" Target="../media/image59.jp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jpg"/><Relationship Id="rId62" Type="http://schemas.openxmlformats.org/officeDocument/2006/relationships/image" Target="../media/image62.jp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1" Type="http://schemas.openxmlformats.org/officeDocument/2006/relationships/image" Target="../media/image1.jpg"/><Relationship Id="rId6" Type="http://schemas.openxmlformats.org/officeDocument/2006/relationships/image" Target="../media/image6.png"/><Relationship Id="rId15" Type="http://schemas.openxmlformats.org/officeDocument/2006/relationships/image" Target="../media/image15.jp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jp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jp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jp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jp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29" Type="http://schemas.openxmlformats.org/officeDocument/2006/relationships/image" Target="../media/image29.png"/><Relationship Id="rId24" Type="http://schemas.openxmlformats.org/officeDocument/2006/relationships/image" Target="../media/image24.jp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</xdr:colOff>
      <xdr:row>1</xdr:row>
      <xdr:rowOff>24631</xdr:rowOff>
    </xdr:from>
    <xdr:to>
      <xdr:col>0</xdr:col>
      <xdr:colOff>1400175</xdr:colOff>
      <xdr:row>1</xdr:row>
      <xdr:rowOff>918343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3E6B00C5-58B2-4B17-81B3-10B2394C0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631"/>
          <a:ext cx="1371600" cy="89371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</xdr:row>
      <xdr:rowOff>21907</xdr:rowOff>
    </xdr:from>
    <xdr:to>
      <xdr:col>0</xdr:col>
      <xdr:colOff>1400175</xdr:colOff>
      <xdr:row>2</xdr:row>
      <xdr:rowOff>844867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BE2F5792-1596-4118-911D-1B0F229BA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64882"/>
          <a:ext cx="1371600" cy="8229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</xdr:row>
      <xdr:rowOff>23685</xdr:rowOff>
    </xdr:from>
    <xdr:to>
      <xdr:col>0</xdr:col>
      <xdr:colOff>1400175</xdr:colOff>
      <xdr:row>3</xdr:row>
      <xdr:rowOff>995491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5885177F-628D-4809-8B4F-5DA711E4D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33435"/>
          <a:ext cx="1371600" cy="9718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</xdr:row>
      <xdr:rowOff>21824</xdr:rowOff>
    </xdr:from>
    <xdr:to>
      <xdr:col>0</xdr:col>
      <xdr:colOff>1400175</xdr:colOff>
      <xdr:row>4</xdr:row>
      <xdr:rowOff>940200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761EC65B-5DA4-43D6-B415-65E859A35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50749"/>
          <a:ext cx="1371600" cy="9183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</xdr:row>
      <xdr:rowOff>25036</xdr:rowOff>
    </xdr:from>
    <xdr:to>
      <xdr:col>0</xdr:col>
      <xdr:colOff>1400175</xdr:colOff>
      <xdr:row>5</xdr:row>
      <xdr:rowOff>975089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FFBA6AA5-D828-46D6-9F20-199B28BDB5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15986"/>
          <a:ext cx="1371600" cy="9500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</xdr:row>
      <xdr:rowOff>21399</xdr:rowOff>
    </xdr:from>
    <xdr:to>
      <xdr:col>0</xdr:col>
      <xdr:colOff>1400175</xdr:colOff>
      <xdr:row>6</xdr:row>
      <xdr:rowOff>950151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75F4D460-81BC-4973-9042-6EB81A8A3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812474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</xdr:row>
      <xdr:rowOff>22347</xdr:rowOff>
    </xdr:from>
    <xdr:to>
      <xdr:col>0</xdr:col>
      <xdr:colOff>1400175</xdr:colOff>
      <xdr:row>7</xdr:row>
      <xdr:rowOff>1044453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842EB408-6E9E-4037-9174-E10289A949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784972"/>
          <a:ext cx="1371600" cy="1022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</xdr:row>
      <xdr:rowOff>22396</xdr:rowOff>
    </xdr:from>
    <xdr:to>
      <xdr:col>0</xdr:col>
      <xdr:colOff>1400175</xdr:colOff>
      <xdr:row>8</xdr:row>
      <xdr:rowOff>949153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D5974DF8-4694-4E07-9BB3-1366056D47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51821"/>
          <a:ext cx="1371600" cy="9267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</xdr:row>
      <xdr:rowOff>21336</xdr:rowOff>
    </xdr:from>
    <xdr:to>
      <xdr:col>0</xdr:col>
      <xdr:colOff>1400175</xdr:colOff>
      <xdr:row>9</xdr:row>
      <xdr:rowOff>893064</xdr:rowOff>
    </xdr:to>
    <xdr:pic>
      <xdr:nvPicPr>
        <xdr:cNvPr id="10" name="Рисунок 9">
          <a:extLst>
            <a:ext uri="{FF2B5EF4-FFF2-40B4-BE49-F238E27FC236}">
              <a16:creationId xmlns:a16="http://schemas.microsoft.com/office/drawing/2014/main" id="{DDAFE8D8-A979-4A67-A4E5-5327A9D31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22311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10</xdr:row>
      <xdr:rowOff>22175</xdr:rowOff>
    </xdr:from>
    <xdr:to>
      <xdr:col>0</xdr:col>
      <xdr:colOff>1400175</xdr:colOff>
      <xdr:row>10</xdr:row>
      <xdr:rowOff>977951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71E6AF85-90B4-4A5B-968A-03168F282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737550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11</xdr:row>
      <xdr:rowOff>23619</xdr:rowOff>
    </xdr:from>
    <xdr:to>
      <xdr:col>0</xdr:col>
      <xdr:colOff>1400175</xdr:colOff>
      <xdr:row>11</xdr:row>
      <xdr:rowOff>966982</xdr:rowOff>
    </xdr:to>
    <xdr:pic>
      <xdr:nvPicPr>
        <xdr:cNvPr id="12" name="Рисунок 11">
          <a:extLst>
            <a:ext uri="{FF2B5EF4-FFF2-40B4-BE49-F238E27FC236}">
              <a16:creationId xmlns:a16="http://schemas.microsoft.com/office/drawing/2014/main" id="{1AB51B47-D2BF-4E95-88CE-3BBC2497C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973911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12</xdr:row>
      <xdr:rowOff>21399</xdr:rowOff>
    </xdr:from>
    <xdr:to>
      <xdr:col>0</xdr:col>
      <xdr:colOff>1400175</xdr:colOff>
      <xdr:row>12</xdr:row>
      <xdr:rowOff>950151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1FF5E21B-FD79-4D9C-A0A2-03A430571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0727499"/>
          <a:ext cx="1371600" cy="92875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13</xdr:row>
      <xdr:rowOff>21698</xdr:rowOff>
    </xdr:from>
    <xdr:to>
      <xdr:col>0</xdr:col>
      <xdr:colOff>1400175</xdr:colOff>
      <xdr:row>13</xdr:row>
      <xdr:rowOff>968902</xdr:rowOff>
    </xdr:to>
    <xdr:pic>
      <xdr:nvPicPr>
        <xdr:cNvPr id="14" name="Рисунок 13">
          <a:extLst>
            <a:ext uri="{FF2B5EF4-FFF2-40B4-BE49-F238E27FC236}">
              <a16:creationId xmlns:a16="http://schemas.microsoft.com/office/drawing/2014/main" id="{AA511A86-33DE-4317-86F5-228E4CA225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1699348"/>
          <a:ext cx="1371600" cy="94720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14</xdr:row>
      <xdr:rowOff>24474</xdr:rowOff>
    </xdr:from>
    <xdr:to>
      <xdr:col>0</xdr:col>
      <xdr:colOff>1400175</xdr:colOff>
      <xdr:row>14</xdr:row>
      <xdr:rowOff>947075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3E1CAE8B-85BA-4C33-88D0-7617FE0D70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2692724"/>
          <a:ext cx="1371600" cy="92260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15</xdr:row>
      <xdr:rowOff>24416</xdr:rowOff>
    </xdr:from>
    <xdr:to>
      <xdr:col>0</xdr:col>
      <xdr:colOff>1400175</xdr:colOff>
      <xdr:row>15</xdr:row>
      <xdr:rowOff>899509</xdr:rowOff>
    </xdr:to>
    <xdr:pic>
      <xdr:nvPicPr>
        <xdr:cNvPr id="16" name="Рисунок 15">
          <a:extLst>
            <a:ext uri="{FF2B5EF4-FFF2-40B4-BE49-F238E27FC236}">
              <a16:creationId xmlns:a16="http://schemas.microsoft.com/office/drawing/2014/main" id="{ADE0CE14-5BFC-459C-9923-2ABA6BB4C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3664216"/>
          <a:ext cx="1371600" cy="8750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16</xdr:row>
      <xdr:rowOff>24842</xdr:rowOff>
    </xdr:from>
    <xdr:to>
      <xdr:col>0</xdr:col>
      <xdr:colOff>1400175</xdr:colOff>
      <xdr:row>16</xdr:row>
      <xdr:rowOff>1013383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17785EC6-7BA4-4059-BB1F-A6013CAC1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458856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17</xdr:row>
      <xdr:rowOff>22489</xdr:rowOff>
    </xdr:from>
    <xdr:to>
      <xdr:col>0</xdr:col>
      <xdr:colOff>1400175</xdr:colOff>
      <xdr:row>17</xdr:row>
      <xdr:rowOff>920487</xdr:rowOff>
    </xdr:to>
    <xdr:pic>
      <xdr:nvPicPr>
        <xdr:cNvPr id="18" name="Рисунок 17">
          <a:extLst>
            <a:ext uri="{FF2B5EF4-FFF2-40B4-BE49-F238E27FC236}">
              <a16:creationId xmlns:a16="http://schemas.microsoft.com/office/drawing/2014/main" id="{7D8DE3C5-E26A-438C-80FE-54E880284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5624439"/>
          <a:ext cx="1371600" cy="89799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18</xdr:row>
      <xdr:rowOff>21527</xdr:rowOff>
    </xdr:from>
    <xdr:to>
      <xdr:col>0</xdr:col>
      <xdr:colOff>1400175</xdr:colOff>
      <xdr:row>18</xdr:row>
      <xdr:rowOff>921446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3876AF29-F57C-41BA-8A04-92C522FED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6566452"/>
          <a:ext cx="1371600" cy="89991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19</xdr:row>
      <xdr:rowOff>23619</xdr:rowOff>
    </xdr:from>
    <xdr:to>
      <xdr:col>0</xdr:col>
      <xdr:colOff>1400175</xdr:colOff>
      <xdr:row>19</xdr:row>
      <xdr:rowOff>966982</xdr:rowOff>
    </xdr:to>
    <xdr:pic>
      <xdr:nvPicPr>
        <xdr:cNvPr id="20" name="Рисунок 19">
          <a:extLst>
            <a:ext uri="{FF2B5EF4-FFF2-40B4-BE49-F238E27FC236}">
              <a16:creationId xmlns:a16="http://schemas.microsoft.com/office/drawing/2014/main" id="{A7ADA5B3-D2D2-4F19-8447-94761F1DF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7511519"/>
          <a:ext cx="1371600" cy="9433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20</xdr:row>
      <xdr:rowOff>25563</xdr:rowOff>
    </xdr:from>
    <xdr:to>
      <xdr:col>0</xdr:col>
      <xdr:colOff>1400175</xdr:colOff>
      <xdr:row>20</xdr:row>
      <xdr:rowOff>917411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C644D8A9-7281-4D06-96D2-AB618380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8504063"/>
          <a:ext cx="1371600" cy="8918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21</xdr:row>
      <xdr:rowOff>23983</xdr:rowOff>
    </xdr:from>
    <xdr:to>
      <xdr:col>0</xdr:col>
      <xdr:colOff>1400175</xdr:colOff>
      <xdr:row>21</xdr:row>
      <xdr:rowOff>1014241</xdr:rowOff>
    </xdr:to>
    <xdr:pic>
      <xdr:nvPicPr>
        <xdr:cNvPr id="22" name="Рисунок 21">
          <a:extLst>
            <a:ext uri="{FF2B5EF4-FFF2-40B4-BE49-F238E27FC236}">
              <a16:creationId xmlns:a16="http://schemas.microsoft.com/office/drawing/2014/main" id="{C26A51B4-7E68-4D5F-909D-B22FEC098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19445458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22</xdr:row>
      <xdr:rowOff>24200</xdr:rowOff>
    </xdr:from>
    <xdr:to>
      <xdr:col>0</xdr:col>
      <xdr:colOff>1400175</xdr:colOff>
      <xdr:row>22</xdr:row>
      <xdr:rowOff>880674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F145276D-1372-4CA4-B053-436911BBA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0483900"/>
          <a:ext cx="1371600" cy="85647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23</xdr:row>
      <xdr:rowOff>23279</xdr:rowOff>
    </xdr:from>
    <xdr:to>
      <xdr:col>0</xdr:col>
      <xdr:colOff>1400175</xdr:colOff>
      <xdr:row>23</xdr:row>
      <xdr:rowOff>872072</xdr:rowOff>
    </xdr:to>
    <xdr:pic>
      <xdr:nvPicPr>
        <xdr:cNvPr id="24" name="Рисунок 23">
          <a:extLst>
            <a:ext uri="{FF2B5EF4-FFF2-40B4-BE49-F238E27FC236}">
              <a16:creationId xmlns:a16="http://schemas.microsoft.com/office/drawing/2014/main" id="{A5B79E6A-1C59-4434-A145-9FC6F07FE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1387854"/>
          <a:ext cx="1371600" cy="84879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24</xdr:row>
      <xdr:rowOff>22757</xdr:rowOff>
    </xdr:from>
    <xdr:to>
      <xdr:col>0</xdr:col>
      <xdr:colOff>1400175</xdr:colOff>
      <xdr:row>24</xdr:row>
      <xdr:rowOff>891644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25A40780-E309-46C6-BD76-9E43DD63C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2282682"/>
          <a:ext cx="1371600" cy="86888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25</xdr:row>
      <xdr:rowOff>21743</xdr:rowOff>
    </xdr:from>
    <xdr:to>
      <xdr:col>0</xdr:col>
      <xdr:colOff>1400175</xdr:colOff>
      <xdr:row>25</xdr:row>
      <xdr:rowOff>940281</xdr:rowOff>
    </xdr:to>
    <xdr:pic>
      <xdr:nvPicPr>
        <xdr:cNvPr id="26" name="Рисунок 25">
          <a:extLst>
            <a:ext uri="{FF2B5EF4-FFF2-40B4-BE49-F238E27FC236}">
              <a16:creationId xmlns:a16="http://schemas.microsoft.com/office/drawing/2014/main" id="{718E68A1-2299-4949-A0A0-1DE86F58C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3196068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26</xdr:row>
      <xdr:rowOff>21306</xdr:rowOff>
    </xdr:from>
    <xdr:to>
      <xdr:col>0</xdr:col>
      <xdr:colOff>1400175</xdr:colOff>
      <xdr:row>26</xdr:row>
      <xdr:rowOff>959769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94567872-3B51-43A9-B2CE-10A9E430CA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4157656"/>
          <a:ext cx="1371600" cy="93846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27</xdr:row>
      <xdr:rowOff>22861</xdr:rowOff>
    </xdr:from>
    <xdr:to>
      <xdr:col>0</xdr:col>
      <xdr:colOff>1400175</xdr:colOff>
      <xdr:row>27</xdr:row>
      <xdr:rowOff>967741</xdr:rowOff>
    </xdr:to>
    <xdr:pic>
      <xdr:nvPicPr>
        <xdr:cNvPr id="28" name="Рисунок 27">
          <a:extLst>
            <a:ext uri="{FF2B5EF4-FFF2-40B4-BE49-F238E27FC236}">
              <a16:creationId xmlns:a16="http://schemas.microsoft.com/office/drawing/2014/main" id="{020A1F74-E71D-41F7-A4FD-66CFBE451D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5140286"/>
          <a:ext cx="1371600" cy="94488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28</xdr:row>
      <xdr:rowOff>25059</xdr:rowOff>
    </xdr:from>
    <xdr:to>
      <xdr:col>0</xdr:col>
      <xdr:colOff>1400175</xdr:colOff>
      <xdr:row>28</xdr:row>
      <xdr:rowOff>1127467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C224DF78-D6A5-455D-B41A-A1FCE8EA44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6133084"/>
          <a:ext cx="1371600" cy="11024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29</xdr:row>
      <xdr:rowOff>22287</xdr:rowOff>
    </xdr:from>
    <xdr:to>
      <xdr:col>0</xdr:col>
      <xdr:colOff>1400175</xdr:colOff>
      <xdr:row>29</xdr:row>
      <xdr:rowOff>1168335</xdr:rowOff>
    </xdr:to>
    <xdr:pic>
      <xdr:nvPicPr>
        <xdr:cNvPr id="30" name="Рисунок 29">
          <a:extLst>
            <a:ext uri="{FF2B5EF4-FFF2-40B4-BE49-F238E27FC236}">
              <a16:creationId xmlns:a16="http://schemas.microsoft.com/office/drawing/2014/main" id="{8A8E870B-88F1-4F4E-8161-1ED5F96373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7282837"/>
          <a:ext cx="1371600" cy="114604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30</xdr:row>
      <xdr:rowOff>22058</xdr:rowOff>
    </xdr:from>
    <xdr:to>
      <xdr:col>0</xdr:col>
      <xdr:colOff>1400175</xdr:colOff>
      <xdr:row>30</xdr:row>
      <xdr:rowOff>930442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3344AC35-01A2-4AF9-962F-3FB78F3A6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8473233"/>
          <a:ext cx="1371600" cy="90838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31</xdr:row>
      <xdr:rowOff>24842</xdr:rowOff>
    </xdr:from>
    <xdr:to>
      <xdr:col>0</xdr:col>
      <xdr:colOff>1400175</xdr:colOff>
      <xdr:row>31</xdr:row>
      <xdr:rowOff>1013383</xdr:rowOff>
    </xdr:to>
    <xdr:pic>
      <xdr:nvPicPr>
        <xdr:cNvPr id="32" name="Рисунок 31">
          <a:extLst>
            <a:ext uri="{FF2B5EF4-FFF2-40B4-BE49-F238E27FC236}">
              <a16:creationId xmlns:a16="http://schemas.microsoft.com/office/drawing/2014/main" id="{AEB94319-93E8-4C3B-8AF6-3DA1BA347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29428517"/>
          <a:ext cx="1371600" cy="98854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32</xdr:row>
      <xdr:rowOff>25372</xdr:rowOff>
    </xdr:from>
    <xdr:to>
      <xdr:col>0</xdr:col>
      <xdr:colOff>1400175</xdr:colOff>
      <xdr:row>32</xdr:row>
      <xdr:rowOff>1003329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A5C7ED9B-D551-4B91-9001-17F1F9DCA9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0467272"/>
          <a:ext cx="1371600" cy="9779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33</xdr:row>
      <xdr:rowOff>23983</xdr:rowOff>
    </xdr:from>
    <xdr:to>
      <xdr:col>0</xdr:col>
      <xdr:colOff>1400175</xdr:colOff>
      <xdr:row>33</xdr:row>
      <xdr:rowOff>1014241</xdr:rowOff>
    </xdr:to>
    <xdr:pic>
      <xdr:nvPicPr>
        <xdr:cNvPr id="34" name="Рисунок 33">
          <a:extLst>
            <a:ext uri="{FF2B5EF4-FFF2-40B4-BE49-F238E27FC236}">
              <a16:creationId xmlns:a16="http://schemas.microsoft.com/office/drawing/2014/main" id="{A9DFA247-8995-4128-BAAB-78CBC8105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1494583"/>
          <a:ext cx="1371600" cy="99025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34</xdr:row>
      <xdr:rowOff>22823</xdr:rowOff>
    </xdr:from>
    <xdr:to>
      <xdr:col>0</xdr:col>
      <xdr:colOff>1400175</xdr:colOff>
      <xdr:row>34</xdr:row>
      <xdr:rowOff>986825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446AE6BD-78F9-4796-B26E-30CEDFECDF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2531648"/>
          <a:ext cx="1371600" cy="96400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35</xdr:row>
      <xdr:rowOff>23385</xdr:rowOff>
    </xdr:from>
    <xdr:to>
      <xdr:col>0</xdr:col>
      <xdr:colOff>1400175</xdr:colOff>
      <xdr:row>35</xdr:row>
      <xdr:rowOff>976739</xdr:rowOff>
    </xdr:to>
    <xdr:pic>
      <xdr:nvPicPr>
        <xdr:cNvPr id="36" name="Рисунок 35">
          <a:extLst>
            <a:ext uri="{FF2B5EF4-FFF2-40B4-BE49-F238E27FC236}">
              <a16:creationId xmlns:a16="http://schemas.microsoft.com/office/drawing/2014/main" id="{1626CBB9-CEEC-42F5-8E28-57F5D3DB3D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3541860"/>
          <a:ext cx="1371600" cy="95335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36</xdr:row>
      <xdr:rowOff>22436</xdr:rowOff>
    </xdr:from>
    <xdr:to>
      <xdr:col>0</xdr:col>
      <xdr:colOff>1400175</xdr:colOff>
      <xdr:row>36</xdr:row>
      <xdr:rowOff>1101515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F16929FC-F995-4F97-9B38-0CA9A341F8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4541036"/>
          <a:ext cx="1371600" cy="107907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37</xdr:row>
      <xdr:rowOff>22175</xdr:rowOff>
    </xdr:from>
    <xdr:to>
      <xdr:col>0</xdr:col>
      <xdr:colOff>1400175</xdr:colOff>
      <xdr:row>37</xdr:row>
      <xdr:rowOff>977951</xdr:rowOff>
    </xdr:to>
    <xdr:pic>
      <xdr:nvPicPr>
        <xdr:cNvPr id="38" name="Рисунок 37">
          <a:extLst>
            <a:ext uri="{FF2B5EF4-FFF2-40B4-BE49-F238E27FC236}">
              <a16:creationId xmlns:a16="http://schemas.microsoft.com/office/drawing/2014/main" id="{56AA1363-0319-435A-B9A8-EA571777FF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5664725"/>
          <a:ext cx="1371600" cy="95577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38</xdr:row>
      <xdr:rowOff>25037</xdr:rowOff>
    </xdr:from>
    <xdr:to>
      <xdr:col>0</xdr:col>
      <xdr:colOff>1400175</xdr:colOff>
      <xdr:row>38</xdr:row>
      <xdr:rowOff>965563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D889E3E4-2C82-4BAA-99BC-DD390ADC6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6667712"/>
          <a:ext cx="1371600" cy="940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39</xdr:row>
      <xdr:rowOff>24445</xdr:rowOff>
    </xdr:from>
    <xdr:to>
      <xdr:col>0</xdr:col>
      <xdr:colOff>1400175</xdr:colOff>
      <xdr:row>39</xdr:row>
      <xdr:rowOff>1080456</xdr:rowOff>
    </xdr:to>
    <xdr:pic>
      <xdr:nvPicPr>
        <xdr:cNvPr id="40" name="Рисунок 39">
          <a:extLst>
            <a:ext uri="{FF2B5EF4-FFF2-40B4-BE49-F238E27FC236}">
              <a16:creationId xmlns:a16="http://schemas.microsoft.com/office/drawing/2014/main" id="{DC8810C3-90BB-400D-98B3-9E7FA1910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7657720"/>
          <a:ext cx="1371600" cy="105601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40</xdr:row>
      <xdr:rowOff>22594</xdr:rowOff>
    </xdr:from>
    <xdr:to>
      <xdr:col>0</xdr:col>
      <xdr:colOff>1400175</xdr:colOff>
      <xdr:row>40</xdr:row>
      <xdr:rowOff>1025154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51041229-02D2-4A7B-90A0-CCFCEA3A2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8760769"/>
          <a:ext cx="1371600" cy="100256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41</xdr:row>
      <xdr:rowOff>24712</xdr:rowOff>
    </xdr:from>
    <xdr:to>
      <xdr:col>0</xdr:col>
      <xdr:colOff>1400175</xdr:colOff>
      <xdr:row>41</xdr:row>
      <xdr:rowOff>956365</xdr:rowOff>
    </xdr:to>
    <xdr:pic>
      <xdr:nvPicPr>
        <xdr:cNvPr id="42" name="Рисунок 41">
          <a:extLst>
            <a:ext uri="{FF2B5EF4-FFF2-40B4-BE49-F238E27FC236}">
              <a16:creationId xmlns:a16="http://schemas.microsoft.com/office/drawing/2014/main" id="{83A9F8B6-CA8B-4E0F-9515-559B81923E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39810637"/>
          <a:ext cx="1371600" cy="93165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42</xdr:row>
      <xdr:rowOff>23298</xdr:rowOff>
    </xdr:from>
    <xdr:to>
      <xdr:col>0</xdr:col>
      <xdr:colOff>1400175</xdr:colOff>
      <xdr:row>42</xdr:row>
      <xdr:rowOff>900628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F651AB77-F3BA-4F41-8C04-794BEEEAA7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0790298"/>
          <a:ext cx="1371600" cy="87733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43</xdr:row>
      <xdr:rowOff>22138</xdr:rowOff>
    </xdr:from>
    <xdr:to>
      <xdr:col>0</xdr:col>
      <xdr:colOff>1400175</xdr:colOff>
      <xdr:row>43</xdr:row>
      <xdr:rowOff>930360</xdr:rowOff>
    </xdr:to>
    <xdr:pic>
      <xdr:nvPicPr>
        <xdr:cNvPr id="44" name="Рисунок 43">
          <a:extLst>
            <a:ext uri="{FF2B5EF4-FFF2-40B4-BE49-F238E27FC236}">
              <a16:creationId xmlns:a16="http://schemas.microsoft.com/office/drawing/2014/main" id="{15B92974-8CC6-4B4D-86BC-06E3BB4017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1713063"/>
          <a:ext cx="1371600" cy="90822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44</xdr:row>
      <xdr:rowOff>23878</xdr:rowOff>
    </xdr:from>
    <xdr:to>
      <xdr:col>0</xdr:col>
      <xdr:colOff>1400175</xdr:colOff>
      <xdr:row>44</xdr:row>
      <xdr:rowOff>909575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7A198E3B-E75F-4D96-A898-C7E3F5A87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2667303"/>
          <a:ext cx="1371600" cy="88569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45</xdr:row>
      <xdr:rowOff>24764</xdr:rowOff>
    </xdr:from>
    <xdr:to>
      <xdr:col>0</xdr:col>
      <xdr:colOff>1400175</xdr:colOff>
      <xdr:row>45</xdr:row>
      <xdr:rowOff>984884</xdr:rowOff>
    </xdr:to>
    <xdr:pic>
      <xdr:nvPicPr>
        <xdr:cNvPr id="46" name="Рисунок 45">
          <a:extLst>
            <a:ext uri="{FF2B5EF4-FFF2-40B4-BE49-F238E27FC236}">
              <a16:creationId xmlns:a16="http://schemas.microsoft.com/office/drawing/2014/main" id="{F2F16AB7-E38D-4A00-B9F4-5A04454A89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3601639"/>
          <a:ext cx="1371600" cy="9601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46</xdr:row>
      <xdr:rowOff>21915</xdr:rowOff>
    </xdr:from>
    <xdr:to>
      <xdr:col>0</xdr:col>
      <xdr:colOff>1400175</xdr:colOff>
      <xdr:row>46</xdr:row>
      <xdr:rowOff>968683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87C61981-BCE9-44AE-81E8-12DDFB05A5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4608440"/>
          <a:ext cx="1371600" cy="9467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47</xdr:row>
      <xdr:rowOff>25685</xdr:rowOff>
    </xdr:from>
    <xdr:to>
      <xdr:col>0</xdr:col>
      <xdr:colOff>1400175</xdr:colOff>
      <xdr:row>47</xdr:row>
      <xdr:rowOff>1098263</xdr:rowOff>
    </xdr:to>
    <xdr:pic>
      <xdr:nvPicPr>
        <xdr:cNvPr id="48" name="Рисунок 47">
          <a:extLst>
            <a:ext uri="{FF2B5EF4-FFF2-40B4-BE49-F238E27FC236}">
              <a16:creationId xmlns:a16="http://schemas.microsoft.com/office/drawing/2014/main" id="{F1422549-B15F-40D2-8C84-AC42575690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5602810"/>
          <a:ext cx="1371600" cy="10725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48</xdr:row>
      <xdr:rowOff>23813</xdr:rowOff>
    </xdr:from>
    <xdr:to>
      <xdr:col>0</xdr:col>
      <xdr:colOff>1400175</xdr:colOff>
      <xdr:row>48</xdr:row>
      <xdr:rowOff>938213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318B14CB-630C-4AD0-A6EB-4483660D5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6724888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49</xdr:row>
      <xdr:rowOff>23251</xdr:rowOff>
    </xdr:from>
    <xdr:to>
      <xdr:col>0</xdr:col>
      <xdr:colOff>1400175</xdr:colOff>
      <xdr:row>49</xdr:row>
      <xdr:rowOff>1186422</xdr:rowOff>
    </xdr:to>
    <xdr:pic>
      <xdr:nvPicPr>
        <xdr:cNvPr id="50" name="Рисунок 49">
          <a:extLst>
            <a:ext uri="{FF2B5EF4-FFF2-40B4-BE49-F238E27FC236}">
              <a16:creationId xmlns:a16="http://schemas.microsoft.com/office/drawing/2014/main" id="{70136D49-AB24-4EAC-9D5C-A2A52D61E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7686351"/>
          <a:ext cx="1371600" cy="1163171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50</xdr:row>
      <xdr:rowOff>21313</xdr:rowOff>
    </xdr:from>
    <xdr:to>
      <xdr:col>0</xdr:col>
      <xdr:colOff>1400175</xdr:colOff>
      <xdr:row>50</xdr:row>
      <xdr:rowOff>902613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E139C006-3D49-4CD1-88D5-75B4E70F6F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8894088"/>
          <a:ext cx="1371600" cy="8813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51</xdr:row>
      <xdr:rowOff>25174</xdr:rowOff>
    </xdr:from>
    <xdr:to>
      <xdr:col>0</xdr:col>
      <xdr:colOff>1400175</xdr:colOff>
      <xdr:row>51</xdr:row>
      <xdr:rowOff>955903</xdr:rowOff>
    </xdr:to>
    <xdr:pic>
      <xdr:nvPicPr>
        <xdr:cNvPr id="52" name="Рисунок 51">
          <a:extLst>
            <a:ext uri="{FF2B5EF4-FFF2-40B4-BE49-F238E27FC236}">
              <a16:creationId xmlns:a16="http://schemas.microsoft.com/office/drawing/2014/main" id="{39F302CF-A24C-4319-B99B-41CBDDB90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49821874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52</xdr:row>
      <xdr:rowOff>25493</xdr:rowOff>
    </xdr:from>
    <xdr:to>
      <xdr:col>0</xdr:col>
      <xdr:colOff>1400175</xdr:colOff>
      <xdr:row>52</xdr:row>
      <xdr:rowOff>993681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AA28A07A-F3B6-433C-B849-F93AF2A32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0803268"/>
          <a:ext cx="1371600" cy="96818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53</xdr:row>
      <xdr:rowOff>25174</xdr:rowOff>
    </xdr:from>
    <xdr:to>
      <xdr:col>0</xdr:col>
      <xdr:colOff>1400175</xdr:colOff>
      <xdr:row>53</xdr:row>
      <xdr:rowOff>955903</xdr:rowOff>
    </xdr:to>
    <xdr:pic>
      <xdr:nvPicPr>
        <xdr:cNvPr id="54" name="Рисунок 53">
          <a:extLst>
            <a:ext uri="{FF2B5EF4-FFF2-40B4-BE49-F238E27FC236}">
              <a16:creationId xmlns:a16="http://schemas.microsoft.com/office/drawing/2014/main" id="{34616710-3ABD-4FD0-B004-4C0B30517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1822124"/>
          <a:ext cx="1371600" cy="93072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54</xdr:row>
      <xdr:rowOff>23031</xdr:rowOff>
    </xdr:from>
    <xdr:to>
      <xdr:col>0</xdr:col>
      <xdr:colOff>1400175</xdr:colOff>
      <xdr:row>54</xdr:row>
      <xdr:rowOff>1005670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7633A9C6-9D4C-4478-B39F-AADE01328D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2801056"/>
          <a:ext cx="1371600" cy="9826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55</xdr:row>
      <xdr:rowOff>24383</xdr:rowOff>
    </xdr:from>
    <xdr:to>
      <xdr:col>0</xdr:col>
      <xdr:colOff>1400175</xdr:colOff>
      <xdr:row>55</xdr:row>
      <xdr:rowOff>1042415</xdr:rowOff>
    </xdr:to>
    <xdr:pic>
      <xdr:nvPicPr>
        <xdr:cNvPr id="56" name="Рисунок 55">
          <a:extLst>
            <a:ext uri="{FF2B5EF4-FFF2-40B4-BE49-F238E27FC236}">
              <a16:creationId xmlns:a16="http://schemas.microsoft.com/office/drawing/2014/main" id="{4A5640B3-A596-42C2-8659-43B5F4D10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3831108"/>
          <a:ext cx="1371600" cy="10180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56</xdr:row>
      <xdr:rowOff>24581</xdr:rowOff>
    </xdr:from>
    <xdr:to>
      <xdr:col>0</xdr:col>
      <xdr:colOff>1400175</xdr:colOff>
      <xdr:row>56</xdr:row>
      <xdr:rowOff>1051743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19D7A252-4501-4819-9E67-D84CB365C6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4898106"/>
          <a:ext cx="1371600" cy="102716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57</xdr:row>
      <xdr:rowOff>25121</xdr:rowOff>
    </xdr:from>
    <xdr:to>
      <xdr:col>0</xdr:col>
      <xdr:colOff>1400175</xdr:colOff>
      <xdr:row>57</xdr:row>
      <xdr:rowOff>994049</xdr:rowOff>
    </xdr:to>
    <xdr:pic>
      <xdr:nvPicPr>
        <xdr:cNvPr id="58" name="Рисунок 57">
          <a:extLst>
            <a:ext uri="{FF2B5EF4-FFF2-40B4-BE49-F238E27FC236}">
              <a16:creationId xmlns:a16="http://schemas.microsoft.com/office/drawing/2014/main" id="{69003BE6-440D-462B-9151-F348C0FBAC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5974971"/>
          <a:ext cx="1371600" cy="9689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58</xdr:row>
      <xdr:rowOff>25716</xdr:rowOff>
    </xdr:from>
    <xdr:to>
      <xdr:col>0</xdr:col>
      <xdr:colOff>1400175</xdr:colOff>
      <xdr:row>58</xdr:row>
      <xdr:rowOff>1031556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2A2C25C3-8502-4EBF-976A-E309F93BC0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6994741"/>
          <a:ext cx="1371600" cy="100584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59</xdr:row>
      <xdr:rowOff>25431</xdr:rowOff>
    </xdr:from>
    <xdr:to>
      <xdr:col>0</xdr:col>
      <xdr:colOff>1400175</xdr:colOff>
      <xdr:row>59</xdr:row>
      <xdr:rowOff>850874</xdr:rowOff>
    </xdr:to>
    <xdr:pic>
      <xdr:nvPicPr>
        <xdr:cNvPr id="60" name="Рисунок 59">
          <a:extLst>
            <a:ext uri="{FF2B5EF4-FFF2-40B4-BE49-F238E27FC236}">
              <a16:creationId xmlns:a16="http://schemas.microsoft.com/office/drawing/2014/main" id="{1B60569F-F9CC-4B0A-9211-987899DA0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051731"/>
          <a:ext cx="1371600" cy="82544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60</xdr:row>
      <xdr:rowOff>24972</xdr:rowOff>
    </xdr:from>
    <xdr:to>
      <xdr:col>0</xdr:col>
      <xdr:colOff>1400175</xdr:colOff>
      <xdr:row>60</xdr:row>
      <xdr:rowOff>908480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481AC930-0E4B-4CB0-AC6E-78F1667F41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8927572"/>
          <a:ext cx="1371600" cy="88350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61</xdr:row>
      <xdr:rowOff>22126</xdr:rowOff>
    </xdr:from>
    <xdr:to>
      <xdr:col>0</xdr:col>
      <xdr:colOff>1400175</xdr:colOff>
      <xdr:row>61</xdr:row>
      <xdr:rowOff>806553</xdr:rowOff>
    </xdr:to>
    <xdr:pic>
      <xdr:nvPicPr>
        <xdr:cNvPr id="62" name="Рисунок 61">
          <a:extLst>
            <a:ext uri="{FF2B5EF4-FFF2-40B4-BE49-F238E27FC236}">
              <a16:creationId xmlns:a16="http://schemas.microsoft.com/office/drawing/2014/main" id="{2ED6D6FA-28C9-4F3B-A2CD-E68CBB680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59858176"/>
          <a:ext cx="1371600" cy="78442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62</xdr:row>
      <xdr:rowOff>21741</xdr:rowOff>
    </xdr:from>
    <xdr:to>
      <xdr:col>0</xdr:col>
      <xdr:colOff>1400175</xdr:colOff>
      <xdr:row>62</xdr:row>
      <xdr:rowOff>940279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BE5C28D0-EC58-425A-94D6-4EBC297CC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0686466"/>
          <a:ext cx="1371600" cy="91853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63</xdr:row>
      <xdr:rowOff>23813</xdr:rowOff>
    </xdr:from>
    <xdr:to>
      <xdr:col>0</xdr:col>
      <xdr:colOff>1400175</xdr:colOff>
      <xdr:row>63</xdr:row>
      <xdr:rowOff>938213</xdr:rowOff>
    </xdr:to>
    <xdr:pic>
      <xdr:nvPicPr>
        <xdr:cNvPr id="64" name="Рисунок 63">
          <a:extLst>
            <a:ext uri="{FF2B5EF4-FFF2-40B4-BE49-F238E27FC236}">
              <a16:creationId xmlns:a16="http://schemas.microsoft.com/office/drawing/2014/main" id="{589E50BF-6C57-4D5D-83E6-42A7C8523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1650563"/>
          <a:ext cx="13716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64</xdr:row>
      <xdr:rowOff>23434</xdr:rowOff>
    </xdr:from>
    <xdr:to>
      <xdr:col>0</xdr:col>
      <xdr:colOff>1400175</xdr:colOff>
      <xdr:row>64</xdr:row>
      <xdr:rowOff>881439</xdr:rowOff>
    </xdr:to>
    <xdr:pic>
      <xdr:nvPicPr>
        <xdr:cNvPr id="65" name="Рисунок 64">
          <a:extLst>
            <a:ext uri="{FF2B5EF4-FFF2-40B4-BE49-F238E27FC236}">
              <a16:creationId xmlns:a16="http://schemas.microsoft.com/office/drawing/2014/main" id="{315CCEC0-E731-4567-8AE9-71671830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2612209"/>
          <a:ext cx="1371600" cy="85800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65</xdr:row>
      <xdr:rowOff>23949</xdr:rowOff>
    </xdr:from>
    <xdr:to>
      <xdr:col>0</xdr:col>
      <xdr:colOff>1400175</xdr:colOff>
      <xdr:row>65</xdr:row>
      <xdr:rowOff>1042852</xdr:rowOff>
    </xdr:to>
    <xdr:pic>
      <xdr:nvPicPr>
        <xdr:cNvPr id="66" name="Рисунок 65">
          <a:extLst>
            <a:ext uri="{FF2B5EF4-FFF2-40B4-BE49-F238E27FC236}">
              <a16:creationId xmlns:a16="http://schemas.microsoft.com/office/drawing/2014/main" id="{8B3AA5FE-8E93-412F-A65F-66E29EFFC1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3517599"/>
          <a:ext cx="1371600" cy="101890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66</xdr:row>
      <xdr:rowOff>23608</xdr:rowOff>
    </xdr:from>
    <xdr:to>
      <xdr:col>0</xdr:col>
      <xdr:colOff>1400175</xdr:colOff>
      <xdr:row>66</xdr:row>
      <xdr:rowOff>1024147</xdr:rowOff>
    </xdr:to>
    <xdr:pic>
      <xdr:nvPicPr>
        <xdr:cNvPr id="67" name="Рисунок 66">
          <a:extLst>
            <a:ext uri="{FF2B5EF4-FFF2-40B4-BE49-F238E27FC236}">
              <a16:creationId xmlns:a16="http://schemas.microsoft.com/office/drawing/2014/main" id="{4725C71E-DDB3-4AB4-B74B-5AD6A3648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4584058"/>
          <a:ext cx="1371600" cy="10005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67</xdr:row>
      <xdr:rowOff>22969</xdr:rowOff>
    </xdr:from>
    <xdr:to>
      <xdr:col>0</xdr:col>
      <xdr:colOff>1400175</xdr:colOff>
      <xdr:row>67</xdr:row>
      <xdr:rowOff>1139075</xdr:rowOff>
    </xdr:to>
    <xdr:pic>
      <xdr:nvPicPr>
        <xdr:cNvPr id="68" name="Рисунок 67">
          <a:extLst>
            <a:ext uri="{FF2B5EF4-FFF2-40B4-BE49-F238E27FC236}">
              <a16:creationId xmlns:a16="http://schemas.microsoft.com/office/drawing/2014/main" id="{8989CFC3-2A5F-425D-87E0-166D1A463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5631169"/>
          <a:ext cx="1371600" cy="111610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68</xdr:row>
      <xdr:rowOff>22982</xdr:rowOff>
    </xdr:from>
    <xdr:to>
      <xdr:col>0</xdr:col>
      <xdr:colOff>1400175</xdr:colOff>
      <xdr:row>68</xdr:row>
      <xdr:rowOff>977138</xdr:rowOff>
    </xdr:to>
    <xdr:pic>
      <xdr:nvPicPr>
        <xdr:cNvPr id="69" name="Рисунок 68">
          <a:extLst>
            <a:ext uri="{FF2B5EF4-FFF2-40B4-BE49-F238E27FC236}">
              <a16:creationId xmlns:a16="http://schemas.microsoft.com/office/drawing/2014/main" id="{BFE55C05-65F9-44F9-AD56-326073945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6793232"/>
          <a:ext cx="1371600" cy="95415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69</xdr:row>
      <xdr:rowOff>24154</xdr:rowOff>
    </xdr:from>
    <xdr:to>
      <xdr:col>0</xdr:col>
      <xdr:colOff>1400175</xdr:colOff>
      <xdr:row>69</xdr:row>
      <xdr:rowOff>985499</xdr:rowOff>
    </xdr:to>
    <xdr:pic>
      <xdr:nvPicPr>
        <xdr:cNvPr id="70" name="Рисунок 69">
          <a:extLst>
            <a:ext uri="{FF2B5EF4-FFF2-40B4-BE49-F238E27FC236}">
              <a16:creationId xmlns:a16="http://schemas.microsoft.com/office/drawing/2014/main" id="{DEDA48E8-1530-43BD-9885-C35C5C768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7794529"/>
          <a:ext cx="1371600" cy="96134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70</xdr:row>
      <xdr:rowOff>24383</xdr:rowOff>
    </xdr:from>
    <xdr:to>
      <xdr:col>0</xdr:col>
      <xdr:colOff>1400175</xdr:colOff>
      <xdr:row>70</xdr:row>
      <xdr:rowOff>890015</xdr:rowOff>
    </xdr:to>
    <xdr:pic>
      <xdr:nvPicPr>
        <xdr:cNvPr id="71" name="Рисунок 70">
          <a:extLst>
            <a:ext uri="{FF2B5EF4-FFF2-40B4-BE49-F238E27FC236}">
              <a16:creationId xmlns:a16="http://schemas.microsoft.com/office/drawing/2014/main" id="{553013DC-D925-4801-9EE7-8F291654F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8804408"/>
          <a:ext cx="1371600" cy="86563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71</xdr:row>
      <xdr:rowOff>24495</xdr:rowOff>
    </xdr:from>
    <xdr:to>
      <xdr:col>0</xdr:col>
      <xdr:colOff>1400175</xdr:colOff>
      <xdr:row>71</xdr:row>
      <xdr:rowOff>918484</xdr:rowOff>
    </xdr:to>
    <xdr:pic>
      <xdr:nvPicPr>
        <xdr:cNvPr id="72" name="Рисунок 71">
          <a:extLst>
            <a:ext uri="{FF2B5EF4-FFF2-40B4-BE49-F238E27FC236}">
              <a16:creationId xmlns:a16="http://schemas.microsoft.com/office/drawing/2014/main" id="{681F3517-3BD1-4954-9351-FC8157C8E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6971892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72</xdr:row>
      <xdr:rowOff>24495</xdr:rowOff>
    </xdr:from>
    <xdr:to>
      <xdr:col>0</xdr:col>
      <xdr:colOff>1400175</xdr:colOff>
      <xdr:row>72</xdr:row>
      <xdr:rowOff>918484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805BA873-EA42-4215-A891-69C8E8393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0661895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73</xdr:row>
      <xdr:rowOff>25264</xdr:rowOff>
    </xdr:from>
    <xdr:to>
      <xdr:col>0</xdr:col>
      <xdr:colOff>1400175</xdr:colOff>
      <xdr:row>73</xdr:row>
      <xdr:rowOff>898660</xdr:rowOff>
    </xdr:to>
    <xdr:pic>
      <xdr:nvPicPr>
        <xdr:cNvPr id="74" name="Рисунок 73">
          <a:extLst>
            <a:ext uri="{FF2B5EF4-FFF2-40B4-BE49-F238E27FC236}">
              <a16:creationId xmlns:a16="http://schemas.microsoft.com/office/drawing/2014/main" id="{29EC4BBE-EC2E-4C63-94A9-3603ED33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1605639"/>
          <a:ext cx="1371600" cy="87339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74</xdr:row>
      <xdr:rowOff>21431</xdr:rowOff>
    </xdr:from>
    <xdr:to>
      <xdr:col>0</xdr:col>
      <xdr:colOff>1400175</xdr:colOff>
      <xdr:row>74</xdr:row>
      <xdr:rowOff>921544</xdr:rowOff>
    </xdr:to>
    <xdr:pic>
      <xdr:nvPicPr>
        <xdr:cNvPr id="75" name="Рисунок 74">
          <a:extLst>
            <a:ext uri="{FF2B5EF4-FFF2-40B4-BE49-F238E27FC236}">
              <a16:creationId xmlns:a16="http://schemas.microsoft.com/office/drawing/2014/main" id="{77484E7B-B7C4-4BB1-AFC4-B5EB16A777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2525731"/>
          <a:ext cx="1371600" cy="90011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75</xdr:row>
      <xdr:rowOff>24154</xdr:rowOff>
    </xdr:from>
    <xdr:to>
      <xdr:col>0</xdr:col>
      <xdr:colOff>1400175</xdr:colOff>
      <xdr:row>75</xdr:row>
      <xdr:rowOff>718803</xdr:rowOff>
    </xdr:to>
    <xdr:pic>
      <xdr:nvPicPr>
        <xdr:cNvPr id="76" name="Рисунок 75">
          <a:extLst>
            <a:ext uri="{FF2B5EF4-FFF2-40B4-BE49-F238E27FC236}">
              <a16:creationId xmlns:a16="http://schemas.microsoft.com/office/drawing/2014/main" id="{2E63726F-D142-47B0-883C-27CD09472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3471429"/>
          <a:ext cx="1371600" cy="69464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76</xdr:row>
      <xdr:rowOff>24154</xdr:rowOff>
    </xdr:from>
    <xdr:to>
      <xdr:col>0</xdr:col>
      <xdr:colOff>1400175</xdr:colOff>
      <xdr:row>76</xdr:row>
      <xdr:rowOff>899774</xdr:rowOff>
    </xdr:to>
    <xdr:pic>
      <xdr:nvPicPr>
        <xdr:cNvPr id="77" name="Рисунок 76">
          <a:extLst>
            <a:ext uri="{FF2B5EF4-FFF2-40B4-BE49-F238E27FC236}">
              <a16:creationId xmlns:a16="http://schemas.microsoft.com/office/drawing/2014/main" id="{EFDD0D41-5E7D-4B0A-B31C-97CD634F01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4214379"/>
          <a:ext cx="1371600" cy="87562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77</xdr:row>
      <xdr:rowOff>24712</xdr:rowOff>
    </xdr:from>
    <xdr:to>
      <xdr:col>0</xdr:col>
      <xdr:colOff>1400175</xdr:colOff>
      <xdr:row>77</xdr:row>
      <xdr:rowOff>889685</xdr:rowOff>
    </xdr:to>
    <xdr:pic>
      <xdr:nvPicPr>
        <xdr:cNvPr id="78" name="Рисунок 77">
          <a:extLst>
            <a:ext uri="{FF2B5EF4-FFF2-40B4-BE49-F238E27FC236}">
              <a16:creationId xmlns:a16="http://schemas.microsoft.com/office/drawing/2014/main" id="{C2F9FF0A-6E85-45E5-83BE-562DBC0E4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5138862"/>
          <a:ext cx="1371600" cy="864973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78</xdr:row>
      <xdr:rowOff>21890</xdr:rowOff>
    </xdr:from>
    <xdr:to>
      <xdr:col>0</xdr:col>
      <xdr:colOff>1400175</xdr:colOff>
      <xdr:row>78</xdr:row>
      <xdr:rowOff>882984</xdr:rowOff>
    </xdr:to>
    <xdr:pic>
      <xdr:nvPicPr>
        <xdr:cNvPr id="79" name="Рисунок 78">
          <a:extLst>
            <a:ext uri="{FF2B5EF4-FFF2-40B4-BE49-F238E27FC236}">
              <a16:creationId xmlns:a16="http://schemas.microsoft.com/office/drawing/2014/main" id="{41D8F298-4CCF-4155-B944-E800CFDCF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050440"/>
          <a:ext cx="1371600" cy="86109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79</xdr:row>
      <xdr:rowOff>21592</xdr:rowOff>
    </xdr:from>
    <xdr:to>
      <xdr:col>0</xdr:col>
      <xdr:colOff>1400175</xdr:colOff>
      <xdr:row>79</xdr:row>
      <xdr:rowOff>864234</xdr:rowOff>
    </xdr:to>
    <xdr:pic>
      <xdr:nvPicPr>
        <xdr:cNvPr id="80" name="Рисунок 79">
          <a:extLst>
            <a:ext uri="{FF2B5EF4-FFF2-40B4-BE49-F238E27FC236}">
              <a16:creationId xmlns:a16="http://schemas.microsoft.com/office/drawing/2014/main" id="{BC97661F-C1E3-4C03-AA0D-C3E84185F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6955017"/>
          <a:ext cx="1371600" cy="842642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80</xdr:row>
      <xdr:rowOff>24371</xdr:rowOff>
    </xdr:from>
    <xdr:to>
      <xdr:col>0</xdr:col>
      <xdr:colOff>1400175</xdr:colOff>
      <xdr:row>80</xdr:row>
      <xdr:rowOff>842410</xdr:rowOff>
    </xdr:to>
    <xdr:pic>
      <xdr:nvPicPr>
        <xdr:cNvPr id="81" name="Рисунок 80">
          <a:extLst>
            <a:ext uri="{FF2B5EF4-FFF2-40B4-BE49-F238E27FC236}">
              <a16:creationId xmlns:a16="http://schemas.microsoft.com/office/drawing/2014/main" id="{1F7B4AB7-77C4-476E-8068-89AC52769E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7843621"/>
          <a:ext cx="1371600" cy="81803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81</xdr:row>
      <xdr:rowOff>21791</xdr:rowOff>
    </xdr:from>
    <xdr:to>
      <xdr:col>0</xdr:col>
      <xdr:colOff>1400175</xdr:colOff>
      <xdr:row>81</xdr:row>
      <xdr:rowOff>873561</xdr:rowOff>
    </xdr:to>
    <xdr:pic>
      <xdr:nvPicPr>
        <xdr:cNvPr id="82" name="Рисунок 81">
          <a:extLst>
            <a:ext uri="{FF2B5EF4-FFF2-40B4-BE49-F238E27FC236}">
              <a16:creationId xmlns:a16="http://schemas.microsoft.com/office/drawing/2014/main" id="{E77D5925-12F5-466E-93A1-A8939CB75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8707816"/>
          <a:ext cx="1371600" cy="85177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82</xdr:row>
      <xdr:rowOff>21338</xdr:rowOff>
    </xdr:from>
    <xdr:to>
      <xdr:col>0</xdr:col>
      <xdr:colOff>1400175</xdr:colOff>
      <xdr:row>82</xdr:row>
      <xdr:rowOff>893066</xdr:rowOff>
    </xdr:to>
    <xdr:pic>
      <xdr:nvPicPr>
        <xdr:cNvPr id="83" name="Рисунок 82">
          <a:extLst>
            <a:ext uri="{FF2B5EF4-FFF2-40B4-BE49-F238E27FC236}">
              <a16:creationId xmlns:a16="http://schemas.microsoft.com/office/drawing/2014/main" id="{583D7689-FE1F-4203-93CA-91BE7DFF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79602713"/>
          <a:ext cx="1371600" cy="87172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83</xdr:row>
      <xdr:rowOff>23943</xdr:rowOff>
    </xdr:from>
    <xdr:to>
      <xdr:col>0</xdr:col>
      <xdr:colOff>1400175</xdr:colOff>
      <xdr:row>83</xdr:row>
      <xdr:rowOff>833311</xdr:rowOff>
    </xdr:to>
    <xdr:pic>
      <xdr:nvPicPr>
        <xdr:cNvPr id="84" name="Рисунок 83">
          <a:extLst>
            <a:ext uri="{FF2B5EF4-FFF2-40B4-BE49-F238E27FC236}">
              <a16:creationId xmlns:a16="http://schemas.microsoft.com/office/drawing/2014/main" id="{301B25DE-51A3-456F-83C3-45ED520084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0519718"/>
          <a:ext cx="1371600" cy="8093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84</xdr:row>
      <xdr:rowOff>24495</xdr:rowOff>
    </xdr:from>
    <xdr:to>
      <xdr:col>0</xdr:col>
      <xdr:colOff>1400175</xdr:colOff>
      <xdr:row>84</xdr:row>
      <xdr:rowOff>918484</xdr:rowOff>
    </xdr:to>
    <xdr:pic>
      <xdr:nvPicPr>
        <xdr:cNvPr id="85" name="Рисунок 84">
          <a:extLst>
            <a:ext uri="{FF2B5EF4-FFF2-40B4-BE49-F238E27FC236}">
              <a16:creationId xmlns:a16="http://schemas.microsoft.com/office/drawing/2014/main" id="{6735F47E-5954-4FFA-A539-D862F465D3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1377520"/>
          <a:ext cx="1371600" cy="893989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85</xdr:row>
      <xdr:rowOff>22523</xdr:rowOff>
    </xdr:from>
    <xdr:to>
      <xdr:col>0</xdr:col>
      <xdr:colOff>1400175</xdr:colOff>
      <xdr:row>85</xdr:row>
      <xdr:rowOff>844247</xdr:rowOff>
    </xdr:to>
    <xdr:pic>
      <xdr:nvPicPr>
        <xdr:cNvPr id="86" name="Рисунок 85">
          <a:extLst>
            <a:ext uri="{FF2B5EF4-FFF2-40B4-BE49-F238E27FC236}">
              <a16:creationId xmlns:a16="http://schemas.microsoft.com/office/drawing/2014/main" id="{4B6B5D51-E725-4FB8-A58E-2DFF905167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2318523"/>
          <a:ext cx="1371600" cy="821724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86</xdr:row>
      <xdr:rowOff>24147</xdr:rowOff>
    </xdr:from>
    <xdr:to>
      <xdr:col>0</xdr:col>
      <xdr:colOff>1400175</xdr:colOff>
      <xdr:row>86</xdr:row>
      <xdr:rowOff>861673</xdr:rowOff>
    </xdr:to>
    <xdr:pic>
      <xdr:nvPicPr>
        <xdr:cNvPr id="87" name="Рисунок 86">
          <a:extLst>
            <a:ext uri="{FF2B5EF4-FFF2-40B4-BE49-F238E27FC236}">
              <a16:creationId xmlns:a16="http://schemas.microsoft.com/office/drawing/2014/main" id="{D6FF9552-C8BA-4033-A343-18E7755337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3186922"/>
          <a:ext cx="1371600" cy="837526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87</xdr:row>
      <xdr:rowOff>23013</xdr:rowOff>
    </xdr:from>
    <xdr:to>
      <xdr:col>0</xdr:col>
      <xdr:colOff>1400175</xdr:colOff>
      <xdr:row>87</xdr:row>
      <xdr:rowOff>815191</xdr:rowOff>
    </xdr:to>
    <xdr:pic>
      <xdr:nvPicPr>
        <xdr:cNvPr id="88" name="Рисунок 87">
          <a:extLst>
            <a:ext uri="{FF2B5EF4-FFF2-40B4-BE49-F238E27FC236}">
              <a16:creationId xmlns:a16="http://schemas.microsoft.com/office/drawing/2014/main" id="{8A97417F-F119-4CBD-AC6C-D34F99CA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071613"/>
          <a:ext cx="1371600" cy="79217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88</xdr:row>
      <xdr:rowOff>23409</xdr:rowOff>
    </xdr:from>
    <xdr:to>
      <xdr:col>0</xdr:col>
      <xdr:colOff>1400175</xdr:colOff>
      <xdr:row>88</xdr:row>
      <xdr:rowOff>805266</xdr:rowOff>
    </xdr:to>
    <xdr:pic>
      <xdr:nvPicPr>
        <xdr:cNvPr id="89" name="Рисунок 88">
          <a:extLst>
            <a:ext uri="{FF2B5EF4-FFF2-40B4-BE49-F238E27FC236}">
              <a16:creationId xmlns:a16="http://schemas.microsoft.com/office/drawing/2014/main" id="{9C633954-4875-4854-BC87-390F2BD98B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4910209"/>
          <a:ext cx="1371600" cy="781857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89</xdr:row>
      <xdr:rowOff>22138</xdr:rowOff>
    </xdr:from>
    <xdr:to>
      <xdr:col>0</xdr:col>
      <xdr:colOff>1400175</xdr:colOff>
      <xdr:row>89</xdr:row>
      <xdr:rowOff>835106</xdr:rowOff>
    </xdr:to>
    <xdr:pic>
      <xdr:nvPicPr>
        <xdr:cNvPr id="90" name="Рисунок 89">
          <a:extLst>
            <a:ext uri="{FF2B5EF4-FFF2-40B4-BE49-F238E27FC236}">
              <a16:creationId xmlns:a16="http://schemas.microsoft.com/office/drawing/2014/main" id="{CB290F20-DF23-4022-AF2D-A4FA478A7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5737613"/>
          <a:ext cx="1371600" cy="812968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90</xdr:row>
      <xdr:rowOff>21648</xdr:rowOff>
    </xdr:from>
    <xdr:to>
      <xdr:col>0</xdr:col>
      <xdr:colOff>1400175</xdr:colOff>
      <xdr:row>90</xdr:row>
      <xdr:rowOff>988003</xdr:rowOff>
    </xdr:to>
    <xdr:pic>
      <xdr:nvPicPr>
        <xdr:cNvPr id="91" name="Рисунок 90">
          <a:extLst>
            <a:ext uri="{FF2B5EF4-FFF2-40B4-BE49-F238E27FC236}">
              <a16:creationId xmlns:a16="http://schemas.microsoft.com/office/drawing/2014/main" id="{8D3BDF7B-A9B7-48A5-8D80-E942FFB63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6594373"/>
          <a:ext cx="1371600" cy="966355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</xdr:colOff>
      <xdr:row>91</xdr:row>
      <xdr:rowOff>21772</xdr:rowOff>
    </xdr:from>
    <xdr:to>
      <xdr:col>0</xdr:col>
      <xdr:colOff>1400175</xdr:colOff>
      <xdr:row>91</xdr:row>
      <xdr:rowOff>1025979</xdr:rowOff>
    </xdr:to>
    <xdr:pic>
      <xdr:nvPicPr>
        <xdr:cNvPr id="92" name="Рисунок 91">
          <a:extLst>
            <a:ext uri="{FF2B5EF4-FFF2-40B4-BE49-F238E27FC236}">
              <a16:creationId xmlns:a16="http://schemas.microsoft.com/office/drawing/2014/main" id="{163B446A-B95C-4A43-9A47-EAFA5B381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" y="87604147"/>
          <a:ext cx="1371600" cy="10042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E8E3E-3115-49F7-8C5E-C7E9DBC90D4A}">
  <sheetPr codeName="Лист5"/>
  <dimension ref="A1:C274"/>
  <sheetViews>
    <sheetView workbookViewId="0">
      <selection activeCell="C2" sqref="C2"/>
    </sheetView>
  </sheetViews>
  <sheetFormatPr defaultRowHeight="15" x14ac:dyDescent="0.25"/>
  <cols>
    <col min="1" max="1" width="131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IFERROR(VLOOKUP(A2,Результат!C:C,1,0)&lt;&gt;"",FALSE)</f>
        <v>1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IFERROR(VLOOKUP(A3,Результат!C:C,1,0)&lt;&gt;"",FALSE)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IFERROR(VLOOKUP(A4,Результат!C:C,1,0)&lt;&gt;"",FALSE)</f>
        <v>0</v>
      </c>
      <c r="C4" t="str">
        <f t="shared" si="0"/>
        <v/>
      </c>
    </row>
    <row r="5" spans="1:3" x14ac:dyDescent="0.25">
      <c r="A5" t="s">
        <v>17</v>
      </c>
      <c r="B5" t="b">
        <f>IFERROR(VLOOKUP(A5,Результат!C:C,1,0)&lt;&gt;"",FALSE)</f>
        <v>1</v>
      </c>
      <c r="C5" t="str">
        <f t="shared" si="0"/>
        <v/>
      </c>
    </row>
    <row r="6" spans="1:3" x14ac:dyDescent="0.25">
      <c r="A6" t="s">
        <v>1</v>
      </c>
      <c r="B6" t="b">
        <f>IFERROR(VLOOKUP(A6,Результат!C:C,1,0)&lt;&gt;"",FALSE)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IFERROR(VLOOKUP(A7,Результат!C:C,1,0)&lt;&gt;"",FALSE)</f>
        <v>0</v>
      </c>
      <c r="C7" t="str">
        <f t="shared" si="0"/>
        <v/>
      </c>
    </row>
    <row r="8" spans="1:3" x14ac:dyDescent="0.25">
      <c r="A8" t="s">
        <v>21</v>
      </c>
      <c r="B8" t="b">
        <f>IFERROR(VLOOKUP(A8,Результат!C:C,1,0)&lt;&gt;"",FALSE)</f>
        <v>1</v>
      </c>
      <c r="C8" t="str">
        <f t="shared" si="0"/>
        <v/>
      </c>
    </row>
    <row r="9" spans="1:3" x14ac:dyDescent="0.25">
      <c r="A9" t="s">
        <v>1</v>
      </c>
      <c r="B9" t="b">
        <f>IFERROR(VLOOKUP(A9,Результат!C:C,1,0)&lt;&gt;"",FALSE)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IFERROR(VLOOKUP(A10,Результат!C:C,1,0)&lt;&gt;"",FALSE)</f>
        <v>0</v>
      </c>
      <c r="C10" t="str">
        <f t="shared" si="0"/>
        <v/>
      </c>
    </row>
    <row r="11" spans="1:3" x14ac:dyDescent="0.25">
      <c r="A11" t="s">
        <v>2</v>
      </c>
      <c r="B11" t="b">
        <f>IFERROR(VLOOKUP(A11,Результат!C:C,1,0)&lt;&gt;"",FALSE)</f>
        <v>1</v>
      </c>
      <c r="C11" t="str">
        <f t="shared" si="0"/>
        <v/>
      </c>
    </row>
    <row r="12" spans="1:3" x14ac:dyDescent="0.25">
      <c r="A12" t="s">
        <v>1</v>
      </c>
      <c r="B12" t="b">
        <f>IFERROR(VLOOKUP(A12,Результат!C:C,1,0)&lt;&gt;"",FALSE)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IFERROR(VLOOKUP(A13,Результат!C:C,1,0)&lt;&gt;"",FALSE)</f>
        <v>0</v>
      </c>
      <c r="C13" t="str">
        <f t="shared" si="0"/>
        <v/>
      </c>
    </row>
    <row r="14" spans="1:3" x14ac:dyDescent="0.25">
      <c r="A14" t="s">
        <v>28</v>
      </c>
      <c r="B14" t="b">
        <f>IFERROR(VLOOKUP(A14,Результат!C:C,1,0)&lt;&gt;"",FALSE)</f>
        <v>1</v>
      </c>
      <c r="C14" t="str">
        <f t="shared" si="0"/>
        <v/>
      </c>
    </row>
    <row r="15" spans="1:3" x14ac:dyDescent="0.25">
      <c r="A15" t="s">
        <v>1</v>
      </c>
      <c r="B15" t="b">
        <f>IFERROR(VLOOKUP(A15,Результат!C:C,1,0)&lt;&gt;"",FALSE)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IFERROR(VLOOKUP(A16,Результат!C:C,1,0)&lt;&gt;"",FALSE)</f>
        <v>0</v>
      </c>
      <c r="C16" t="str">
        <f t="shared" si="0"/>
        <v/>
      </c>
    </row>
    <row r="17" spans="1:3" x14ac:dyDescent="0.25">
      <c r="A17" t="s">
        <v>4</v>
      </c>
      <c r="B17" t="b">
        <f>IFERROR(VLOOKUP(A17,Результат!C:C,1,0)&lt;&gt;"",FALSE)</f>
        <v>1</v>
      </c>
      <c r="C17" t="str">
        <f t="shared" si="0"/>
        <v/>
      </c>
    </row>
    <row r="18" spans="1:3" x14ac:dyDescent="0.25">
      <c r="A18" t="s">
        <v>1</v>
      </c>
      <c r="B18" t="b">
        <f>IFERROR(VLOOKUP(A18,Результат!C:C,1,0)&lt;&gt;"",FALSE)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IFERROR(VLOOKUP(A19,Результат!C:C,1,0)&lt;&gt;"",FALSE)</f>
        <v>0</v>
      </c>
      <c r="C19" t="str">
        <f t="shared" si="0"/>
        <v/>
      </c>
    </row>
    <row r="20" spans="1:3" x14ac:dyDescent="0.25">
      <c r="A20" t="s">
        <v>37</v>
      </c>
      <c r="B20" t="b">
        <f>IFERROR(VLOOKUP(A20,Результат!C:C,1,0)&lt;&gt;"",FALSE)</f>
        <v>1</v>
      </c>
      <c r="C20" t="str">
        <f t="shared" si="0"/>
        <v/>
      </c>
    </row>
    <row r="21" spans="1:3" x14ac:dyDescent="0.25">
      <c r="A21" t="s">
        <v>1</v>
      </c>
      <c r="B21" t="b">
        <f>IFERROR(VLOOKUP(A21,Результат!C:C,1,0)&lt;&gt;"",FALSE)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IFERROR(VLOOKUP(A22,Результат!C:C,1,0)&lt;&gt;"",FALSE)</f>
        <v>0</v>
      </c>
      <c r="C22" t="str">
        <f t="shared" si="0"/>
        <v/>
      </c>
    </row>
    <row r="23" spans="1:3" x14ac:dyDescent="0.25">
      <c r="A23" t="s">
        <v>41</v>
      </c>
      <c r="B23" t="b">
        <f>IFERROR(VLOOKUP(A23,Результат!C:C,1,0)&lt;&gt;"",FALSE)</f>
        <v>1</v>
      </c>
      <c r="C23" t="str">
        <f t="shared" si="0"/>
        <v/>
      </c>
    </row>
    <row r="24" spans="1:3" x14ac:dyDescent="0.25">
      <c r="A24" t="s">
        <v>1</v>
      </c>
      <c r="B24" t="b">
        <f>IFERROR(VLOOKUP(A24,Результат!C:C,1,0)&lt;&gt;"",FALSE)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IFERROR(VLOOKUP(A25,Результат!C:C,1,0)&lt;&gt;"",FALSE)</f>
        <v>0</v>
      </c>
      <c r="C25" t="str">
        <f t="shared" si="0"/>
        <v/>
      </c>
    </row>
    <row r="26" spans="1:3" x14ac:dyDescent="0.25">
      <c r="A26" t="s">
        <v>45</v>
      </c>
      <c r="B26" t="b">
        <f>IFERROR(VLOOKUP(A26,Результат!C:C,1,0)&lt;&gt;"",FALSE)</f>
        <v>1</v>
      </c>
      <c r="C26" t="str">
        <f t="shared" si="0"/>
        <v/>
      </c>
    </row>
    <row r="27" spans="1:3" x14ac:dyDescent="0.25">
      <c r="A27" t="s">
        <v>1</v>
      </c>
      <c r="B27" t="b">
        <f>IFERROR(VLOOKUP(A27,Результат!C:C,1,0)&lt;&gt;"",FALSE)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IFERROR(VLOOKUP(A28,Результат!C:C,1,0)&lt;&gt;"",FALSE)</f>
        <v>0</v>
      </c>
      <c r="C28" t="str">
        <f t="shared" si="0"/>
        <v/>
      </c>
    </row>
    <row r="29" spans="1:3" x14ac:dyDescent="0.25">
      <c r="A29" t="s">
        <v>47</v>
      </c>
      <c r="B29" t="b">
        <f>IFERROR(VLOOKUP(A29,Результат!C:C,1,0)&lt;&gt;"",FALSE)</f>
        <v>1</v>
      </c>
      <c r="C29" t="str">
        <f t="shared" si="0"/>
        <v/>
      </c>
    </row>
    <row r="30" spans="1:3" x14ac:dyDescent="0.25">
      <c r="A30" t="s">
        <v>1</v>
      </c>
      <c r="B30" t="b">
        <f>IFERROR(VLOOKUP(A30,Результат!C:C,1,0)&lt;&gt;"",FALSE)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IFERROR(VLOOKUP(A31,Результат!C:C,1,0)&lt;&gt;"",FALSE)</f>
        <v>0</v>
      </c>
      <c r="C31" t="str">
        <f t="shared" si="0"/>
        <v/>
      </c>
    </row>
    <row r="32" spans="1:3" x14ac:dyDescent="0.25">
      <c r="A32" t="s">
        <v>54</v>
      </c>
      <c r="B32" t="b">
        <f>IFERROR(VLOOKUP(A32,Результат!C:C,1,0)&lt;&gt;"",FALSE)</f>
        <v>1</v>
      </c>
      <c r="C32" t="str">
        <f t="shared" si="0"/>
        <v/>
      </c>
    </row>
    <row r="33" spans="1:3" x14ac:dyDescent="0.25">
      <c r="A33" t="s">
        <v>1</v>
      </c>
      <c r="B33" t="b">
        <f>IFERROR(VLOOKUP(A33,Результат!C:C,1,0)&lt;&gt;"",FALSE)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IFERROR(VLOOKUP(A34,Результат!C:C,1,0)&lt;&gt;"",FALSE)</f>
        <v>0</v>
      </c>
      <c r="C34" t="str">
        <f t="shared" si="0"/>
        <v/>
      </c>
    </row>
    <row r="35" spans="1:3" x14ac:dyDescent="0.25">
      <c r="A35" t="s">
        <v>58</v>
      </c>
      <c r="B35" t="b">
        <f>IFERROR(VLOOKUP(A35,Результат!C:C,1,0)&lt;&gt;"",FALSE)</f>
        <v>1</v>
      </c>
      <c r="C35" t="str">
        <f t="shared" si="0"/>
        <v/>
      </c>
    </row>
    <row r="36" spans="1:3" x14ac:dyDescent="0.25">
      <c r="A36" t="s">
        <v>1</v>
      </c>
      <c r="B36" t="b">
        <f>IFERROR(VLOOKUP(A36,Результат!C:C,1,0)&lt;&gt;"",FALSE)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IFERROR(VLOOKUP(A37,Результат!C:C,1,0)&lt;&gt;"",FALSE)</f>
        <v>0</v>
      </c>
      <c r="C37" t="str">
        <f t="shared" si="0"/>
        <v/>
      </c>
    </row>
    <row r="38" spans="1:3" x14ac:dyDescent="0.25">
      <c r="A38" t="s">
        <v>61</v>
      </c>
      <c r="B38" t="b">
        <f>IFERROR(VLOOKUP(A38,Результат!C:C,1,0)&lt;&gt;"",FALSE)</f>
        <v>1</v>
      </c>
      <c r="C38" t="str">
        <f t="shared" si="0"/>
        <v/>
      </c>
    </row>
    <row r="39" spans="1:3" x14ac:dyDescent="0.25">
      <c r="A39" t="s">
        <v>1</v>
      </c>
      <c r="B39" t="b">
        <f>IFERROR(VLOOKUP(A39,Результат!C:C,1,0)&lt;&gt;"",FALSE)</f>
        <v>0</v>
      </c>
      <c r="C39" t="str">
        <f t="shared" si="0"/>
        <v/>
      </c>
    </row>
    <row r="40" spans="1:3" x14ac:dyDescent="0.25">
      <c r="A40" t="s">
        <v>444</v>
      </c>
      <c r="B40" t="b">
        <f>IFERROR(VLOOKUP(A40,Результат!C:C,1,0)&lt;&gt;"",FALSE)</f>
        <v>0</v>
      </c>
      <c r="C40" t="str">
        <f t="shared" si="0"/>
        <v/>
      </c>
    </row>
    <row r="41" spans="1:3" x14ac:dyDescent="0.25">
      <c r="A41" t="s">
        <v>67</v>
      </c>
      <c r="B41" t="b">
        <f>IFERROR(VLOOKUP(A41,Результат!C:C,1,0)&lt;&gt;"",FALSE)</f>
        <v>1</v>
      </c>
      <c r="C41" t="str">
        <f t="shared" si="0"/>
        <v/>
      </c>
    </row>
    <row r="42" spans="1:3" x14ac:dyDescent="0.25">
      <c r="A42" t="s">
        <v>1</v>
      </c>
      <c r="B42" t="b">
        <f>IFERROR(VLOOKUP(A42,Результат!C:C,1,0)&lt;&gt;"",FALSE)</f>
        <v>0</v>
      </c>
      <c r="C42" t="str">
        <f t="shared" si="0"/>
        <v/>
      </c>
    </row>
    <row r="43" spans="1:3" x14ac:dyDescent="0.25">
      <c r="A43" t="s">
        <v>73</v>
      </c>
      <c r="B43" t="b">
        <f>IFERROR(VLOOKUP(A43,Результат!C:C,1,0)&lt;&gt;"",FALSE)</f>
        <v>0</v>
      </c>
      <c r="C43" t="str">
        <f t="shared" si="0"/>
        <v/>
      </c>
    </row>
    <row r="44" spans="1:3" x14ac:dyDescent="0.25">
      <c r="A44" t="s">
        <v>74</v>
      </c>
      <c r="B44" t="b">
        <f>IFERROR(VLOOKUP(A44,Результат!C:C,1,0)&lt;&gt;"",FALSE)</f>
        <v>1</v>
      </c>
      <c r="C44" t="str">
        <f t="shared" si="0"/>
        <v/>
      </c>
    </row>
    <row r="45" spans="1:3" x14ac:dyDescent="0.25">
      <c r="A45" t="s">
        <v>1</v>
      </c>
      <c r="B45" t="b">
        <f>IFERROR(VLOOKUP(A45,Результат!C:C,1,0)&lt;&gt;"",FALSE)</f>
        <v>0</v>
      </c>
      <c r="C45" t="str">
        <f t="shared" si="0"/>
        <v/>
      </c>
    </row>
    <row r="46" spans="1:3" x14ac:dyDescent="0.25">
      <c r="A46" t="s">
        <v>78</v>
      </c>
      <c r="B46" t="b">
        <f>IFERROR(VLOOKUP(A46,Результат!C:C,1,0)&lt;&gt;"",FALSE)</f>
        <v>0</v>
      </c>
      <c r="C46" t="str">
        <f t="shared" si="0"/>
        <v/>
      </c>
    </row>
    <row r="47" spans="1:3" x14ac:dyDescent="0.25">
      <c r="A47" t="s">
        <v>79</v>
      </c>
      <c r="B47" t="b">
        <f>IFERROR(VLOOKUP(A47,Результат!C:C,1,0)&lt;&gt;"",FALSE)</f>
        <v>1</v>
      </c>
      <c r="C47" t="str">
        <f t="shared" si="0"/>
        <v/>
      </c>
    </row>
    <row r="48" spans="1:3" x14ac:dyDescent="0.25">
      <c r="A48" t="s">
        <v>1</v>
      </c>
      <c r="B48" t="b">
        <f>IFERROR(VLOOKUP(A48,Результат!C:C,1,0)&lt;&gt;"",FALSE)</f>
        <v>0</v>
      </c>
      <c r="C48" t="str">
        <f t="shared" si="0"/>
        <v/>
      </c>
    </row>
    <row r="49" spans="1:3" x14ac:dyDescent="0.25">
      <c r="A49" t="s">
        <v>82</v>
      </c>
      <c r="B49" t="b">
        <f>IFERROR(VLOOKUP(A49,Результат!C:C,1,0)&lt;&gt;"",FALSE)</f>
        <v>0</v>
      </c>
      <c r="C49" t="str">
        <f t="shared" si="0"/>
        <v/>
      </c>
    </row>
    <row r="50" spans="1:3" x14ac:dyDescent="0.25">
      <c r="A50" t="s">
        <v>83</v>
      </c>
      <c r="B50" t="b">
        <f>IFERROR(VLOOKUP(A50,Результат!C:C,1,0)&lt;&gt;"",FALSE)</f>
        <v>1</v>
      </c>
      <c r="C50" t="str">
        <f t="shared" si="0"/>
        <v/>
      </c>
    </row>
    <row r="51" spans="1:3" x14ac:dyDescent="0.25">
      <c r="A51" t="s">
        <v>1</v>
      </c>
      <c r="B51" t="b">
        <f>IFERROR(VLOOKUP(A51,Результат!C:C,1,0)&lt;&gt;"",FALSE)</f>
        <v>0</v>
      </c>
      <c r="C51" t="str">
        <f t="shared" si="0"/>
        <v/>
      </c>
    </row>
    <row r="52" spans="1:3" x14ac:dyDescent="0.25">
      <c r="A52" t="s">
        <v>445</v>
      </c>
      <c r="B52" t="b">
        <f>IFERROR(VLOOKUP(A52,Результат!C:C,1,0)&lt;&gt;"",FALSE)</f>
        <v>0</v>
      </c>
      <c r="C52" t="str">
        <f t="shared" si="0"/>
        <v/>
      </c>
    </row>
    <row r="53" spans="1:3" x14ac:dyDescent="0.25">
      <c r="A53" t="s">
        <v>88</v>
      </c>
      <c r="B53" t="b">
        <f>IFERROR(VLOOKUP(A53,Результат!C:C,1,0)&lt;&gt;"",FALSE)</f>
        <v>1</v>
      </c>
      <c r="C53" t="str">
        <f t="shared" si="0"/>
        <v/>
      </c>
    </row>
    <row r="54" spans="1:3" x14ac:dyDescent="0.25">
      <c r="A54" t="s">
        <v>1</v>
      </c>
      <c r="B54" t="b">
        <f>IFERROR(VLOOKUP(A54,Результат!C:C,1,0)&lt;&gt;"",FALSE)</f>
        <v>0</v>
      </c>
      <c r="C54" t="str">
        <f t="shared" si="0"/>
        <v/>
      </c>
    </row>
    <row r="55" spans="1:3" x14ac:dyDescent="0.25">
      <c r="A55" t="s">
        <v>92</v>
      </c>
      <c r="B55" t="b">
        <f>IFERROR(VLOOKUP(A55,Результат!C:C,1,0)&lt;&gt;"",FALSE)</f>
        <v>0</v>
      </c>
      <c r="C55" t="str">
        <f t="shared" si="0"/>
        <v/>
      </c>
    </row>
    <row r="56" spans="1:3" x14ac:dyDescent="0.25">
      <c r="A56" t="s">
        <v>93</v>
      </c>
      <c r="B56" t="b">
        <f>IFERROR(VLOOKUP(A56,Результат!C:C,1,0)&lt;&gt;"",FALSE)</f>
        <v>1</v>
      </c>
      <c r="C56" t="str">
        <f t="shared" si="0"/>
        <v/>
      </c>
    </row>
    <row r="57" spans="1:3" x14ac:dyDescent="0.25">
      <c r="A57" t="s">
        <v>1</v>
      </c>
      <c r="B57" t="b">
        <f>IFERROR(VLOOKUP(A57,Результат!C:C,1,0)&lt;&gt;"",FALSE)</f>
        <v>0</v>
      </c>
      <c r="C57" t="str">
        <f t="shared" si="0"/>
        <v/>
      </c>
    </row>
    <row r="58" spans="1:3" x14ac:dyDescent="0.25">
      <c r="A58" t="s">
        <v>97</v>
      </c>
      <c r="B58" t="b">
        <f>IFERROR(VLOOKUP(A58,Результат!C:C,1,0)&lt;&gt;"",FALSE)</f>
        <v>0</v>
      </c>
      <c r="C58" t="str">
        <f t="shared" si="0"/>
        <v/>
      </c>
    </row>
    <row r="59" spans="1:3" x14ac:dyDescent="0.25">
      <c r="A59" t="s">
        <v>98</v>
      </c>
      <c r="B59" t="b">
        <f>IFERROR(VLOOKUP(A59,Результат!C:C,1,0)&lt;&gt;"",FALSE)</f>
        <v>1</v>
      </c>
      <c r="C59" t="str">
        <f t="shared" si="0"/>
        <v/>
      </c>
    </row>
    <row r="60" spans="1:3" x14ac:dyDescent="0.25">
      <c r="A60" t="s">
        <v>1</v>
      </c>
      <c r="B60" t="b">
        <f>IFERROR(VLOOKUP(A60,Результат!C:C,1,0)&lt;&gt;"",FALSE)</f>
        <v>0</v>
      </c>
      <c r="C60" t="str">
        <f t="shared" si="0"/>
        <v/>
      </c>
    </row>
    <row r="61" spans="1:3" x14ac:dyDescent="0.25">
      <c r="A61" t="s">
        <v>102</v>
      </c>
      <c r="B61" t="b">
        <f>IFERROR(VLOOKUP(A61,Результат!C:C,1,0)&lt;&gt;"",FALSE)</f>
        <v>0</v>
      </c>
      <c r="C61" t="str">
        <f t="shared" si="0"/>
        <v/>
      </c>
    </row>
    <row r="62" spans="1:3" x14ac:dyDescent="0.25">
      <c r="A62" t="s">
        <v>103</v>
      </c>
      <c r="B62" t="b">
        <f>IFERROR(VLOOKUP(A62,Результат!C:C,1,0)&lt;&gt;"",FALSE)</f>
        <v>1</v>
      </c>
      <c r="C62" t="str">
        <f t="shared" si="0"/>
        <v/>
      </c>
    </row>
    <row r="63" spans="1:3" x14ac:dyDescent="0.25">
      <c r="A63" t="s">
        <v>105</v>
      </c>
      <c r="B63" t="b">
        <f>IFERROR(VLOOKUP(A63,Результат!C:C,1,0)&lt;&gt;"",FALSE)</f>
        <v>0</v>
      </c>
      <c r="C63" t="str">
        <f t="shared" si="0"/>
        <v/>
      </c>
    </row>
    <row r="64" spans="1:3" x14ac:dyDescent="0.25">
      <c r="A64" t="s">
        <v>106</v>
      </c>
      <c r="B64" t="b">
        <f>IFERROR(VLOOKUP(A64,Результат!C:C,1,0)&lt;&gt;"",FALSE)</f>
        <v>0</v>
      </c>
      <c r="C64" t="str">
        <f t="shared" si="0"/>
        <v/>
      </c>
    </row>
    <row r="65" spans="1:3" x14ac:dyDescent="0.25">
      <c r="A65" t="s">
        <v>7</v>
      </c>
      <c r="B65" t="b">
        <f>IFERROR(VLOOKUP(A65,Результат!C:C,1,0)&lt;&gt;"",FALSE)</f>
        <v>1</v>
      </c>
      <c r="C65" t="str">
        <f t="shared" si="0"/>
        <v/>
      </c>
    </row>
    <row r="66" spans="1:3" x14ac:dyDescent="0.25">
      <c r="A66" t="s">
        <v>1</v>
      </c>
      <c r="B66" t="b">
        <f>IFERROR(VLOOKUP(A66,Результат!C:C,1,0)&lt;&gt;"",FALSE)</f>
        <v>0</v>
      </c>
      <c r="C66" t="str">
        <f t="shared" ref="C66:C129" si="1">IF(AND(IFERROR(FIND(",",A65)&gt;=1,FALSE),B67&lt;&gt;TRUE),A66&amp;" "&amp;A67,"")</f>
        <v/>
      </c>
    </row>
    <row r="67" spans="1:3" x14ac:dyDescent="0.25">
      <c r="A67" t="s">
        <v>109</v>
      </c>
      <c r="B67" t="b">
        <f>IFERROR(VLOOKUP(A67,Результат!C:C,1,0)&lt;&gt;"",FALSE)</f>
        <v>0</v>
      </c>
      <c r="C67" t="str">
        <f t="shared" si="1"/>
        <v/>
      </c>
    </row>
    <row r="68" spans="1:3" x14ac:dyDescent="0.25">
      <c r="A68" t="s">
        <v>110</v>
      </c>
      <c r="B68" t="b">
        <f>IFERROR(VLOOKUP(A68,Результат!C:C,1,0)&lt;&gt;"",FALSE)</f>
        <v>1</v>
      </c>
      <c r="C68" t="str">
        <f t="shared" si="1"/>
        <v/>
      </c>
    </row>
    <row r="69" spans="1:3" x14ac:dyDescent="0.25">
      <c r="A69" t="s">
        <v>1</v>
      </c>
      <c r="B69" t="b">
        <f>IFERROR(VLOOKUP(A69,Результат!C:C,1,0)&lt;&gt;"",FALSE)</f>
        <v>0</v>
      </c>
      <c r="C69" t="str">
        <f t="shared" si="1"/>
        <v/>
      </c>
    </row>
    <row r="70" spans="1:3" x14ac:dyDescent="0.25">
      <c r="A70" t="s">
        <v>114</v>
      </c>
      <c r="B70" t="b">
        <f>IFERROR(VLOOKUP(A70,Результат!C:C,1,0)&lt;&gt;"",FALSE)</f>
        <v>0</v>
      </c>
      <c r="C70" t="str">
        <f t="shared" si="1"/>
        <v/>
      </c>
    </row>
    <row r="71" spans="1:3" x14ac:dyDescent="0.25">
      <c r="A71" t="s">
        <v>8</v>
      </c>
      <c r="B71" t="b">
        <f>IFERROR(VLOOKUP(A71,Результат!C:C,1,0)&lt;&gt;"",FALSE)</f>
        <v>1</v>
      </c>
      <c r="C71" t="str">
        <f t="shared" si="1"/>
        <v/>
      </c>
    </row>
    <row r="72" spans="1:3" x14ac:dyDescent="0.25">
      <c r="A72" t="s">
        <v>1</v>
      </c>
      <c r="B72" t="b">
        <f>IFERROR(VLOOKUP(A72,Результат!C:C,1,0)&lt;&gt;"",FALSE)</f>
        <v>0</v>
      </c>
      <c r="C72" t="str">
        <f t="shared" si="1"/>
        <v/>
      </c>
    </row>
    <row r="73" spans="1:3" x14ac:dyDescent="0.25">
      <c r="A73" t="s">
        <v>444</v>
      </c>
      <c r="B73" t="b">
        <f>IFERROR(VLOOKUP(A73,Результат!C:C,1,0)&lt;&gt;"",FALSE)</f>
        <v>0</v>
      </c>
      <c r="C73" t="str">
        <f t="shared" si="1"/>
        <v/>
      </c>
    </row>
    <row r="74" spans="1:3" x14ac:dyDescent="0.25">
      <c r="A74" t="s">
        <v>115</v>
      </c>
      <c r="B74" t="b">
        <f>IFERROR(VLOOKUP(A74,Результат!C:C,1,0)&lt;&gt;"",FALSE)</f>
        <v>1</v>
      </c>
      <c r="C74" t="str">
        <f t="shared" si="1"/>
        <v/>
      </c>
    </row>
    <row r="75" spans="1:3" x14ac:dyDescent="0.25">
      <c r="A75" t="s">
        <v>1</v>
      </c>
      <c r="B75" t="b">
        <f>IFERROR(VLOOKUP(A75,Результат!C:C,1,0)&lt;&gt;"",FALSE)</f>
        <v>0</v>
      </c>
      <c r="C75" t="str">
        <f t="shared" si="1"/>
        <v/>
      </c>
    </row>
    <row r="76" spans="1:3" x14ac:dyDescent="0.25">
      <c r="A76" t="s">
        <v>119</v>
      </c>
      <c r="B76" t="b">
        <f>IFERROR(VLOOKUP(A76,Результат!C:C,1,0)&lt;&gt;"",FALSE)</f>
        <v>0</v>
      </c>
      <c r="C76" t="str">
        <f t="shared" si="1"/>
        <v/>
      </c>
    </row>
    <row r="77" spans="1:3" x14ac:dyDescent="0.25">
      <c r="A77" t="s">
        <v>6</v>
      </c>
      <c r="B77" t="b">
        <f>IFERROR(VLOOKUP(A77,Результат!C:C,1,0)&lt;&gt;"",FALSE)</f>
        <v>1</v>
      </c>
      <c r="C77" t="str">
        <f t="shared" si="1"/>
        <v/>
      </c>
    </row>
    <row r="78" spans="1:3" x14ac:dyDescent="0.25">
      <c r="A78" t="s">
        <v>1</v>
      </c>
      <c r="B78" t="b">
        <f>IFERROR(VLOOKUP(A78,Результат!C:C,1,0)&lt;&gt;"",FALSE)</f>
        <v>0</v>
      </c>
      <c r="C78" t="str">
        <f t="shared" si="1"/>
        <v/>
      </c>
    </row>
    <row r="79" spans="1:3" x14ac:dyDescent="0.25">
      <c r="A79" t="s">
        <v>447</v>
      </c>
      <c r="B79" t="b">
        <f>IFERROR(VLOOKUP(A79,Результат!C:C,1,0)&lt;&gt;"",FALSE)</f>
        <v>0</v>
      </c>
      <c r="C79" t="str">
        <f t="shared" si="1"/>
        <v/>
      </c>
    </row>
    <row r="80" spans="1:3" x14ac:dyDescent="0.25">
      <c r="A80" t="s">
        <v>123</v>
      </c>
      <c r="B80" t="b">
        <f>IFERROR(VLOOKUP(A80,Результат!C:C,1,0)&lt;&gt;"",FALSE)</f>
        <v>1</v>
      </c>
      <c r="C80" t="str">
        <f t="shared" si="1"/>
        <v/>
      </c>
    </row>
    <row r="81" spans="1:3" x14ac:dyDescent="0.25">
      <c r="A81" t="s">
        <v>1</v>
      </c>
      <c r="B81" t="b">
        <f>IFERROR(VLOOKUP(A81,Результат!C:C,1,0)&lt;&gt;"",FALSE)</f>
        <v>0</v>
      </c>
      <c r="C81" t="str">
        <f t="shared" si="1"/>
        <v/>
      </c>
    </row>
    <row r="82" spans="1:3" x14ac:dyDescent="0.25">
      <c r="A82" t="s">
        <v>126</v>
      </c>
      <c r="B82" t="b">
        <f>IFERROR(VLOOKUP(A82,Результат!C:C,1,0)&lt;&gt;"",FALSE)</f>
        <v>0</v>
      </c>
      <c r="C82" t="str">
        <f t="shared" si="1"/>
        <v/>
      </c>
    </row>
    <row r="83" spans="1:3" x14ac:dyDescent="0.25">
      <c r="A83" t="s">
        <v>127</v>
      </c>
      <c r="B83" t="b">
        <f>IFERROR(VLOOKUP(A83,Результат!C:C,1,0)&lt;&gt;"",FALSE)</f>
        <v>1</v>
      </c>
      <c r="C83" t="str">
        <f t="shared" si="1"/>
        <v/>
      </c>
    </row>
    <row r="84" spans="1:3" x14ac:dyDescent="0.25">
      <c r="A84" t="s">
        <v>1</v>
      </c>
      <c r="B84" t="b">
        <f>IFERROR(VLOOKUP(A84,Результат!C:C,1,0)&lt;&gt;"",FALSE)</f>
        <v>0</v>
      </c>
      <c r="C84" t="str">
        <f t="shared" si="1"/>
        <v/>
      </c>
    </row>
    <row r="85" spans="1:3" x14ac:dyDescent="0.25">
      <c r="A85" t="s">
        <v>129</v>
      </c>
      <c r="B85" t="b">
        <f>IFERROR(VLOOKUP(A85,Результат!C:C,1,0)&lt;&gt;"",FALSE)</f>
        <v>0</v>
      </c>
      <c r="C85" t="str">
        <f t="shared" si="1"/>
        <v/>
      </c>
    </row>
    <row r="86" spans="1:3" x14ac:dyDescent="0.25">
      <c r="A86" t="s">
        <v>130</v>
      </c>
      <c r="B86" t="b">
        <f>IFERROR(VLOOKUP(A86,Результат!C:C,1,0)&lt;&gt;"",FALSE)</f>
        <v>1</v>
      </c>
      <c r="C86" t="str">
        <f t="shared" si="1"/>
        <v/>
      </c>
    </row>
    <row r="87" spans="1:3" x14ac:dyDescent="0.25">
      <c r="A87" t="s">
        <v>134</v>
      </c>
      <c r="B87" t="b">
        <f>IFERROR(VLOOKUP(A87,Результат!C:C,1,0)&lt;&gt;"",FALSE)</f>
        <v>0</v>
      </c>
      <c r="C87" t="str">
        <f t="shared" si="1"/>
        <v/>
      </c>
    </row>
    <row r="88" spans="1:3" x14ac:dyDescent="0.25">
      <c r="A88" t="s">
        <v>135</v>
      </c>
      <c r="B88" t="b">
        <f>IFERROR(VLOOKUP(A88,Результат!C:C,1,0)&lt;&gt;"",FALSE)</f>
        <v>0</v>
      </c>
      <c r="C88" t="str">
        <f t="shared" si="1"/>
        <v/>
      </c>
    </row>
    <row r="89" spans="1:3" x14ac:dyDescent="0.25">
      <c r="A89" t="s">
        <v>136</v>
      </c>
      <c r="B89" t="b">
        <f>IFERROR(VLOOKUP(A89,Результат!C:C,1,0)&lt;&gt;"",FALSE)</f>
        <v>1</v>
      </c>
      <c r="C89" t="str">
        <f t="shared" si="1"/>
        <v/>
      </c>
    </row>
    <row r="90" spans="1:3" x14ac:dyDescent="0.25">
      <c r="A90" t="s">
        <v>1</v>
      </c>
      <c r="B90" t="b">
        <f>IFERROR(VLOOKUP(A90,Результат!C:C,1,0)&lt;&gt;"",FALSE)</f>
        <v>0</v>
      </c>
      <c r="C90" t="str">
        <f t="shared" si="1"/>
        <v/>
      </c>
    </row>
    <row r="91" spans="1:3" x14ac:dyDescent="0.25">
      <c r="A91" t="s">
        <v>137</v>
      </c>
      <c r="B91" t="b">
        <f>IFERROR(VLOOKUP(A91,Результат!C:C,1,0)&lt;&gt;"",FALSE)</f>
        <v>0</v>
      </c>
      <c r="C91" t="str">
        <f t="shared" si="1"/>
        <v/>
      </c>
    </row>
    <row r="92" spans="1:3" x14ac:dyDescent="0.25">
      <c r="A92" t="s">
        <v>138</v>
      </c>
      <c r="B92" t="b">
        <f>IFERROR(VLOOKUP(A92,Результат!C:C,1,0)&lt;&gt;"",FALSE)</f>
        <v>1</v>
      </c>
      <c r="C92" t="str">
        <f t="shared" si="1"/>
        <v/>
      </c>
    </row>
    <row r="93" spans="1:3" x14ac:dyDescent="0.25">
      <c r="A93" t="s">
        <v>1</v>
      </c>
      <c r="B93" t="b">
        <f>IFERROR(VLOOKUP(A93,Результат!C:C,1,0)&lt;&gt;"",FALSE)</f>
        <v>0</v>
      </c>
      <c r="C93" t="str">
        <f t="shared" si="1"/>
        <v/>
      </c>
    </row>
    <row r="94" spans="1:3" x14ac:dyDescent="0.25">
      <c r="A94" t="s">
        <v>119</v>
      </c>
      <c r="B94" t="b">
        <f>IFERROR(VLOOKUP(A94,Результат!C:C,1,0)&lt;&gt;"",FALSE)</f>
        <v>0</v>
      </c>
      <c r="C94" t="str">
        <f t="shared" si="1"/>
        <v/>
      </c>
    </row>
    <row r="95" spans="1:3" x14ac:dyDescent="0.25">
      <c r="A95" t="s">
        <v>144</v>
      </c>
      <c r="B95" t="b">
        <f>IFERROR(VLOOKUP(A95,Результат!C:C,1,0)&lt;&gt;"",FALSE)</f>
        <v>1</v>
      </c>
      <c r="C95" t="str">
        <f t="shared" si="1"/>
        <v/>
      </c>
    </row>
    <row r="96" spans="1:3" x14ac:dyDescent="0.25">
      <c r="A96" t="s">
        <v>105</v>
      </c>
      <c r="B96" t="b">
        <f>IFERROR(VLOOKUP(A96,Результат!C:C,1,0)&lt;&gt;"",FALSE)</f>
        <v>0</v>
      </c>
      <c r="C96" t="str">
        <f t="shared" si="1"/>
        <v/>
      </c>
    </row>
    <row r="97" spans="1:3" x14ac:dyDescent="0.25">
      <c r="A97" t="s">
        <v>448</v>
      </c>
      <c r="B97" t="b">
        <f>IFERROR(VLOOKUP(A97,Результат!C:C,1,0)&lt;&gt;"",FALSE)</f>
        <v>0</v>
      </c>
      <c r="C97" t="str">
        <f t="shared" si="1"/>
        <v/>
      </c>
    </row>
    <row r="98" spans="1:3" x14ac:dyDescent="0.25">
      <c r="A98" t="s">
        <v>146</v>
      </c>
      <c r="B98" t="b">
        <f>IFERROR(VLOOKUP(A98,Результат!C:C,1,0)&lt;&gt;"",FALSE)</f>
        <v>1</v>
      </c>
      <c r="C98" t="str">
        <f t="shared" si="1"/>
        <v/>
      </c>
    </row>
    <row r="99" spans="1:3" x14ac:dyDescent="0.25">
      <c r="A99" t="s">
        <v>1</v>
      </c>
      <c r="B99" t="b">
        <f>IFERROR(VLOOKUP(A99,Результат!C:C,1,0)&lt;&gt;"",FALSE)</f>
        <v>0</v>
      </c>
      <c r="C99" t="str">
        <f t="shared" si="1"/>
        <v/>
      </c>
    </row>
    <row r="100" spans="1:3" x14ac:dyDescent="0.25">
      <c r="A100" t="s">
        <v>148</v>
      </c>
      <c r="B100" t="b">
        <f>IFERROR(VLOOKUP(A100,Результат!C:C,1,0)&lt;&gt;"",FALSE)</f>
        <v>0</v>
      </c>
      <c r="C100" t="str">
        <f t="shared" si="1"/>
        <v/>
      </c>
    </row>
    <row r="101" spans="1:3" x14ac:dyDescent="0.25">
      <c r="A101" t="s">
        <v>149</v>
      </c>
      <c r="B101" t="b">
        <f>IFERROR(VLOOKUP(A101,Результат!C:C,1,0)&lt;&gt;"",FALSE)</f>
        <v>1</v>
      </c>
      <c r="C101" t="str">
        <f t="shared" si="1"/>
        <v/>
      </c>
    </row>
    <row r="102" spans="1:3" x14ac:dyDescent="0.25">
      <c r="A102" t="s">
        <v>1</v>
      </c>
      <c r="B102" t="b">
        <f>IFERROR(VLOOKUP(A102,Результат!C:C,1,0)&lt;&gt;"",FALSE)</f>
        <v>0</v>
      </c>
      <c r="C102" t="str">
        <f t="shared" si="1"/>
        <v/>
      </c>
    </row>
    <row r="103" spans="1:3" x14ac:dyDescent="0.25">
      <c r="A103" t="s">
        <v>151</v>
      </c>
      <c r="B103" t="b">
        <f>IFERROR(VLOOKUP(A103,Результат!C:C,1,0)&lt;&gt;"",FALSE)</f>
        <v>0</v>
      </c>
      <c r="C103" t="str">
        <f t="shared" si="1"/>
        <v/>
      </c>
    </row>
    <row r="104" spans="1:3" x14ac:dyDescent="0.25">
      <c r="A104" t="s">
        <v>152</v>
      </c>
      <c r="B104" t="b">
        <f>IFERROR(VLOOKUP(A104,Результат!C:C,1,0)&lt;&gt;"",FALSE)</f>
        <v>1</v>
      </c>
      <c r="C104" t="str">
        <f t="shared" si="1"/>
        <v/>
      </c>
    </row>
    <row r="105" spans="1:3" x14ac:dyDescent="0.25">
      <c r="A105" t="s">
        <v>1</v>
      </c>
      <c r="B105" t="b">
        <f>IFERROR(VLOOKUP(A105,Результат!C:C,1,0)&lt;&gt;"",FALSE)</f>
        <v>0</v>
      </c>
      <c r="C105" t="str">
        <f t="shared" si="1"/>
        <v/>
      </c>
    </row>
    <row r="106" spans="1:3" x14ac:dyDescent="0.25">
      <c r="A106" t="s">
        <v>155</v>
      </c>
      <c r="B106" t="b">
        <f>IFERROR(VLOOKUP(A106,Результат!C:C,1,0)&lt;&gt;"",FALSE)</f>
        <v>0</v>
      </c>
      <c r="C106" t="str">
        <f t="shared" si="1"/>
        <v/>
      </c>
    </row>
    <row r="107" spans="1:3" x14ac:dyDescent="0.25">
      <c r="A107" t="s">
        <v>156</v>
      </c>
      <c r="B107" t="b">
        <f>IFERROR(VLOOKUP(A107,Результат!C:C,1,0)&lt;&gt;"",FALSE)</f>
        <v>1</v>
      </c>
      <c r="C107" t="str">
        <f t="shared" si="1"/>
        <v/>
      </c>
    </row>
    <row r="108" spans="1:3" x14ac:dyDescent="0.25">
      <c r="A108" t="s">
        <v>1</v>
      </c>
      <c r="B108" t="b">
        <f>IFERROR(VLOOKUP(A108,Результат!C:C,1,0)&lt;&gt;"",FALSE)</f>
        <v>0</v>
      </c>
      <c r="C108" t="str">
        <f t="shared" si="1"/>
        <v/>
      </c>
    </row>
    <row r="109" spans="1:3" x14ac:dyDescent="0.25">
      <c r="A109" t="s">
        <v>159</v>
      </c>
      <c r="B109" t="b">
        <f>IFERROR(VLOOKUP(A109,Результат!C:C,1,0)&lt;&gt;"",FALSE)</f>
        <v>0</v>
      </c>
      <c r="C109" t="str">
        <f t="shared" si="1"/>
        <v/>
      </c>
    </row>
    <row r="110" spans="1:3" x14ac:dyDescent="0.25">
      <c r="A110" t="s">
        <v>160</v>
      </c>
      <c r="B110" t="b">
        <f>IFERROR(VLOOKUP(A110,Результат!C:C,1,0)&lt;&gt;"",FALSE)</f>
        <v>1</v>
      </c>
      <c r="C110" t="str">
        <f t="shared" si="1"/>
        <v/>
      </c>
    </row>
    <row r="111" spans="1:3" x14ac:dyDescent="0.25">
      <c r="A111" t="s">
        <v>1</v>
      </c>
      <c r="B111" t="b">
        <f>IFERROR(VLOOKUP(A111,Результат!C:C,1,0)&lt;&gt;"",FALSE)</f>
        <v>0</v>
      </c>
      <c r="C111" t="str">
        <f t="shared" si="1"/>
        <v/>
      </c>
    </row>
    <row r="112" spans="1:3" x14ac:dyDescent="0.25">
      <c r="A112" t="s">
        <v>162</v>
      </c>
      <c r="B112" t="b">
        <f>IFERROR(VLOOKUP(A112,Результат!C:C,1,0)&lt;&gt;"",FALSE)</f>
        <v>0</v>
      </c>
      <c r="C112" t="str">
        <f t="shared" si="1"/>
        <v/>
      </c>
    </row>
    <row r="113" spans="1:3" x14ac:dyDescent="0.25">
      <c r="A113" t="s">
        <v>163</v>
      </c>
      <c r="B113" t="b">
        <f>IFERROR(VLOOKUP(A113,Результат!C:C,1,0)&lt;&gt;"",FALSE)</f>
        <v>1</v>
      </c>
      <c r="C113" t="str">
        <f t="shared" si="1"/>
        <v/>
      </c>
    </row>
    <row r="114" spans="1:3" x14ac:dyDescent="0.25">
      <c r="A114" t="s">
        <v>1</v>
      </c>
      <c r="B114" t="b">
        <f>IFERROR(VLOOKUP(A114,Результат!C:C,1,0)&lt;&gt;"",FALSE)</f>
        <v>0</v>
      </c>
      <c r="C114" t="str">
        <f t="shared" si="1"/>
        <v/>
      </c>
    </row>
    <row r="115" spans="1:3" x14ac:dyDescent="0.25">
      <c r="A115" t="s">
        <v>167</v>
      </c>
      <c r="B115" t="b">
        <f>IFERROR(VLOOKUP(A115,Результат!C:C,1,0)&lt;&gt;"",FALSE)</f>
        <v>0</v>
      </c>
      <c r="C115" t="str">
        <f t="shared" si="1"/>
        <v/>
      </c>
    </row>
    <row r="116" spans="1:3" x14ac:dyDescent="0.25">
      <c r="A116" t="s">
        <v>168</v>
      </c>
      <c r="B116" t="b">
        <f>IFERROR(VLOOKUP(A116,Результат!C:C,1,0)&lt;&gt;"",FALSE)</f>
        <v>1</v>
      </c>
      <c r="C116" t="str">
        <f t="shared" si="1"/>
        <v/>
      </c>
    </row>
    <row r="117" spans="1:3" x14ac:dyDescent="0.25">
      <c r="A117" t="s">
        <v>105</v>
      </c>
      <c r="B117" t="b">
        <f>IFERROR(VLOOKUP(A117,Результат!C:C,1,0)&lt;&gt;"",FALSE)</f>
        <v>0</v>
      </c>
      <c r="C117" t="str">
        <f t="shared" si="1"/>
        <v/>
      </c>
    </row>
    <row r="118" spans="1:3" x14ac:dyDescent="0.25">
      <c r="A118" t="s">
        <v>171</v>
      </c>
      <c r="B118" t="b">
        <f>IFERROR(VLOOKUP(A118,Результат!C:C,1,0)&lt;&gt;"",FALSE)</f>
        <v>0</v>
      </c>
      <c r="C118" t="str">
        <f t="shared" si="1"/>
        <v/>
      </c>
    </row>
    <row r="119" spans="1:3" x14ac:dyDescent="0.25">
      <c r="A119" t="s">
        <v>172</v>
      </c>
      <c r="B119" t="b">
        <f>IFERROR(VLOOKUP(A119,Результат!C:C,1,0)&lt;&gt;"",FALSE)</f>
        <v>1</v>
      </c>
      <c r="C119" t="str">
        <f t="shared" si="1"/>
        <v/>
      </c>
    </row>
    <row r="120" spans="1:3" x14ac:dyDescent="0.25">
      <c r="A120" t="s">
        <v>105</v>
      </c>
      <c r="B120" t="b">
        <f>IFERROR(VLOOKUP(A120,Результат!C:C,1,0)&lt;&gt;"",FALSE)</f>
        <v>0</v>
      </c>
      <c r="C120" t="str">
        <f t="shared" si="1"/>
        <v/>
      </c>
    </row>
    <row r="121" spans="1:3" x14ac:dyDescent="0.25">
      <c r="A121" t="s">
        <v>449</v>
      </c>
      <c r="B121" t="b">
        <f>IFERROR(VLOOKUP(A121,Результат!C:C,1,0)&lt;&gt;"",FALSE)</f>
        <v>0</v>
      </c>
      <c r="C121" t="str">
        <f t="shared" si="1"/>
        <v/>
      </c>
    </row>
    <row r="122" spans="1:3" x14ac:dyDescent="0.25">
      <c r="A122" t="s">
        <v>177</v>
      </c>
      <c r="B122" t="b">
        <f>IFERROR(VLOOKUP(A122,Результат!C:C,1,0)&lt;&gt;"",FALSE)</f>
        <v>1</v>
      </c>
      <c r="C122" t="str">
        <f t="shared" si="1"/>
        <v/>
      </c>
    </row>
    <row r="123" spans="1:3" x14ac:dyDescent="0.25">
      <c r="A123" t="s">
        <v>1</v>
      </c>
      <c r="B123" t="b">
        <f>IFERROR(VLOOKUP(A123,Результат!C:C,1,0)&lt;&gt;"",FALSE)</f>
        <v>0</v>
      </c>
      <c r="C123" t="str">
        <f t="shared" si="1"/>
        <v/>
      </c>
    </row>
    <row r="124" spans="1:3" x14ac:dyDescent="0.25">
      <c r="A124" t="s">
        <v>179</v>
      </c>
      <c r="B124" t="b">
        <f>IFERROR(VLOOKUP(A124,Результат!C:C,1,0)&lt;&gt;"",FALSE)</f>
        <v>0</v>
      </c>
      <c r="C124" t="str">
        <f t="shared" si="1"/>
        <v/>
      </c>
    </row>
    <row r="125" spans="1:3" x14ac:dyDescent="0.25">
      <c r="A125" t="s">
        <v>180</v>
      </c>
      <c r="B125" t="b">
        <f>IFERROR(VLOOKUP(A125,Результат!C:C,1,0)&lt;&gt;"",FALSE)</f>
        <v>1</v>
      </c>
      <c r="C125" t="str">
        <f t="shared" si="1"/>
        <v/>
      </c>
    </row>
    <row r="126" spans="1:3" x14ac:dyDescent="0.25">
      <c r="A126" t="s">
        <v>1</v>
      </c>
      <c r="B126" t="b">
        <f>IFERROR(VLOOKUP(A126,Результат!C:C,1,0)&lt;&gt;"",FALSE)</f>
        <v>0</v>
      </c>
      <c r="C126" t="str">
        <f t="shared" si="1"/>
        <v/>
      </c>
    </row>
    <row r="127" spans="1:3" x14ac:dyDescent="0.25">
      <c r="A127" t="s">
        <v>184</v>
      </c>
      <c r="B127" t="b">
        <f>IFERROR(VLOOKUP(A127,Результат!C:C,1,0)&lt;&gt;"",FALSE)</f>
        <v>0</v>
      </c>
      <c r="C127" t="str">
        <f t="shared" si="1"/>
        <v/>
      </c>
    </row>
    <row r="128" spans="1:3" x14ac:dyDescent="0.25">
      <c r="A128" t="s">
        <v>185</v>
      </c>
      <c r="B128" t="b">
        <f>IFERROR(VLOOKUP(A128,Результат!C:C,1,0)&lt;&gt;"",FALSE)</f>
        <v>1</v>
      </c>
      <c r="C128" t="str">
        <f t="shared" si="1"/>
        <v/>
      </c>
    </row>
    <row r="129" spans="1:3" x14ac:dyDescent="0.25">
      <c r="A129" t="s">
        <v>1</v>
      </c>
      <c r="B129" t="b">
        <f>IFERROR(VLOOKUP(A129,Результат!C:C,1,0)&lt;&gt;"",FALSE)</f>
        <v>0</v>
      </c>
      <c r="C129" t="str">
        <f t="shared" si="1"/>
        <v/>
      </c>
    </row>
    <row r="130" spans="1:3" x14ac:dyDescent="0.25">
      <c r="A130" t="s">
        <v>187</v>
      </c>
      <c r="B130" t="b">
        <f>IFERROR(VLOOKUP(A130,Результат!C:C,1,0)&lt;&gt;"",FALSE)</f>
        <v>0</v>
      </c>
      <c r="C130" t="str">
        <f t="shared" ref="C130:C193" si="2">IF(AND(IFERROR(FIND(",",A129)&gt;=1,FALSE),B131&lt;&gt;TRUE),A130&amp;" "&amp;A131,"")</f>
        <v/>
      </c>
    </row>
    <row r="131" spans="1:3" x14ac:dyDescent="0.25">
      <c r="A131" t="s">
        <v>188</v>
      </c>
      <c r="B131" t="b">
        <f>IFERROR(VLOOKUP(A131,Результат!C:C,1,0)&lt;&gt;"",FALSE)</f>
        <v>1</v>
      </c>
      <c r="C131" t="str">
        <f t="shared" si="2"/>
        <v/>
      </c>
    </row>
    <row r="132" spans="1:3" x14ac:dyDescent="0.25">
      <c r="A132" t="s">
        <v>1</v>
      </c>
      <c r="B132" t="b">
        <f>IFERROR(VLOOKUP(A132,Результат!C:C,1,0)&lt;&gt;"",FALSE)</f>
        <v>0</v>
      </c>
      <c r="C132" t="str">
        <f t="shared" si="2"/>
        <v/>
      </c>
    </row>
    <row r="133" spans="1:3" x14ac:dyDescent="0.25">
      <c r="A133" t="s">
        <v>189</v>
      </c>
      <c r="B133" t="b">
        <f>IFERROR(VLOOKUP(A133,Результат!C:C,1,0)&lt;&gt;"",FALSE)</f>
        <v>0</v>
      </c>
      <c r="C133" t="str">
        <f t="shared" si="2"/>
        <v/>
      </c>
    </row>
    <row r="134" spans="1:3" x14ac:dyDescent="0.25">
      <c r="A134" t="s">
        <v>190</v>
      </c>
      <c r="B134" t="b">
        <f>IFERROR(VLOOKUP(A134,Результат!C:C,1,0)&lt;&gt;"",FALSE)</f>
        <v>1</v>
      </c>
      <c r="C134" t="str">
        <f t="shared" si="2"/>
        <v/>
      </c>
    </row>
    <row r="135" spans="1:3" x14ac:dyDescent="0.25">
      <c r="A135" t="s">
        <v>1</v>
      </c>
      <c r="B135" t="b">
        <f>IFERROR(VLOOKUP(A135,Результат!C:C,1,0)&lt;&gt;"",FALSE)</f>
        <v>0</v>
      </c>
      <c r="C135" t="str">
        <f t="shared" si="2"/>
        <v/>
      </c>
    </row>
    <row r="136" spans="1:3" x14ac:dyDescent="0.25">
      <c r="A136" t="s">
        <v>191</v>
      </c>
      <c r="B136" t="b">
        <f>IFERROR(VLOOKUP(A136,Результат!C:C,1,0)&lt;&gt;"",FALSE)</f>
        <v>0</v>
      </c>
      <c r="C136" t="str">
        <f t="shared" si="2"/>
        <v/>
      </c>
    </row>
    <row r="137" spans="1:3" x14ac:dyDescent="0.25">
      <c r="A137" t="s">
        <v>192</v>
      </c>
      <c r="B137" t="b">
        <f>IFERROR(VLOOKUP(A137,Результат!C:C,1,0)&lt;&gt;"",FALSE)</f>
        <v>1</v>
      </c>
      <c r="C137" t="str">
        <f t="shared" si="2"/>
        <v/>
      </c>
    </row>
    <row r="138" spans="1:3" x14ac:dyDescent="0.25">
      <c r="A138" t="s">
        <v>1</v>
      </c>
      <c r="B138" t="b">
        <f>IFERROR(VLOOKUP(A138,Результат!C:C,1,0)&lt;&gt;"",FALSE)</f>
        <v>0</v>
      </c>
      <c r="C138" t="str">
        <f t="shared" si="2"/>
        <v/>
      </c>
    </row>
    <row r="139" spans="1:3" x14ac:dyDescent="0.25">
      <c r="A139" t="s">
        <v>195</v>
      </c>
      <c r="B139" t="b">
        <f>IFERROR(VLOOKUP(A139,Результат!C:C,1,0)&lt;&gt;"",FALSE)</f>
        <v>0</v>
      </c>
      <c r="C139" t="str">
        <f t="shared" si="2"/>
        <v/>
      </c>
    </row>
    <row r="140" spans="1:3" x14ac:dyDescent="0.25">
      <c r="A140" t="s">
        <v>196</v>
      </c>
      <c r="B140" t="b">
        <f>IFERROR(VLOOKUP(A140,Результат!C:C,1,0)&lt;&gt;"",FALSE)</f>
        <v>1</v>
      </c>
      <c r="C140" t="str">
        <f t="shared" si="2"/>
        <v/>
      </c>
    </row>
    <row r="141" spans="1:3" x14ac:dyDescent="0.25">
      <c r="A141" t="s">
        <v>1</v>
      </c>
      <c r="B141" t="b">
        <f>IFERROR(VLOOKUP(A141,Результат!C:C,1,0)&lt;&gt;"",FALSE)</f>
        <v>0</v>
      </c>
      <c r="C141" t="str">
        <f t="shared" si="2"/>
        <v/>
      </c>
    </row>
    <row r="142" spans="1:3" x14ac:dyDescent="0.25">
      <c r="A142" t="s">
        <v>450</v>
      </c>
      <c r="B142" t="b">
        <f>IFERROR(VLOOKUP(A142,Результат!C:C,1,0)&lt;&gt;"",FALSE)</f>
        <v>0</v>
      </c>
      <c r="C142" t="str">
        <f t="shared" si="2"/>
        <v/>
      </c>
    </row>
    <row r="143" spans="1:3" x14ac:dyDescent="0.25">
      <c r="A143" t="s">
        <v>200</v>
      </c>
      <c r="B143" t="b">
        <f>IFERROR(VLOOKUP(A143,Результат!C:C,1,0)&lt;&gt;"",FALSE)</f>
        <v>1</v>
      </c>
      <c r="C143" t="str">
        <f t="shared" si="2"/>
        <v/>
      </c>
    </row>
    <row r="144" spans="1:3" x14ac:dyDescent="0.25">
      <c r="A144" t="s">
        <v>1</v>
      </c>
      <c r="B144" t="b">
        <f>IFERROR(VLOOKUP(A144,Результат!C:C,1,0)&lt;&gt;"",FALSE)</f>
        <v>0</v>
      </c>
      <c r="C144" t="str">
        <f t="shared" si="2"/>
        <v/>
      </c>
    </row>
    <row r="145" spans="1:3" x14ac:dyDescent="0.25">
      <c r="A145" t="s">
        <v>203</v>
      </c>
      <c r="B145" t="b">
        <f>IFERROR(VLOOKUP(A145,Результат!C:C,1,0)&lt;&gt;"",FALSE)</f>
        <v>0</v>
      </c>
      <c r="C145" t="str">
        <f t="shared" si="2"/>
        <v/>
      </c>
    </row>
    <row r="146" spans="1:3" x14ac:dyDescent="0.25">
      <c r="A146" t="s">
        <v>204</v>
      </c>
      <c r="B146" t="b">
        <f>IFERROR(VLOOKUP(A146,Результат!C:C,1,0)&lt;&gt;"",FALSE)</f>
        <v>1</v>
      </c>
      <c r="C146" t="str">
        <f t="shared" si="2"/>
        <v/>
      </c>
    </row>
    <row r="147" spans="1:3" x14ac:dyDescent="0.25">
      <c r="A147" t="s">
        <v>105</v>
      </c>
      <c r="B147" t="b">
        <f>IFERROR(VLOOKUP(A147,Результат!C:C,1,0)&lt;&gt;"",FALSE)</f>
        <v>0</v>
      </c>
      <c r="C147" t="str">
        <f t="shared" si="2"/>
        <v/>
      </c>
    </row>
    <row r="148" spans="1:3" x14ac:dyDescent="0.25">
      <c r="A148" t="s">
        <v>454</v>
      </c>
      <c r="B148" t="b">
        <f>IFERROR(VLOOKUP(A148,Результат!C:C,1,0)&lt;&gt;"",FALSE)</f>
        <v>0</v>
      </c>
      <c r="C148" t="str">
        <f t="shared" si="2"/>
        <v/>
      </c>
    </row>
    <row r="149" spans="1:3" x14ac:dyDescent="0.25">
      <c r="A149" t="s">
        <v>208</v>
      </c>
      <c r="B149" t="b">
        <f>IFERROR(VLOOKUP(A149,Результат!C:C,1,0)&lt;&gt;"",FALSE)</f>
        <v>1</v>
      </c>
      <c r="C149" t="str">
        <f t="shared" si="2"/>
        <v/>
      </c>
    </row>
    <row r="150" spans="1:3" x14ac:dyDescent="0.25">
      <c r="A150" t="s">
        <v>1</v>
      </c>
      <c r="B150" t="b">
        <f>IFERROR(VLOOKUP(A150,Результат!C:C,1,0)&lt;&gt;"",FALSE)</f>
        <v>0</v>
      </c>
      <c r="C150" t="str">
        <f t="shared" si="2"/>
        <v/>
      </c>
    </row>
    <row r="151" spans="1:3" x14ac:dyDescent="0.25">
      <c r="A151" t="s">
        <v>212</v>
      </c>
      <c r="B151" t="b">
        <f>IFERROR(VLOOKUP(A151,Результат!C:C,1,0)&lt;&gt;"",FALSE)</f>
        <v>0</v>
      </c>
      <c r="C151" t="str">
        <f t="shared" si="2"/>
        <v/>
      </c>
    </row>
    <row r="152" spans="1:3" x14ac:dyDescent="0.25">
      <c r="A152" t="s">
        <v>213</v>
      </c>
      <c r="B152" t="b">
        <f>IFERROR(VLOOKUP(A152,Результат!C:C,1,0)&lt;&gt;"",FALSE)</f>
        <v>1</v>
      </c>
      <c r="C152" t="str">
        <f t="shared" si="2"/>
        <v/>
      </c>
    </row>
    <row r="153" spans="1:3" x14ac:dyDescent="0.25">
      <c r="A153" t="s">
        <v>1</v>
      </c>
      <c r="B153" t="b">
        <f>IFERROR(VLOOKUP(A153,Результат!C:C,1,0)&lt;&gt;"",FALSE)</f>
        <v>0</v>
      </c>
      <c r="C153" t="str">
        <f t="shared" si="2"/>
        <v/>
      </c>
    </row>
    <row r="154" spans="1:3" x14ac:dyDescent="0.25">
      <c r="A154" t="s">
        <v>217</v>
      </c>
      <c r="B154" t="b">
        <f>IFERROR(VLOOKUP(A154,Результат!C:C,1,0)&lt;&gt;"",FALSE)</f>
        <v>0</v>
      </c>
      <c r="C154" t="str">
        <f t="shared" si="2"/>
        <v/>
      </c>
    </row>
    <row r="155" spans="1:3" x14ac:dyDescent="0.25">
      <c r="A155" t="s">
        <v>218</v>
      </c>
      <c r="B155" t="b">
        <f>IFERROR(VLOOKUP(A155,Результат!C:C,1,0)&lt;&gt;"",FALSE)</f>
        <v>1</v>
      </c>
      <c r="C155" t="str">
        <f t="shared" si="2"/>
        <v/>
      </c>
    </row>
    <row r="156" spans="1:3" x14ac:dyDescent="0.25">
      <c r="A156" t="s">
        <v>1</v>
      </c>
      <c r="B156" t="b">
        <f>IFERROR(VLOOKUP(A156,Результат!C:C,1,0)&lt;&gt;"",FALSE)</f>
        <v>0</v>
      </c>
      <c r="C156" t="str">
        <f t="shared" si="2"/>
        <v/>
      </c>
    </row>
    <row r="157" spans="1:3" x14ac:dyDescent="0.25">
      <c r="A157" t="s">
        <v>219</v>
      </c>
      <c r="B157" t="b">
        <f>IFERROR(VLOOKUP(A157,Результат!C:C,1,0)&lt;&gt;"",FALSE)</f>
        <v>0</v>
      </c>
      <c r="C157" t="str">
        <f t="shared" si="2"/>
        <v/>
      </c>
    </row>
    <row r="158" spans="1:3" x14ac:dyDescent="0.25">
      <c r="A158" t="s">
        <v>220</v>
      </c>
      <c r="B158" t="b">
        <f>IFERROR(VLOOKUP(A158,Результат!C:C,1,0)&lt;&gt;"",FALSE)</f>
        <v>1</v>
      </c>
      <c r="C158" t="str">
        <f t="shared" si="2"/>
        <v/>
      </c>
    </row>
    <row r="159" spans="1:3" x14ac:dyDescent="0.25">
      <c r="A159" t="s">
        <v>1</v>
      </c>
      <c r="B159" t="b">
        <f>IFERROR(VLOOKUP(A159,Результат!C:C,1,0)&lt;&gt;"",FALSE)</f>
        <v>0</v>
      </c>
      <c r="C159" t="str">
        <f t="shared" si="2"/>
        <v/>
      </c>
    </row>
    <row r="160" spans="1:3" x14ac:dyDescent="0.25">
      <c r="A160" t="s">
        <v>222</v>
      </c>
      <c r="B160" t="b">
        <f>IFERROR(VLOOKUP(A160,Результат!C:C,1,0)&lt;&gt;"",FALSE)</f>
        <v>0</v>
      </c>
      <c r="C160" t="str">
        <f t="shared" si="2"/>
        <v/>
      </c>
    </row>
    <row r="161" spans="1:3" x14ac:dyDescent="0.25">
      <c r="A161" t="s">
        <v>223</v>
      </c>
      <c r="B161" t="b">
        <f>IFERROR(VLOOKUP(A161,Результат!C:C,1,0)&lt;&gt;"",FALSE)</f>
        <v>1</v>
      </c>
      <c r="C161" t="str">
        <f t="shared" si="2"/>
        <v/>
      </c>
    </row>
    <row r="162" spans="1:3" x14ac:dyDescent="0.25">
      <c r="A162" t="s">
        <v>105</v>
      </c>
      <c r="B162" t="b">
        <f>IFERROR(VLOOKUP(A162,Результат!C:C,1,0)&lt;&gt;"",FALSE)</f>
        <v>0</v>
      </c>
      <c r="C162" t="str">
        <f t="shared" si="2"/>
        <v/>
      </c>
    </row>
    <row r="163" spans="1:3" x14ac:dyDescent="0.25">
      <c r="A163" t="s">
        <v>9</v>
      </c>
      <c r="B163" t="b">
        <f>IFERROR(VLOOKUP(A163,Результат!C:C,1,0)&lt;&gt;"",FALSE)</f>
        <v>0</v>
      </c>
      <c r="C163" t="str">
        <f t="shared" si="2"/>
        <v/>
      </c>
    </row>
    <row r="164" spans="1:3" x14ac:dyDescent="0.25">
      <c r="A164" t="s">
        <v>226</v>
      </c>
      <c r="B164" t="b">
        <f>IFERROR(VLOOKUP(A164,Результат!C:C,1,0)&lt;&gt;"",FALSE)</f>
        <v>1</v>
      </c>
      <c r="C164" t="str">
        <f t="shared" si="2"/>
        <v/>
      </c>
    </row>
    <row r="165" spans="1:3" x14ac:dyDescent="0.25">
      <c r="A165" t="s">
        <v>105</v>
      </c>
      <c r="B165" t="b">
        <f>IFERROR(VLOOKUP(A165,Результат!C:C,1,0)&lt;&gt;"",FALSE)</f>
        <v>0</v>
      </c>
      <c r="C165" t="str">
        <f t="shared" si="2"/>
        <v/>
      </c>
    </row>
    <row r="166" spans="1:3" x14ac:dyDescent="0.25">
      <c r="A166" t="s">
        <v>9</v>
      </c>
      <c r="B166" t="b">
        <f>IFERROR(VLOOKUP(A166,Результат!C:C,1,0)&lt;&gt;"",FALSE)</f>
        <v>0</v>
      </c>
      <c r="C166" t="str">
        <f t="shared" si="2"/>
        <v/>
      </c>
    </row>
    <row r="167" spans="1:3" x14ac:dyDescent="0.25">
      <c r="A167" t="s">
        <v>227</v>
      </c>
      <c r="B167" t="b">
        <f>IFERROR(VLOOKUP(A167,Результат!C:C,1,0)&lt;&gt;"",FALSE)</f>
        <v>1</v>
      </c>
      <c r="C167" t="str">
        <f t="shared" si="2"/>
        <v/>
      </c>
    </row>
    <row r="168" spans="1:3" x14ac:dyDescent="0.25">
      <c r="A168" t="s">
        <v>1</v>
      </c>
      <c r="B168" t="b">
        <f>IFERROR(VLOOKUP(A168,Результат!C:C,1,0)&lt;&gt;"",FALSE)</f>
        <v>0</v>
      </c>
      <c r="C168" t="str">
        <f t="shared" si="2"/>
        <v/>
      </c>
    </row>
    <row r="169" spans="1:3" x14ac:dyDescent="0.25">
      <c r="A169" t="s">
        <v>230</v>
      </c>
      <c r="B169" t="b">
        <f>IFERROR(VLOOKUP(A169,Результат!C:C,1,0)&lt;&gt;"",FALSE)</f>
        <v>0</v>
      </c>
      <c r="C169" t="str">
        <f t="shared" si="2"/>
        <v/>
      </c>
    </row>
    <row r="170" spans="1:3" x14ac:dyDescent="0.25">
      <c r="A170" t="s">
        <v>231</v>
      </c>
      <c r="B170" t="b">
        <f>IFERROR(VLOOKUP(A170,Результат!C:C,1,0)&lt;&gt;"",FALSE)</f>
        <v>1</v>
      </c>
      <c r="C170" t="str">
        <f t="shared" si="2"/>
        <v/>
      </c>
    </row>
    <row r="171" spans="1:3" x14ac:dyDescent="0.25">
      <c r="A171" t="s">
        <v>105</v>
      </c>
      <c r="B171" t="b">
        <f>IFERROR(VLOOKUP(A171,Результат!C:C,1,0)&lt;&gt;"",FALSE)</f>
        <v>0</v>
      </c>
      <c r="C171" t="str">
        <f t="shared" si="2"/>
        <v/>
      </c>
    </row>
    <row r="172" spans="1:3" x14ac:dyDescent="0.25">
      <c r="A172" t="s">
        <v>233</v>
      </c>
      <c r="B172" t="b">
        <f>IFERROR(VLOOKUP(A172,Результат!C:C,1,0)&lt;&gt;"",FALSE)</f>
        <v>0</v>
      </c>
      <c r="C172" t="str">
        <f t="shared" si="2"/>
        <v/>
      </c>
    </row>
    <row r="173" spans="1:3" x14ac:dyDescent="0.25">
      <c r="A173" t="s">
        <v>234</v>
      </c>
      <c r="B173" t="b">
        <f>IFERROR(VLOOKUP(A173,Результат!C:C,1,0)&lt;&gt;"",FALSE)</f>
        <v>1</v>
      </c>
      <c r="C173" t="str">
        <f t="shared" si="2"/>
        <v/>
      </c>
    </row>
    <row r="174" spans="1:3" x14ac:dyDescent="0.25">
      <c r="A174" t="s">
        <v>1</v>
      </c>
      <c r="B174" t="b">
        <f>IFERROR(VLOOKUP(A174,Результат!C:C,1,0)&lt;&gt;"",FALSE)</f>
        <v>0</v>
      </c>
      <c r="C174" t="str">
        <f t="shared" si="2"/>
        <v/>
      </c>
    </row>
    <row r="175" spans="1:3" x14ac:dyDescent="0.25">
      <c r="A175" t="s">
        <v>237</v>
      </c>
      <c r="B175" t="b">
        <f>IFERROR(VLOOKUP(A175,Результат!C:C,1,0)&lt;&gt;"",FALSE)</f>
        <v>0</v>
      </c>
      <c r="C175" t="str">
        <f t="shared" si="2"/>
        <v/>
      </c>
    </row>
    <row r="176" spans="1:3" x14ac:dyDescent="0.25">
      <c r="A176" t="s">
        <v>238</v>
      </c>
      <c r="B176" t="b">
        <f>IFERROR(VLOOKUP(A176,Результат!C:C,1,0)&lt;&gt;"",FALSE)</f>
        <v>1</v>
      </c>
      <c r="C176" t="str">
        <f t="shared" si="2"/>
        <v/>
      </c>
    </row>
    <row r="177" spans="1:3" x14ac:dyDescent="0.25">
      <c r="A177" t="s">
        <v>1</v>
      </c>
      <c r="B177" t="b">
        <f>IFERROR(VLOOKUP(A177,Результат!C:C,1,0)&lt;&gt;"",FALSE)</f>
        <v>0</v>
      </c>
      <c r="C177" t="str">
        <f t="shared" si="2"/>
        <v/>
      </c>
    </row>
    <row r="178" spans="1:3" x14ac:dyDescent="0.25">
      <c r="A178" t="s">
        <v>243</v>
      </c>
      <c r="B178" t="b">
        <f>IFERROR(VLOOKUP(A178,Результат!C:C,1,0)&lt;&gt;"",FALSE)</f>
        <v>0</v>
      </c>
      <c r="C178" t="str">
        <f t="shared" si="2"/>
        <v/>
      </c>
    </row>
    <row r="179" spans="1:3" x14ac:dyDescent="0.25">
      <c r="A179" t="s">
        <v>244</v>
      </c>
      <c r="B179" t="b">
        <f>IFERROR(VLOOKUP(A179,Результат!C:C,1,0)&lt;&gt;"",FALSE)</f>
        <v>1</v>
      </c>
      <c r="C179" t="str">
        <f t="shared" si="2"/>
        <v/>
      </c>
    </row>
    <row r="180" spans="1:3" x14ac:dyDescent="0.25">
      <c r="A180" t="s">
        <v>1</v>
      </c>
      <c r="B180" t="b">
        <f>IFERROR(VLOOKUP(A180,Результат!C:C,1,0)&lt;&gt;"",FALSE)</f>
        <v>0</v>
      </c>
      <c r="C180" t="str">
        <f t="shared" si="2"/>
        <v/>
      </c>
    </row>
    <row r="181" spans="1:3" x14ac:dyDescent="0.25">
      <c r="A181" t="s">
        <v>245</v>
      </c>
      <c r="B181" t="b">
        <f>IFERROR(VLOOKUP(A181,Результат!C:C,1,0)&lt;&gt;"",FALSE)</f>
        <v>0</v>
      </c>
      <c r="C181" t="str">
        <f t="shared" si="2"/>
        <v/>
      </c>
    </row>
    <row r="182" spans="1:3" x14ac:dyDescent="0.25">
      <c r="A182" t="s">
        <v>246</v>
      </c>
      <c r="B182" t="b">
        <f>IFERROR(VLOOKUP(A182,Результат!C:C,1,0)&lt;&gt;"",FALSE)</f>
        <v>1</v>
      </c>
      <c r="C182" t="str">
        <f t="shared" si="2"/>
        <v/>
      </c>
    </row>
    <row r="183" spans="1:3" x14ac:dyDescent="0.25">
      <c r="A183" t="s">
        <v>1</v>
      </c>
      <c r="B183" t="b">
        <f>IFERROR(VLOOKUP(A183,Результат!C:C,1,0)&lt;&gt;"",FALSE)</f>
        <v>0</v>
      </c>
      <c r="C183" t="str">
        <f t="shared" si="2"/>
        <v/>
      </c>
    </row>
    <row r="184" spans="1:3" x14ac:dyDescent="0.25">
      <c r="A184" t="s">
        <v>252</v>
      </c>
      <c r="B184" t="b">
        <f>IFERROR(VLOOKUP(A184,Результат!C:C,1,0)&lt;&gt;"",FALSE)</f>
        <v>0</v>
      </c>
      <c r="C184" t="str">
        <f t="shared" si="2"/>
        <v/>
      </c>
    </row>
    <row r="185" spans="1:3" x14ac:dyDescent="0.25">
      <c r="A185" t="s">
        <v>253</v>
      </c>
      <c r="B185" t="b">
        <f>IFERROR(VLOOKUP(A185,Результат!C:C,1,0)&lt;&gt;"",FALSE)</f>
        <v>1</v>
      </c>
      <c r="C185" t="str">
        <f t="shared" si="2"/>
        <v/>
      </c>
    </row>
    <row r="186" spans="1:3" x14ac:dyDescent="0.25">
      <c r="A186" t="s">
        <v>1</v>
      </c>
      <c r="B186" t="b">
        <f>IFERROR(VLOOKUP(A186,Результат!C:C,1,0)&lt;&gt;"",FALSE)</f>
        <v>0</v>
      </c>
      <c r="C186" t="str">
        <f t="shared" si="2"/>
        <v/>
      </c>
    </row>
    <row r="187" spans="1:3" x14ac:dyDescent="0.25">
      <c r="A187" t="s">
        <v>256</v>
      </c>
      <c r="B187" t="b">
        <f>IFERROR(VLOOKUP(A187,Результат!C:C,1,0)&lt;&gt;"",FALSE)</f>
        <v>0</v>
      </c>
      <c r="C187" t="str">
        <f t="shared" si="2"/>
        <v/>
      </c>
    </row>
    <row r="188" spans="1:3" x14ac:dyDescent="0.25">
      <c r="A188" t="s">
        <v>257</v>
      </c>
      <c r="B188" t="b">
        <f>IFERROR(VLOOKUP(A188,Результат!C:C,1,0)&lt;&gt;"",FALSE)</f>
        <v>1</v>
      </c>
      <c r="C188" t="str">
        <f t="shared" si="2"/>
        <v/>
      </c>
    </row>
    <row r="189" spans="1:3" x14ac:dyDescent="0.25">
      <c r="A189" t="s">
        <v>1</v>
      </c>
      <c r="B189" t="b">
        <f>IFERROR(VLOOKUP(A189,Результат!C:C,1,0)&lt;&gt;"",FALSE)</f>
        <v>0</v>
      </c>
      <c r="C189" t="str">
        <f t="shared" si="2"/>
        <v/>
      </c>
    </row>
    <row r="190" spans="1:3" x14ac:dyDescent="0.25">
      <c r="A190" t="s">
        <v>259</v>
      </c>
      <c r="B190" t="b">
        <f>IFERROR(VLOOKUP(A190,Результат!C:C,1,0)&lt;&gt;"",FALSE)</f>
        <v>0</v>
      </c>
      <c r="C190" t="str">
        <f t="shared" si="2"/>
        <v/>
      </c>
    </row>
    <row r="191" spans="1:3" x14ac:dyDescent="0.25">
      <c r="A191" t="s">
        <v>260</v>
      </c>
      <c r="B191" t="b">
        <f>IFERROR(VLOOKUP(A191,Результат!C:C,1,0)&lt;&gt;"",FALSE)</f>
        <v>1</v>
      </c>
      <c r="C191" t="str">
        <f t="shared" si="2"/>
        <v/>
      </c>
    </row>
    <row r="192" spans="1:3" x14ac:dyDescent="0.25">
      <c r="A192" t="s">
        <v>262</v>
      </c>
      <c r="B192" t="b">
        <f>IFERROR(VLOOKUP(A192,Результат!C:C,1,0)&lt;&gt;"",FALSE)</f>
        <v>0</v>
      </c>
      <c r="C192" t="str">
        <f t="shared" si="2"/>
        <v/>
      </c>
    </row>
    <row r="193" spans="1:3" x14ac:dyDescent="0.25">
      <c r="A193" t="s">
        <v>9</v>
      </c>
      <c r="B193" t="b">
        <f>IFERROR(VLOOKUP(A193,Результат!C:C,1,0)&lt;&gt;"",FALSE)</f>
        <v>0</v>
      </c>
      <c r="C193" t="str">
        <f t="shared" si="2"/>
        <v/>
      </c>
    </row>
    <row r="194" spans="1:3" x14ac:dyDescent="0.25">
      <c r="A194" t="s">
        <v>263</v>
      </c>
      <c r="B194" t="b">
        <f>IFERROR(VLOOKUP(A194,Результат!C:C,1,0)&lt;&gt;"",FALSE)</f>
        <v>1</v>
      </c>
      <c r="C194" t="str">
        <f t="shared" ref="C194:C257" si="3">IF(AND(IFERROR(FIND(",",A193)&gt;=1,FALSE),B195&lt;&gt;TRUE),A194&amp;" "&amp;A195,"")</f>
        <v/>
      </c>
    </row>
    <row r="195" spans="1:3" x14ac:dyDescent="0.25">
      <c r="A195" t="s">
        <v>262</v>
      </c>
      <c r="B195" t="b">
        <f>IFERROR(VLOOKUP(A195,Результат!C:C,1,0)&lt;&gt;"",FALSE)</f>
        <v>0</v>
      </c>
      <c r="C195" t="str">
        <f t="shared" si="3"/>
        <v/>
      </c>
    </row>
    <row r="196" spans="1:3" x14ac:dyDescent="0.25">
      <c r="A196" t="s">
        <v>266</v>
      </c>
      <c r="B196" t="b">
        <f>IFERROR(VLOOKUP(A196,Результат!C:C,1,0)&lt;&gt;"",FALSE)</f>
        <v>0</v>
      </c>
      <c r="C196" t="str">
        <f t="shared" si="3"/>
        <v/>
      </c>
    </row>
    <row r="197" spans="1:3" x14ac:dyDescent="0.25">
      <c r="A197" t="s">
        <v>267</v>
      </c>
      <c r="B197" t="b">
        <f>IFERROR(VLOOKUP(A197,Результат!C:C,1,0)&lt;&gt;"",FALSE)</f>
        <v>1</v>
      </c>
      <c r="C197" t="str">
        <f t="shared" si="3"/>
        <v/>
      </c>
    </row>
    <row r="198" spans="1:3" x14ac:dyDescent="0.25">
      <c r="A198" t="s">
        <v>1</v>
      </c>
      <c r="B198" t="b">
        <f>IFERROR(VLOOKUP(A198,Результат!C:C,1,0)&lt;&gt;"",FALSE)</f>
        <v>0</v>
      </c>
      <c r="C198" t="str">
        <f t="shared" si="3"/>
        <v/>
      </c>
    </row>
    <row r="199" spans="1:3" x14ac:dyDescent="0.25">
      <c r="A199" t="s">
        <v>9</v>
      </c>
      <c r="B199" t="b">
        <f>IFERROR(VLOOKUP(A199,Результат!C:C,1,0)&lt;&gt;"",FALSE)</f>
        <v>0</v>
      </c>
      <c r="C199" t="str">
        <f t="shared" si="3"/>
        <v/>
      </c>
    </row>
    <row r="200" spans="1:3" x14ac:dyDescent="0.25">
      <c r="A200" t="s">
        <v>270</v>
      </c>
      <c r="B200" t="b">
        <f>IFERROR(VLOOKUP(A200,Результат!C:C,1,0)&lt;&gt;"",FALSE)</f>
        <v>1</v>
      </c>
      <c r="C200" t="str">
        <f t="shared" si="3"/>
        <v/>
      </c>
    </row>
    <row r="201" spans="1:3" x14ac:dyDescent="0.25">
      <c r="A201" t="s">
        <v>105</v>
      </c>
      <c r="B201" t="b">
        <f>IFERROR(VLOOKUP(A201,Результат!C:C,1,0)&lt;&gt;"",FALSE)</f>
        <v>0</v>
      </c>
      <c r="C201" t="str">
        <f t="shared" si="3"/>
        <v/>
      </c>
    </row>
    <row r="202" spans="1:3" x14ac:dyDescent="0.25">
      <c r="A202" t="s">
        <v>271</v>
      </c>
      <c r="B202" t="b">
        <f>IFERROR(VLOOKUP(A202,Результат!C:C,1,0)&lt;&gt;"",FALSE)</f>
        <v>0</v>
      </c>
      <c r="C202" t="str">
        <f t="shared" si="3"/>
        <v/>
      </c>
    </row>
    <row r="203" spans="1:3" x14ac:dyDescent="0.25">
      <c r="A203" t="s">
        <v>272</v>
      </c>
      <c r="B203" t="b">
        <f>IFERROR(VLOOKUP(A203,Результат!C:C,1,0)&lt;&gt;"",FALSE)</f>
        <v>1</v>
      </c>
      <c r="C203" t="str">
        <f t="shared" si="3"/>
        <v/>
      </c>
    </row>
    <row r="204" spans="1:3" x14ac:dyDescent="0.25">
      <c r="A204" t="s">
        <v>105</v>
      </c>
      <c r="B204" t="b">
        <f>IFERROR(VLOOKUP(A204,Результат!C:C,1,0)&lt;&gt;"",FALSE)</f>
        <v>0</v>
      </c>
      <c r="C204" t="str">
        <f t="shared" si="3"/>
        <v/>
      </c>
    </row>
    <row r="205" spans="1:3" x14ac:dyDescent="0.25">
      <c r="A205" t="s">
        <v>443</v>
      </c>
      <c r="B205" t="b">
        <f>IFERROR(VLOOKUP(A205,Результат!C:C,1,0)&lt;&gt;"",FALSE)</f>
        <v>0</v>
      </c>
      <c r="C205" t="str">
        <f t="shared" si="3"/>
        <v/>
      </c>
    </row>
    <row r="206" spans="1:3" x14ac:dyDescent="0.25">
      <c r="A206" t="s">
        <v>278</v>
      </c>
      <c r="B206" t="b">
        <f>IFERROR(VLOOKUP(A206,Результат!C:C,1,0)&lt;&gt;"",FALSE)</f>
        <v>1</v>
      </c>
      <c r="C206" t="str">
        <f t="shared" si="3"/>
        <v/>
      </c>
    </row>
    <row r="207" spans="1:3" x14ac:dyDescent="0.25">
      <c r="A207" t="s">
        <v>105</v>
      </c>
      <c r="B207" t="b">
        <f>IFERROR(VLOOKUP(A207,Результат!C:C,1,0)&lt;&gt;"",FALSE)</f>
        <v>0</v>
      </c>
      <c r="C207" t="str">
        <f t="shared" si="3"/>
        <v/>
      </c>
    </row>
    <row r="208" spans="1:3" x14ac:dyDescent="0.25">
      <c r="A208" t="s">
        <v>451</v>
      </c>
      <c r="B208" t="b">
        <f>IFERROR(VLOOKUP(A208,Результат!C:C,1,0)&lt;&gt;"",FALSE)</f>
        <v>0</v>
      </c>
      <c r="C208" t="str">
        <f t="shared" si="3"/>
        <v/>
      </c>
    </row>
    <row r="209" spans="1:3" x14ac:dyDescent="0.25">
      <c r="A209" t="s">
        <v>281</v>
      </c>
      <c r="B209" t="b">
        <f>IFERROR(VLOOKUP(A209,Результат!C:C,1,0)&lt;&gt;"",FALSE)</f>
        <v>1</v>
      </c>
      <c r="C209" t="str">
        <f t="shared" si="3"/>
        <v/>
      </c>
    </row>
    <row r="210" spans="1:3" x14ac:dyDescent="0.25">
      <c r="A210" t="s">
        <v>1</v>
      </c>
      <c r="B210" t="b">
        <f>IFERROR(VLOOKUP(A210,Результат!C:C,1,0)&lt;&gt;"",FALSE)</f>
        <v>0</v>
      </c>
      <c r="C210" t="str">
        <f t="shared" si="3"/>
        <v/>
      </c>
    </row>
    <row r="211" spans="1:3" x14ac:dyDescent="0.25">
      <c r="A211" t="s">
        <v>283</v>
      </c>
      <c r="B211" t="b">
        <f>IFERROR(VLOOKUP(A211,Результат!C:C,1,0)&lt;&gt;"",FALSE)</f>
        <v>0</v>
      </c>
      <c r="C211" t="str">
        <f t="shared" si="3"/>
        <v/>
      </c>
    </row>
    <row r="212" spans="1:3" x14ac:dyDescent="0.25">
      <c r="A212" t="s">
        <v>284</v>
      </c>
      <c r="B212" t="b">
        <f>IFERROR(VLOOKUP(A212,Результат!C:C,1,0)&lt;&gt;"",FALSE)</f>
        <v>1</v>
      </c>
      <c r="C212" t="str">
        <f t="shared" si="3"/>
        <v/>
      </c>
    </row>
    <row r="213" spans="1:3" x14ac:dyDescent="0.25">
      <c r="A213" t="s">
        <v>1</v>
      </c>
      <c r="B213" t="b">
        <f>IFERROR(VLOOKUP(A213,Результат!C:C,1,0)&lt;&gt;"",FALSE)</f>
        <v>0</v>
      </c>
      <c r="C213" t="str">
        <f t="shared" si="3"/>
        <v/>
      </c>
    </row>
    <row r="214" spans="1:3" x14ac:dyDescent="0.25">
      <c r="A214" t="s">
        <v>288</v>
      </c>
      <c r="B214" t="b">
        <f>IFERROR(VLOOKUP(A214,Результат!C:C,1,0)&lt;&gt;"",FALSE)</f>
        <v>0</v>
      </c>
      <c r="C214" t="str">
        <f t="shared" si="3"/>
        <v/>
      </c>
    </row>
    <row r="215" spans="1:3" x14ac:dyDescent="0.25">
      <c r="A215" t="s">
        <v>289</v>
      </c>
      <c r="B215" t="b">
        <f>IFERROR(VLOOKUP(A215,Результат!C:C,1,0)&lt;&gt;"",FALSE)</f>
        <v>1</v>
      </c>
      <c r="C215" t="str">
        <f t="shared" si="3"/>
        <v/>
      </c>
    </row>
    <row r="216" spans="1:3" x14ac:dyDescent="0.25">
      <c r="A216" t="s">
        <v>1</v>
      </c>
      <c r="B216" t="b">
        <f>IFERROR(VLOOKUP(A216,Результат!C:C,1,0)&lt;&gt;"",FALSE)</f>
        <v>0</v>
      </c>
      <c r="C216" t="str">
        <f t="shared" si="3"/>
        <v/>
      </c>
    </row>
    <row r="217" spans="1:3" x14ac:dyDescent="0.25">
      <c r="A217" t="s">
        <v>283</v>
      </c>
      <c r="B217" t="b">
        <f>IFERROR(VLOOKUP(A217,Результат!C:C,1,0)&lt;&gt;"",FALSE)</f>
        <v>0</v>
      </c>
      <c r="C217" t="str">
        <f t="shared" si="3"/>
        <v/>
      </c>
    </row>
    <row r="218" spans="1:3" x14ac:dyDescent="0.25">
      <c r="A218" t="s">
        <v>291</v>
      </c>
      <c r="B218" t="b">
        <f>IFERROR(VLOOKUP(A218,Результат!C:C,1,0)&lt;&gt;"",FALSE)</f>
        <v>1</v>
      </c>
      <c r="C218" t="str">
        <f t="shared" si="3"/>
        <v/>
      </c>
    </row>
    <row r="219" spans="1:3" x14ac:dyDescent="0.25">
      <c r="A219" t="s">
        <v>1</v>
      </c>
      <c r="B219" t="b">
        <f>IFERROR(VLOOKUP(A219,Результат!C:C,1,0)&lt;&gt;"",FALSE)</f>
        <v>0</v>
      </c>
      <c r="C219" t="str">
        <f t="shared" si="3"/>
        <v/>
      </c>
    </row>
    <row r="220" spans="1:3" x14ac:dyDescent="0.25">
      <c r="A220" t="s">
        <v>293</v>
      </c>
      <c r="B220" t="b">
        <f>IFERROR(VLOOKUP(A220,Результат!C:C,1,0)&lt;&gt;"",FALSE)</f>
        <v>0</v>
      </c>
      <c r="C220" t="str">
        <f t="shared" si="3"/>
        <v/>
      </c>
    </row>
    <row r="221" spans="1:3" x14ac:dyDescent="0.25">
      <c r="A221" t="s">
        <v>294</v>
      </c>
      <c r="B221" t="b">
        <f>IFERROR(VLOOKUP(A221,Результат!C:C,1,0)&lt;&gt;"",FALSE)</f>
        <v>1</v>
      </c>
      <c r="C221" t="str">
        <f t="shared" si="3"/>
        <v/>
      </c>
    </row>
    <row r="222" spans="1:3" x14ac:dyDescent="0.25">
      <c r="A222" t="s">
        <v>1</v>
      </c>
      <c r="B222" t="b">
        <f>IFERROR(VLOOKUP(A222,Результат!C:C,1,0)&lt;&gt;"",FALSE)</f>
        <v>0</v>
      </c>
      <c r="C222" t="str">
        <f t="shared" si="3"/>
        <v/>
      </c>
    </row>
    <row r="223" spans="1:3" x14ac:dyDescent="0.25">
      <c r="A223" t="s">
        <v>295</v>
      </c>
      <c r="B223" t="b">
        <f>IFERROR(VLOOKUP(A223,Результат!C:C,1,0)&lt;&gt;"",FALSE)</f>
        <v>0</v>
      </c>
      <c r="C223" t="str">
        <f t="shared" si="3"/>
        <v/>
      </c>
    </row>
    <row r="224" spans="1:3" x14ac:dyDescent="0.25">
      <c r="A224" t="s">
        <v>296</v>
      </c>
      <c r="B224" t="b">
        <f>IFERROR(VLOOKUP(A224,Результат!C:C,1,0)&lt;&gt;"",FALSE)</f>
        <v>1</v>
      </c>
      <c r="C224" t="str">
        <f t="shared" si="3"/>
        <v/>
      </c>
    </row>
    <row r="225" spans="1:3" x14ac:dyDescent="0.25">
      <c r="A225" t="s">
        <v>1</v>
      </c>
      <c r="B225" t="b">
        <f>IFERROR(VLOOKUP(A225,Результат!C:C,1,0)&lt;&gt;"",FALSE)</f>
        <v>0</v>
      </c>
      <c r="C225" t="str">
        <f t="shared" si="3"/>
        <v/>
      </c>
    </row>
    <row r="226" spans="1:3" x14ac:dyDescent="0.25">
      <c r="A226" t="s">
        <v>298</v>
      </c>
      <c r="B226" t="b">
        <f>IFERROR(VLOOKUP(A226,Результат!C:C,1,0)&lt;&gt;"",FALSE)</f>
        <v>0</v>
      </c>
      <c r="C226" t="str">
        <f t="shared" si="3"/>
        <v/>
      </c>
    </row>
    <row r="227" spans="1:3" x14ac:dyDescent="0.25">
      <c r="A227" t="s">
        <v>299</v>
      </c>
      <c r="B227" t="b">
        <f>IFERROR(VLOOKUP(A227,Результат!C:C,1,0)&lt;&gt;"",FALSE)</f>
        <v>1</v>
      </c>
      <c r="C227" t="str">
        <f t="shared" si="3"/>
        <v/>
      </c>
    </row>
    <row r="228" spans="1:3" x14ac:dyDescent="0.25">
      <c r="A228" t="s">
        <v>1</v>
      </c>
      <c r="B228" t="b">
        <f>IFERROR(VLOOKUP(A228,Результат!C:C,1,0)&lt;&gt;"",FALSE)</f>
        <v>0</v>
      </c>
      <c r="C228" t="str">
        <f t="shared" si="3"/>
        <v/>
      </c>
    </row>
    <row r="229" spans="1:3" x14ac:dyDescent="0.25">
      <c r="A229" t="s">
        <v>301</v>
      </c>
      <c r="B229" t="b">
        <f>IFERROR(VLOOKUP(A229,Результат!C:C,1,0)&lt;&gt;"",FALSE)</f>
        <v>0</v>
      </c>
      <c r="C229" t="str">
        <f t="shared" si="3"/>
        <v/>
      </c>
    </row>
    <row r="230" spans="1:3" x14ac:dyDescent="0.25">
      <c r="A230" t="s">
        <v>302</v>
      </c>
      <c r="B230" t="b">
        <f>IFERROR(VLOOKUP(A230,Результат!C:C,1,0)&lt;&gt;"",FALSE)</f>
        <v>1</v>
      </c>
      <c r="C230" t="str">
        <f t="shared" si="3"/>
        <v/>
      </c>
    </row>
    <row r="231" spans="1:3" x14ac:dyDescent="0.25">
      <c r="A231" t="s">
        <v>105</v>
      </c>
      <c r="B231" t="b">
        <f>IFERROR(VLOOKUP(A231,Результат!C:C,1,0)&lt;&gt;"",FALSE)</f>
        <v>0</v>
      </c>
      <c r="C231" t="str">
        <f t="shared" si="3"/>
        <v/>
      </c>
    </row>
    <row r="232" spans="1:3" x14ac:dyDescent="0.25">
      <c r="A232" t="s">
        <v>303</v>
      </c>
      <c r="B232" t="b">
        <f>IFERROR(VLOOKUP(A232,Результат!C:C,1,0)&lt;&gt;"",FALSE)</f>
        <v>0</v>
      </c>
      <c r="C232" t="str">
        <f t="shared" si="3"/>
        <v/>
      </c>
    </row>
    <row r="233" spans="1:3" x14ac:dyDescent="0.25">
      <c r="A233" t="s">
        <v>304</v>
      </c>
      <c r="B233" t="b">
        <f>IFERROR(VLOOKUP(A233,Результат!C:C,1,0)&lt;&gt;"",FALSE)</f>
        <v>1</v>
      </c>
      <c r="C233" t="str">
        <f t="shared" si="3"/>
        <v/>
      </c>
    </row>
    <row r="234" spans="1:3" x14ac:dyDescent="0.25">
      <c r="A234" t="s">
        <v>1</v>
      </c>
      <c r="B234" t="b">
        <f>IFERROR(VLOOKUP(A234,Результат!C:C,1,0)&lt;&gt;"",FALSE)</f>
        <v>0</v>
      </c>
      <c r="C234" t="str">
        <f t="shared" si="3"/>
        <v/>
      </c>
    </row>
    <row r="235" spans="1:3" x14ac:dyDescent="0.25">
      <c r="A235" t="s">
        <v>151</v>
      </c>
      <c r="B235" t="b">
        <f>IFERROR(VLOOKUP(A235,Результат!C:C,1,0)&lt;&gt;"",FALSE)</f>
        <v>0</v>
      </c>
      <c r="C235" t="str">
        <f t="shared" si="3"/>
        <v/>
      </c>
    </row>
    <row r="236" spans="1:3" x14ac:dyDescent="0.25">
      <c r="A236" t="s">
        <v>305</v>
      </c>
      <c r="B236" t="b">
        <f>IFERROR(VLOOKUP(A236,Результат!C:C,1,0)&lt;&gt;"",FALSE)</f>
        <v>1</v>
      </c>
      <c r="C236" t="str">
        <f t="shared" si="3"/>
        <v/>
      </c>
    </row>
    <row r="237" spans="1:3" x14ac:dyDescent="0.25">
      <c r="A237" t="s">
        <v>1</v>
      </c>
      <c r="B237" t="b">
        <f>IFERROR(VLOOKUP(A237,Результат!C:C,1,0)&lt;&gt;"",FALSE)</f>
        <v>0</v>
      </c>
      <c r="C237" t="str">
        <f t="shared" si="3"/>
        <v/>
      </c>
    </row>
    <row r="238" spans="1:3" x14ac:dyDescent="0.25">
      <c r="A238" t="s">
        <v>306</v>
      </c>
      <c r="B238" t="b">
        <f>IFERROR(VLOOKUP(A238,Результат!C:C,1,0)&lt;&gt;"",FALSE)</f>
        <v>0</v>
      </c>
      <c r="C238" t="str">
        <f t="shared" si="3"/>
        <v/>
      </c>
    </row>
    <row r="239" spans="1:3" x14ac:dyDescent="0.25">
      <c r="A239" t="s">
        <v>307</v>
      </c>
      <c r="B239" t="b">
        <f>IFERROR(VLOOKUP(A239,Результат!C:C,1,0)&lt;&gt;"",FALSE)</f>
        <v>1</v>
      </c>
      <c r="C239" t="str">
        <f t="shared" si="3"/>
        <v/>
      </c>
    </row>
    <row r="240" spans="1:3" x14ac:dyDescent="0.25">
      <c r="A240" t="s">
        <v>1</v>
      </c>
      <c r="B240" t="b">
        <f>IFERROR(VLOOKUP(A240,Результат!C:C,1,0)&lt;&gt;"",FALSE)</f>
        <v>0</v>
      </c>
      <c r="C240" t="str">
        <f t="shared" si="3"/>
        <v/>
      </c>
    </row>
    <row r="241" spans="1:3" x14ac:dyDescent="0.25">
      <c r="A241" t="s">
        <v>308</v>
      </c>
      <c r="B241" t="b">
        <f>IFERROR(VLOOKUP(A241,Результат!C:C,1,0)&lt;&gt;"",FALSE)</f>
        <v>0</v>
      </c>
      <c r="C241" t="str">
        <f t="shared" si="3"/>
        <v/>
      </c>
    </row>
    <row r="242" spans="1:3" x14ac:dyDescent="0.25">
      <c r="A242" t="s">
        <v>309</v>
      </c>
      <c r="B242" t="b">
        <f>IFERROR(VLOOKUP(A242,Результат!C:C,1,0)&lt;&gt;"",FALSE)</f>
        <v>1</v>
      </c>
      <c r="C242" t="str">
        <f t="shared" si="3"/>
        <v/>
      </c>
    </row>
    <row r="243" spans="1:3" x14ac:dyDescent="0.25">
      <c r="A243" t="s">
        <v>105</v>
      </c>
      <c r="B243" t="b">
        <f>IFERROR(VLOOKUP(A243,Результат!C:C,1,0)&lt;&gt;"",FALSE)</f>
        <v>0</v>
      </c>
      <c r="C243" t="str">
        <f t="shared" si="3"/>
        <v/>
      </c>
    </row>
    <row r="244" spans="1:3" x14ac:dyDescent="0.25">
      <c r="A244" t="s">
        <v>311</v>
      </c>
      <c r="B244" t="b">
        <f>IFERROR(VLOOKUP(A244,Результат!C:C,1,0)&lt;&gt;"",FALSE)</f>
        <v>0</v>
      </c>
      <c r="C244" t="str">
        <f t="shared" si="3"/>
        <v/>
      </c>
    </row>
    <row r="245" spans="1:3" x14ac:dyDescent="0.25">
      <c r="A245" t="s">
        <v>312</v>
      </c>
      <c r="B245" t="b">
        <f>IFERROR(VLOOKUP(A245,Результат!C:C,1,0)&lt;&gt;"",FALSE)</f>
        <v>1</v>
      </c>
      <c r="C245" t="str">
        <f t="shared" si="3"/>
        <v/>
      </c>
    </row>
    <row r="246" spans="1:3" x14ac:dyDescent="0.25">
      <c r="A246" t="s">
        <v>1</v>
      </c>
      <c r="B246" t="b">
        <f>IFERROR(VLOOKUP(A246,Результат!C:C,1,0)&lt;&gt;"",FALSE)</f>
        <v>0</v>
      </c>
      <c r="C246" t="str">
        <f t="shared" si="3"/>
        <v/>
      </c>
    </row>
    <row r="247" spans="1:3" x14ac:dyDescent="0.25">
      <c r="A247" t="s">
        <v>314</v>
      </c>
      <c r="B247" t="b">
        <f>IFERROR(VLOOKUP(A247,Результат!C:C,1,0)&lt;&gt;"",FALSE)</f>
        <v>0</v>
      </c>
      <c r="C247" t="str">
        <f t="shared" si="3"/>
        <v/>
      </c>
    </row>
    <row r="248" spans="1:3" x14ac:dyDescent="0.25">
      <c r="A248" t="s">
        <v>315</v>
      </c>
      <c r="B248" t="b">
        <f>IFERROR(VLOOKUP(A248,Результат!C:C,1,0)&lt;&gt;"",FALSE)</f>
        <v>1</v>
      </c>
      <c r="C248" t="str">
        <f t="shared" si="3"/>
        <v/>
      </c>
    </row>
    <row r="249" spans="1:3" x14ac:dyDescent="0.25">
      <c r="A249" t="s">
        <v>1</v>
      </c>
      <c r="B249" t="b">
        <f>IFERROR(VLOOKUP(A249,Результат!C:C,1,0)&lt;&gt;"",FALSE)</f>
        <v>0</v>
      </c>
      <c r="C249" t="str">
        <f t="shared" si="3"/>
        <v/>
      </c>
    </row>
    <row r="250" spans="1:3" x14ac:dyDescent="0.25">
      <c r="A250" t="s">
        <v>317</v>
      </c>
      <c r="B250" t="b">
        <f>IFERROR(VLOOKUP(A250,Результат!C:C,1,0)&lt;&gt;"",FALSE)</f>
        <v>0</v>
      </c>
      <c r="C250" t="str">
        <f t="shared" si="3"/>
        <v/>
      </c>
    </row>
    <row r="251" spans="1:3" x14ac:dyDescent="0.25">
      <c r="A251" t="s">
        <v>318</v>
      </c>
      <c r="B251" t="b">
        <f>IFERROR(VLOOKUP(A251,Результат!C:C,1,0)&lt;&gt;"",FALSE)</f>
        <v>1</v>
      </c>
      <c r="C251" t="str">
        <f t="shared" si="3"/>
        <v/>
      </c>
    </row>
    <row r="252" spans="1:3" x14ac:dyDescent="0.25">
      <c r="A252" t="s">
        <v>1</v>
      </c>
      <c r="B252" t="b">
        <f>IFERROR(VLOOKUP(A252,Результат!C:C,1,0)&lt;&gt;"",FALSE)</f>
        <v>0</v>
      </c>
      <c r="C252" t="str">
        <f t="shared" si="3"/>
        <v/>
      </c>
    </row>
    <row r="253" spans="1:3" x14ac:dyDescent="0.25">
      <c r="A253" t="s">
        <v>9</v>
      </c>
      <c r="B253" t="b">
        <f>IFERROR(VLOOKUP(A253,Результат!C:C,1,0)&lt;&gt;"",FALSE)</f>
        <v>0</v>
      </c>
      <c r="C253" t="str">
        <f t="shared" si="3"/>
        <v/>
      </c>
    </row>
    <row r="254" spans="1:3" x14ac:dyDescent="0.25">
      <c r="A254" t="s">
        <v>322</v>
      </c>
      <c r="B254" t="b">
        <f>IFERROR(VLOOKUP(A254,Результат!C:C,1,0)&lt;&gt;"",FALSE)</f>
        <v>1</v>
      </c>
      <c r="C254" t="str">
        <f t="shared" si="3"/>
        <v/>
      </c>
    </row>
    <row r="255" spans="1:3" x14ac:dyDescent="0.25">
      <c r="A255" t="s">
        <v>1</v>
      </c>
      <c r="B255" t="b">
        <f>IFERROR(VLOOKUP(A255,Результат!C:C,1,0)&lt;&gt;"",FALSE)</f>
        <v>0</v>
      </c>
      <c r="C255" t="str">
        <f t="shared" si="3"/>
        <v/>
      </c>
    </row>
    <row r="256" spans="1:3" x14ac:dyDescent="0.25">
      <c r="A256" t="s">
        <v>323</v>
      </c>
      <c r="B256" t="b">
        <f>IFERROR(VLOOKUP(A256,Результат!C:C,1,0)&lt;&gt;"",FALSE)</f>
        <v>0</v>
      </c>
      <c r="C256" t="str">
        <f t="shared" si="3"/>
        <v/>
      </c>
    </row>
    <row r="257" spans="1:3" x14ac:dyDescent="0.25">
      <c r="A257" t="s">
        <v>324</v>
      </c>
      <c r="B257" t="b">
        <f>IFERROR(VLOOKUP(A257,Результат!C:C,1,0)&lt;&gt;"",FALSE)</f>
        <v>1</v>
      </c>
      <c r="C257" t="str">
        <f t="shared" si="3"/>
        <v/>
      </c>
    </row>
    <row r="258" spans="1:3" x14ac:dyDescent="0.25">
      <c r="A258" t="s">
        <v>1</v>
      </c>
      <c r="B258" t="b">
        <f>IFERROR(VLOOKUP(A258,Результат!C:C,1,0)&lt;&gt;"",FALSE)</f>
        <v>0</v>
      </c>
      <c r="C258" t="str">
        <f t="shared" ref="C258:C273" si="4">IF(AND(IFERROR(FIND(",",A257)&gt;=1,FALSE),B259&lt;&gt;TRUE),A258&amp;" "&amp;A259,"")</f>
        <v/>
      </c>
    </row>
    <row r="259" spans="1:3" x14ac:dyDescent="0.25">
      <c r="A259" t="s">
        <v>9</v>
      </c>
      <c r="B259" t="b">
        <f>IFERROR(VLOOKUP(A259,Результат!C:C,1,0)&lt;&gt;"",FALSE)</f>
        <v>0</v>
      </c>
      <c r="C259" t="str">
        <f t="shared" si="4"/>
        <v/>
      </c>
    </row>
    <row r="260" spans="1:3" x14ac:dyDescent="0.25">
      <c r="A260" t="s">
        <v>325</v>
      </c>
      <c r="B260" t="b">
        <f>IFERROR(VLOOKUP(A260,Результат!C:C,1,0)&lt;&gt;"",FALSE)</f>
        <v>1</v>
      </c>
      <c r="C260" t="str">
        <f t="shared" si="4"/>
        <v/>
      </c>
    </row>
    <row r="261" spans="1:3" x14ac:dyDescent="0.25">
      <c r="A261" t="s">
        <v>1</v>
      </c>
      <c r="B261" t="b">
        <f>IFERROR(VLOOKUP(A261,Результат!C:C,1,0)&lt;&gt;"",FALSE)</f>
        <v>0</v>
      </c>
      <c r="C261" t="str">
        <f t="shared" si="4"/>
        <v/>
      </c>
    </row>
    <row r="262" spans="1:3" x14ac:dyDescent="0.25">
      <c r="A262" t="s">
        <v>9</v>
      </c>
      <c r="B262" t="b">
        <f>IFERROR(VLOOKUP(A262,Результат!C:C,1,0)&lt;&gt;"",FALSE)</f>
        <v>0</v>
      </c>
      <c r="C262" t="str">
        <f t="shared" si="4"/>
        <v/>
      </c>
    </row>
    <row r="263" spans="1:3" x14ac:dyDescent="0.25">
      <c r="A263" t="s">
        <v>328</v>
      </c>
      <c r="B263" t="b">
        <f>IFERROR(VLOOKUP(A263,Результат!C:C,1,0)&lt;&gt;"",FALSE)</f>
        <v>1</v>
      </c>
      <c r="C263" t="str">
        <f t="shared" si="4"/>
        <v/>
      </c>
    </row>
    <row r="264" spans="1:3" x14ac:dyDescent="0.25">
      <c r="A264" t="s">
        <v>1</v>
      </c>
      <c r="B264" t="b">
        <f>IFERROR(VLOOKUP(A264,Результат!C:C,1,0)&lt;&gt;"",FALSE)</f>
        <v>0</v>
      </c>
      <c r="C264" t="str">
        <f t="shared" si="4"/>
        <v/>
      </c>
    </row>
    <row r="265" spans="1:3" x14ac:dyDescent="0.25">
      <c r="A265" t="s">
        <v>330</v>
      </c>
      <c r="B265" t="b">
        <f>IFERROR(VLOOKUP(A265,Результат!C:C,1,0)&lt;&gt;"",FALSE)</f>
        <v>0</v>
      </c>
      <c r="C265" t="str">
        <f t="shared" si="4"/>
        <v/>
      </c>
    </row>
    <row r="266" spans="1:3" x14ac:dyDescent="0.25">
      <c r="A266" t="s">
        <v>331</v>
      </c>
      <c r="B266" t="b">
        <f>IFERROR(VLOOKUP(A266,Результат!C:C,1,0)&lt;&gt;"",FALSE)</f>
        <v>1</v>
      </c>
      <c r="C266" t="str">
        <f t="shared" si="4"/>
        <v/>
      </c>
    </row>
    <row r="267" spans="1:3" x14ac:dyDescent="0.25">
      <c r="A267" t="s">
        <v>1</v>
      </c>
      <c r="B267" t="b">
        <f>IFERROR(VLOOKUP(A267,Результат!C:C,1,0)&lt;&gt;"",FALSE)</f>
        <v>0</v>
      </c>
      <c r="C267" t="str">
        <f t="shared" si="4"/>
        <v/>
      </c>
    </row>
    <row r="268" spans="1:3" x14ac:dyDescent="0.25">
      <c r="A268" t="s">
        <v>334</v>
      </c>
      <c r="B268" t="b">
        <f>IFERROR(VLOOKUP(A268,Результат!C:C,1,0)&lt;&gt;"",FALSE)</f>
        <v>0</v>
      </c>
      <c r="C268" t="str">
        <f t="shared" si="4"/>
        <v/>
      </c>
    </row>
    <row r="269" spans="1:3" x14ac:dyDescent="0.25">
      <c r="A269" t="s">
        <v>335</v>
      </c>
      <c r="B269" t="b">
        <f>IFERROR(VLOOKUP(A269,Результат!C:C,1,0)&lt;&gt;"",FALSE)</f>
        <v>1</v>
      </c>
      <c r="C269" t="str">
        <f t="shared" si="4"/>
        <v/>
      </c>
    </row>
    <row r="270" spans="1:3" x14ac:dyDescent="0.25">
      <c r="A270" t="s">
        <v>105</v>
      </c>
      <c r="B270" t="b">
        <f>IFERROR(VLOOKUP(A270,Результат!C:C,1,0)&lt;&gt;"",FALSE)</f>
        <v>0</v>
      </c>
      <c r="C270" t="str">
        <f t="shared" si="4"/>
        <v/>
      </c>
    </row>
    <row r="271" spans="1:3" x14ac:dyDescent="0.25">
      <c r="A271" t="s">
        <v>311</v>
      </c>
      <c r="B271" t="b">
        <f>IFERROR(VLOOKUP(A271,Результат!C:C,1,0)&lt;&gt;"",FALSE)</f>
        <v>0</v>
      </c>
      <c r="C271" t="str">
        <f t="shared" si="4"/>
        <v/>
      </c>
    </row>
    <row r="272" spans="1:3" x14ac:dyDescent="0.25">
      <c r="A272" t="s">
        <v>338</v>
      </c>
      <c r="B272" t="b">
        <f>IFERROR(VLOOKUP(A272,Результат!C:C,1,0)&lt;&gt;"",FALSE)</f>
        <v>1</v>
      </c>
      <c r="C272" t="str">
        <f t="shared" si="4"/>
        <v/>
      </c>
    </row>
    <row r="273" spans="1:3" x14ac:dyDescent="0.25">
      <c r="A273" t="s">
        <v>105</v>
      </c>
      <c r="B273" t="b">
        <f>IFERROR(VLOOKUP(A273,Результат!C:C,1,0)&lt;&gt;"",FALSE)</f>
        <v>0</v>
      </c>
      <c r="C273" t="str">
        <f t="shared" si="4"/>
        <v/>
      </c>
    </row>
    <row r="274" spans="1:3" x14ac:dyDescent="0.25">
      <c r="A274" t="s">
        <v>452</v>
      </c>
      <c r="B274" t="b">
        <f>IFERROR(VLOOKUP(A274,Результат!C:C,1,0)&lt;&gt;"",FALSE)</f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7F5F9-EF18-426B-B654-3594952F0BF3}">
  <sheetPr codeName="Лист3"/>
  <dimension ref="A1:B783"/>
  <sheetViews>
    <sheetView workbookViewId="0">
      <selection activeCell="A5" sqref="A5"/>
    </sheetView>
  </sheetViews>
  <sheetFormatPr defaultRowHeight="15" x14ac:dyDescent="0.25"/>
  <cols>
    <col min="1" max="1" width="95.7109375" bestFit="1" customWidth="1"/>
    <col min="2" max="2" width="60.7109375" bestFit="1" customWidth="1"/>
  </cols>
  <sheetData>
    <row r="1" spans="1:2" x14ac:dyDescent="0.25">
      <c r="A1" t="s">
        <v>10</v>
      </c>
      <c r="B1" t="str">
        <f>_xlfn.LET(_xlpm.isSizes,IFERROR(FIND(",",A1)&gt;=1,FALSE),_xlpm.isSizesUp,IFERROR(FIND(",",#REF!)&gt;=1,FALSE),_xlpm.isName,AND(IFERROR(VALUE(MID(A1,1,1)),FALSE),NOT(IFERROR(FIND("” ",A1)&gt;=1,FALSE)),NOT(IFERROR(FIND("/",A1)&gt;=1,FALSE))),IF(_xlpm.isSizes,A1,IF(_xlpm.isSizesUp,A1,IF(_xlpm.isName,A1,""))))</f>
        <v>6140 DRAPER III</v>
      </c>
    </row>
    <row r="2" spans="1:2" x14ac:dyDescent="0.25">
      <c r="A2" t="s">
        <v>11</v>
      </c>
      <c r="B2" t="str">
        <f>_xlfn.LET(_xlpm.isSizes,IFERROR(FIND(",",A2)&gt;=1,FALSE),_xlpm.isSizesUp,IFERROR(FIND(",",A1)&gt;=1,FALSE),_xlpm.isName,AND(IFERROR(VALUE(MID(A2,1,1)),FALSE),NOT(IFERROR(FIND("” ",A2)&gt;=1,FALSE)),NOT(IFERROR(FIND("/",A2)&gt;=1,FALSE))),_xlpm.isNameDown,AND(IFERROR(VALUE(MID(A3,1,1)),FALSE),NOT(IFERROR(FIND("” ",A3)&gt;=1,FALSE)),NOT(IFERROR(FIND("/",A3)&gt;=1,FALSE))),IF(_xlpm.isSizes,A2,IF(_xlpm.isSizesUp,A2,IF(_xlpm.isName,A2,IF(AND(_xlpm.isNameDown&lt;&gt;_xlpm.isName),A2,"")))))</f>
        <v/>
      </c>
    </row>
    <row r="3" spans="1:2" x14ac:dyDescent="0.25">
      <c r="A3" t="s">
        <v>12</v>
      </c>
      <c r="B3" t="str">
        <f t="shared" ref="B3:B66" si="0">_xlfn.LET(_xlpm.isSizes,IFERROR(FIND(",",A3)&gt;=1,FALSE),_xlpm.isSizesUp,IFERROR(FIND(",",A2)&gt;=1,FALSE),_xlpm.isName,AND(IFERROR(VALUE(MID(A3,1,1)),FALSE),NOT(IFERROR(FIND("” ",A3)&gt;=1,FALSE)),NOT(IFERROR(FIND("/",A3)&gt;=1,FALSE))),_xlpm.isNameDown,AND(IFERROR(VALUE(MID(A4,1,1)),FALSE),NOT(IFERROR(FIND("” ",A4)&gt;=1,FALSE)),NOT(IFERROR(FIND("/",A4)&gt;=1,FALSE))),IF(_xlpm.isSizes,A3,IF(_xlpm.isSizesUp,A3,IF(_xlpm.isName,A3,IF(AND(_xlpm.isNameDown&lt;&gt;_xlpm.isName),A3,"")))))</f>
        <v/>
      </c>
    </row>
    <row r="4" spans="1:2" x14ac:dyDescent="0.25">
      <c r="A4" t="s">
        <v>5</v>
      </c>
      <c r="B4" t="str">
        <f t="shared" si="0"/>
        <v/>
      </c>
    </row>
    <row r="5" spans="1:2" x14ac:dyDescent="0.25">
      <c r="A5" t="s">
        <v>13</v>
      </c>
      <c r="B5" t="str">
        <f t="shared" si="0"/>
        <v/>
      </c>
    </row>
    <row r="6" spans="1:2" x14ac:dyDescent="0.25">
      <c r="A6" t="s">
        <v>14</v>
      </c>
      <c r="B6" t="str">
        <f t="shared" si="0"/>
        <v/>
      </c>
    </row>
    <row r="7" spans="1:2" x14ac:dyDescent="0.25">
      <c r="A7" t="s">
        <v>15</v>
      </c>
      <c r="B7" t="str">
        <f t="shared" si="0"/>
        <v/>
      </c>
    </row>
    <row r="8" spans="1:2" x14ac:dyDescent="0.25">
      <c r="A8" t="s">
        <v>3</v>
      </c>
      <c r="B8" t="str">
        <f t="shared" si="0"/>
        <v>6 7/8, 7, 7 1/8, 7 1/4, 7 3/8, 7 1/2, 7 5/8</v>
      </c>
    </row>
    <row r="9" spans="1:2" x14ac:dyDescent="0.25">
      <c r="A9" t="s">
        <v>16</v>
      </c>
      <c r="B9" t="str">
        <f t="shared" si="0"/>
        <v>Black Charcoal Cognac Olive</v>
      </c>
    </row>
    <row r="10" spans="1:2" x14ac:dyDescent="0.25">
      <c r="A10" t="s">
        <v>17</v>
      </c>
      <c r="B10" t="str">
        <f t="shared" si="0"/>
        <v>61433BH CAVALIER</v>
      </c>
    </row>
    <row r="11" spans="1:2" x14ac:dyDescent="0.25">
      <c r="A11" t="s">
        <v>18</v>
      </c>
      <c r="B11" t="str">
        <f t="shared" si="0"/>
        <v/>
      </c>
    </row>
    <row r="12" spans="1:2" x14ac:dyDescent="0.25">
      <c r="A12" t="s">
        <v>19</v>
      </c>
      <c r="B12" t="str">
        <f t="shared" si="0"/>
        <v/>
      </c>
    </row>
    <row r="13" spans="1:2" x14ac:dyDescent="0.25">
      <c r="A13" t="s">
        <v>5</v>
      </c>
      <c r="B13" t="str">
        <f t="shared" si="0"/>
        <v/>
      </c>
    </row>
    <row r="14" spans="1:2" x14ac:dyDescent="0.25">
      <c r="A14" t="s">
        <v>13</v>
      </c>
      <c r="B14" t="str">
        <f t="shared" si="0"/>
        <v/>
      </c>
    </row>
    <row r="15" spans="1:2" x14ac:dyDescent="0.25">
      <c r="A15" t="s">
        <v>14</v>
      </c>
      <c r="B15" t="str">
        <f t="shared" si="0"/>
        <v/>
      </c>
    </row>
    <row r="16" spans="1:2" x14ac:dyDescent="0.25">
      <c r="A16" t="s">
        <v>15</v>
      </c>
      <c r="B16" t="str">
        <f t="shared" si="0"/>
        <v/>
      </c>
    </row>
    <row r="17" spans="1:2" x14ac:dyDescent="0.25">
      <c r="A17" t="s">
        <v>1</v>
      </c>
      <c r="B17" t="str">
        <f t="shared" si="0"/>
        <v>S, M, L, XL</v>
      </c>
    </row>
    <row r="18" spans="1:2" x14ac:dyDescent="0.25">
      <c r="A18" t="s">
        <v>20</v>
      </c>
      <c r="B18" t="str">
        <f t="shared" si="0"/>
        <v>Black Maple</v>
      </c>
    </row>
    <row r="19" spans="1:2" x14ac:dyDescent="0.25">
      <c r="A19" t="s">
        <v>21</v>
      </c>
      <c r="B19" t="str">
        <f t="shared" si="0"/>
        <v>61424BH RALAT</v>
      </c>
    </row>
    <row r="20" spans="1:2" x14ac:dyDescent="0.25">
      <c r="A20" t="s">
        <v>11</v>
      </c>
      <c r="B20" t="str">
        <f t="shared" si="0"/>
        <v/>
      </c>
    </row>
    <row r="21" spans="1:2" x14ac:dyDescent="0.25">
      <c r="A21" t="s">
        <v>22</v>
      </c>
      <c r="B21" t="str">
        <f t="shared" si="0"/>
        <v/>
      </c>
    </row>
    <row r="22" spans="1:2" x14ac:dyDescent="0.25">
      <c r="A22" t="s">
        <v>5</v>
      </c>
      <c r="B22" t="str">
        <f t="shared" si="0"/>
        <v/>
      </c>
    </row>
    <row r="23" spans="1:2" x14ac:dyDescent="0.25">
      <c r="A23" t="s">
        <v>23</v>
      </c>
      <c r="B23" t="str">
        <f t="shared" si="0"/>
        <v/>
      </c>
    </row>
    <row r="24" spans="1:2" x14ac:dyDescent="0.25">
      <c r="A24" t="s">
        <v>13</v>
      </c>
      <c r="B24" t="str">
        <f t="shared" si="0"/>
        <v/>
      </c>
    </row>
    <row r="25" spans="1:2" x14ac:dyDescent="0.25">
      <c r="A25" t="s">
        <v>24</v>
      </c>
      <c r="B25" t="str">
        <f t="shared" si="0"/>
        <v/>
      </c>
    </row>
    <row r="26" spans="1:2" x14ac:dyDescent="0.25">
      <c r="A26" t="s">
        <v>15</v>
      </c>
      <c r="B26" t="str">
        <f t="shared" si="0"/>
        <v/>
      </c>
    </row>
    <row r="27" spans="1:2" x14ac:dyDescent="0.25">
      <c r="A27" t="s">
        <v>1</v>
      </c>
      <c r="B27" t="str">
        <f t="shared" si="0"/>
        <v>S, M, L, XL</v>
      </c>
    </row>
    <row r="28" spans="1:2" x14ac:dyDescent="0.25">
      <c r="A28" t="s">
        <v>25</v>
      </c>
      <c r="B28" t="str">
        <f t="shared" si="0"/>
        <v>Black Charcoal</v>
      </c>
    </row>
    <row r="29" spans="1:2" x14ac:dyDescent="0.25">
      <c r="A29" t="s">
        <v>2</v>
      </c>
      <c r="B29" t="str">
        <f t="shared" si="0"/>
        <v>61432BH THE ARCHITECT</v>
      </c>
    </row>
    <row r="30" spans="1:2" x14ac:dyDescent="0.25">
      <c r="A30" t="s">
        <v>26</v>
      </c>
      <c r="B30" t="str">
        <f t="shared" si="0"/>
        <v/>
      </c>
    </row>
    <row r="31" spans="1:2" x14ac:dyDescent="0.25">
      <c r="A31" t="s">
        <v>19</v>
      </c>
      <c r="B31" t="str">
        <f t="shared" si="0"/>
        <v/>
      </c>
    </row>
    <row r="32" spans="1:2" x14ac:dyDescent="0.25">
      <c r="A32" t="s">
        <v>5</v>
      </c>
      <c r="B32" t="str">
        <f t="shared" si="0"/>
        <v/>
      </c>
    </row>
    <row r="33" spans="1:2" x14ac:dyDescent="0.25">
      <c r="A33" t="s">
        <v>13</v>
      </c>
      <c r="B33" t="str">
        <f t="shared" si="0"/>
        <v/>
      </c>
    </row>
    <row r="34" spans="1:2" x14ac:dyDescent="0.25">
      <c r="A34" t="s">
        <v>14</v>
      </c>
      <c r="B34" t="str">
        <f t="shared" si="0"/>
        <v/>
      </c>
    </row>
    <row r="35" spans="1:2" x14ac:dyDescent="0.25">
      <c r="A35" t="s">
        <v>15</v>
      </c>
      <c r="B35" t="str">
        <f t="shared" si="0"/>
        <v/>
      </c>
    </row>
    <row r="36" spans="1:2" x14ac:dyDescent="0.25">
      <c r="A36" t="s">
        <v>1</v>
      </c>
      <c r="B36" t="str">
        <f t="shared" si="0"/>
        <v>S, M, L, XL</v>
      </c>
    </row>
    <row r="37" spans="1:2" x14ac:dyDescent="0.25">
      <c r="A37" t="s">
        <v>27</v>
      </c>
      <c r="B37" t="str">
        <f t="shared" si="0"/>
        <v>Black Buckskin</v>
      </c>
    </row>
    <row r="38" spans="1:2" x14ac:dyDescent="0.25">
      <c r="A38" t="s">
        <v>28</v>
      </c>
      <c r="B38" t="str">
        <f t="shared" si="0"/>
        <v>61442BH NILSON</v>
      </c>
    </row>
    <row r="39" spans="1:2" x14ac:dyDescent="0.25">
      <c r="A39" t="s">
        <v>0</v>
      </c>
      <c r="B39" t="str">
        <f t="shared" si="0"/>
        <v/>
      </c>
    </row>
    <row r="40" spans="1:2" x14ac:dyDescent="0.25">
      <c r="A40" t="s">
        <v>29</v>
      </c>
      <c r="B40" t="str">
        <f t="shared" si="0"/>
        <v/>
      </c>
    </row>
    <row r="41" spans="1:2" x14ac:dyDescent="0.25">
      <c r="A41" t="s">
        <v>5</v>
      </c>
      <c r="B41" t="str">
        <f t="shared" si="0"/>
        <v/>
      </c>
    </row>
    <row r="42" spans="1:2" x14ac:dyDescent="0.25">
      <c r="A42" t="s">
        <v>30</v>
      </c>
      <c r="B42" t="str">
        <f t="shared" si="0"/>
        <v/>
      </c>
    </row>
    <row r="43" spans="1:2" x14ac:dyDescent="0.25">
      <c r="A43" t="s">
        <v>13</v>
      </c>
      <c r="B43" t="str">
        <f t="shared" si="0"/>
        <v/>
      </c>
    </row>
    <row r="44" spans="1:2" x14ac:dyDescent="0.25">
      <c r="A44" t="s">
        <v>14</v>
      </c>
      <c r="B44" t="str">
        <f t="shared" si="0"/>
        <v/>
      </c>
    </row>
    <row r="45" spans="1:2" x14ac:dyDescent="0.25">
      <c r="A45" t="s">
        <v>15</v>
      </c>
      <c r="B45" t="str">
        <f t="shared" si="0"/>
        <v/>
      </c>
    </row>
    <row r="46" spans="1:2" x14ac:dyDescent="0.25">
      <c r="A46" t="s">
        <v>1</v>
      </c>
      <c r="B46" t="str">
        <f t="shared" si="0"/>
        <v>S, M, L, XL</v>
      </c>
    </row>
    <row r="47" spans="1:2" x14ac:dyDescent="0.25">
      <c r="A47" t="s">
        <v>31</v>
      </c>
      <c r="B47" t="str">
        <f t="shared" si="0"/>
        <v>Copper Slate Uniform Green</v>
      </c>
    </row>
    <row r="48" spans="1:2" x14ac:dyDescent="0.25">
      <c r="A48" t="s">
        <v>4</v>
      </c>
      <c r="B48" t="str">
        <f t="shared" si="0"/>
        <v>61430BH TRINELL</v>
      </c>
    </row>
    <row r="49" spans="1:2" x14ac:dyDescent="0.25">
      <c r="A49" t="s">
        <v>32</v>
      </c>
      <c r="B49" t="str">
        <f t="shared" si="0"/>
        <v/>
      </c>
    </row>
    <row r="50" spans="1:2" x14ac:dyDescent="0.25">
      <c r="A50" t="s">
        <v>33</v>
      </c>
      <c r="B50" t="str">
        <f t="shared" si="0"/>
        <v/>
      </c>
    </row>
    <row r="51" spans="1:2" x14ac:dyDescent="0.25">
      <c r="A51" t="s">
        <v>5</v>
      </c>
      <c r="B51" t="str">
        <f t="shared" si="0"/>
        <v/>
      </c>
    </row>
    <row r="52" spans="1:2" x14ac:dyDescent="0.25">
      <c r="A52" t="s">
        <v>34</v>
      </c>
      <c r="B52" t="str">
        <f t="shared" si="0"/>
        <v/>
      </c>
    </row>
    <row r="53" spans="1:2" x14ac:dyDescent="0.25">
      <c r="A53" t="s">
        <v>14</v>
      </c>
      <c r="B53" t="str">
        <f t="shared" si="0"/>
        <v/>
      </c>
    </row>
    <row r="54" spans="1:2" x14ac:dyDescent="0.25">
      <c r="A54" t="s">
        <v>35</v>
      </c>
      <c r="B54" t="str">
        <f t="shared" si="0"/>
        <v/>
      </c>
    </row>
    <row r="55" spans="1:2" x14ac:dyDescent="0.25">
      <c r="A55" t="s">
        <v>15</v>
      </c>
      <c r="B55" t="str">
        <f t="shared" si="0"/>
        <v/>
      </c>
    </row>
    <row r="56" spans="1:2" x14ac:dyDescent="0.25">
      <c r="A56" t="s">
        <v>1</v>
      </c>
      <c r="B56" t="str">
        <f t="shared" si="0"/>
        <v>S, M, L, XL</v>
      </c>
    </row>
    <row r="57" spans="1:2" x14ac:dyDescent="0.25">
      <c r="A57" t="s">
        <v>36</v>
      </c>
      <c r="B57" t="str">
        <f t="shared" si="0"/>
        <v>Black Light Mink</v>
      </c>
    </row>
    <row r="58" spans="1:2" x14ac:dyDescent="0.25">
      <c r="A58" t="s">
        <v>37</v>
      </c>
      <c r="B58" t="str">
        <f t="shared" si="0"/>
        <v>61428BH GIRVIN</v>
      </c>
    </row>
    <row r="59" spans="1:2" x14ac:dyDescent="0.25">
      <c r="A59" t="s">
        <v>38</v>
      </c>
      <c r="B59" t="str">
        <f t="shared" si="0"/>
        <v/>
      </c>
    </row>
    <row r="60" spans="1:2" x14ac:dyDescent="0.25">
      <c r="A60" t="s">
        <v>39</v>
      </c>
      <c r="B60" t="str">
        <f t="shared" si="0"/>
        <v/>
      </c>
    </row>
    <row r="61" spans="1:2" x14ac:dyDescent="0.25">
      <c r="A61" t="s">
        <v>5</v>
      </c>
      <c r="B61" t="str">
        <f t="shared" si="0"/>
        <v/>
      </c>
    </row>
    <row r="62" spans="1:2" x14ac:dyDescent="0.25">
      <c r="A62" t="s">
        <v>13</v>
      </c>
      <c r="B62" t="str">
        <f t="shared" si="0"/>
        <v/>
      </c>
    </row>
    <row r="63" spans="1:2" x14ac:dyDescent="0.25">
      <c r="A63" t="s">
        <v>14</v>
      </c>
      <c r="B63" t="str">
        <f t="shared" si="0"/>
        <v/>
      </c>
    </row>
    <row r="64" spans="1:2" x14ac:dyDescent="0.25">
      <c r="A64" t="s">
        <v>15</v>
      </c>
      <c r="B64" t="str">
        <f t="shared" si="0"/>
        <v/>
      </c>
    </row>
    <row r="65" spans="1:2" x14ac:dyDescent="0.25">
      <c r="A65" t="s">
        <v>35</v>
      </c>
      <c r="B65" t="str">
        <f t="shared" si="0"/>
        <v/>
      </c>
    </row>
    <row r="66" spans="1:2" x14ac:dyDescent="0.25">
      <c r="A66" t="s">
        <v>1</v>
      </c>
      <c r="B66" t="str">
        <f t="shared" si="0"/>
        <v>S, M, L, XL</v>
      </c>
    </row>
    <row r="67" spans="1:2" x14ac:dyDescent="0.25">
      <c r="A67" t="s">
        <v>40</v>
      </c>
      <c r="B67" t="str">
        <f t="shared" ref="B67:B128" si="1">_xlfn.LET(_xlpm.isSizes,IFERROR(FIND(",",A67)&gt;=1,FALSE),_xlpm.isSizesUp,IFERROR(FIND(",",A66)&gt;=1,FALSE),_xlpm.isName,AND(IFERROR(VALUE(MID(A67,1,1)),FALSE),NOT(IFERROR(FIND("” ",A67)&gt;=1,FALSE)),NOT(IFERROR(FIND("/",A67)&gt;=1,FALSE))),_xlpm.isNameDown,AND(IFERROR(VALUE(MID(A68,1,1)),FALSE),NOT(IFERROR(FIND("” ",A68)&gt;=1,FALSE)),NOT(IFERROR(FIND("/",A68)&gt;=1,FALSE))),IF(_xlpm.isSizes,A67,IF(_xlpm.isSizesUp,A67,IF(_xlpm.isName,A67,IF(AND(_xlpm.isNameDown&lt;&gt;_xlpm.isName),A67,"")))))</f>
        <v>Black Chocolate</v>
      </c>
    </row>
    <row r="68" spans="1:2" x14ac:dyDescent="0.25">
      <c r="A68" t="s">
        <v>41</v>
      </c>
      <c r="B68" t="str">
        <f t="shared" si="1"/>
        <v>47009BH FLUME</v>
      </c>
    </row>
    <row r="69" spans="1:2" x14ac:dyDescent="0.25">
      <c r="A69" t="s">
        <v>11</v>
      </c>
      <c r="B69" t="str">
        <f t="shared" si="1"/>
        <v/>
      </c>
    </row>
    <row r="70" spans="1:2" x14ac:dyDescent="0.25">
      <c r="A70" t="s">
        <v>12</v>
      </c>
      <c r="B70" t="str">
        <f t="shared" si="1"/>
        <v/>
      </c>
    </row>
    <row r="71" spans="1:2" x14ac:dyDescent="0.25">
      <c r="A71" t="s">
        <v>42</v>
      </c>
      <c r="B71" t="str">
        <f t="shared" si="1"/>
        <v/>
      </c>
    </row>
    <row r="72" spans="1:2" x14ac:dyDescent="0.25">
      <c r="A72" t="s">
        <v>43</v>
      </c>
      <c r="B72" t="str">
        <f t="shared" si="1"/>
        <v/>
      </c>
    </row>
    <row r="73" spans="1:2" x14ac:dyDescent="0.25">
      <c r="A73" t="s">
        <v>24</v>
      </c>
      <c r="B73" t="str">
        <f t="shared" si="1"/>
        <v/>
      </c>
    </row>
    <row r="74" spans="1:2" x14ac:dyDescent="0.25">
      <c r="A74" t="s">
        <v>15</v>
      </c>
      <c r="B74" t="str">
        <f t="shared" si="1"/>
        <v/>
      </c>
    </row>
    <row r="75" spans="1:2" x14ac:dyDescent="0.25">
      <c r="A75" t="s">
        <v>1</v>
      </c>
      <c r="B75" t="str">
        <f t="shared" si="1"/>
        <v>S, M, L, XL</v>
      </c>
    </row>
    <row r="76" spans="1:2" x14ac:dyDescent="0.25">
      <c r="A76" t="s">
        <v>44</v>
      </c>
      <c r="B76" t="str">
        <f t="shared" si="1"/>
        <v>Aubergine Black Mink</v>
      </c>
    </row>
    <row r="77" spans="1:2" x14ac:dyDescent="0.25">
      <c r="A77" t="s">
        <v>45</v>
      </c>
      <c r="B77" t="str">
        <f t="shared" si="1"/>
        <v>61426BH AUMAN</v>
      </c>
    </row>
    <row r="78" spans="1:2" x14ac:dyDescent="0.25">
      <c r="A78" t="s">
        <v>32</v>
      </c>
      <c r="B78" t="str">
        <f t="shared" si="1"/>
        <v/>
      </c>
    </row>
    <row r="79" spans="1:2" x14ac:dyDescent="0.25">
      <c r="A79" t="s">
        <v>33</v>
      </c>
      <c r="B79" t="str">
        <f t="shared" si="1"/>
        <v/>
      </c>
    </row>
    <row r="80" spans="1:2" x14ac:dyDescent="0.25">
      <c r="A80" t="s">
        <v>5</v>
      </c>
      <c r="B80" t="str">
        <f t="shared" si="1"/>
        <v/>
      </c>
    </row>
    <row r="81" spans="1:2" x14ac:dyDescent="0.25">
      <c r="A81" t="s">
        <v>46</v>
      </c>
      <c r="B81" t="str">
        <f t="shared" si="1"/>
        <v/>
      </c>
    </row>
    <row r="82" spans="1:2" x14ac:dyDescent="0.25">
      <c r="A82" t="s">
        <v>13</v>
      </c>
      <c r="B82" t="str">
        <f t="shared" si="1"/>
        <v/>
      </c>
    </row>
    <row r="83" spans="1:2" x14ac:dyDescent="0.25">
      <c r="A83" t="s">
        <v>24</v>
      </c>
      <c r="B83" t="str">
        <f t="shared" si="1"/>
        <v/>
      </c>
    </row>
    <row r="84" spans="1:2" x14ac:dyDescent="0.25">
      <c r="A84" t="s">
        <v>15</v>
      </c>
      <c r="B84" t="str">
        <f t="shared" si="1"/>
        <v/>
      </c>
    </row>
    <row r="85" spans="1:2" x14ac:dyDescent="0.25">
      <c r="A85" t="s">
        <v>1</v>
      </c>
      <c r="B85" t="str">
        <f t="shared" si="1"/>
        <v>S, M, L, XL</v>
      </c>
    </row>
    <row r="86" spans="1:2" x14ac:dyDescent="0.25">
      <c r="A86" t="s">
        <v>9</v>
      </c>
      <c r="B86" t="str">
        <f>_xlfn.LET(_xlpm.isSizes,IFERROR(FIND(",",A86)&gt;=1,FALSE),_xlpm.isSizesUp,IFERROR(FIND(",",A85)&gt;=1,FALSE),_xlpm.isName,AND(IFERROR(VALUE(MID(A86,1,1)),FALSE),NOT(IFERROR(FIND("” ",A86)&gt;=1,FALSE)),NOT(IFERROR(FIND("/",A86)&gt;=1,FALSE))),_xlpm.isNameDown,AND(IFERROR(VALUE(MID(#REF!,1,1)),FALSE),NOT(IFERROR(FIND("” ",#REF!)&gt;=1,FALSE)),NOT(IFERROR(FIND("/",#REF!)&gt;=1,FALSE))),IF(_xlpm.isSizes,A86,IF(_xlpm.isSizesUp,A86,IF(_xlpm.isName,A86,IF(AND(_xlpm.isNameDown&lt;&gt;_xlpm.isName),A86,"")))))</f>
        <v>Black</v>
      </c>
    </row>
    <row r="87" spans="1:2" x14ac:dyDescent="0.25">
      <c r="A87" t="s">
        <v>47</v>
      </c>
      <c r="B87" t="str">
        <f>_xlfn.LET(_xlpm.isSizes,IFERROR(FIND(",",A87)&gt;=1,FALSE),_xlpm.isSizesUp,IFERROR(FIND(",",#REF!)&gt;=1,FALSE),_xlpm.isName,AND(IFERROR(VALUE(MID(A87,1,1)),FALSE),NOT(IFERROR(FIND("” ",A87)&gt;=1,FALSE)),NOT(IFERROR(FIND("/",A87)&gt;=1,FALSE))),_xlpm.isNameDown,AND(IFERROR(VALUE(MID(A88,1,1)),FALSE),NOT(IFERROR(FIND("” ",A88)&gt;=1,FALSE)),NOT(IFERROR(FIND("/",A88)&gt;=1,FALSE))),IF(_xlpm.isSizes,A87,IF(_xlpm.isSizesUp,A87,IF(_xlpm.isName,A87,IF(AND(_xlpm.isNameDown&lt;&gt;_xlpm.isName),A87,"")))))</f>
        <v>37188BH COLBY</v>
      </c>
    </row>
    <row r="88" spans="1:2" x14ac:dyDescent="0.25">
      <c r="A88" t="s">
        <v>48</v>
      </c>
      <c r="B88" t="str">
        <f t="shared" si="1"/>
        <v/>
      </c>
    </row>
    <row r="89" spans="1:2" x14ac:dyDescent="0.25">
      <c r="A89" t="s">
        <v>49</v>
      </c>
      <c r="B89" t="str">
        <f t="shared" si="1"/>
        <v/>
      </c>
    </row>
    <row r="90" spans="1:2" x14ac:dyDescent="0.25">
      <c r="A90" t="s">
        <v>50</v>
      </c>
      <c r="B90" t="str">
        <f t="shared" si="1"/>
        <v/>
      </c>
    </row>
    <row r="91" spans="1:2" x14ac:dyDescent="0.25">
      <c r="A91" t="s">
        <v>51</v>
      </c>
      <c r="B91" t="str">
        <f t="shared" si="1"/>
        <v/>
      </c>
    </row>
    <row r="92" spans="1:2" x14ac:dyDescent="0.25">
      <c r="A92" t="s">
        <v>52</v>
      </c>
      <c r="B92" t="str">
        <f t="shared" si="1"/>
        <v/>
      </c>
    </row>
    <row r="93" spans="1:2" x14ac:dyDescent="0.25">
      <c r="A93" t="s">
        <v>14</v>
      </c>
      <c r="B93" t="str">
        <f t="shared" si="1"/>
        <v/>
      </c>
    </row>
    <row r="94" spans="1:2" x14ac:dyDescent="0.25">
      <c r="A94" t="s">
        <v>15</v>
      </c>
      <c r="B94" t="str">
        <f t="shared" si="1"/>
        <v/>
      </c>
    </row>
    <row r="95" spans="1:2" x14ac:dyDescent="0.25">
      <c r="A95" t="s">
        <v>1</v>
      </c>
      <c r="B95" t="str">
        <f t="shared" si="1"/>
        <v>S, M, L, XL</v>
      </c>
    </row>
    <row r="96" spans="1:2" x14ac:dyDescent="0.25">
      <c r="A96" t="s">
        <v>53</v>
      </c>
      <c r="B96" t="str">
        <f t="shared" si="1"/>
        <v>Black Nickel Soft Khaki Stucco</v>
      </c>
    </row>
    <row r="97" spans="1:2" x14ac:dyDescent="0.25">
      <c r="A97" t="s">
        <v>54</v>
      </c>
      <c r="B97" t="str">
        <f t="shared" si="1"/>
        <v>37189BH GODWIN</v>
      </c>
    </row>
    <row r="98" spans="1:2" x14ac:dyDescent="0.25">
      <c r="A98" t="s">
        <v>38</v>
      </c>
      <c r="B98" t="str">
        <f t="shared" si="1"/>
        <v/>
      </c>
    </row>
    <row r="99" spans="1:2" x14ac:dyDescent="0.25">
      <c r="A99" t="s">
        <v>55</v>
      </c>
      <c r="B99" t="str">
        <f t="shared" si="1"/>
        <v/>
      </c>
    </row>
    <row r="100" spans="1:2" x14ac:dyDescent="0.25">
      <c r="A100" t="s">
        <v>50</v>
      </c>
      <c r="B100" t="str">
        <f t="shared" si="1"/>
        <v/>
      </c>
    </row>
    <row r="101" spans="1:2" x14ac:dyDescent="0.25">
      <c r="A101" t="s">
        <v>56</v>
      </c>
      <c r="B101" t="str">
        <f t="shared" si="1"/>
        <v/>
      </c>
    </row>
    <row r="102" spans="1:2" x14ac:dyDescent="0.25">
      <c r="A102" t="s">
        <v>30</v>
      </c>
      <c r="B102" t="str">
        <f t="shared" si="1"/>
        <v/>
      </c>
    </row>
    <row r="103" spans="1:2" x14ac:dyDescent="0.25">
      <c r="A103" t="s">
        <v>24</v>
      </c>
      <c r="B103" t="str">
        <f t="shared" si="1"/>
        <v/>
      </c>
    </row>
    <row r="104" spans="1:2" x14ac:dyDescent="0.25">
      <c r="A104" t="s">
        <v>15</v>
      </c>
      <c r="B104" t="str">
        <f t="shared" si="1"/>
        <v/>
      </c>
    </row>
    <row r="105" spans="1:2" x14ac:dyDescent="0.25">
      <c r="A105" t="s">
        <v>1</v>
      </c>
      <c r="B105" t="str">
        <f t="shared" si="1"/>
        <v>S, M, L, XL</v>
      </c>
    </row>
    <row r="106" spans="1:2" x14ac:dyDescent="0.25">
      <c r="A106" t="s">
        <v>57</v>
      </c>
      <c r="B106" t="str">
        <f t="shared" si="1"/>
        <v>Black Eggplant Lazuli Blue Oak Taupe</v>
      </c>
    </row>
    <row r="107" spans="1:2" x14ac:dyDescent="0.25">
      <c r="A107" t="s">
        <v>58</v>
      </c>
      <c r="B107" t="str">
        <f t="shared" si="1"/>
        <v>37190BH TREVEL</v>
      </c>
    </row>
    <row r="108" spans="1:2" x14ac:dyDescent="0.25">
      <c r="A108" t="s">
        <v>18</v>
      </c>
      <c r="B108" t="str">
        <f t="shared" si="1"/>
        <v/>
      </c>
    </row>
    <row r="109" spans="1:2" x14ac:dyDescent="0.25">
      <c r="A109" t="s">
        <v>55</v>
      </c>
      <c r="B109" t="str">
        <f t="shared" si="1"/>
        <v/>
      </c>
    </row>
    <row r="110" spans="1:2" x14ac:dyDescent="0.25">
      <c r="A110" t="s">
        <v>50</v>
      </c>
      <c r="B110" t="str">
        <f t="shared" si="1"/>
        <v/>
      </c>
    </row>
    <row r="111" spans="1:2" x14ac:dyDescent="0.25">
      <c r="A111" t="s">
        <v>59</v>
      </c>
      <c r="B111" t="str">
        <f t="shared" si="1"/>
        <v/>
      </c>
    </row>
    <row r="112" spans="1:2" x14ac:dyDescent="0.25">
      <c r="A112" t="s">
        <v>30</v>
      </c>
      <c r="B112" t="str">
        <f t="shared" si="1"/>
        <v/>
      </c>
    </row>
    <row r="113" spans="1:2" x14ac:dyDescent="0.25">
      <c r="A113" t="s">
        <v>24</v>
      </c>
      <c r="B113" t="str">
        <f t="shared" si="1"/>
        <v/>
      </c>
    </row>
    <row r="114" spans="1:2" x14ac:dyDescent="0.25">
      <c r="A114" t="s">
        <v>15</v>
      </c>
      <c r="B114" t="str">
        <f t="shared" si="1"/>
        <v/>
      </c>
    </row>
    <row r="115" spans="1:2" x14ac:dyDescent="0.25">
      <c r="A115" t="s">
        <v>1</v>
      </c>
      <c r="B115" t="str">
        <f t="shared" si="1"/>
        <v>S, M, L, XL</v>
      </c>
    </row>
    <row r="116" spans="1:2" x14ac:dyDescent="0.25">
      <c r="A116" t="s">
        <v>60</v>
      </c>
      <c r="B116" t="str">
        <f t="shared" si="1"/>
        <v>Black Copper Nickel</v>
      </c>
    </row>
    <row r="117" spans="1:2" x14ac:dyDescent="0.25">
      <c r="A117" t="s">
        <v>61</v>
      </c>
      <c r="B117" t="str">
        <f t="shared" si="1"/>
        <v>37172BH BOGAN</v>
      </c>
    </row>
    <row r="118" spans="1:2" x14ac:dyDescent="0.25">
      <c r="A118" t="s">
        <v>62</v>
      </c>
      <c r="B118" t="str">
        <f t="shared" si="1"/>
        <v/>
      </c>
    </row>
    <row r="119" spans="1:2" x14ac:dyDescent="0.25">
      <c r="A119" t="s">
        <v>63</v>
      </c>
      <c r="B119" t="str">
        <f t="shared" si="1"/>
        <v/>
      </c>
    </row>
    <row r="120" spans="1:2" x14ac:dyDescent="0.25">
      <c r="A120" t="s">
        <v>64</v>
      </c>
      <c r="B120" t="str">
        <f t="shared" si="1"/>
        <v/>
      </c>
    </row>
    <row r="121" spans="1:2" x14ac:dyDescent="0.25">
      <c r="A121" t="s">
        <v>13</v>
      </c>
      <c r="B121" t="str">
        <f t="shared" si="1"/>
        <v/>
      </c>
    </row>
    <row r="122" spans="1:2" x14ac:dyDescent="0.25">
      <c r="A122" t="s">
        <v>24</v>
      </c>
      <c r="B122" t="str">
        <f t="shared" si="1"/>
        <v/>
      </c>
    </row>
    <row r="123" spans="1:2" x14ac:dyDescent="0.25">
      <c r="A123" t="s">
        <v>15</v>
      </c>
      <c r="B123" t="str">
        <f t="shared" si="1"/>
        <v/>
      </c>
    </row>
    <row r="124" spans="1:2" x14ac:dyDescent="0.25">
      <c r="A124" t="s">
        <v>1</v>
      </c>
      <c r="B124" t="str">
        <f t="shared" si="1"/>
        <v>S, M, L, XL</v>
      </c>
    </row>
    <row r="125" spans="1:2" x14ac:dyDescent="0.25">
      <c r="A125" t="s">
        <v>65</v>
      </c>
      <c r="B125" t="str">
        <f t="shared" si="1"/>
        <v>Peacoat Plaza Taupe Saddle Steel</v>
      </c>
    </row>
    <row r="126" spans="1:2" x14ac:dyDescent="0.25">
      <c r="A126" t="s">
        <v>66</v>
      </c>
      <c r="B126" t="str">
        <f t="shared" si="1"/>
        <v>Almond Black Camel</v>
      </c>
    </row>
    <row r="127" spans="1:2" x14ac:dyDescent="0.25">
      <c r="A127" t="s">
        <v>67</v>
      </c>
      <c r="B127" t="str">
        <f t="shared" si="1"/>
        <v>20007BH CLORINDON</v>
      </c>
    </row>
    <row r="128" spans="1:2" x14ac:dyDescent="0.25">
      <c r="A128" t="s">
        <v>38</v>
      </c>
      <c r="B128" t="str">
        <f t="shared" si="1"/>
        <v/>
      </c>
    </row>
    <row r="129" spans="1:2" x14ac:dyDescent="0.25">
      <c r="A129" t="s">
        <v>68</v>
      </c>
      <c r="B129" t="str">
        <f t="shared" ref="B129:B192" si="2">_xlfn.LET(_xlpm.isSizes,IFERROR(FIND(",",A129)&gt;=1,FALSE),_xlpm.isSizesUp,IFERROR(FIND(",",A128)&gt;=1,FALSE),_xlpm.isName,AND(IFERROR(VALUE(MID(A129,1,1)),FALSE),NOT(IFERROR(FIND("” ",A129)&gt;=1,FALSE)),NOT(IFERROR(FIND("/",A129)&gt;=1,FALSE))),_xlpm.isNameDown,AND(IFERROR(VALUE(MID(A130,1,1)),FALSE),NOT(IFERROR(FIND("” ",A130)&gt;=1,FALSE)),NOT(IFERROR(FIND("/",A130)&gt;=1,FALSE))),IF(_xlpm.isSizes,A129,IF(_xlpm.isSizesUp,A129,IF(_xlpm.isName,A129,IF(AND(_xlpm.isNameDown&lt;&gt;_xlpm.isName),A129,"")))))</f>
        <v/>
      </c>
    </row>
    <row r="130" spans="1:2" x14ac:dyDescent="0.25">
      <c r="A130" t="s">
        <v>69</v>
      </c>
      <c r="B130" t="str">
        <f t="shared" si="2"/>
        <v/>
      </c>
    </row>
    <row r="131" spans="1:2" x14ac:dyDescent="0.25">
      <c r="A131" t="s">
        <v>70</v>
      </c>
      <c r="B131" t="str">
        <f t="shared" si="2"/>
        <v/>
      </c>
    </row>
    <row r="132" spans="1:2" x14ac:dyDescent="0.25">
      <c r="A132" t="s">
        <v>71</v>
      </c>
      <c r="B132" t="str">
        <f t="shared" si="2"/>
        <v/>
      </c>
    </row>
    <row r="133" spans="1:2" x14ac:dyDescent="0.25">
      <c r="A133" t="s">
        <v>72</v>
      </c>
      <c r="B133" t="str">
        <f t="shared" si="2"/>
        <v/>
      </c>
    </row>
    <row r="134" spans="1:2" x14ac:dyDescent="0.25">
      <c r="A134" t="s">
        <v>15</v>
      </c>
      <c r="B134" t="str">
        <f t="shared" si="2"/>
        <v/>
      </c>
    </row>
    <row r="135" spans="1:2" x14ac:dyDescent="0.25">
      <c r="A135" t="s">
        <v>1</v>
      </c>
      <c r="B135" t="str">
        <f t="shared" si="2"/>
        <v>S, M, L, XL</v>
      </c>
    </row>
    <row r="136" spans="1:2" x14ac:dyDescent="0.25">
      <c r="A136" t="s">
        <v>73</v>
      </c>
      <c r="B136" t="str">
        <f t="shared" si="2"/>
        <v>Black Unbleached</v>
      </c>
    </row>
    <row r="137" spans="1:2" x14ac:dyDescent="0.25">
      <c r="A137" t="s">
        <v>74</v>
      </c>
      <c r="B137" t="str">
        <f t="shared" si="2"/>
        <v>37193BH CONLON</v>
      </c>
    </row>
    <row r="138" spans="1:2" x14ac:dyDescent="0.25">
      <c r="A138" t="s">
        <v>32</v>
      </c>
      <c r="B138" t="str">
        <f t="shared" si="2"/>
        <v/>
      </c>
    </row>
    <row r="139" spans="1:2" x14ac:dyDescent="0.25">
      <c r="A139" t="s">
        <v>75</v>
      </c>
      <c r="B139" t="str">
        <f t="shared" si="2"/>
        <v/>
      </c>
    </row>
    <row r="140" spans="1:2" x14ac:dyDescent="0.25">
      <c r="A140" t="s">
        <v>76</v>
      </c>
      <c r="B140" t="str">
        <f t="shared" si="2"/>
        <v/>
      </c>
    </row>
    <row r="141" spans="1:2" x14ac:dyDescent="0.25">
      <c r="A141" t="s">
        <v>77</v>
      </c>
      <c r="B141" t="str">
        <f t="shared" si="2"/>
        <v/>
      </c>
    </row>
    <row r="142" spans="1:2" x14ac:dyDescent="0.25">
      <c r="A142" t="s">
        <v>24</v>
      </c>
      <c r="B142" t="str">
        <f t="shared" si="2"/>
        <v/>
      </c>
    </row>
    <row r="143" spans="1:2" x14ac:dyDescent="0.25">
      <c r="A143" t="s">
        <v>15</v>
      </c>
      <c r="B143" t="str">
        <f t="shared" si="2"/>
        <v/>
      </c>
    </row>
    <row r="144" spans="1:2" x14ac:dyDescent="0.25">
      <c r="A144" t="s">
        <v>1</v>
      </c>
      <c r="B144" t="str">
        <f t="shared" si="2"/>
        <v>S, M, L, XL</v>
      </c>
    </row>
    <row r="145" spans="1:2" x14ac:dyDescent="0.25">
      <c r="A145" t="s">
        <v>78</v>
      </c>
      <c r="B145" t="str">
        <f t="shared" si="2"/>
        <v>Black Lazuli Blue Uniform Green</v>
      </c>
    </row>
    <row r="146" spans="1:2" x14ac:dyDescent="0.25">
      <c r="A146" t="s">
        <v>79</v>
      </c>
      <c r="B146" t="str">
        <f t="shared" si="2"/>
        <v>37192BH CROFT</v>
      </c>
    </row>
    <row r="147" spans="1:2" x14ac:dyDescent="0.25">
      <c r="A147" t="s">
        <v>80</v>
      </c>
      <c r="B147" t="str">
        <f t="shared" si="2"/>
        <v/>
      </c>
    </row>
    <row r="148" spans="1:2" x14ac:dyDescent="0.25">
      <c r="A148" t="s">
        <v>39</v>
      </c>
      <c r="B148" t="str">
        <f t="shared" si="2"/>
        <v/>
      </c>
    </row>
    <row r="149" spans="1:2" x14ac:dyDescent="0.25">
      <c r="A149" t="s">
        <v>76</v>
      </c>
      <c r="B149" t="str">
        <f t="shared" si="2"/>
        <v/>
      </c>
    </row>
    <row r="150" spans="1:2" x14ac:dyDescent="0.25">
      <c r="A150" t="s">
        <v>81</v>
      </c>
      <c r="B150" t="str">
        <f t="shared" si="2"/>
        <v/>
      </c>
    </row>
    <row r="151" spans="1:2" x14ac:dyDescent="0.25">
      <c r="A151" t="s">
        <v>24</v>
      </c>
      <c r="B151" t="str">
        <f t="shared" si="2"/>
        <v/>
      </c>
    </row>
    <row r="152" spans="1:2" x14ac:dyDescent="0.25">
      <c r="A152" t="s">
        <v>15</v>
      </c>
      <c r="B152" t="str">
        <f t="shared" si="2"/>
        <v/>
      </c>
    </row>
    <row r="153" spans="1:2" x14ac:dyDescent="0.25">
      <c r="A153" t="s">
        <v>1</v>
      </c>
      <c r="B153" t="str">
        <f t="shared" si="2"/>
        <v>S, M, L, XL</v>
      </c>
    </row>
    <row r="154" spans="1:2" x14ac:dyDescent="0.25">
      <c r="A154" t="s">
        <v>82</v>
      </c>
      <c r="B154" t="str">
        <f t="shared" si="2"/>
        <v>Black Copper Taupe</v>
      </c>
    </row>
    <row r="155" spans="1:2" x14ac:dyDescent="0.25">
      <c r="A155" t="s">
        <v>83</v>
      </c>
      <c r="B155" t="str">
        <f t="shared" si="2"/>
        <v>20001BH COLVER</v>
      </c>
    </row>
    <row r="156" spans="1:2" x14ac:dyDescent="0.25">
      <c r="A156" t="s">
        <v>18</v>
      </c>
      <c r="B156" t="str">
        <f t="shared" si="2"/>
        <v/>
      </c>
    </row>
    <row r="157" spans="1:2" x14ac:dyDescent="0.25">
      <c r="A157" t="s">
        <v>68</v>
      </c>
      <c r="B157" t="str">
        <f t="shared" si="2"/>
        <v/>
      </c>
    </row>
    <row r="158" spans="1:2" x14ac:dyDescent="0.25">
      <c r="A158" t="s">
        <v>69</v>
      </c>
      <c r="B158" t="str">
        <f t="shared" si="2"/>
        <v/>
      </c>
    </row>
    <row r="159" spans="1:2" x14ac:dyDescent="0.25">
      <c r="A159" t="s">
        <v>84</v>
      </c>
      <c r="B159" t="str">
        <f t="shared" si="2"/>
        <v/>
      </c>
    </row>
    <row r="160" spans="1:2" x14ac:dyDescent="0.25">
      <c r="A160" t="s">
        <v>85</v>
      </c>
      <c r="B160" t="str">
        <f t="shared" si="2"/>
        <v/>
      </c>
    </row>
    <row r="161" spans="1:2" x14ac:dyDescent="0.25">
      <c r="A161" t="s">
        <v>15</v>
      </c>
      <c r="B161" t="str">
        <f t="shared" si="2"/>
        <v/>
      </c>
    </row>
    <row r="162" spans="1:2" x14ac:dyDescent="0.25">
      <c r="A162" t="s">
        <v>1</v>
      </c>
      <c r="B162" t="str">
        <f t="shared" si="2"/>
        <v>S, M, L, XL</v>
      </c>
    </row>
    <row r="163" spans="1:2" x14ac:dyDescent="0.25">
      <c r="A163" t="s">
        <v>86</v>
      </c>
      <c r="B163" t="str">
        <f t="shared" si="2"/>
        <v>Greige Honey Ochre Silver Lining</v>
      </c>
    </row>
    <row r="164" spans="1:2" x14ac:dyDescent="0.25">
      <c r="A164" t="s">
        <v>87</v>
      </c>
      <c r="B164" t="str">
        <f t="shared" si="2"/>
        <v>Avion Black Chestnut</v>
      </c>
    </row>
    <row r="165" spans="1:2" x14ac:dyDescent="0.25">
      <c r="A165" t="s">
        <v>88</v>
      </c>
      <c r="B165" t="str">
        <f t="shared" si="2"/>
        <v>20009BH COLTER</v>
      </c>
    </row>
    <row r="166" spans="1:2" x14ac:dyDescent="0.25">
      <c r="A166" t="s">
        <v>89</v>
      </c>
      <c r="B166" t="str">
        <f t="shared" si="2"/>
        <v/>
      </c>
    </row>
    <row r="167" spans="1:2" x14ac:dyDescent="0.25">
      <c r="A167" t="s">
        <v>90</v>
      </c>
      <c r="B167" t="str">
        <f t="shared" si="2"/>
        <v/>
      </c>
    </row>
    <row r="168" spans="1:2" x14ac:dyDescent="0.25">
      <c r="A168" t="s">
        <v>69</v>
      </c>
      <c r="B168" t="str">
        <f t="shared" si="2"/>
        <v/>
      </c>
    </row>
    <row r="169" spans="1:2" x14ac:dyDescent="0.25">
      <c r="A169" t="s">
        <v>91</v>
      </c>
      <c r="B169" t="str">
        <f t="shared" si="2"/>
        <v/>
      </c>
    </row>
    <row r="170" spans="1:2" x14ac:dyDescent="0.25">
      <c r="A170" t="s">
        <v>24</v>
      </c>
      <c r="B170" t="str">
        <f t="shared" si="2"/>
        <v/>
      </c>
    </row>
    <row r="171" spans="1:2" x14ac:dyDescent="0.25">
      <c r="A171" t="s">
        <v>15</v>
      </c>
      <c r="B171" t="str">
        <f t="shared" si="2"/>
        <v/>
      </c>
    </row>
    <row r="172" spans="1:2" x14ac:dyDescent="0.25">
      <c r="A172" t="s">
        <v>1</v>
      </c>
      <c r="B172" t="str">
        <f t="shared" si="2"/>
        <v>S, M, L, XL</v>
      </c>
    </row>
    <row r="173" spans="1:2" x14ac:dyDescent="0.25">
      <c r="A173" t="s">
        <v>92</v>
      </c>
      <c r="B173" t="str">
        <f t="shared" si="2"/>
        <v>Black Nickel Oak</v>
      </c>
    </row>
    <row r="174" spans="1:2" x14ac:dyDescent="0.25">
      <c r="A174" t="s">
        <v>93</v>
      </c>
      <c r="B174" t="str">
        <f t="shared" si="2"/>
        <v>30003BH LANG</v>
      </c>
    </row>
    <row r="175" spans="1:2" x14ac:dyDescent="0.25">
      <c r="A175" t="s">
        <v>94</v>
      </c>
      <c r="B175" t="str">
        <f t="shared" si="2"/>
        <v/>
      </c>
    </row>
    <row r="176" spans="1:2" x14ac:dyDescent="0.25">
      <c r="A176" t="s">
        <v>95</v>
      </c>
      <c r="B176" t="str">
        <f t="shared" si="2"/>
        <v/>
      </c>
    </row>
    <row r="177" spans="1:2" x14ac:dyDescent="0.25">
      <c r="A177" t="s">
        <v>96</v>
      </c>
      <c r="B177" t="str">
        <f t="shared" si="2"/>
        <v/>
      </c>
    </row>
    <row r="178" spans="1:2" x14ac:dyDescent="0.25">
      <c r="A178" t="s">
        <v>24</v>
      </c>
      <c r="B178" t="str">
        <f t="shared" si="2"/>
        <v/>
      </c>
    </row>
    <row r="179" spans="1:2" x14ac:dyDescent="0.25">
      <c r="A179" t="s">
        <v>15</v>
      </c>
      <c r="B179" t="str">
        <f t="shared" si="2"/>
        <v/>
      </c>
    </row>
    <row r="180" spans="1:2" x14ac:dyDescent="0.25">
      <c r="A180" t="s">
        <v>1</v>
      </c>
      <c r="B180" t="str">
        <f t="shared" si="2"/>
        <v>S, M, L, XL</v>
      </c>
    </row>
    <row r="181" spans="1:2" x14ac:dyDescent="0.25">
      <c r="A181" t="s">
        <v>97</v>
      </c>
      <c r="B181" t="str">
        <f t="shared" si="2"/>
        <v>Avion Black Uniform Green</v>
      </c>
    </row>
    <row r="182" spans="1:2" x14ac:dyDescent="0.25">
      <c r="A182" t="s">
        <v>98</v>
      </c>
      <c r="B182" t="str">
        <f t="shared" si="2"/>
        <v>37191BH LEVON</v>
      </c>
    </row>
    <row r="183" spans="1:2" x14ac:dyDescent="0.25">
      <c r="A183" t="s">
        <v>99</v>
      </c>
      <c r="B183" t="str">
        <f t="shared" si="2"/>
        <v/>
      </c>
    </row>
    <row r="184" spans="1:2" x14ac:dyDescent="0.25">
      <c r="A184" t="s">
        <v>39</v>
      </c>
      <c r="B184" t="str">
        <f t="shared" si="2"/>
        <v/>
      </c>
    </row>
    <row r="185" spans="1:2" x14ac:dyDescent="0.25">
      <c r="A185" t="s">
        <v>100</v>
      </c>
      <c r="B185" t="str">
        <f t="shared" si="2"/>
        <v/>
      </c>
    </row>
    <row r="186" spans="1:2" x14ac:dyDescent="0.25">
      <c r="A186" t="s">
        <v>101</v>
      </c>
      <c r="B186" t="str">
        <f t="shared" si="2"/>
        <v/>
      </c>
    </row>
    <row r="187" spans="1:2" x14ac:dyDescent="0.25">
      <c r="A187" t="s">
        <v>24</v>
      </c>
      <c r="B187" t="str">
        <f t="shared" si="2"/>
        <v/>
      </c>
    </row>
    <row r="188" spans="1:2" x14ac:dyDescent="0.25">
      <c r="A188" t="s">
        <v>1</v>
      </c>
      <c r="B188" t="str">
        <f t="shared" si="2"/>
        <v>S, M, L, XL</v>
      </c>
    </row>
    <row r="189" spans="1:2" x14ac:dyDescent="0.25">
      <c r="A189" t="s">
        <v>102</v>
      </c>
      <c r="B189" t="str">
        <f t="shared" si="2"/>
        <v>Black Lazuli Blue Oak</v>
      </c>
    </row>
    <row r="190" spans="1:2" x14ac:dyDescent="0.25">
      <c r="A190" t="s">
        <v>103</v>
      </c>
      <c r="B190" t="str">
        <f t="shared" si="2"/>
        <v>37180BH STEDMAN</v>
      </c>
    </row>
    <row r="191" spans="1:2" x14ac:dyDescent="0.25">
      <c r="A191" t="s">
        <v>80</v>
      </c>
      <c r="B191" t="str">
        <f t="shared" si="2"/>
        <v/>
      </c>
    </row>
    <row r="192" spans="1:2" x14ac:dyDescent="0.25">
      <c r="A192" t="s">
        <v>39</v>
      </c>
      <c r="B192" t="str">
        <f t="shared" si="2"/>
        <v/>
      </c>
    </row>
    <row r="193" spans="1:2" x14ac:dyDescent="0.25">
      <c r="A193" t="s">
        <v>100</v>
      </c>
      <c r="B193" t="str">
        <f t="shared" ref="B193:B256" si="3">_xlfn.LET(_xlpm.isSizes,IFERROR(FIND(",",A193)&gt;=1,FALSE),_xlpm.isSizesUp,IFERROR(FIND(",",A192)&gt;=1,FALSE),_xlpm.isName,AND(IFERROR(VALUE(MID(A193,1,1)),FALSE),NOT(IFERROR(FIND("” ",A193)&gt;=1,FALSE)),NOT(IFERROR(FIND("/",A193)&gt;=1,FALSE))),_xlpm.isNameDown,AND(IFERROR(VALUE(MID(A194,1,1)),FALSE),NOT(IFERROR(FIND("” ",A194)&gt;=1,FALSE)),NOT(IFERROR(FIND("/",A194)&gt;=1,FALSE))),IF(_xlpm.isSizes,A193,IF(_xlpm.isSizesUp,A193,IF(_xlpm.isName,A193,IF(AND(_xlpm.isNameDown&lt;&gt;_xlpm.isName),A193,"")))))</f>
        <v/>
      </c>
    </row>
    <row r="194" spans="1:2" x14ac:dyDescent="0.25">
      <c r="A194" t="s">
        <v>104</v>
      </c>
      <c r="B194" t="str">
        <f t="shared" si="3"/>
        <v/>
      </c>
    </row>
    <row r="195" spans="1:2" x14ac:dyDescent="0.25">
      <c r="A195" t="s">
        <v>85</v>
      </c>
      <c r="B195" t="str">
        <f t="shared" si="3"/>
        <v/>
      </c>
    </row>
    <row r="196" spans="1:2" x14ac:dyDescent="0.25">
      <c r="A196" t="s">
        <v>105</v>
      </c>
      <c r="B196" t="str">
        <f t="shared" si="3"/>
        <v>S, M, L, XL, XXL</v>
      </c>
    </row>
    <row r="197" spans="1:2" x14ac:dyDescent="0.25">
      <c r="A197" t="s">
        <v>106</v>
      </c>
      <c r="B197" t="str">
        <f t="shared" si="3"/>
        <v>Black Camel Oak Stucco</v>
      </c>
    </row>
    <row r="198" spans="1:2" x14ac:dyDescent="0.25">
      <c r="A198" t="s">
        <v>7</v>
      </c>
      <c r="B198" t="str">
        <f t="shared" si="3"/>
        <v>30001BH WALSH</v>
      </c>
    </row>
    <row r="199" spans="1:2" x14ac:dyDescent="0.25">
      <c r="A199" t="s">
        <v>107</v>
      </c>
      <c r="B199" t="str">
        <f t="shared" si="3"/>
        <v/>
      </c>
    </row>
    <row r="200" spans="1:2" x14ac:dyDescent="0.25">
      <c r="A200" t="s">
        <v>39</v>
      </c>
      <c r="B200" t="str">
        <f t="shared" si="3"/>
        <v/>
      </c>
    </row>
    <row r="201" spans="1:2" x14ac:dyDescent="0.25">
      <c r="A201" t="s">
        <v>96</v>
      </c>
      <c r="B201" t="str">
        <f t="shared" si="3"/>
        <v/>
      </c>
    </row>
    <row r="202" spans="1:2" x14ac:dyDescent="0.25">
      <c r="A202" t="s">
        <v>13</v>
      </c>
      <c r="B202" t="str">
        <f t="shared" si="3"/>
        <v/>
      </c>
    </row>
    <row r="203" spans="1:2" x14ac:dyDescent="0.25">
      <c r="A203" t="s">
        <v>23</v>
      </c>
      <c r="B203" t="str">
        <f t="shared" si="3"/>
        <v/>
      </c>
    </row>
    <row r="204" spans="1:2" x14ac:dyDescent="0.25">
      <c r="A204" t="s">
        <v>108</v>
      </c>
      <c r="B204" t="str">
        <f t="shared" si="3"/>
        <v/>
      </c>
    </row>
    <row r="205" spans="1:2" x14ac:dyDescent="0.25">
      <c r="A205" t="s">
        <v>15</v>
      </c>
      <c r="B205" t="str">
        <f t="shared" si="3"/>
        <v/>
      </c>
    </row>
    <row r="206" spans="1:2" x14ac:dyDescent="0.25">
      <c r="A206" t="s">
        <v>1</v>
      </c>
      <c r="B206" t="str">
        <f t="shared" si="3"/>
        <v>S, M, L, XL</v>
      </c>
    </row>
    <row r="207" spans="1:2" x14ac:dyDescent="0.25">
      <c r="A207" t="s">
        <v>109</v>
      </c>
      <c r="B207" t="str">
        <f t="shared" si="3"/>
        <v>Black Plaza Taupe</v>
      </c>
    </row>
    <row r="208" spans="1:2" x14ac:dyDescent="0.25">
      <c r="A208" t="s">
        <v>110</v>
      </c>
      <c r="B208" t="str">
        <f t="shared" si="3"/>
        <v>37185BH ELLETT</v>
      </c>
    </row>
    <row r="209" spans="1:2" x14ac:dyDescent="0.25">
      <c r="A209" t="s">
        <v>111</v>
      </c>
      <c r="B209" t="str">
        <f t="shared" si="3"/>
        <v/>
      </c>
    </row>
    <row r="210" spans="1:2" x14ac:dyDescent="0.25">
      <c r="A210" t="s">
        <v>112</v>
      </c>
      <c r="B210" t="str">
        <f t="shared" si="3"/>
        <v/>
      </c>
    </row>
    <row r="211" spans="1:2" x14ac:dyDescent="0.25">
      <c r="A211" t="s">
        <v>64</v>
      </c>
      <c r="B211" t="str">
        <f t="shared" si="3"/>
        <v/>
      </c>
    </row>
    <row r="212" spans="1:2" x14ac:dyDescent="0.25">
      <c r="A212" t="s">
        <v>113</v>
      </c>
      <c r="B212" t="str">
        <f t="shared" si="3"/>
        <v/>
      </c>
    </row>
    <row r="213" spans="1:2" x14ac:dyDescent="0.25">
      <c r="A213" t="s">
        <v>30</v>
      </c>
      <c r="B213" t="str">
        <f t="shared" si="3"/>
        <v/>
      </c>
    </row>
    <row r="214" spans="1:2" x14ac:dyDescent="0.25">
      <c r="A214" t="s">
        <v>24</v>
      </c>
      <c r="B214" t="str">
        <f t="shared" si="3"/>
        <v/>
      </c>
    </row>
    <row r="215" spans="1:2" x14ac:dyDescent="0.25">
      <c r="A215" t="s">
        <v>15</v>
      </c>
      <c r="B215" t="str">
        <f t="shared" si="3"/>
        <v/>
      </c>
    </row>
    <row r="216" spans="1:2" x14ac:dyDescent="0.25">
      <c r="A216" t="s">
        <v>1</v>
      </c>
      <c r="B216" t="str">
        <f t="shared" si="3"/>
        <v>S, M, L, XL</v>
      </c>
    </row>
    <row r="217" spans="1:2" x14ac:dyDescent="0.25">
      <c r="A217" t="s">
        <v>114</v>
      </c>
      <c r="B217" t="str">
        <f t="shared" si="3"/>
        <v>Avion Black Soft Khaki</v>
      </c>
    </row>
    <row r="218" spans="1:2" x14ac:dyDescent="0.25">
      <c r="A218" t="s">
        <v>8</v>
      </c>
      <c r="B218" t="str">
        <f t="shared" si="3"/>
        <v>37171BH WINTERS</v>
      </c>
    </row>
    <row r="219" spans="1:2" x14ac:dyDescent="0.25">
      <c r="A219" t="s">
        <v>62</v>
      </c>
      <c r="B219" t="str">
        <f t="shared" si="3"/>
        <v/>
      </c>
    </row>
    <row r="220" spans="1:2" x14ac:dyDescent="0.25">
      <c r="A220" t="s">
        <v>12</v>
      </c>
      <c r="B220" t="str">
        <f t="shared" si="3"/>
        <v/>
      </c>
    </row>
    <row r="221" spans="1:2" x14ac:dyDescent="0.25">
      <c r="A221" t="s">
        <v>64</v>
      </c>
      <c r="B221" t="str">
        <f t="shared" si="3"/>
        <v/>
      </c>
    </row>
    <row r="222" spans="1:2" x14ac:dyDescent="0.25">
      <c r="A222" t="s">
        <v>13</v>
      </c>
      <c r="B222" t="str">
        <f t="shared" si="3"/>
        <v/>
      </c>
    </row>
    <row r="223" spans="1:2" x14ac:dyDescent="0.25">
      <c r="A223" t="s">
        <v>24</v>
      </c>
      <c r="B223" t="str">
        <f t="shared" si="3"/>
        <v/>
      </c>
    </row>
    <row r="224" spans="1:2" x14ac:dyDescent="0.25">
      <c r="A224" t="s">
        <v>15</v>
      </c>
      <c r="B224" t="str">
        <f t="shared" si="3"/>
        <v/>
      </c>
    </row>
    <row r="225" spans="1:2" x14ac:dyDescent="0.25">
      <c r="A225" t="s">
        <v>1</v>
      </c>
      <c r="B225" t="str">
        <f t="shared" si="3"/>
        <v>S, M, L, XL</v>
      </c>
    </row>
    <row r="226" spans="1:2" x14ac:dyDescent="0.25">
      <c r="A226" t="s">
        <v>65</v>
      </c>
      <c r="B226" t="str">
        <f t="shared" si="3"/>
        <v>Peacoat Plaza Taupe Saddle Steel</v>
      </c>
    </row>
    <row r="227" spans="1:2" x14ac:dyDescent="0.25">
      <c r="A227" t="s">
        <v>66</v>
      </c>
      <c r="B227" t="str">
        <f t="shared" si="3"/>
        <v>Almond Black Camel</v>
      </c>
    </row>
    <row r="228" spans="1:2" x14ac:dyDescent="0.25">
      <c r="A228" t="s">
        <v>115</v>
      </c>
      <c r="B228" t="str">
        <f t="shared" si="3"/>
        <v>37186BH ERNEST</v>
      </c>
    </row>
    <row r="229" spans="1:2" x14ac:dyDescent="0.25">
      <c r="A229" t="s">
        <v>38</v>
      </c>
      <c r="B229" t="str">
        <f t="shared" si="3"/>
        <v/>
      </c>
    </row>
    <row r="230" spans="1:2" x14ac:dyDescent="0.25">
      <c r="A230" t="s">
        <v>49</v>
      </c>
      <c r="B230" t="str">
        <f t="shared" si="3"/>
        <v/>
      </c>
    </row>
    <row r="231" spans="1:2" x14ac:dyDescent="0.25">
      <c r="A231" t="s">
        <v>116</v>
      </c>
      <c r="B231" t="str">
        <f t="shared" si="3"/>
        <v/>
      </c>
    </row>
    <row r="232" spans="1:2" x14ac:dyDescent="0.25">
      <c r="A232" t="s">
        <v>117</v>
      </c>
      <c r="B232" t="str">
        <f t="shared" si="3"/>
        <v/>
      </c>
    </row>
    <row r="233" spans="1:2" x14ac:dyDescent="0.25">
      <c r="A233" t="s">
        <v>118</v>
      </c>
      <c r="B233" t="str">
        <f t="shared" si="3"/>
        <v/>
      </c>
    </row>
    <row r="234" spans="1:2" x14ac:dyDescent="0.25">
      <c r="A234" t="s">
        <v>24</v>
      </c>
      <c r="B234" t="str">
        <f t="shared" si="3"/>
        <v/>
      </c>
    </row>
    <row r="235" spans="1:2" x14ac:dyDescent="0.25">
      <c r="A235" t="s">
        <v>15</v>
      </c>
      <c r="B235" t="str">
        <f t="shared" si="3"/>
        <v/>
      </c>
    </row>
    <row r="236" spans="1:2" x14ac:dyDescent="0.25">
      <c r="A236" t="s">
        <v>1</v>
      </c>
      <c r="B236" t="str">
        <f t="shared" si="3"/>
        <v>S, M, L, XL</v>
      </c>
    </row>
    <row r="237" spans="1:2" x14ac:dyDescent="0.25">
      <c r="A237" t="s">
        <v>119</v>
      </c>
      <c r="B237" t="str">
        <f t="shared" si="3"/>
        <v>Black Midnight Brown Unbleached</v>
      </c>
    </row>
    <row r="238" spans="1:2" x14ac:dyDescent="0.25">
      <c r="A238" t="s">
        <v>6</v>
      </c>
      <c r="B238" t="str">
        <f t="shared" si="3"/>
        <v>37173BH AMMON</v>
      </c>
    </row>
    <row r="239" spans="1:2" x14ac:dyDescent="0.25">
      <c r="A239" t="s">
        <v>120</v>
      </c>
      <c r="B239" t="str">
        <f t="shared" si="3"/>
        <v/>
      </c>
    </row>
    <row r="240" spans="1:2" x14ac:dyDescent="0.25">
      <c r="A240" t="s">
        <v>121</v>
      </c>
      <c r="B240" t="str">
        <f t="shared" si="3"/>
        <v/>
      </c>
    </row>
    <row r="241" spans="1:2" x14ac:dyDescent="0.25">
      <c r="A241" t="s">
        <v>64</v>
      </c>
      <c r="B241" t="str">
        <f t="shared" si="3"/>
        <v/>
      </c>
    </row>
    <row r="242" spans="1:2" x14ac:dyDescent="0.25">
      <c r="A242" t="s">
        <v>13</v>
      </c>
      <c r="B242" t="str">
        <f t="shared" si="3"/>
        <v/>
      </c>
    </row>
    <row r="243" spans="1:2" x14ac:dyDescent="0.25">
      <c r="A243" t="s">
        <v>24</v>
      </c>
      <c r="B243" t="str">
        <f t="shared" si="3"/>
        <v/>
      </c>
    </row>
    <row r="244" spans="1:2" x14ac:dyDescent="0.25">
      <c r="A244" t="s">
        <v>15</v>
      </c>
      <c r="B244" t="str">
        <f t="shared" si="3"/>
        <v/>
      </c>
    </row>
    <row r="245" spans="1:2" x14ac:dyDescent="0.25">
      <c r="A245" t="s">
        <v>1</v>
      </c>
      <c r="B245" t="str">
        <f t="shared" si="3"/>
        <v>S, M, L, XL</v>
      </c>
    </row>
    <row r="246" spans="1:2" x14ac:dyDescent="0.25">
      <c r="A246" t="s">
        <v>65</v>
      </c>
      <c r="B246" t="str">
        <f t="shared" si="3"/>
        <v>Peacoat Plaza Taupe Saddle Steel</v>
      </c>
    </row>
    <row r="247" spans="1:2" x14ac:dyDescent="0.25">
      <c r="A247" t="s">
        <v>122</v>
      </c>
      <c r="B247" t="str">
        <f t="shared" si="3"/>
        <v>Almond Black Camel Henna</v>
      </c>
    </row>
    <row r="248" spans="1:2" x14ac:dyDescent="0.25">
      <c r="A248" t="s">
        <v>123</v>
      </c>
      <c r="B248" t="str">
        <f t="shared" si="3"/>
        <v>30002BH BARKSDALE</v>
      </c>
    </row>
    <row r="249" spans="1:2" x14ac:dyDescent="0.25">
      <c r="A249" t="s">
        <v>18</v>
      </c>
      <c r="B249" t="str">
        <f t="shared" si="3"/>
        <v/>
      </c>
    </row>
    <row r="250" spans="1:2" x14ac:dyDescent="0.25">
      <c r="A250" t="s">
        <v>124</v>
      </c>
      <c r="B250" t="str">
        <f t="shared" si="3"/>
        <v/>
      </c>
    </row>
    <row r="251" spans="1:2" x14ac:dyDescent="0.25">
      <c r="A251" t="s">
        <v>96</v>
      </c>
      <c r="B251" t="str">
        <f t="shared" si="3"/>
        <v/>
      </c>
    </row>
    <row r="252" spans="1:2" x14ac:dyDescent="0.25">
      <c r="A252" t="s">
        <v>125</v>
      </c>
      <c r="B252" t="str">
        <f t="shared" si="3"/>
        <v/>
      </c>
    </row>
    <row r="253" spans="1:2" x14ac:dyDescent="0.25">
      <c r="A253" t="s">
        <v>30</v>
      </c>
      <c r="B253" t="str">
        <f t="shared" si="3"/>
        <v/>
      </c>
    </row>
    <row r="254" spans="1:2" x14ac:dyDescent="0.25">
      <c r="A254" t="s">
        <v>24</v>
      </c>
      <c r="B254" t="str">
        <f t="shared" si="3"/>
        <v/>
      </c>
    </row>
    <row r="255" spans="1:2" x14ac:dyDescent="0.25">
      <c r="A255" t="s">
        <v>35</v>
      </c>
      <c r="B255" t="str">
        <f t="shared" si="3"/>
        <v/>
      </c>
    </row>
    <row r="256" spans="1:2" x14ac:dyDescent="0.25">
      <c r="A256" t="s">
        <v>15</v>
      </c>
      <c r="B256" t="str">
        <f t="shared" si="3"/>
        <v/>
      </c>
    </row>
    <row r="257" spans="1:2" x14ac:dyDescent="0.25">
      <c r="A257" t="s">
        <v>1</v>
      </c>
      <c r="B257" t="str">
        <f t="shared" ref="B257:B313" si="4">_xlfn.LET(_xlpm.isSizes,IFERROR(FIND(",",A257)&gt;=1,FALSE),_xlpm.isSizesUp,IFERROR(FIND(",",A256)&gt;=1,FALSE),_xlpm.isName,AND(IFERROR(VALUE(MID(A257,1,1)),FALSE),NOT(IFERROR(FIND("” ",A257)&gt;=1,FALSE)),NOT(IFERROR(FIND("/",A257)&gt;=1,FALSE))),_xlpm.isNameDown,AND(IFERROR(VALUE(MID(A258,1,1)),FALSE),NOT(IFERROR(FIND("” ",A258)&gt;=1,FALSE)),NOT(IFERROR(FIND("/",A258)&gt;=1,FALSE))),IF(_xlpm.isSizes,A257,IF(_xlpm.isSizesUp,A257,IF(_xlpm.isName,A257,IF(AND(_xlpm.isNameDown&lt;&gt;_xlpm.isName),A257,"")))))</f>
        <v>S, M, L, XL</v>
      </c>
    </row>
    <row r="258" spans="1:2" x14ac:dyDescent="0.25">
      <c r="A258" t="s">
        <v>126</v>
      </c>
      <c r="B258" t="str">
        <f t="shared" si="4"/>
        <v>Beech Black Whiskey</v>
      </c>
    </row>
    <row r="259" spans="1:2" x14ac:dyDescent="0.25">
      <c r="A259" t="s">
        <v>127</v>
      </c>
      <c r="B259" t="str">
        <f t="shared" si="4"/>
        <v>20006BH DEVERS</v>
      </c>
    </row>
    <row r="260" spans="1:2" x14ac:dyDescent="0.25">
      <c r="A260" t="s">
        <v>38</v>
      </c>
      <c r="B260" t="str">
        <f t="shared" si="4"/>
        <v/>
      </c>
    </row>
    <row r="261" spans="1:2" x14ac:dyDescent="0.25">
      <c r="A261" t="s">
        <v>39</v>
      </c>
      <c r="B261" t="str">
        <f t="shared" si="4"/>
        <v/>
      </c>
    </row>
    <row r="262" spans="1:2" x14ac:dyDescent="0.25">
      <c r="A262" t="s">
        <v>69</v>
      </c>
      <c r="B262" t="str">
        <f t="shared" si="4"/>
        <v/>
      </c>
    </row>
    <row r="263" spans="1:2" x14ac:dyDescent="0.25">
      <c r="A263" t="s">
        <v>128</v>
      </c>
      <c r="B263" t="str">
        <f t="shared" si="4"/>
        <v/>
      </c>
    </row>
    <row r="264" spans="1:2" x14ac:dyDescent="0.25">
      <c r="A264" t="s">
        <v>24</v>
      </c>
      <c r="B264" t="str">
        <f t="shared" si="4"/>
        <v/>
      </c>
    </row>
    <row r="265" spans="1:2" x14ac:dyDescent="0.25">
      <c r="A265" t="s">
        <v>15</v>
      </c>
      <c r="B265" t="str">
        <f t="shared" si="4"/>
        <v/>
      </c>
    </row>
    <row r="266" spans="1:2" x14ac:dyDescent="0.25">
      <c r="A266" t="s">
        <v>1</v>
      </c>
      <c r="B266" t="str">
        <f t="shared" si="4"/>
        <v>S, M, L, XL</v>
      </c>
    </row>
    <row r="267" spans="1:2" x14ac:dyDescent="0.25">
      <c r="A267" t="s">
        <v>129</v>
      </c>
      <c r="B267" t="str">
        <f>_xlfn.LET(_xlpm.isSizes,IFERROR(FIND(",",A267)&gt;=1,FALSE),_xlpm.isSizesUp,IFERROR(FIND(",",A266)&gt;=1,FALSE),_xlpm.isName,AND(IFERROR(VALUE(MID(A267,1,1)),FALSE),NOT(IFERROR(FIND("” ",A267)&gt;=1,FALSE)),NOT(IFERROR(FIND("/",A267)&gt;=1,FALSE))),_xlpm.isNameDown,AND(IFERROR(VALUE(MID(#REF!,1,1)),FALSE),NOT(IFERROR(FIND("” ",#REF!)&gt;=1,FALSE)),NOT(IFERROR(FIND("/",#REF!)&gt;=1,FALSE))),IF(_xlpm.isSizes,A267,IF(_xlpm.isSizesUp,A267,IF(_xlpm.isName,A267,IF(AND(_xlpm.isNameDown&lt;&gt;_xlpm.isName),A267,"")))))</f>
        <v>Ink Blue Plaza Taupe</v>
      </c>
    </row>
    <row r="268" spans="1:2" x14ac:dyDescent="0.25">
      <c r="A268" t="s">
        <v>130</v>
      </c>
      <c r="B268" t="str">
        <f>_xlfn.LET(_xlpm.isSizes,IFERROR(FIND(",",A268)&gt;=1,FALSE),_xlpm.isSizesUp,IFERROR(FIND(",",#REF!)&gt;=1,FALSE),_xlpm.isName,AND(IFERROR(VALUE(MID(A268,1,1)),FALSE),NOT(IFERROR(FIND("” ",A268)&gt;=1,FALSE)),NOT(IFERROR(FIND("/",A268)&gt;=1,FALSE))),_xlpm.isNameDown,AND(IFERROR(VALUE(MID(A269,1,1)),FALSE),NOT(IFERROR(FIND("” ",A269)&gt;=1,FALSE)),NOT(IFERROR(FIND("/",A269)&gt;=1,FALSE))),IF(_xlpm.isSizes,A268,IF(_xlpm.isSizesUp,A268,IF(_xlpm.isName,A268,IF(AND(_xlpm.isNameDown&lt;&gt;_xlpm.isName),A268,"")))))</f>
        <v>37158BH BRANDT</v>
      </c>
    </row>
    <row r="269" spans="1:2" x14ac:dyDescent="0.25">
      <c r="A269" t="s">
        <v>62</v>
      </c>
      <c r="B269" t="str">
        <f t="shared" si="4"/>
        <v/>
      </c>
    </row>
    <row r="270" spans="1:2" x14ac:dyDescent="0.25">
      <c r="A270" t="s">
        <v>131</v>
      </c>
      <c r="B270" t="str">
        <f t="shared" si="4"/>
        <v/>
      </c>
    </row>
    <row r="271" spans="1:2" x14ac:dyDescent="0.25">
      <c r="A271" t="s">
        <v>132</v>
      </c>
      <c r="B271" t="str">
        <f t="shared" si="4"/>
        <v/>
      </c>
    </row>
    <row r="272" spans="1:2" x14ac:dyDescent="0.25">
      <c r="A272" t="s">
        <v>133</v>
      </c>
      <c r="B272" t="str">
        <f t="shared" si="4"/>
        <v/>
      </c>
    </row>
    <row r="273" spans="1:2" x14ac:dyDescent="0.25">
      <c r="A273" t="s">
        <v>24</v>
      </c>
      <c r="B273" t="str">
        <f t="shared" si="4"/>
        <v/>
      </c>
    </row>
    <row r="274" spans="1:2" x14ac:dyDescent="0.25">
      <c r="A274" t="s">
        <v>15</v>
      </c>
      <c r="B274" t="str">
        <f t="shared" si="4"/>
        <v/>
      </c>
    </row>
    <row r="275" spans="1:2" x14ac:dyDescent="0.25">
      <c r="A275" t="s">
        <v>134</v>
      </c>
      <c r="B275" t="str">
        <f t="shared" si="4"/>
        <v>S, M, L, XL, XXL, XXXL</v>
      </c>
    </row>
    <row r="276" spans="1:2" x14ac:dyDescent="0.25">
      <c r="A276" t="s">
        <v>135</v>
      </c>
      <c r="B276" t="str">
        <f t="shared" si="4"/>
        <v>Black Black Mix Bluestone Walnut</v>
      </c>
    </row>
    <row r="277" spans="1:2" x14ac:dyDescent="0.25">
      <c r="A277" t="s">
        <v>136</v>
      </c>
      <c r="B277" t="str">
        <f t="shared" si="4"/>
        <v>37161BH PERRY</v>
      </c>
    </row>
    <row r="278" spans="1:2" x14ac:dyDescent="0.25">
      <c r="A278" t="s">
        <v>62</v>
      </c>
      <c r="B278" t="str">
        <f t="shared" si="4"/>
        <v/>
      </c>
    </row>
    <row r="279" spans="1:2" x14ac:dyDescent="0.25">
      <c r="A279" t="s">
        <v>63</v>
      </c>
      <c r="B279" t="str">
        <f t="shared" si="4"/>
        <v/>
      </c>
    </row>
    <row r="280" spans="1:2" x14ac:dyDescent="0.25">
      <c r="A280" t="s">
        <v>132</v>
      </c>
      <c r="B280" t="str">
        <f t="shared" si="4"/>
        <v/>
      </c>
    </row>
    <row r="281" spans="1:2" x14ac:dyDescent="0.25">
      <c r="A281" t="s">
        <v>133</v>
      </c>
      <c r="B281" t="str">
        <f t="shared" si="4"/>
        <v/>
      </c>
    </row>
    <row r="282" spans="1:2" x14ac:dyDescent="0.25">
      <c r="A282" t="s">
        <v>24</v>
      </c>
      <c r="B282" t="str">
        <f t="shared" si="4"/>
        <v/>
      </c>
    </row>
    <row r="283" spans="1:2" x14ac:dyDescent="0.25">
      <c r="A283" t="s">
        <v>15</v>
      </c>
      <c r="B283" t="str">
        <f t="shared" si="4"/>
        <v/>
      </c>
    </row>
    <row r="284" spans="1:2" x14ac:dyDescent="0.25">
      <c r="A284" t="s">
        <v>1</v>
      </c>
      <c r="B284" t="str">
        <f t="shared" si="4"/>
        <v>S, M, L, XL</v>
      </c>
    </row>
    <row r="285" spans="1:2" x14ac:dyDescent="0.25">
      <c r="A285" t="s">
        <v>137</v>
      </c>
      <c r="B285" t="str">
        <f t="shared" si="4"/>
        <v>Navy Serpent Walnut</v>
      </c>
    </row>
    <row r="286" spans="1:2" x14ac:dyDescent="0.25">
      <c r="A286" t="s">
        <v>138</v>
      </c>
      <c r="B286" t="str">
        <f t="shared" si="4"/>
        <v>70656BH ACKER</v>
      </c>
    </row>
    <row r="287" spans="1:2" x14ac:dyDescent="0.25">
      <c r="A287" t="s">
        <v>62</v>
      </c>
      <c r="B287" t="str">
        <f t="shared" si="4"/>
        <v/>
      </c>
    </row>
    <row r="288" spans="1:2" x14ac:dyDescent="0.25">
      <c r="A288" t="s">
        <v>139</v>
      </c>
      <c r="B288" t="str">
        <f t="shared" si="4"/>
        <v/>
      </c>
    </row>
    <row r="289" spans="1:2" x14ac:dyDescent="0.25">
      <c r="A289" t="s">
        <v>140</v>
      </c>
      <c r="B289" t="str">
        <f t="shared" si="4"/>
        <v/>
      </c>
    </row>
    <row r="290" spans="1:2" x14ac:dyDescent="0.25">
      <c r="A290" t="s">
        <v>141</v>
      </c>
      <c r="B290" t="str">
        <f t="shared" si="4"/>
        <v/>
      </c>
    </row>
    <row r="291" spans="1:2" x14ac:dyDescent="0.25">
      <c r="A291" t="s">
        <v>142</v>
      </c>
      <c r="B291" t="str">
        <f t="shared" si="4"/>
        <v/>
      </c>
    </row>
    <row r="292" spans="1:2" x14ac:dyDescent="0.25">
      <c r="A292" t="s">
        <v>143</v>
      </c>
      <c r="B292" t="str">
        <f t="shared" si="4"/>
        <v/>
      </c>
    </row>
    <row r="293" spans="1:2" x14ac:dyDescent="0.25">
      <c r="A293" t="s">
        <v>1</v>
      </c>
      <c r="B293" t="str">
        <f t="shared" si="4"/>
        <v>S, M, L, XL</v>
      </c>
    </row>
    <row r="294" spans="1:2" x14ac:dyDescent="0.25">
      <c r="A294" t="s">
        <v>119</v>
      </c>
      <c r="B294" t="str">
        <f t="shared" si="4"/>
        <v>Black Midnight Brown Unbleached</v>
      </c>
    </row>
    <row r="295" spans="1:2" x14ac:dyDescent="0.25">
      <c r="A295" t="s">
        <v>144</v>
      </c>
      <c r="B295" t="str">
        <f t="shared" si="4"/>
        <v>7034 BLIXEN</v>
      </c>
    </row>
    <row r="296" spans="1:2" x14ac:dyDescent="0.25">
      <c r="A296" t="s">
        <v>62</v>
      </c>
      <c r="B296" t="str">
        <f t="shared" si="4"/>
        <v/>
      </c>
    </row>
    <row r="297" spans="1:2" x14ac:dyDescent="0.25">
      <c r="A297" t="s">
        <v>112</v>
      </c>
      <c r="B297" t="str">
        <f t="shared" si="4"/>
        <v/>
      </c>
    </row>
    <row r="298" spans="1:2" x14ac:dyDescent="0.25">
      <c r="A298" t="s">
        <v>140</v>
      </c>
      <c r="B298" t="str">
        <f t="shared" si="4"/>
        <v/>
      </c>
    </row>
    <row r="299" spans="1:2" x14ac:dyDescent="0.25">
      <c r="A299" t="s">
        <v>13</v>
      </c>
      <c r="B299" t="str">
        <f t="shared" si="4"/>
        <v/>
      </c>
    </row>
    <row r="300" spans="1:2" x14ac:dyDescent="0.25">
      <c r="A300" t="s">
        <v>35</v>
      </c>
      <c r="B300" t="str">
        <f t="shared" si="4"/>
        <v/>
      </c>
    </row>
    <row r="301" spans="1:2" x14ac:dyDescent="0.25">
      <c r="A301" t="s">
        <v>143</v>
      </c>
      <c r="B301" t="str">
        <f t="shared" si="4"/>
        <v/>
      </c>
    </row>
    <row r="302" spans="1:2" x14ac:dyDescent="0.25">
      <c r="A302" t="s">
        <v>105</v>
      </c>
      <c r="B302" t="str">
        <f t="shared" si="4"/>
        <v>S, M, L, XL, XXL</v>
      </c>
    </row>
    <row r="303" spans="1:2" x14ac:dyDescent="0.25">
      <c r="A303" t="s">
        <v>145</v>
      </c>
      <c r="B303" t="str">
        <f t="shared" si="4"/>
        <v>Navy Nickel Satin Brass Silverbelly Vintage Blue</v>
      </c>
    </row>
    <row r="304" spans="1:2" x14ac:dyDescent="0.25">
      <c r="A304" t="s">
        <v>344</v>
      </c>
      <c r="B304" t="str">
        <f t="shared" si="4"/>
        <v>Black Cognac Copper Medium Brown Mix Basalt Avion</v>
      </c>
    </row>
    <row r="305" spans="1:2" x14ac:dyDescent="0.25">
      <c r="A305" t="s">
        <v>146</v>
      </c>
      <c r="B305" t="str">
        <f t="shared" si="4"/>
        <v>7006 BRIAR</v>
      </c>
    </row>
    <row r="306" spans="1:2" x14ac:dyDescent="0.25">
      <c r="A306" t="s">
        <v>120</v>
      </c>
      <c r="B306" t="str">
        <f t="shared" si="4"/>
        <v/>
      </c>
    </row>
    <row r="307" spans="1:2" x14ac:dyDescent="0.25">
      <c r="A307" t="s">
        <v>147</v>
      </c>
      <c r="B307" t="str">
        <f t="shared" si="4"/>
        <v/>
      </c>
    </row>
    <row r="308" spans="1:2" x14ac:dyDescent="0.25">
      <c r="A308" t="s">
        <v>140</v>
      </c>
      <c r="B308" t="str">
        <f t="shared" si="4"/>
        <v/>
      </c>
    </row>
    <row r="309" spans="1:2" x14ac:dyDescent="0.25">
      <c r="A309" t="s">
        <v>133</v>
      </c>
      <c r="B309" t="str">
        <f t="shared" si="4"/>
        <v/>
      </c>
    </row>
    <row r="310" spans="1:2" x14ac:dyDescent="0.25">
      <c r="A310" t="s">
        <v>143</v>
      </c>
      <c r="B310" t="str">
        <f t="shared" si="4"/>
        <v/>
      </c>
    </row>
    <row r="311" spans="1:2" x14ac:dyDescent="0.25">
      <c r="A311" t="s">
        <v>1</v>
      </c>
      <c r="B311" t="str">
        <f t="shared" si="4"/>
        <v>S, M, L, XL</v>
      </c>
    </row>
    <row r="312" spans="1:2" x14ac:dyDescent="0.25">
      <c r="A312" t="s">
        <v>148</v>
      </c>
      <c r="B312" t="str">
        <f t="shared" si="4"/>
        <v>Black Unbleached Woodland Mix</v>
      </c>
    </row>
    <row r="313" spans="1:2" x14ac:dyDescent="0.25">
      <c r="A313" t="s">
        <v>149</v>
      </c>
      <c r="B313" t="str">
        <f t="shared" si="4"/>
        <v>70655BH LUND</v>
      </c>
    </row>
    <row r="314" spans="1:2" x14ac:dyDescent="0.25">
      <c r="A314" t="s">
        <v>38</v>
      </c>
      <c r="B314" t="str">
        <f t="shared" ref="B314:B377" si="5">_xlfn.LET(_xlpm.isSizes,IFERROR(FIND(",",A314)&gt;=1,FALSE),_xlpm.isSizesUp,IFERROR(FIND(",",A313)&gt;=1,FALSE),_xlpm.isName,AND(IFERROR(VALUE(MID(A314,1,1)),FALSE),NOT(IFERROR(FIND("” ",A314)&gt;=1,FALSE)),NOT(IFERROR(FIND("/",A314)&gt;=1,FALSE))),_xlpm.isNameDown,AND(IFERROR(VALUE(MID(A315,1,1)),FALSE),NOT(IFERROR(FIND("” ",A315)&gt;=1,FALSE)),NOT(IFERROR(FIND("/",A315)&gt;=1,FALSE))),IF(_xlpm.isSizes,A314,IF(_xlpm.isSizesUp,A314,IF(_xlpm.isName,A314,IF(AND(_xlpm.isNameDown&lt;&gt;_xlpm.isName),A314,"")))))</f>
        <v/>
      </c>
    </row>
    <row r="315" spans="1:2" x14ac:dyDescent="0.25">
      <c r="A315" t="s">
        <v>19</v>
      </c>
      <c r="B315" t="str">
        <f t="shared" si="5"/>
        <v/>
      </c>
    </row>
    <row r="316" spans="1:2" x14ac:dyDescent="0.25">
      <c r="A316" t="s">
        <v>140</v>
      </c>
      <c r="B316" t="str">
        <f t="shared" si="5"/>
        <v/>
      </c>
    </row>
    <row r="317" spans="1:2" x14ac:dyDescent="0.25">
      <c r="A317" t="s">
        <v>150</v>
      </c>
      <c r="B317" t="str">
        <f t="shared" si="5"/>
        <v/>
      </c>
    </row>
    <row r="318" spans="1:2" x14ac:dyDescent="0.25">
      <c r="A318" t="s">
        <v>35</v>
      </c>
      <c r="B318" t="str">
        <f t="shared" si="5"/>
        <v/>
      </c>
    </row>
    <row r="319" spans="1:2" x14ac:dyDescent="0.25">
      <c r="A319" t="s">
        <v>143</v>
      </c>
      <c r="B319" t="str">
        <f t="shared" si="5"/>
        <v/>
      </c>
    </row>
    <row r="320" spans="1:2" x14ac:dyDescent="0.25">
      <c r="A320" t="s">
        <v>1</v>
      </c>
      <c r="B320" t="str">
        <f t="shared" si="5"/>
        <v>S, M, L, XL</v>
      </c>
    </row>
    <row r="321" spans="1:2" x14ac:dyDescent="0.25">
      <c r="A321" t="s">
        <v>151</v>
      </c>
      <c r="B321" t="str">
        <f t="shared" si="5"/>
        <v>Black Ochre</v>
      </c>
    </row>
    <row r="322" spans="1:2" x14ac:dyDescent="0.25">
      <c r="A322" t="s">
        <v>152</v>
      </c>
      <c r="B322" t="str">
        <f t="shared" si="5"/>
        <v>70658BH MOLIN</v>
      </c>
    </row>
    <row r="323" spans="1:2" x14ac:dyDescent="0.25">
      <c r="A323" t="s">
        <v>80</v>
      </c>
      <c r="B323" t="str">
        <f t="shared" si="5"/>
        <v/>
      </c>
    </row>
    <row r="324" spans="1:2" x14ac:dyDescent="0.25">
      <c r="A324" t="s">
        <v>153</v>
      </c>
      <c r="B324" t="str">
        <f t="shared" si="5"/>
        <v/>
      </c>
    </row>
    <row r="325" spans="1:2" x14ac:dyDescent="0.25">
      <c r="A325" t="s">
        <v>140</v>
      </c>
      <c r="B325" t="str">
        <f t="shared" si="5"/>
        <v/>
      </c>
    </row>
    <row r="326" spans="1:2" x14ac:dyDescent="0.25">
      <c r="A326" t="s">
        <v>154</v>
      </c>
      <c r="B326" t="str">
        <f t="shared" si="5"/>
        <v/>
      </c>
    </row>
    <row r="327" spans="1:2" x14ac:dyDescent="0.25">
      <c r="A327" t="s">
        <v>143</v>
      </c>
      <c r="B327" t="str">
        <f t="shared" si="5"/>
        <v/>
      </c>
    </row>
    <row r="328" spans="1:2" x14ac:dyDescent="0.25">
      <c r="A328" t="s">
        <v>1</v>
      </c>
      <c r="B328" t="str">
        <f t="shared" si="5"/>
        <v>S, M, L, XL</v>
      </c>
    </row>
    <row r="329" spans="1:2" x14ac:dyDescent="0.25">
      <c r="A329" t="s">
        <v>155</v>
      </c>
      <c r="B329" t="str">
        <f t="shared" si="5"/>
        <v>Black Oak</v>
      </c>
    </row>
    <row r="330" spans="1:2" x14ac:dyDescent="0.25">
      <c r="A330" t="s">
        <v>156</v>
      </c>
      <c r="B330" t="str">
        <f t="shared" si="5"/>
        <v>70657BH FALCON</v>
      </c>
    </row>
    <row r="331" spans="1:2" x14ac:dyDescent="0.25">
      <c r="A331" t="s">
        <v>157</v>
      </c>
      <c r="B331" t="str">
        <f t="shared" si="5"/>
        <v/>
      </c>
    </row>
    <row r="332" spans="1:2" x14ac:dyDescent="0.25">
      <c r="A332" t="s">
        <v>29</v>
      </c>
      <c r="B332" t="str">
        <f t="shared" si="5"/>
        <v/>
      </c>
    </row>
    <row r="333" spans="1:2" x14ac:dyDescent="0.25">
      <c r="A333" t="s">
        <v>140</v>
      </c>
      <c r="B333" t="str">
        <f t="shared" si="5"/>
        <v/>
      </c>
    </row>
    <row r="334" spans="1:2" x14ac:dyDescent="0.25">
      <c r="A334" t="s">
        <v>158</v>
      </c>
      <c r="B334" t="str">
        <f t="shared" si="5"/>
        <v/>
      </c>
    </row>
    <row r="335" spans="1:2" x14ac:dyDescent="0.25">
      <c r="A335" t="s">
        <v>30</v>
      </c>
      <c r="B335" t="str">
        <f t="shared" si="5"/>
        <v/>
      </c>
    </row>
    <row r="336" spans="1:2" x14ac:dyDescent="0.25">
      <c r="A336" t="s">
        <v>143</v>
      </c>
      <c r="B336" t="str">
        <f t="shared" si="5"/>
        <v/>
      </c>
    </row>
    <row r="337" spans="1:2" x14ac:dyDescent="0.25">
      <c r="A337" t="s">
        <v>1</v>
      </c>
      <c r="B337" t="str">
        <f t="shared" si="5"/>
        <v>S, M, L, XL</v>
      </c>
    </row>
    <row r="338" spans="1:2" x14ac:dyDescent="0.25">
      <c r="A338" t="s">
        <v>159</v>
      </c>
      <c r="B338" t="str">
        <f t="shared" si="5"/>
        <v>Avion Black</v>
      </c>
    </row>
    <row r="339" spans="1:2" x14ac:dyDescent="0.25">
      <c r="A339" t="s">
        <v>160</v>
      </c>
      <c r="B339" t="str">
        <f t="shared" si="5"/>
        <v>70659BH COLVIN</v>
      </c>
    </row>
    <row r="340" spans="1:2" x14ac:dyDescent="0.25">
      <c r="A340" t="s">
        <v>32</v>
      </c>
      <c r="B340" t="str">
        <f t="shared" si="5"/>
        <v/>
      </c>
    </row>
    <row r="341" spans="1:2" x14ac:dyDescent="0.25">
      <c r="A341" t="s">
        <v>75</v>
      </c>
      <c r="B341" t="str">
        <f t="shared" si="5"/>
        <v/>
      </c>
    </row>
    <row r="342" spans="1:2" x14ac:dyDescent="0.25">
      <c r="A342" t="s">
        <v>140</v>
      </c>
      <c r="B342" t="str">
        <f t="shared" si="5"/>
        <v/>
      </c>
    </row>
    <row r="343" spans="1:2" x14ac:dyDescent="0.25">
      <c r="A343" t="s">
        <v>161</v>
      </c>
      <c r="B343" t="str">
        <f t="shared" si="5"/>
        <v/>
      </c>
    </row>
    <row r="344" spans="1:2" x14ac:dyDescent="0.25">
      <c r="A344" t="s">
        <v>143</v>
      </c>
      <c r="B344" t="str">
        <f t="shared" si="5"/>
        <v/>
      </c>
    </row>
    <row r="345" spans="1:2" x14ac:dyDescent="0.25">
      <c r="A345" t="s">
        <v>1</v>
      </c>
      <c r="B345" t="str">
        <f t="shared" si="5"/>
        <v>S, M, L, XL</v>
      </c>
    </row>
    <row r="346" spans="1:2" x14ac:dyDescent="0.25">
      <c r="A346" t="s">
        <v>162</v>
      </c>
      <c r="B346" t="str">
        <f t="shared" si="5"/>
        <v>Black Honey Uniform Green</v>
      </c>
    </row>
    <row r="347" spans="1:2" x14ac:dyDescent="0.25">
      <c r="A347" t="s">
        <v>163</v>
      </c>
      <c r="B347" t="str">
        <f t="shared" si="5"/>
        <v>70660BH ERLER</v>
      </c>
    </row>
    <row r="348" spans="1:2" x14ac:dyDescent="0.25">
      <c r="A348" t="s">
        <v>164</v>
      </c>
      <c r="B348" t="str">
        <f t="shared" si="5"/>
        <v/>
      </c>
    </row>
    <row r="349" spans="1:2" x14ac:dyDescent="0.25">
      <c r="A349" t="s">
        <v>139</v>
      </c>
      <c r="B349" t="str">
        <f t="shared" si="5"/>
        <v/>
      </c>
    </row>
    <row r="350" spans="1:2" x14ac:dyDescent="0.25">
      <c r="A350" t="s">
        <v>140</v>
      </c>
      <c r="B350" t="str">
        <f t="shared" si="5"/>
        <v/>
      </c>
    </row>
    <row r="351" spans="1:2" x14ac:dyDescent="0.25">
      <c r="A351" t="s">
        <v>165</v>
      </c>
      <c r="B351" t="str">
        <f t="shared" si="5"/>
        <v/>
      </c>
    </row>
    <row r="352" spans="1:2" x14ac:dyDescent="0.25">
      <c r="A352" t="s">
        <v>30</v>
      </c>
      <c r="B352" t="str">
        <f t="shared" si="5"/>
        <v/>
      </c>
    </row>
    <row r="353" spans="1:2" x14ac:dyDescent="0.25">
      <c r="A353" t="s">
        <v>166</v>
      </c>
      <c r="B353" t="str">
        <f t="shared" si="5"/>
        <v/>
      </c>
    </row>
    <row r="354" spans="1:2" x14ac:dyDescent="0.25">
      <c r="A354" t="s">
        <v>143</v>
      </c>
      <c r="B354" t="str">
        <f t="shared" si="5"/>
        <v/>
      </c>
    </row>
    <row r="355" spans="1:2" x14ac:dyDescent="0.25">
      <c r="A355" t="s">
        <v>1</v>
      </c>
      <c r="B355" t="str">
        <f t="shared" si="5"/>
        <v>S, M, L, XL</v>
      </c>
    </row>
    <row r="356" spans="1:2" x14ac:dyDescent="0.25">
      <c r="A356" t="s">
        <v>167</v>
      </c>
      <c r="B356" t="str">
        <f t="shared" si="5"/>
        <v>Black Nickel Satin Brass Uniform Green</v>
      </c>
    </row>
    <row r="357" spans="1:2" x14ac:dyDescent="0.25">
      <c r="A357" t="s">
        <v>168</v>
      </c>
      <c r="B357" t="str">
        <f t="shared" si="5"/>
        <v>7021 DARRON</v>
      </c>
    </row>
    <row r="358" spans="1:2" x14ac:dyDescent="0.25">
      <c r="A358" t="s">
        <v>169</v>
      </c>
      <c r="B358" t="str">
        <f t="shared" si="5"/>
        <v/>
      </c>
    </row>
    <row r="359" spans="1:2" x14ac:dyDescent="0.25">
      <c r="A359" t="s">
        <v>170</v>
      </c>
      <c r="B359" t="str">
        <f t="shared" si="5"/>
        <v/>
      </c>
    </row>
    <row r="360" spans="1:2" x14ac:dyDescent="0.25">
      <c r="A360" t="s">
        <v>140</v>
      </c>
      <c r="B360" t="str">
        <f t="shared" si="5"/>
        <v/>
      </c>
    </row>
    <row r="361" spans="1:2" x14ac:dyDescent="0.25">
      <c r="A361" t="s">
        <v>13</v>
      </c>
      <c r="B361" t="str">
        <f t="shared" si="5"/>
        <v/>
      </c>
    </row>
    <row r="362" spans="1:2" x14ac:dyDescent="0.25">
      <c r="A362" t="s">
        <v>143</v>
      </c>
      <c r="B362" t="str">
        <f t="shared" si="5"/>
        <v/>
      </c>
    </row>
    <row r="363" spans="1:2" x14ac:dyDescent="0.25">
      <c r="A363" t="s">
        <v>105</v>
      </c>
      <c r="B363" t="str">
        <f t="shared" si="5"/>
        <v>S, M, L, XL, XXL</v>
      </c>
    </row>
    <row r="364" spans="1:2" x14ac:dyDescent="0.25">
      <c r="A364" t="s">
        <v>171</v>
      </c>
      <c r="B364" t="str">
        <f t="shared" si="5"/>
        <v>Black Caramel Gun Metal Satin Brass Soft Khaki</v>
      </c>
    </row>
    <row r="365" spans="1:2" x14ac:dyDescent="0.25">
      <c r="A365" t="s">
        <v>172</v>
      </c>
      <c r="B365" t="str">
        <f t="shared" si="5"/>
        <v>7005 CURTIS</v>
      </c>
    </row>
    <row r="366" spans="1:2" x14ac:dyDescent="0.25">
      <c r="A366" t="s">
        <v>173</v>
      </c>
      <c r="B366" t="str">
        <f t="shared" si="5"/>
        <v/>
      </c>
    </row>
    <row r="367" spans="1:2" x14ac:dyDescent="0.25">
      <c r="A367" t="s">
        <v>174</v>
      </c>
      <c r="B367" t="str">
        <f t="shared" si="5"/>
        <v/>
      </c>
    </row>
    <row r="368" spans="1:2" x14ac:dyDescent="0.25">
      <c r="A368" t="s">
        <v>140</v>
      </c>
      <c r="B368" t="str">
        <f t="shared" si="5"/>
        <v/>
      </c>
    </row>
    <row r="369" spans="1:2" x14ac:dyDescent="0.25">
      <c r="A369" t="s">
        <v>13</v>
      </c>
      <c r="B369" t="str">
        <f t="shared" si="5"/>
        <v/>
      </c>
    </row>
    <row r="370" spans="1:2" x14ac:dyDescent="0.25">
      <c r="A370" t="s">
        <v>143</v>
      </c>
      <c r="B370" t="str">
        <f t="shared" si="5"/>
        <v/>
      </c>
    </row>
    <row r="371" spans="1:2" x14ac:dyDescent="0.25">
      <c r="A371" t="s">
        <v>105</v>
      </c>
      <c r="B371" t="str">
        <f t="shared" si="5"/>
        <v>S, M, L, XL, XXL</v>
      </c>
    </row>
    <row r="372" spans="1:2" x14ac:dyDescent="0.25">
      <c r="A372" t="s">
        <v>175</v>
      </c>
      <c r="B372" t="str">
        <f t="shared" si="5"/>
        <v>Sea Breeze Serpent Speckled Egg Mix Uniform Green Vintage Blue</v>
      </c>
    </row>
    <row r="373" spans="1:2" x14ac:dyDescent="0.25">
      <c r="A373" t="s">
        <v>176</v>
      </c>
      <c r="B373" t="str">
        <f t="shared" si="5"/>
        <v>Antique Black Contrapposto Grey Navy</v>
      </c>
    </row>
    <row r="374" spans="1:2" x14ac:dyDescent="0.25">
      <c r="A374" t="s">
        <v>177</v>
      </c>
      <c r="B374" t="str">
        <f t="shared" si="5"/>
        <v>70652BH MARACK</v>
      </c>
    </row>
    <row r="375" spans="1:2" x14ac:dyDescent="0.25">
      <c r="A375" t="s">
        <v>38</v>
      </c>
      <c r="B375" t="str">
        <f t="shared" si="5"/>
        <v/>
      </c>
    </row>
    <row r="376" spans="1:2" x14ac:dyDescent="0.25">
      <c r="A376" t="s">
        <v>49</v>
      </c>
      <c r="B376" t="str">
        <f t="shared" si="5"/>
        <v/>
      </c>
    </row>
    <row r="377" spans="1:2" x14ac:dyDescent="0.25">
      <c r="A377" t="s">
        <v>140</v>
      </c>
      <c r="B377" t="str">
        <f t="shared" si="5"/>
        <v/>
      </c>
    </row>
    <row r="378" spans="1:2" x14ac:dyDescent="0.25">
      <c r="A378" t="s">
        <v>178</v>
      </c>
      <c r="B378" t="str">
        <f t="shared" ref="B378:B441" si="6">_xlfn.LET(_xlpm.isSizes,IFERROR(FIND(",",A378)&gt;=1,FALSE),_xlpm.isSizesUp,IFERROR(FIND(",",A377)&gt;=1,FALSE),_xlpm.isName,AND(IFERROR(VALUE(MID(A378,1,1)),FALSE),NOT(IFERROR(FIND("” ",A378)&gt;=1,FALSE)),NOT(IFERROR(FIND("/",A378)&gt;=1,FALSE))),_xlpm.isNameDown,AND(IFERROR(VALUE(MID(A379,1,1)),FALSE),NOT(IFERROR(FIND("” ",A379)&gt;=1,FALSE)),NOT(IFERROR(FIND("/",A379)&gt;=1,FALSE))),IF(_xlpm.isSizes,A378,IF(_xlpm.isSizesUp,A378,IF(_xlpm.isName,A378,IF(AND(_xlpm.isNameDown&lt;&gt;_xlpm.isName),A378,"")))))</f>
        <v/>
      </c>
    </row>
    <row r="379" spans="1:2" x14ac:dyDescent="0.25">
      <c r="A379" t="s">
        <v>35</v>
      </c>
      <c r="B379" t="str">
        <f t="shared" si="6"/>
        <v/>
      </c>
    </row>
    <row r="380" spans="1:2" x14ac:dyDescent="0.25">
      <c r="A380" t="s">
        <v>143</v>
      </c>
      <c r="B380" t="str">
        <f t="shared" si="6"/>
        <v/>
      </c>
    </row>
    <row r="381" spans="1:2" x14ac:dyDescent="0.25">
      <c r="A381" t="s">
        <v>1</v>
      </c>
      <c r="B381" t="str">
        <f t="shared" si="6"/>
        <v>S, M, L, XL</v>
      </c>
    </row>
    <row r="382" spans="1:2" x14ac:dyDescent="0.25">
      <c r="A382" t="s">
        <v>179</v>
      </c>
      <c r="B382" t="str">
        <f t="shared" si="6"/>
        <v>Black Oxford Mix</v>
      </c>
    </row>
    <row r="383" spans="1:2" x14ac:dyDescent="0.25">
      <c r="A383" t="s">
        <v>180</v>
      </c>
      <c r="B383" t="str">
        <f t="shared" si="6"/>
        <v>70646BH NELLES</v>
      </c>
    </row>
    <row r="384" spans="1:2" x14ac:dyDescent="0.25">
      <c r="A384" t="s">
        <v>181</v>
      </c>
      <c r="B384" t="str">
        <f t="shared" si="6"/>
        <v/>
      </c>
    </row>
    <row r="385" spans="1:2" x14ac:dyDescent="0.25">
      <c r="A385" t="s">
        <v>174</v>
      </c>
      <c r="B385" t="str">
        <f t="shared" si="6"/>
        <v/>
      </c>
    </row>
    <row r="386" spans="1:2" x14ac:dyDescent="0.25">
      <c r="A386" t="s">
        <v>140</v>
      </c>
      <c r="B386" t="str">
        <f t="shared" si="6"/>
        <v/>
      </c>
    </row>
    <row r="387" spans="1:2" x14ac:dyDescent="0.25">
      <c r="A387" t="s">
        <v>182</v>
      </c>
      <c r="B387" t="str">
        <f t="shared" si="6"/>
        <v/>
      </c>
    </row>
    <row r="388" spans="1:2" x14ac:dyDescent="0.25">
      <c r="A388" t="s">
        <v>183</v>
      </c>
      <c r="B388" t="str">
        <f t="shared" si="6"/>
        <v/>
      </c>
    </row>
    <row r="389" spans="1:2" x14ac:dyDescent="0.25">
      <c r="A389" t="s">
        <v>1</v>
      </c>
      <c r="B389" t="str">
        <f t="shared" si="6"/>
        <v>S, M, L, XL</v>
      </c>
    </row>
    <row r="390" spans="1:2" x14ac:dyDescent="0.25">
      <c r="A390" t="s">
        <v>184</v>
      </c>
      <c r="B390" t="str">
        <f t="shared" si="6"/>
        <v>Black Camel Pale Olive Whiskey</v>
      </c>
    </row>
    <row r="391" spans="1:2" x14ac:dyDescent="0.25">
      <c r="A391" t="s">
        <v>185</v>
      </c>
      <c r="B391" t="str">
        <f t="shared" si="6"/>
        <v>70654BH TREPORT</v>
      </c>
    </row>
    <row r="392" spans="1:2" x14ac:dyDescent="0.25">
      <c r="A392" t="s">
        <v>48</v>
      </c>
      <c r="B392" t="str">
        <f t="shared" si="6"/>
        <v/>
      </c>
    </row>
    <row r="393" spans="1:2" x14ac:dyDescent="0.25">
      <c r="A393" t="s">
        <v>49</v>
      </c>
      <c r="B393" t="str">
        <f t="shared" si="6"/>
        <v/>
      </c>
    </row>
    <row r="394" spans="1:2" x14ac:dyDescent="0.25">
      <c r="A394" t="s">
        <v>140</v>
      </c>
      <c r="B394" t="str">
        <f t="shared" si="6"/>
        <v/>
      </c>
    </row>
    <row r="395" spans="1:2" x14ac:dyDescent="0.25">
      <c r="A395" t="s">
        <v>186</v>
      </c>
      <c r="B395" t="str">
        <f t="shared" si="6"/>
        <v/>
      </c>
    </row>
    <row r="396" spans="1:2" x14ac:dyDescent="0.25">
      <c r="A396" t="s">
        <v>143</v>
      </c>
      <c r="B396" t="str">
        <f t="shared" si="6"/>
        <v/>
      </c>
    </row>
    <row r="397" spans="1:2" x14ac:dyDescent="0.25">
      <c r="A397" t="s">
        <v>1</v>
      </c>
      <c r="B397" t="str">
        <f t="shared" si="6"/>
        <v>S, M, L, XL</v>
      </c>
    </row>
    <row r="398" spans="1:2" x14ac:dyDescent="0.25">
      <c r="A398" t="s">
        <v>187</v>
      </c>
      <c r="B398" t="str">
        <f t="shared" si="6"/>
        <v>Ink Blue Olive Mix Rust</v>
      </c>
    </row>
    <row r="399" spans="1:2" x14ac:dyDescent="0.25">
      <c r="A399" t="s">
        <v>188</v>
      </c>
      <c r="B399" t="str">
        <f t="shared" si="6"/>
        <v>7002 FEDORA</v>
      </c>
    </row>
    <row r="400" spans="1:2" x14ac:dyDescent="0.25">
      <c r="A400" t="s">
        <v>48</v>
      </c>
      <c r="B400" t="str">
        <f t="shared" si="6"/>
        <v/>
      </c>
    </row>
    <row r="401" spans="1:2" x14ac:dyDescent="0.25">
      <c r="A401" t="s">
        <v>49</v>
      </c>
      <c r="B401" t="str">
        <f t="shared" si="6"/>
        <v/>
      </c>
    </row>
    <row r="402" spans="1:2" x14ac:dyDescent="0.25">
      <c r="A402" t="s">
        <v>140</v>
      </c>
      <c r="B402" t="str">
        <f t="shared" si="6"/>
        <v/>
      </c>
    </row>
    <row r="403" spans="1:2" x14ac:dyDescent="0.25">
      <c r="A403" t="s">
        <v>13</v>
      </c>
      <c r="B403" t="str">
        <f t="shared" si="6"/>
        <v/>
      </c>
    </row>
    <row r="404" spans="1:2" x14ac:dyDescent="0.25">
      <c r="A404" t="s">
        <v>35</v>
      </c>
      <c r="B404" t="str">
        <f t="shared" si="6"/>
        <v/>
      </c>
    </row>
    <row r="405" spans="1:2" x14ac:dyDescent="0.25">
      <c r="A405" t="s">
        <v>143</v>
      </c>
      <c r="B405" t="str">
        <f t="shared" si="6"/>
        <v/>
      </c>
    </row>
    <row r="406" spans="1:2" x14ac:dyDescent="0.25">
      <c r="A406" t="s">
        <v>1</v>
      </c>
      <c r="B406" t="str">
        <f t="shared" si="6"/>
        <v>S, M, L, XL</v>
      </c>
    </row>
    <row r="407" spans="1:2" x14ac:dyDescent="0.25">
      <c r="A407" t="s">
        <v>189</v>
      </c>
      <c r="B407" t="str">
        <f t="shared" si="6"/>
        <v>Black Graphite Nickel Red</v>
      </c>
    </row>
    <row r="408" spans="1:2" x14ac:dyDescent="0.25">
      <c r="A408" t="s">
        <v>190</v>
      </c>
      <c r="B408" t="str">
        <f t="shared" si="6"/>
        <v>70613BH SPERLING</v>
      </c>
    </row>
    <row r="409" spans="1:2" x14ac:dyDescent="0.25">
      <c r="A409" t="s">
        <v>173</v>
      </c>
      <c r="B409" t="str">
        <f t="shared" si="6"/>
        <v/>
      </c>
    </row>
    <row r="410" spans="1:2" x14ac:dyDescent="0.25">
      <c r="A410" t="s">
        <v>174</v>
      </c>
      <c r="B410" t="str">
        <f t="shared" si="6"/>
        <v/>
      </c>
    </row>
    <row r="411" spans="1:2" x14ac:dyDescent="0.25">
      <c r="A411" t="s">
        <v>140</v>
      </c>
      <c r="B411" t="str">
        <f t="shared" si="6"/>
        <v/>
      </c>
    </row>
    <row r="412" spans="1:2" x14ac:dyDescent="0.25">
      <c r="A412" t="s">
        <v>133</v>
      </c>
      <c r="B412" t="str">
        <f t="shared" si="6"/>
        <v/>
      </c>
    </row>
    <row r="413" spans="1:2" x14ac:dyDescent="0.25">
      <c r="A413" t="s">
        <v>183</v>
      </c>
      <c r="B413" t="str">
        <f t="shared" si="6"/>
        <v/>
      </c>
    </row>
    <row r="414" spans="1:2" x14ac:dyDescent="0.25">
      <c r="A414" t="s">
        <v>1</v>
      </c>
      <c r="B414" t="str">
        <f t="shared" si="6"/>
        <v>S, M, L, XL</v>
      </c>
    </row>
    <row r="415" spans="1:2" x14ac:dyDescent="0.25">
      <c r="A415" t="s">
        <v>191</v>
      </c>
      <c r="B415" t="str">
        <f t="shared" si="6"/>
        <v>Bluestone Serpent Woodland Mix</v>
      </c>
    </row>
    <row r="416" spans="1:2" x14ac:dyDescent="0.25">
      <c r="A416" t="s">
        <v>192</v>
      </c>
      <c r="B416" t="str">
        <f t="shared" si="6"/>
        <v>70653BH BURNELL</v>
      </c>
    </row>
    <row r="417" spans="1:2" x14ac:dyDescent="0.25">
      <c r="A417" t="s">
        <v>62</v>
      </c>
      <c r="B417" t="str">
        <f t="shared" si="6"/>
        <v/>
      </c>
    </row>
    <row r="418" spans="1:2" x14ac:dyDescent="0.25">
      <c r="A418" t="s">
        <v>22</v>
      </c>
      <c r="B418" t="str">
        <f t="shared" si="6"/>
        <v/>
      </c>
    </row>
    <row r="419" spans="1:2" x14ac:dyDescent="0.25">
      <c r="A419" t="s">
        <v>140</v>
      </c>
      <c r="B419" t="str">
        <f t="shared" si="6"/>
        <v/>
      </c>
    </row>
    <row r="420" spans="1:2" x14ac:dyDescent="0.25">
      <c r="A420" t="s">
        <v>193</v>
      </c>
      <c r="B420" t="str">
        <f t="shared" si="6"/>
        <v/>
      </c>
    </row>
    <row r="421" spans="1:2" x14ac:dyDescent="0.25">
      <c r="A421" t="s">
        <v>30</v>
      </c>
      <c r="B421" t="str">
        <f t="shared" si="6"/>
        <v/>
      </c>
    </row>
    <row r="422" spans="1:2" x14ac:dyDescent="0.25">
      <c r="A422" t="s">
        <v>194</v>
      </c>
      <c r="B422" t="str">
        <f t="shared" si="6"/>
        <v/>
      </c>
    </row>
    <row r="423" spans="1:2" x14ac:dyDescent="0.25">
      <c r="A423" t="s">
        <v>143</v>
      </c>
      <c r="B423" t="str">
        <f t="shared" si="6"/>
        <v/>
      </c>
    </row>
    <row r="424" spans="1:2" x14ac:dyDescent="0.25">
      <c r="A424" t="s">
        <v>1</v>
      </c>
      <c r="B424" t="str">
        <f t="shared" si="6"/>
        <v>S, M, L, XL</v>
      </c>
    </row>
    <row r="425" spans="1:2" x14ac:dyDescent="0.25">
      <c r="A425" t="s">
        <v>195</v>
      </c>
      <c r="B425" t="str">
        <f t="shared" si="6"/>
        <v>Natural Mix Ochre</v>
      </c>
    </row>
    <row r="426" spans="1:2" x14ac:dyDescent="0.25">
      <c r="A426" t="s">
        <v>196</v>
      </c>
      <c r="B426" t="str">
        <f t="shared" si="6"/>
        <v>7016 WYNN</v>
      </c>
    </row>
    <row r="427" spans="1:2" x14ac:dyDescent="0.25">
      <c r="A427" t="s">
        <v>120</v>
      </c>
      <c r="B427" t="str">
        <f t="shared" si="6"/>
        <v/>
      </c>
    </row>
    <row r="428" spans="1:2" x14ac:dyDescent="0.25">
      <c r="A428" t="s">
        <v>197</v>
      </c>
      <c r="B428" t="str">
        <f t="shared" si="6"/>
        <v/>
      </c>
    </row>
    <row r="429" spans="1:2" x14ac:dyDescent="0.25">
      <c r="A429" t="s">
        <v>140</v>
      </c>
      <c r="B429" t="str">
        <f t="shared" si="6"/>
        <v/>
      </c>
    </row>
    <row r="430" spans="1:2" x14ac:dyDescent="0.25">
      <c r="A430" t="s">
        <v>13</v>
      </c>
      <c r="B430" t="str">
        <f t="shared" si="6"/>
        <v/>
      </c>
    </row>
    <row r="431" spans="1:2" x14ac:dyDescent="0.25">
      <c r="A431" t="s">
        <v>143</v>
      </c>
      <c r="B431" t="str">
        <f t="shared" si="6"/>
        <v/>
      </c>
    </row>
    <row r="432" spans="1:2" x14ac:dyDescent="0.25">
      <c r="A432" t="s">
        <v>1</v>
      </c>
      <c r="B432" t="str">
        <f t="shared" si="6"/>
        <v>S, M, L, XL</v>
      </c>
    </row>
    <row r="433" spans="1:2" x14ac:dyDescent="0.25">
      <c r="A433" t="s">
        <v>198</v>
      </c>
      <c r="B433" t="str">
        <f t="shared" si="6"/>
        <v>Oxblood Pewter Serpent Silverbelly</v>
      </c>
    </row>
    <row r="434" spans="1:2" x14ac:dyDescent="0.25">
      <c r="A434" t="s">
        <v>199</v>
      </c>
      <c r="B434" t="str">
        <f t="shared" si="6"/>
        <v>Black Cognac Olive Mix</v>
      </c>
    </row>
    <row r="435" spans="1:2" x14ac:dyDescent="0.25">
      <c r="A435" t="s">
        <v>200</v>
      </c>
      <c r="B435" t="str">
        <f t="shared" si="6"/>
        <v>7055 ATMORE</v>
      </c>
    </row>
    <row r="436" spans="1:2" x14ac:dyDescent="0.25">
      <c r="A436" t="s">
        <v>38</v>
      </c>
      <c r="B436" t="str">
        <f t="shared" si="6"/>
        <v/>
      </c>
    </row>
    <row r="437" spans="1:2" x14ac:dyDescent="0.25">
      <c r="A437" t="s">
        <v>201</v>
      </c>
      <c r="B437" t="str">
        <f t="shared" si="6"/>
        <v/>
      </c>
    </row>
    <row r="438" spans="1:2" x14ac:dyDescent="0.25">
      <c r="A438" t="s">
        <v>202</v>
      </c>
      <c r="B438" t="str">
        <f t="shared" si="6"/>
        <v/>
      </c>
    </row>
    <row r="439" spans="1:2" x14ac:dyDescent="0.25">
      <c r="A439" t="s">
        <v>23</v>
      </c>
      <c r="B439" t="str">
        <f t="shared" si="6"/>
        <v/>
      </c>
    </row>
    <row r="440" spans="1:2" x14ac:dyDescent="0.25">
      <c r="A440" t="s">
        <v>143</v>
      </c>
      <c r="B440" t="str">
        <f t="shared" si="6"/>
        <v/>
      </c>
    </row>
    <row r="441" spans="1:2" x14ac:dyDescent="0.25">
      <c r="A441" t="s">
        <v>1</v>
      </c>
      <c r="B441" t="str">
        <f t="shared" si="6"/>
        <v>S, M, L, XL</v>
      </c>
    </row>
    <row r="442" spans="1:2" x14ac:dyDescent="0.25">
      <c r="A442" t="s">
        <v>203</v>
      </c>
      <c r="B442" t="str">
        <f t="shared" ref="B442:B503" si="7">_xlfn.LET(_xlpm.isSizes,IFERROR(FIND(",",A442)&gt;=1,FALSE),_xlpm.isSizesUp,IFERROR(FIND(",",A441)&gt;=1,FALSE),_xlpm.isName,AND(IFERROR(VALUE(MID(A442,1,1)),FALSE),NOT(IFERROR(FIND("” ",A442)&gt;=1,FALSE)),NOT(IFERROR(FIND("/",A442)&gt;=1,FALSE))),_xlpm.isNameDown,AND(IFERROR(VALUE(MID(A443,1,1)),FALSE),NOT(IFERROR(FIND("” ",A443)&gt;=1,FALSE)),NOT(IFERROR(FIND("/",A443)&gt;=1,FALSE))),IF(_xlpm.isSizes,A442,IF(_xlpm.isSizesUp,A442,IF(_xlpm.isName,A442,IF(AND(_xlpm.isNameDown&lt;&gt;_xlpm.isName),A442,"")))))</f>
        <v>Medium Brown Mix</v>
      </c>
    </row>
    <row r="443" spans="1:2" x14ac:dyDescent="0.25">
      <c r="A443" t="s">
        <v>204</v>
      </c>
      <c r="B443" t="str">
        <f t="shared" si="7"/>
        <v>7001 TINO</v>
      </c>
    </row>
    <row r="444" spans="1:2" x14ac:dyDescent="0.25">
      <c r="A444" t="s">
        <v>62</v>
      </c>
      <c r="B444" t="str">
        <f t="shared" si="7"/>
        <v/>
      </c>
    </row>
    <row r="445" spans="1:2" x14ac:dyDescent="0.25">
      <c r="A445" t="s">
        <v>63</v>
      </c>
      <c r="B445" t="str">
        <f t="shared" si="7"/>
        <v/>
      </c>
    </row>
    <row r="446" spans="1:2" x14ac:dyDescent="0.25">
      <c r="A446" t="s">
        <v>140</v>
      </c>
      <c r="B446" t="str">
        <f t="shared" si="7"/>
        <v/>
      </c>
    </row>
    <row r="447" spans="1:2" x14ac:dyDescent="0.25">
      <c r="A447" t="s">
        <v>13</v>
      </c>
      <c r="B447" t="str">
        <f t="shared" si="7"/>
        <v/>
      </c>
    </row>
    <row r="448" spans="1:2" x14ac:dyDescent="0.25">
      <c r="A448" t="s">
        <v>35</v>
      </c>
      <c r="B448" t="str">
        <f t="shared" si="7"/>
        <v/>
      </c>
    </row>
    <row r="449" spans="1:2" x14ac:dyDescent="0.25">
      <c r="A449" t="s">
        <v>143</v>
      </c>
      <c r="B449" t="str">
        <f t="shared" si="7"/>
        <v/>
      </c>
    </row>
    <row r="450" spans="1:2" x14ac:dyDescent="0.25">
      <c r="A450" t="s">
        <v>105</v>
      </c>
      <c r="B450" t="str">
        <f t="shared" si="7"/>
        <v>S, M, L, XL, XXL</v>
      </c>
    </row>
    <row r="451" spans="1:2" x14ac:dyDescent="0.25">
      <c r="A451" t="s">
        <v>205</v>
      </c>
      <c r="B451" t="str">
        <f t="shared" si="7"/>
        <v>Contrapposto Copper Natural Mix Navy Port</v>
      </c>
    </row>
    <row r="452" spans="1:2" x14ac:dyDescent="0.25">
      <c r="A452" t="s">
        <v>206</v>
      </c>
      <c r="B452" t="s">
        <v>206</v>
      </c>
    </row>
    <row r="453" spans="1:2" x14ac:dyDescent="0.25">
      <c r="A453" t="s">
        <v>207</v>
      </c>
      <c r="B453" t="str">
        <f t="shared" si="7"/>
        <v>Basalt Black Black Mix Brown</v>
      </c>
    </row>
    <row r="454" spans="1:2" x14ac:dyDescent="0.25">
      <c r="A454" t="s">
        <v>208</v>
      </c>
      <c r="B454" t="str">
        <f t="shared" si="7"/>
        <v>38367BH NIALL</v>
      </c>
    </row>
    <row r="455" spans="1:2" x14ac:dyDescent="0.25">
      <c r="A455" t="s">
        <v>26</v>
      </c>
      <c r="B455" t="str">
        <f t="shared" si="7"/>
        <v/>
      </c>
    </row>
    <row r="456" spans="1:2" x14ac:dyDescent="0.25">
      <c r="A456" t="s">
        <v>209</v>
      </c>
      <c r="B456" t="str">
        <f t="shared" si="7"/>
        <v/>
      </c>
    </row>
    <row r="457" spans="1:2" x14ac:dyDescent="0.25">
      <c r="A457" t="s">
        <v>210</v>
      </c>
      <c r="B457" t="str">
        <f t="shared" si="7"/>
        <v/>
      </c>
    </row>
    <row r="458" spans="1:2" x14ac:dyDescent="0.25">
      <c r="A458" t="s">
        <v>211</v>
      </c>
      <c r="B458" t="str">
        <f t="shared" si="7"/>
        <v/>
      </c>
    </row>
    <row r="459" spans="1:2" x14ac:dyDescent="0.25">
      <c r="A459" t="s">
        <v>24</v>
      </c>
      <c r="B459" t="str">
        <f t="shared" si="7"/>
        <v/>
      </c>
    </row>
    <row r="460" spans="1:2" x14ac:dyDescent="0.25">
      <c r="A460" t="s">
        <v>1</v>
      </c>
      <c r="B460" t="str">
        <f t="shared" si="7"/>
        <v>S, M, L, XL</v>
      </c>
    </row>
    <row r="461" spans="1:2" x14ac:dyDescent="0.25">
      <c r="A461" t="s">
        <v>212</v>
      </c>
      <c r="B461" t="str">
        <f t="shared" si="7"/>
        <v>Black Cognac Fawn</v>
      </c>
    </row>
    <row r="462" spans="1:2" x14ac:dyDescent="0.25">
      <c r="A462" t="s">
        <v>213</v>
      </c>
      <c r="B462" t="str">
        <f t="shared" si="7"/>
        <v>38359BH TROPE</v>
      </c>
    </row>
    <row r="463" spans="1:2" x14ac:dyDescent="0.25">
      <c r="A463" t="s">
        <v>62</v>
      </c>
      <c r="B463" t="str">
        <f t="shared" si="7"/>
        <v/>
      </c>
    </row>
    <row r="464" spans="1:2" x14ac:dyDescent="0.25">
      <c r="A464" t="s">
        <v>214</v>
      </c>
      <c r="B464" t="str">
        <f t="shared" si="7"/>
        <v/>
      </c>
    </row>
    <row r="465" spans="1:2" x14ac:dyDescent="0.25">
      <c r="A465" t="s">
        <v>210</v>
      </c>
      <c r="B465" t="str">
        <f t="shared" si="7"/>
        <v/>
      </c>
    </row>
    <row r="466" spans="1:2" x14ac:dyDescent="0.25">
      <c r="A466" t="s">
        <v>215</v>
      </c>
      <c r="B466" t="str">
        <f t="shared" si="7"/>
        <v/>
      </c>
    </row>
    <row r="467" spans="1:2" x14ac:dyDescent="0.25">
      <c r="A467" t="s">
        <v>216</v>
      </c>
      <c r="B467" t="str">
        <f t="shared" si="7"/>
        <v/>
      </c>
    </row>
    <row r="468" spans="1:2" x14ac:dyDescent="0.25">
      <c r="A468" t="s">
        <v>24</v>
      </c>
      <c r="B468" t="str">
        <f t="shared" si="7"/>
        <v/>
      </c>
    </row>
    <row r="469" spans="1:2" x14ac:dyDescent="0.25">
      <c r="A469" t="s">
        <v>1</v>
      </c>
      <c r="B469" t="str">
        <f t="shared" si="7"/>
        <v>S, M, L, XL</v>
      </c>
    </row>
    <row r="470" spans="1:2" x14ac:dyDescent="0.25">
      <c r="A470" t="s">
        <v>217</v>
      </c>
      <c r="B470" t="str">
        <f t="shared" si="7"/>
        <v>Black Uniform Green</v>
      </c>
    </row>
    <row r="471" spans="1:2" x14ac:dyDescent="0.25">
      <c r="A471" t="s">
        <v>218</v>
      </c>
      <c r="B471" t="str">
        <f t="shared" si="7"/>
        <v>38368BH CYD</v>
      </c>
    </row>
    <row r="472" spans="1:2" x14ac:dyDescent="0.25">
      <c r="A472" t="s">
        <v>32</v>
      </c>
      <c r="B472" t="str">
        <f t="shared" si="7"/>
        <v/>
      </c>
    </row>
    <row r="473" spans="1:2" x14ac:dyDescent="0.25">
      <c r="A473" t="s">
        <v>39</v>
      </c>
      <c r="B473" t="str">
        <f t="shared" si="7"/>
        <v/>
      </c>
    </row>
    <row r="474" spans="1:2" x14ac:dyDescent="0.25">
      <c r="A474" t="s">
        <v>210</v>
      </c>
      <c r="B474" t="str">
        <f t="shared" si="7"/>
        <v/>
      </c>
    </row>
    <row r="475" spans="1:2" x14ac:dyDescent="0.25">
      <c r="A475" t="s">
        <v>13</v>
      </c>
      <c r="B475" t="str">
        <f t="shared" si="7"/>
        <v/>
      </c>
    </row>
    <row r="476" spans="1:2" x14ac:dyDescent="0.25">
      <c r="A476" t="s">
        <v>24</v>
      </c>
      <c r="B476" t="str">
        <f t="shared" si="7"/>
        <v/>
      </c>
    </row>
    <row r="477" spans="1:2" x14ac:dyDescent="0.25">
      <c r="A477" t="s">
        <v>1</v>
      </c>
      <c r="B477" t="str">
        <f t="shared" si="7"/>
        <v>S, M, L, XL</v>
      </c>
    </row>
    <row r="478" spans="1:2" x14ac:dyDescent="0.25">
      <c r="A478" t="s">
        <v>219</v>
      </c>
      <c r="B478" t="str">
        <f t="shared" si="7"/>
        <v>Avion Black Whiskey</v>
      </c>
    </row>
    <row r="479" spans="1:2" x14ac:dyDescent="0.25">
      <c r="A479" t="s">
        <v>220</v>
      </c>
      <c r="B479" t="str">
        <f t="shared" si="7"/>
        <v>38366BH THALER</v>
      </c>
    </row>
    <row r="480" spans="1:2" x14ac:dyDescent="0.25">
      <c r="A480" t="s">
        <v>181</v>
      </c>
      <c r="B480" t="str">
        <f t="shared" si="7"/>
        <v/>
      </c>
    </row>
    <row r="481" spans="1:2" x14ac:dyDescent="0.25">
      <c r="A481" t="s">
        <v>39</v>
      </c>
      <c r="B481" t="str">
        <f t="shared" si="7"/>
        <v/>
      </c>
    </row>
    <row r="482" spans="1:2" x14ac:dyDescent="0.25">
      <c r="A482" t="s">
        <v>210</v>
      </c>
      <c r="B482" t="str">
        <f t="shared" si="7"/>
        <v/>
      </c>
    </row>
    <row r="483" spans="1:2" x14ac:dyDescent="0.25">
      <c r="A483" t="s">
        <v>221</v>
      </c>
      <c r="B483" t="str">
        <f t="shared" si="7"/>
        <v/>
      </c>
    </row>
    <row r="484" spans="1:2" x14ac:dyDescent="0.25">
      <c r="A484" t="s">
        <v>24</v>
      </c>
      <c r="B484" t="str">
        <f t="shared" si="7"/>
        <v/>
      </c>
    </row>
    <row r="485" spans="1:2" x14ac:dyDescent="0.25">
      <c r="A485" t="s">
        <v>1</v>
      </c>
      <c r="B485" t="str">
        <f t="shared" si="7"/>
        <v>S, M, L, XL</v>
      </c>
    </row>
    <row r="486" spans="1:2" x14ac:dyDescent="0.25">
      <c r="A486" t="s">
        <v>222</v>
      </c>
      <c r="B486" t="str">
        <f t="shared" si="7"/>
        <v>Black Nickel Uniform Green</v>
      </c>
    </row>
    <row r="487" spans="1:2" x14ac:dyDescent="0.25">
      <c r="A487" t="s">
        <v>223</v>
      </c>
      <c r="B487" t="str">
        <f t="shared" si="7"/>
        <v>3817 GODFATHER</v>
      </c>
    </row>
    <row r="488" spans="1:2" x14ac:dyDescent="0.25">
      <c r="A488" t="s">
        <v>224</v>
      </c>
      <c r="B488" t="str">
        <f t="shared" si="7"/>
        <v/>
      </c>
    </row>
    <row r="489" spans="1:2" x14ac:dyDescent="0.25">
      <c r="A489" t="s">
        <v>225</v>
      </c>
      <c r="B489" t="str">
        <f t="shared" si="7"/>
        <v/>
      </c>
    </row>
    <row r="490" spans="1:2" x14ac:dyDescent="0.25">
      <c r="A490" t="s">
        <v>210</v>
      </c>
      <c r="B490" t="str">
        <f t="shared" si="7"/>
        <v/>
      </c>
    </row>
    <row r="491" spans="1:2" x14ac:dyDescent="0.25">
      <c r="A491" t="s">
        <v>143</v>
      </c>
      <c r="B491" t="str">
        <f t="shared" si="7"/>
        <v/>
      </c>
    </row>
    <row r="492" spans="1:2" x14ac:dyDescent="0.25">
      <c r="A492" t="s">
        <v>35</v>
      </c>
      <c r="B492" t="str">
        <f t="shared" si="7"/>
        <v/>
      </c>
    </row>
    <row r="493" spans="1:2" x14ac:dyDescent="0.25">
      <c r="A493" t="s">
        <v>15</v>
      </c>
      <c r="B493" t="str">
        <f t="shared" si="7"/>
        <v/>
      </c>
    </row>
    <row r="494" spans="1:2" x14ac:dyDescent="0.25">
      <c r="A494" t="s">
        <v>105</v>
      </c>
      <c r="B494" t="str">
        <f t="shared" si="7"/>
        <v>S, M, L, XL, XXL</v>
      </c>
    </row>
    <row r="495" spans="1:2" x14ac:dyDescent="0.25">
      <c r="A495" t="s">
        <v>9</v>
      </c>
      <c r="B495" t="str">
        <f t="shared" si="7"/>
        <v>Black</v>
      </c>
    </row>
    <row r="496" spans="1:2" x14ac:dyDescent="0.25">
      <c r="A496" t="s">
        <v>226</v>
      </c>
      <c r="B496" t="str">
        <f t="shared" si="7"/>
        <v>3814 GANGSTER</v>
      </c>
    </row>
    <row r="497" spans="1:2" x14ac:dyDescent="0.25">
      <c r="A497" t="s">
        <v>62</v>
      </c>
      <c r="B497" t="str">
        <f t="shared" si="7"/>
        <v/>
      </c>
    </row>
    <row r="498" spans="1:2" x14ac:dyDescent="0.25">
      <c r="A498" t="s">
        <v>139</v>
      </c>
      <c r="B498" t="str">
        <f t="shared" si="7"/>
        <v/>
      </c>
    </row>
    <row r="499" spans="1:2" x14ac:dyDescent="0.25">
      <c r="A499" t="s">
        <v>210</v>
      </c>
      <c r="B499" t="str">
        <f t="shared" si="7"/>
        <v/>
      </c>
    </row>
    <row r="500" spans="1:2" x14ac:dyDescent="0.25">
      <c r="A500" t="s">
        <v>143</v>
      </c>
      <c r="B500" t="str">
        <f t="shared" si="7"/>
        <v/>
      </c>
    </row>
    <row r="501" spans="1:2" x14ac:dyDescent="0.25">
      <c r="A501" t="s">
        <v>35</v>
      </c>
      <c r="B501" t="str">
        <f t="shared" si="7"/>
        <v/>
      </c>
    </row>
    <row r="502" spans="1:2" x14ac:dyDescent="0.25">
      <c r="A502" t="s">
        <v>15</v>
      </c>
      <c r="B502" t="str">
        <f t="shared" si="7"/>
        <v/>
      </c>
    </row>
    <row r="503" spans="1:2" x14ac:dyDescent="0.25">
      <c r="A503" t="s">
        <v>105</v>
      </c>
      <c r="B503" t="str">
        <f t="shared" si="7"/>
        <v>S, M, L, XL, XXL</v>
      </c>
    </row>
    <row r="504" spans="1:2" x14ac:dyDescent="0.25">
      <c r="A504" t="s">
        <v>9</v>
      </c>
      <c r="B504" t="str">
        <f t="shared" ref="B504:B567" si="8">_xlfn.LET(_xlpm.isSizes,IFERROR(FIND(",",A504)&gt;=1,FALSE),_xlpm.isSizesUp,IFERROR(FIND(",",A503)&gt;=1,FALSE),_xlpm.isName,AND(IFERROR(VALUE(MID(A504,1,1)),FALSE),NOT(IFERROR(FIND("” ",A504)&gt;=1,FALSE)),NOT(IFERROR(FIND("/",A504)&gt;=1,FALSE))),_xlpm.isNameDown,AND(IFERROR(VALUE(MID(A505,1,1)),FALSE),NOT(IFERROR(FIND("” ",A505)&gt;=1,FALSE)),NOT(IFERROR(FIND("/",A505)&gt;=1,FALSE))),IF(_xlpm.isSizes,A504,IF(_xlpm.isSizesUp,A504,IF(_xlpm.isName,A504,IF(AND(_xlpm.isNameDown&lt;&gt;_xlpm.isName),A504,"")))))</f>
        <v>Black</v>
      </c>
    </row>
    <row r="505" spans="1:2" x14ac:dyDescent="0.25">
      <c r="A505" t="s">
        <v>227</v>
      </c>
      <c r="B505" t="str">
        <f t="shared" si="8"/>
        <v>38345BH MAGLOR</v>
      </c>
    </row>
    <row r="506" spans="1:2" x14ac:dyDescent="0.25">
      <c r="A506" t="s">
        <v>120</v>
      </c>
      <c r="B506" t="str">
        <f t="shared" si="8"/>
        <v/>
      </c>
    </row>
    <row r="507" spans="1:2" x14ac:dyDescent="0.25">
      <c r="A507" t="s">
        <v>228</v>
      </c>
      <c r="B507" t="str">
        <f t="shared" si="8"/>
        <v/>
      </c>
    </row>
    <row r="508" spans="1:2" x14ac:dyDescent="0.25">
      <c r="A508" t="s">
        <v>210</v>
      </c>
      <c r="B508" t="str">
        <f t="shared" si="8"/>
        <v/>
      </c>
    </row>
    <row r="509" spans="1:2" x14ac:dyDescent="0.25">
      <c r="A509" t="s">
        <v>229</v>
      </c>
      <c r="B509" t="str">
        <f t="shared" si="8"/>
        <v/>
      </c>
    </row>
    <row r="510" spans="1:2" x14ac:dyDescent="0.25">
      <c r="A510" t="s">
        <v>143</v>
      </c>
      <c r="B510" t="str">
        <f t="shared" si="8"/>
        <v/>
      </c>
    </row>
    <row r="511" spans="1:2" x14ac:dyDescent="0.25">
      <c r="A511" t="s">
        <v>15</v>
      </c>
      <c r="B511" t="str">
        <f t="shared" si="8"/>
        <v/>
      </c>
    </row>
    <row r="512" spans="1:2" x14ac:dyDescent="0.25">
      <c r="A512" t="s">
        <v>1</v>
      </c>
      <c r="B512" t="str">
        <f t="shared" si="8"/>
        <v>S, M, L, XL</v>
      </c>
    </row>
    <row r="513" spans="1:2" x14ac:dyDescent="0.25">
      <c r="A513" t="s">
        <v>230</v>
      </c>
      <c r="B513" t="str">
        <f t="shared" si="8"/>
        <v>Black Chocolate Forest Navy</v>
      </c>
    </row>
    <row r="514" spans="1:2" x14ac:dyDescent="0.25">
      <c r="A514" t="s">
        <v>231</v>
      </c>
      <c r="B514" t="str">
        <f t="shared" si="8"/>
        <v>7100 RIFF</v>
      </c>
    </row>
    <row r="515" spans="1:2" x14ac:dyDescent="0.25">
      <c r="A515" t="s">
        <v>62</v>
      </c>
      <c r="B515" t="str">
        <f t="shared" si="8"/>
        <v/>
      </c>
    </row>
    <row r="516" spans="1:2" x14ac:dyDescent="0.25">
      <c r="A516" t="s">
        <v>63</v>
      </c>
      <c r="B516" t="str">
        <f t="shared" si="8"/>
        <v/>
      </c>
    </row>
    <row r="517" spans="1:2" x14ac:dyDescent="0.25">
      <c r="A517" t="s">
        <v>232</v>
      </c>
      <c r="B517" t="str">
        <f t="shared" si="8"/>
        <v/>
      </c>
    </row>
    <row r="518" spans="1:2" x14ac:dyDescent="0.25">
      <c r="A518" t="s">
        <v>13</v>
      </c>
      <c r="B518" t="str">
        <f t="shared" si="8"/>
        <v/>
      </c>
    </row>
    <row r="519" spans="1:2" x14ac:dyDescent="0.25">
      <c r="A519" t="s">
        <v>24</v>
      </c>
      <c r="B519" t="str">
        <f t="shared" si="8"/>
        <v/>
      </c>
    </row>
    <row r="520" spans="1:2" x14ac:dyDescent="0.25">
      <c r="A520" t="s">
        <v>15</v>
      </c>
      <c r="B520" t="str">
        <f t="shared" si="8"/>
        <v/>
      </c>
    </row>
    <row r="521" spans="1:2" x14ac:dyDescent="0.25">
      <c r="A521" t="s">
        <v>105</v>
      </c>
      <c r="B521" t="str">
        <f t="shared" si="8"/>
        <v>S, M, L, XL, XXL</v>
      </c>
    </row>
    <row r="522" spans="1:2" x14ac:dyDescent="0.25">
      <c r="A522" t="s">
        <v>233</v>
      </c>
      <c r="B522" t="str">
        <f t="shared" si="8"/>
        <v>Black Lazuli Blue Mink Ochre</v>
      </c>
    </row>
    <row r="523" spans="1:2" x14ac:dyDescent="0.25">
      <c r="A523" t="s">
        <v>234</v>
      </c>
      <c r="B523" t="str">
        <f t="shared" si="8"/>
        <v>38350BH PISTON</v>
      </c>
    </row>
    <row r="524" spans="1:2" x14ac:dyDescent="0.25">
      <c r="A524" t="s">
        <v>120</v>
      </c>
      <c r="B524" t="str">
        <f t="shared" si="8"/>
        <v/>
      </c>
    </row>
    <row r="525" spans="1:2" x14ac:dyDescent="0.25">
      <c r="A525" t="s">
        <v>235</v>
      </c>
      <c r="B525" t="str">
        <f t="shared" si="8"/>
        <v/>
      </c>
    </row>
    <row r="526" spans="1:2" x14ac:dyDescent="0.25">
      <c r="A526" t="s">
        <v>210</v>
      </c>
      <c r="B526" t="str">
        <f t="shared" si="8"/>
        <v/>
      </c>
    </row>
    <row r="527" spans="1:2" x14ac:dyDescent="0.25">
      <c r="A527" t="s">
        <v>236</v>
      </c>
      <c r="B527" t="str">
        <f t="shared" si="8"/>
        <v/>
      </c>
    </row>
    <row r="528" spans="1:2" x14ac:dyDescent="0.25">
      <c r="A528" t="s">
        <v>143</v>
      </c>
      <c r="B528" t="str">
        <f t="shared" si="8"/>
        <v/>
      </c>
    </row>
    <row r="529" spans="1:2" x14ac:dyDescent="0.25">
      <c r="A529" t="s">
        <v>15</v>
      </c>
      <c r="B529" t="str">
        <f t="shared" si="8"/>
        <v/>
      </c>
    </row>
    <row r="530" spans="1:2" x14ac:dyDescent="0.25">
      <c r="A530" t="s">
        <v>1</v>
      </c>
      <c r="B530" t="str">
        <f t="shared" si="8"/>
        <v>S, M, L, XL</v>
      </c>
    </row>
    <row r="531" spans="1:2" x14ac:dyDescent="0.25">
      <c r="A531" t="s">
        <v>237</v>
      </c>
      <c r="B531" t="str">
        <f t="shared" si="8"/>
        <v>Black Caramel Navy Olive</v>
      </c>
    </row>
    <row r="532" spans="1:2" x14ac:dyDescent="0.25">
      <c r="A532" t="s">
        <v>238</v>
      </c>
      <c r="B532" t="str">
        <f t="shared" si="8"/>
        <v>38357BH KISNER</v>
      </c>
    </row>
    <row r="533" spans="1:2" x14ac:dyDescent="0.25">
      <c r="A533" t="s">
        <v>239</v>
      </c>
      <c r="B533" t="str">
        <f t="shared" si="8"/>
        <v/>
      </c>
    </row>
    <row r="534" spans="1:2" x14ac:dyDescent="0.25">
      <c r="A534" t="s">
        <v>209</v>
      </c>
      <c r="B534" t="str">
        <f t="shared" si="8"/>
        <v/>
      </c>
    </row>
    <row r="535" spans="1:2" x14ac:dyDescent="0.25">
      <c r="A535" t="s">
        <v>240</v>
      </c>
      <c r="B535" t="str">
        <f t="shared" si="8"/>
        <v/>
      </c>
    </row>
    <row r="536" spans="1:2" x14ac:dyDescent="0.25">
      <c r="A536" t="s">
        <v>241</v>
      </c>
      <c r="B536" t="str">
        <f t="shared" si="8"/>
        <v/>
      </c>
    </row>
    <row r="537" spans="1:2" x14ac:dyDescent="0.25">
      <c r="A537" t="s">
        <v>242</v>
      </c>
      <c r="B537" t="str">
        <f t="shared" si="8"/>
        <v/>
      </c>
    </row>
    <row r="538" spans="1:2" x14ac:dyDescent="0.25">
      <c r="A538" t="s">
        <v>24</v>
      </c>
      <c r="B538" t="str">
        <f t="shared" si="8"/>
        <v/>
      </c>
    </row>
    <row r="539" spans="1:2" x14ac:dyDescent="0.25">
      <c r="A539" t="s">
        <v>15</v>
      </c>
      <c r="B539" t="str">
        <f t="shared" si="8"/>
        <v/>
      </c>
    </row>
    <row r="540" spans="1:2" x14ac:dyDescent="0.25">
      <c r="A540" t="s">
        <v>1</v>
      </c>
      <c r="B540" t="str">
        <f t="shared" si="8"/>
        <v>S, M, L, XL</v>
      </c>
    </row>
    <row r="541" spans="1:2" x14ac:dyDescent="0.25">
      <c r="A541" t="s">
        <v>243</v>
      </c>
      <c r="B541" t="str">
        <f t="shared" si="8"/>
        <v>Black Silver Sand</v>
      </c>
    </row>
    <row r="542" spans="1:2" x14ac:dyDescent="0.25">
      <c r="A542" t="s">
        <v>244</v>
      </c>
      <c r="B542" t="str">
        <f t="shared" si="8"/>
        <v>71001BH CRISS</v>
      </c>
    </row>
    <row r="543" spans="1:2" x14ac:dyDescent="0.25">
      <c r="A543" t="s">
        <v>38</v>
      </c>
      <c r="B543" t="str">
        <f t="shared" si="8"/>
        <v/>
      </c>
    </row>
    <row r="544" spans="1:2" x14ac:dyDescent="0.25">
      <c r="A544" t="s">
        <v>49</v>
      </c>
      <c r="B544" t="str">
        <f t="shared" si="8"/>
        <v/>
      </c>
    </row>
    <row r="545" spans="1:2" x14ac:dyDescent="0.25">
      <c r="A545" t="s">
        <v>232</v>
      </c>
      <c r="B545" t="str">
        <f t="shared" si="8"/>
        <v/>
      </c>
    </row>
    <row r="546" spans="1:2" x14ac:dyDescent="0.25">
      <c r="A546" t="s">
        <v>13</v>
      </c>
      <c r="B546" t="str">
        <f t="shared" si="8"/>
        <v/>
      </c>
    </row>
    <row r="547" spans="1:2" x14ac:dyDescent="0.25">
      <c r="A547" t="s">
        <v>24</v>
      </c>
      <c r="B547" t="str">
        <f t="shared" si="8"/>
        <v/>
      </c>
    </row>
    <row r="548" spans="1:2" x14ac:dyDescent="0.25">
      <c r="A548" t="s">
        <v>15</v>
      </c>
      <c r="B548" t="str">
        <f t="shared" si="8"/>
        <v/>
      </c>
    </row>
    <row r="549" spans="1:2" x14ac:dyDescent="0.25">
      <c r="A549" t="s">
        <v>1</v>
      </c>
      <c r="B549" t="str">
        <f t="shared" si="8"/>
        <v>S, M, L, XL</v>
      </c>
    </row>
    <row r="550" spans="1:2" x14ac:dyDescent="0.25">
      <c r="A550" t="s">
        <v>245</v>
      </c>
      <c r="B550" t="str">
        <f t="shared" si="8"/>
        <v>Bitter Chocolate Black Mink Night Shade Navy</v>
      </c>
    </row>
    <row r="551" spans="1:2" x14ac:dyDescent="0.25">
      <c r="A551" t="s">
        <v>246</v>
      </c>
      <c r="B551" t="str">
        <f t="shared" si="8"/>
        <v>10001BH BRODNAX</v>
      </c>
    </row>
    <row r="552" spans="1:2" x14ac:dyDescent="0.25">
      <c r="A552" t="s">
        <v>247</v>
      </c>
      <c r="B552" t="str">
        <f t="shared" si="8"/>
        <v/>
      </c>
    </row>
    <row r="553" spans="1:2" x14ac:dyDescent="0.25">
      <c r="A553" t="s">
        <v>248</v>
      </c>
      <c r="B553" t="str">
        <f t="shared" si="8"/>
        <v/>
      </c>
    </row>
    <row r="554" spans="1:2" x14ac:dyDescent="0.25">
      <c r="A554" t="s">
        <v>249</v>
      </c>
      <c r="B554" t="str">
        <f t="shared" si="8"/>
        <v/>
      </c>
    </row>
    <row r="555" spans="1:2" x14ac:dyDescent="0.25">
      <c r="A555" t="s">
        <v>250</v>
      </c>
      <c r="B555" t="str">
        <f t="shared" si="8"/>
        <v/>
      </c>
    </row>
    <row r="556" spans="1:2" x14ac:dyDescent="0.25">
      <c r="A556" t="s">
        <v>251</v>
      </c>
      <c r="B556" t="str">
        <f t="shared" si="8"/>
        <v/>
      </c>
    </row>
    <row r="557" spans="1:2" x14ac:dyDescent="0.25">
      <c r="A557" t="s">
        <v>30</v>
      </c>
      <c r="B557" t="str">
        <f t="shared" si="8"/>
        <v/>
      </c>
    </row>
    <row r="558" spans="1:2" x14ac:dyDescent="0.25">
      <c r="A558" t="s">
        <v>143</v>
      </c>
      <c r="B558" t="str">
        <f t="shared" si="8"/>
        <v/>
      </c>
    </row>
    <row r="559" spans="1:2" x14ac:dyDescent="0.25">
      <c r="A559" t="s">
        <v>1</v>
      </c>
      <c r="B559" t="str">
        <f t="shared" si="8"/>
        <v>S, M, L, XL</v>
      </c>
    </row>
    <row r="560" spans="1:2" x14ac:dyDescent="0.25">
      <c r="A560" t="s">
        <v>252</v>
      </c>
      <c r="B560" t="str">
        <f t="shared" si="8"/>
        <v>Black Olive Oil Plaza Taupe</v>
      </c>
    </row>
    <row r="561" spans="1:2" x14ac:dyDescent="0.25">
      <c r="A561" t="s">
        <v>253</v>
      </c>
      <c r="B561" t="str">
        <f t="shared" si="8"/>
        <v>38358BH STERNE</v>
      </c>
    </row>
    <row r="562" spans="1:2" x14ac:dyDescent="0.25">
      <c r="A562" t="s">
        <v>11</v>
      </c>
      <c r="B562" t="str">
        <f t="shared" si="8"/>
        <v/>
      </c>
    </row>
    <row r="563" spans="1:2" x14ac:dyDescent="0.25">
      <c r="A563" t="s">
        <v>55</v>
      </c>
      <c r="B563" t="str">
        <f t="shared" si="8"/>
        <v/>
      </c>
    </row>
    <row r="564" spans="1:2" x14ac:dyDescent="0.25">
      <c r="A564" t="s">
        <v>210</v>
      </c>
      <c r="B564" t="str">
        <f t="shared" si="8"/>
        <v/>
      </c>
    </row>
    <row r="565" spans="1:2" x14ac:dyDescent="0.25">
      <c r="A565" t="s">
        <v>254</v>
      </c>
      <c r="B565" t="str">
        <f t="shared" si="8"/>
        <v/>
      </c>
    </row>
    <row r="566" spans="1:2" x14ac:dyDescent="0.25">
      <c r="A566" t="s">
        <v>255</v>
      </c>
      <c r="B566" t="str">
        <f t="shared" si="8"/>
        <v/>
      </c>
    </row>
    <row r="567" spans="1:2" x14ac:dyDescent="0.25">
      <c r="A567" t="s">
        <v>14</v>
      </c>
      <c r="B567" t="str">
        <f t="shared" si="8"/>
        <v/>
      </c>
    </row>
    <row r="568" spans="1:2" x14ac:dyDescent="0.25">
      <c r="A568" t="s">
        <v>15</v>
      </c>
      <c r="B568" t="str">
        <f t="shared" ref="B568:B631" si="9">_xlfn.LET(_xlpm.isSizes,IFERROR(FIND(",",A568)&gt;=1,FALSE),_xlpm.isSizesUp,IFERROR(FIND(",",A567)&gt;=1,FALSE),_xlpm.isName,AND(IFERROR(VALUE(MID(A568,1,1)),FALSE),NOT(IFERROR(FIND("” ",A568)&gt;=1,FALSE)),NOT(IFERROR(FIND("/",A568)&gt;=1,FALSE))),_xlpm.isNameDown,AND(IFERROR(VALUE(MID(A569,1,1)),FALSE),NOT(IFERROR(FIND("” ",A569)&gt;=1,FALSE)),NOT(IFERROR(FIND("/",A569)&gt;=1,FALSE))),IF(_xlpm.isSizes,A568,IF(_xlpm.isSizesUp,A568,IF(_xlpm.isName,A568,IF(AND(_xlpm.isNameDown&lt;&gt;_xlpm.isName),A568,"")))))</f>
        <v/>
      </c>
    </row>
    <row r="569" spans="1:2" x14ac:dyDescent="0.25">
      <c r="A569" t="s">
        <v>1</v>
      </c>
      <c r="B569" t="str">
        <f t="shared" si="9"/>
        <v>S, M, L, XL</v>
      </c>
    </row>
    <row r="570" spans="1:2" x14ac:dyDescent="0.25">
      <c r="A570" t="s">
        <v>256</v>
      </c>
      <c r="B570" t="str">
        <f t="shared" si="9"/>
        <v>Ochre Soft Khaki</v>
      </c>
    </row>
    <row r="571" spans="1:2" x14ac:dyDescent="0.25">
      <c r="A571" t="s">
        <v>257</v>
      </c>
      <c r="B571" t="str">
        <f t="shared" si="9"/>
        <v>38349BH KLAXON</v>
      </c>
    </row>
    <row r="572" spans="1:2" x14ac:dyDescent="0.25">
      <c r="A572" t="s">
        <v>99</v>
      </c>
      <c r="B572" t="str">
        <f t="shared" si="9"/>
        <v/>
      </c>
    </row>
    <row r="573" spans="1:2" x14ac:dyDescent="0.25">
      <c r="A573" t="s">
        <v>258</v>
      </c>
      <c r="B573" t="str">
        <f t="shared" si="9"/>
        <v/>
      </c>
    </row>
    <row r="574" spans="1:2" x14ac:dyDescent="0.25">
      <c r="A574" t="s">
        <v>210</v>
      </c>
      <c r="B574" t="str">
        <f t="shared" si="9"/>
        <v/>
      </c>
    </row>
    <row r="575" spans="1:2" x14ac:dyDescent="0.25">
      <c r="A575" t="s">
        <v>229</v>
      </c>
      <c r="B575" t="str">
        <f t="shared" si="9"/>
        <v/>
      </c>
    </row>
    <row r="576" spans="1:2" x14ac:dyDescent="0.25">
      <c r="A576" t="s">
        <v>143</v>
      </c>
      <c r="B576" t="str">
        <f t="shared" si="9"/>
        <v/>
      </c>
    </row>
    <row r="577" spans="1:2" x14ac:dyDescent="0.25">
      <c r="A577" t="s">
        <v>15</v>
      </c>
      <c r="B577" t="str">
        <f t="shared" si="9"/>
        <v/>
      </c>
    </row>
    <row r="578" spans="1:2" x14ac:dyDescent="0.25">
      <c r="A578" t="s">
        <v>1</v>
      </c>
      <c r="B578" t="str">
        <f t="shared" si="9"/>
        <v>S, M, L, XL</v>
      </c>
    </row>
    <row r="579" spans="1:2" x14ac:dyDescent="0.25">
      <c r="A579" t="s">
        <v>259</v>
      </c>
      <c r="B579" t="str">
        <f t="shared" si="9"/>
        <v>Black Navy</v>
      </c>
    </row>
    <row r="580" spans="1:2" x14ac:dyDescent="0.25">
      <c r="A580" t="s">
        <v>260</v>
      </c>
      <c r="B580" t="str">
        <f t="shared" si="9"/>
        <v>1451 JETT</v>
      </c>
    </row>
    <row r="581" spans="1:2" x14ac:dyDescent="0.25">
      <c r="A581" t="s">
        <v>261</v>
      </c>
      <c r="B581" t="str">
        <f t="shared" si="9"/>
        <v/>
      </c>
    </row>
    <row r="582" spans="1:2" x14ac:dyDescent="0.25">
      <c r="A582" t="s">
        <v>63</v>
      </c>
      <c r="B582" t="str">
        <f t="shared" si="9"/>
        <v/>
      </c>
    </row>
    <row r="583" spans="1:2" x14ac:dyDescent="0.25">
      <c r="A583" t="s">
        <v>232</v>
      </c>
      <c r="B583" t="str">
        <f t="shared" si="9"/>
        <v/>
      </c>
    </row>
    <row r="584" spans="1:2" x14ac:dyDescent="0.25">
      <c r="A584" t="s">
        <v>143</v>
      </c>
      <c r="B584" t="str">
        <f t="shared" si="9"/>
        <v/>
      </c>
    </row>
    <row r="585" spans="1:2" x14ac:dyDescent="0.25">
      <c r="A585" t="s">
        <v>35</v>
      </c>
      <c r="B585" t="str">
        <f t="shared" si="9"/>
        <v/>
      </c>
    </row>
    <row r="586" spans="1:2" x14ac:dyDescent="0.25">
      <c r="A586" t="s">
        <v>15</v>
      </c>
      <c r="B586" t="str">
        <f t="shared" si="9"/>
        <v/>
      </c>
    </row>
    <row r="587" spans="1:2" x14ac:dyDescent="0.25">
      <c r="A587" t="s">
        <v>262</v>
      </c>
      <c r="B587" t="str">
        <f t="shared" si="9"/>
        <v>6 3/4, 6 7/8, 7, 7 1/8, 7 1/4, 7 3/8, 7 1/2, 7 5/8</v>
      </c>
    </row>
    <row r="588" spans="1:2" x14ac:dyDescent="0.25">
      <c r="A588" t="s">
        <v>9</v>
      </c>
      <c r="B588" t="str">
        <f t="shared" si="9"/>
        <v>Black</v>
      </c>
    </row>
    <row r="589" spans="1:2" x14ac:dyDescent="0.25">
      <c r="A589" t="s">
        <v>263</v>
      </c>
      <c r="B589" t="str">
        <f t="shared" si="9"/>
        <v>1452 HARKER</v>
      </c>
    </row>
    <row r="590" spans="1:2" x14ac:dyDescent="0.25">
      <c r="A590" t="s">
        <v>264</v>
      </c>
      <c r="B590" t="str">
        <f t="shared" si="9"/>
        <v/>
      </c>
    </row>
    <row r="591" spans="1:2" x14ac:dyDescent="0.25">
      <c r="A591" t="s">
        <v>265</v>
      </c>
      <c r="B591" t="str">
        <f t="shared" si="9"/>
        <v/>
      </c>
    </row>
    <row r="592" spans="1:2" x14ac:dyDescent="0.25">
      <c r="A592" t="s">
        <v>232</v>
      </c>
      <c r="B592" t="str">
        <f t="shared" si="9"/>
        <v/>
      </c>
    </row>
    <row r="593" spans="1:2" x14ac:dyDescent="0.25">
      <c r="A593" t="s">
        <v>143</v>
      </c>
      <c r="B593" t="str">
        <f t="shared" si="9"/>
        <v/>
      </c>
    </row>
    <row r="594" spans="1:2" x14ac:dyDescent="0.25">
      <c r="A594" t="s">
        <v>35</v>
      </c>
      <c r="B594" t="str">
        <f t="shared" si="9"/>
        <v/>
      </c>
    </row>
    <row r="595" spans="1:2" x14ac:dyDescent="0.25">
      <c r="A595" t="s">
        <v>15</v>
      </c>
      <c r="B595" t="str">
        <f t="shared" si="9"/>
        <v/>
      </c>
    </row>
    <row r="596" spans="1:2" x14ac:dyDescent="0.25">
      <c r="A596" t="s">
        <v>262</v>
      </c>
      <c r="B596" t="str">
        <f t="shared" si="9"/>
        <v>6 3/4, 6 7/8, 7, 7 1/8, 7 1/4, 7 3/8, 7 1/2, 7 5/8</v>
      </c>
    </row>
    <row r="597" spans="1:2" x14ac:dyDescent="0.25">
      <c r="A597" t="s">
        <v>266</v>
      </c>
      <c r="B597" t="str">
        <f t="shared" si="9"/>
        <v>Black Hemlock</v>
      </c>
    </row>
    <row r="598" spans="1:2" x14ac:dyDescent="0.25">
      <c r="A598" t="s">
        <v>267</v>
      </c>
      <c r="B598" t="str">
        <f t="shared" si="9"/>
        <v>3813 ICE</v>
      </c>
    </row>
    <row r="599" spans="1:2" x14ac:dyDescent="0.25">
      <c r="A599" t="s">
        <v>268</v>
      </c>
      <c r="B599" t="str">
        <f t="shared" si="9"/>
        <v/>
      </c>
    </row>
    <row r="600" spans="1:2" x14ac:dyDescent="0.25">
      <c r="A600" t="s">
        <v>269</v>
      </c>
      <c r="B600" t="str">
        <f t="shared" si="9"/>
        <v/>
      </c>
    </row>
    <row r="601" spans="1:2" x14ac:dyDescent="0.25">
      <c r="A601" t="s">
        <v>210</v>
      </c>
      <c r="B601" t="str">
        <f t="shared" si="9"/>
        <v/>
      </c>
    </row>
    <row r="602" spans="1:2" x14ac:dyDescent="0.25">
      <c r="A602" t="s">
        <v>143</v>
      </c>
      <c r="B602" t="str">
        <f t="shared" si="9"/>
        <v/>
      </c>
    </row>
    <row r="603" spans="1:2" x14ac:dyDescent="0.25">
      <c r="A603" t="s">
        <v>35</v>
      </c>
      <c r="B603" t="str">
        <f t="shared" si="9"/>
        <v/>
      </c>
    </row>
    <row r="604" spans="1:2" x14ac:dyDescent="0.25">
      <c r="A604" t="s">
        <v>15</v>
      </c>
      <c r="B604" t="str">
        <f t="shared" si="9"/>
        <v/>
      </c>
    </row>
    <row r="605" spans="1:2" x14ac:dyDescent="0.25">
      <c r="A605" t="s">
        <v>1</v>
      </c>
      <c r="B605" t="str">
        <f t="shared" si="9"/>
        <v>S, M, L, XL</v>
      </c>
    </row>
    <row r="606" spans="1:2" x14ac:dyDescent="0.25">
      <c r="A606" t="s">
        <v>9</v>
      </c>
      <c r="B606" t="str">
        <f t="shared" si="9"/>
        <v>Black</v>
      </c>
    </row>
    <row r="607" spans="1:2" x14ac:dyDescent="0.25">
      <c r="A607" t="s">
        <v>270</v>
      </c>
      <c r="B607" t="str">
        <f t="shared" si="9"/>
        <v>3816 DERBY</v>
      </c>
    </row>
    <row r="608" spans="1:2" x14ac:dyDescent="0.25">
      <c r="A608" t="s">
        <v>264</v>
      </c>
      <c r="B608" t="str">
        <f t="shared" si="9"/>
        <v/>
      </c>
    </row>
    <row r="609" spans="1:2" x14ac:dyDescent="0.25">
      <c r="A609" t="s">
        <v>269</v>
      </c>
      <c r="B609" t="str">
        <f t="shared" si="9"/>
        <v/>
      </c>
    </row>
    <row r="610" spans="1:2" x14ac:dyDescent="0.25">
      <c r="A610" t="s">
        <v>210</v>
      </c>
      <c r="B610" t="str">
        <f t="shared" si="9"/>
        <v/>
      </c>
    </row>
    <row r="611" spans="1:2" x14ac:dyDescent="0.25">
      <c r="A611" t="s">
        <v>143</v>
      </c>
      <c r="B611" t="str">
        <f t="shared" si="9"/>
        <v/>
      </c>
    </row>
    <row r="612" spans="1:2" x14ac:dyDescent="0.25">
      <c r="A612" t="s">
        <v>35</v>
      </c>
      <c r="B612" t="str">
        <f t="shared" si="9"/>
        <v/>
      </c>
    </row>
    <row r="613" spans="1:2" x14ac:dyDescent="0.25">
      <c r="A613" t="s">
        <v>15</v>
      </c>
      <c r="B613" t="str">
        <f t="shared" si="9"/>
        <v/>
      </c>
    </row>
    <row r="614" spans="1:2" x14ac:dyDescent="0.25">
      <c r="A614" t="s">
        <v>105</v>
      </c>
      <c r="B614" t="str">
        <f t="shared" si="9"/>
        <v>S, M, L, XL, XXL</v>
      </c>
    </row>
    <row r="615" spans="1:2" x14ac:dyDescent="0.25">
      <c r="A615" t="s">
        <v>271</v>
      </c>
      <c r="B615" t="str">
        <f t="shared" si="9"/>
        <v>Black Brown White</v>
      </c>
    </row>
    <row r="616" spans="1:2" x14ac:dyDescent="0.25">
      <c r="A616" t="s">
        <v>272</v>
      </c>
      <c r="B616" t="str">
        <f t="shared" si="9"/>
        <v>81670 BILLY</v>
      </c>
    </row>
    <row r="617" spans="1:2" x14ac:dyDescent="0.25">
      <c r="A617" t="s">
        <v>273</v>
      </c>
      <c r="B617" t="str">
        <f t="shared" si="9"/>
        <v/>
      </c>
    </row>
    <row r="618" spans="1:2" x14ac:dyDescent="0.25">
      <c r="A618" t="s">
        <v>274</v>
      </c>
      <c r="B618" t="str">
        <f t="shared" si="9"/>
        <v/>
      </c>
    </row>
    <row r="619" spans="1:2" x14ac:dyDescent="0.25">
      <c r="A619" t="s">
        <v>275</v>
      </c>
      <c r="B619" t="str">
        <f t="shared" si="9"/>
        <v/>
      </c>
    </row>
    <row r="620" spans="1:2" x14ac:dyDescent="0.25">
      <c r="A620" t="s">
        <v>143</v>
      </c>
      <c r="B620" t="str">
        <f t="shared" si="9"/>
        <v/>
      </c>
    </row>
    <row r="621" spans="1:2" x14ac:dyDescent="0.25">
      <c r="A621" t="s">
        <v>105</v>
      </c>
      <c r="B621" t="str">
        <f t="shared" si="9"/>
        <v>S, M, L, XL, XXL</v>
      </c>
    </row>
    <row r="622" spans="1:2" x14ac:dyDescent="0.25">
      <c r="A622" t="s">
        <v>276</v>
      </c>
      <c r="B622" t="str">
        <f t="shared" si="9"/>
        <v>Fog Latte Navy Static Tan</v>
      </c>
    </row>
    <row r="623" spans="1:2" x14ac:dyDescent="0.25">
      <c r="A623" t="s">
        <v>277</v>
      </c>
      <c r="B623" t="str">
        <f t="shared" si="9"/>
        <v>Birch Black Coconut Deep Red Espresso</v>
      </c>
    </row>
    <row r="624" spans="1:2" x14ac:dyDescent="0.25">
      <c r="A624" t="s">
        <v>278</v>
      </c>
      <c r="B624" t="str">
        <f t="shared" si="9"/>
        <v>81690 MANNES</v>
      </c>
    </row>
    <row r="625" spans="1:2" x14ac:dyDescent="0.25">
      <c r="A625" t="s">
        <v>273</v>
      </c>
      <c r="B625" t="str">
        <f t="shared" si="9"/>
        <v/>
      </c>
    </row>
    <row r="626" spans="1:2" x14ac:dyDescent="0.25">
      <c r="A626" t="s">
        <v>274</v>
      </c>
      <c r="B626" t="str">
        <f t="shared" si="9"/>
        <v/>
      </c>
    </row>
    <row r="627" spans="1:2" x14ac:dyDescent="0.25">
      <c r="A627" t="s">
        <v>279</v>
      </c>
      <c r="B627" t="str">
        <f t="shared" si="9"/>
        <v/>
      </c>
    </row>
    <row r="628" spans="1:2" x14ac:dyDescent="0.25">
      <c r="A628" t="s">
        <v>143</v>
      </c>
      <c r="B628" t="str">
        <f t="shared" si="9"/>
        <v/>
      </c>
    </row>
    <row r="629" spans="1:2" x14ac:dyDescent="0.25">
      <c r="A629" t="s">
        <v>105</v>
      </c>
      <c r="B629" t="str">
        <f t="shared" si="9"/>
        <v>S, M, L, XL, XXL</v>
      </c>
    </row>
    <row r="630" spans="1:2" x14ac:dyDescent="0.25">
      <c r="A630" t="s">
        <v>280</v>
      </c>
      <c r="B630" t="str">
        <f t="shared" si="9"/>
        <v>Navy Multi Nordic Multi Overcast Skydiver Woods Multi</v>
      </c>
    </row>
    <row r="631" spans="1:2" x14ac:dyDescent="0.25">
      <c r="A631" t="s">
        <v>345</v>
      </c>
      <c r="B631" t="str">
        <f t="shared" si="9"/>
        <v>Cement Multi Deep Red Multi Light Grey Multi Natural Multi Brown Multi Charcoal Multi</v>
      </c>
    </row>
    <row r="632" spans="1:2" x14ac:dyDescent="0.25">
      <c r="A632" t="s">
        <v>281</v>
      </c>
      <c r="B632" t="str">
        <f t="shared" ref="B632:B644" si="10">_xlfn.LET(_xlpm.isSizes,IFERROR(FIND(",",A632)&gt;=1,FALSE),_xlpm.isSizesUp,IFERROR(FIND(",",A631)&gt;=1,FALSE),_xlpm.isName,AND(IFERROR(VALUE(MID(A632,1,1)),FALSE),NOT(IFERROR(FIND("” ",A632)&gt;=1,FALSE)),NOT(IFERROR(FIND("/",A632)&gt;=1,FALSE))),_xlpm.isNameDown,AND(IFERROR(VALUE(MID(A633,1,1)),FALSE),NOT(IFERROR(FIND("” ",A633)&gt;=1,FALSE)),NOT(IFERROR(FIND("/",A633)&gt;=1,FALSE))),IF(_xlpm.isSizes,A632,IF(_xlpm.isSizesUp,A632,IF(_xlpm.isName,A632,IF(AND(_xlpm.isNameDown&lt;&gt;_xlpm.isName),A632,"")))))</f>
        <v>25550BH DERIN</v>
      </c>
    </row>
    <row r="633" spans="1:2" x14ac:dyDescent="0.25">
      <c r="A633" t="s">
        <v>282</v>
      </c>
      <c r="B633" t="str">
        <f t="shared" si="10"/>
        <v/>
      </c>
    </row>
    <row r="634" spans="1:2" x14ac:dyDescent="0.25">
      <c r="A634" t="s">
        <v>143</v>
      </c>
      <c r="B634" t="str">
        <f t="shared" si="10"/>
        <v/>
      </c>
    </row>
    <row r="635" spans="1:2" x14ac:dyDescent="0.25">
      <c r="A635" t="s">
        <v>15</v>
      </c>
      <c r="B635" t="str">
        <f t="shared" si="10"/>
        <v/>
      </c>
    </row>
    <row r="636" spans="1:2" x14ac:dyDescent="0.25">
      <c r="A636" t="s">
        <v>1</v>
      </c>
      <c r="B636" t="str">
        <f t="shared" si="10"/>
        <v>S, M, L, XL</v>
      </c>
    </row>
    <row r="637" spans="1:2" x14ac:dyDescent="0.25">
      <c r="A637" t="s">
        <v>283</v>
      </c>
      <c r="B637" t="str">
        <f t="shared" si="10"/>
        <v>Black Blue Bronze</v>
      </c>
    </row>
    <row r="638" spans="1:2" x14ac:dyDescent="0.25">
      <c r="A638" t="s">
        <v>284</v>
      </c>
      <c r="B638" t="str">
        <f t="shared" si="10"/>
        <v>25553BH ABEL</v>
      </c>
    </row>
    <row r="639" spans="1:2" x14ac:dyDescent="0.25">
      <c r="A639" t="s">
        <v>285</v>
      </c>
      <c r="B639" t="str">
        <f t="shared" si="10"/>
        <v/>
      </c>
    </row>
    <row r="640" spans="1:2" x14ac:dyDescent="0.25">
      <c r="A640" t="s">
        <v>286</v>
      </c>
      <c r="B640" t="str">
        <f t="shared" si="10"/>
        <v/>
      </c>
    </row>
    <row r="641" spans="1:2" x14ac:dyDescent="0.25">
      <c r="A641" t="s">
        <v>287</v>
      </c>
      <c r="B641" t="str">
        <f t="shared" si="10"/>
        <v/>
      </c>
    </row>
    <row r="642" spans="1:2" x14ac:dyDescent="0.25">
      <c r="A642" t="s">
        <v>143</v>
      </c>
      <c r="B642" t="str">
        <f t="shared" si="10"/>
        <v/>
      </c>
    </row>
    <row r="643" spans="1:2" x14ac:dyDescent="0.25">
      <c r="A643" t="s">
        <v>15</v>
      </c>
      <c r="B643" t="str">
        <f t="shared" si="10"/>
        <v/>
      </c>
    </row>
    <row r="644" spans="1:2" x14ac:dyDescent="0.25">
      <c r="A644" t="s">
        <v>1</v>
      </c>
      <c r="B644" t="str">
        <f t="shared" si="10"/>
        <v>S, M, L, XL</v>
      </c>
    </row>
    <row r="645" spans="1:2" x14ac:dyDescent="0.25">
      <c r="A645" t="s">
        <v>288</v>
      </c>
      <c r="B645" t="str">
        <f t="shared" ref="B645:B690" si="11">_xlfn.LET(_xlpm.isSizes,IFERROR(FIND(",",A645)&gt;=1,FALSE),_xlpm.isSizesUp,IFERROR(FIND(",",A644)&gt;=1,FALSE),_xlpm.isName,AND(IFERROR(VALUE(MID(A645,1,1)),FALSE),NOT(IFERROR(FIND("” ",A645)&gt;=1,FALSE)),NOT(IFERROR(FIND("/",A645)&gt;=1,FALSE))),_xlpm.isNameDown,AND(IFERROR(VALUE(MID(A646,1,1)),FALSE),NOT(IFERROR(FIND("” ",A646)&gt;=1,FALSE)),NOT(IFERROR(FIND("/",A646)&gt;=1,FALSE))),IF(_xlpm.isSizes,A645,IF(_xlpm.isSizesUp,A645,IF(_xlpm.isName,A645,IF(AND(_xlpm.isNameDown&lt;&gt;_xlpm.isName),A645,"")))))</f>
        <v>Copper Green Grey</v>
      </c>
    </row>
    <row r="646" spans="1:2" x14ac:dyDescent="0.25">
      <c r="A646" t="s">
        <v>289</v>
      </c>
      <c r="B646" t="str">
        <f t="shared" si="11"/>
        <v>25552BH CLAUD</v>
      </c>
    </row>
    <row r="647" spans="1:2" x14ac:dyDescent="0.25">
      <c r="A647" t="s">
        <v>290</v>
      </c>
      <c r="B647" t="str">
        <f t="shared" si="11"/>
        <v/>
      </c>
    </row>
    <row r="648" spans="1:2" x14ac:dyDescent="0.25">
      <c r="A648" t="s">
        <v>287</v>
      </c>
      <c r="B648" t="str">
        <f t="shared" si="11"/>
        <v/>
      </c>
    </row>
    <row r="649" spans="1:2" x14ac:dyDescent="0.25">
      <c r="A649" t="s">
        <v>143</v>
      </c>
      <c r="B649" t="str">
        <f t="shared" si="11"/>
        <v/>
      </c>
    </row>
    <row r="650" spans="1:2" x14ac:dyDescent="0.25">
      <c r="A650" t="s">
        <v>15</v>
      </c>
      <c r="B650" t="str">
        <f t="shared" si="11"/>
        <v/>
      </c>
    </row>
    <row r="651" spans="1:2" x14ac:dyDescent="0.25">
      <c r="A651" t="s">
        <v>1</v>
      </c>
      <c r="B651" t="str">
        <f t="shared" si="11"/>
        <v>S, M, L, XL</v>
      </c>
    </row>
    <row r="652" spans="1:2" x14ac:dyDescent="0.25">
      <c r="A652" t="s">
        <v>283</v>
      </c>
      <c r="B652" t="str">
        <f>_xlfn.LET(_xlpm.isSizes,IFERROR(FIND(",",A652)&gt;=1,FALSE),_xlpm.isSizesUp,IFERROR(FIND(",",A651)&gt;=1,FALSE),_xlpm.isName,AND(IFERROR(VALUE(MID(A652,1,1)),FALSE),NOT(IFERROR(FIND("” ",A652)&gt;=1,FALSE)),NOT(IFERROR(FIND("/",A652)&gt;=1,FALSE))),_xlpm.isNameDown,AND(IFERROR(VALUE(MID(#REF!,1,1)),FALSE),NOT(IFERROR(FIND("” ",#REF!)&gt;=1,FALSE)),NOT(IFERROR(FIND("/",#REF!)&gt;=1,FALSE))),IF(_xlpm.isSizes,A652,IF(_xlpm.isSizesUp,A652,IF(_xlpm.isName,A652,IF(AND(_xlpm.isNameDown&lt;&gt;_xlpm.isName),A652,"")))))</f>
        <v>Black Blue Bronze</v>
      </c>
    </row>
    <row r="653" spans="1:2" x14ac:dyDescent="0.25">
      <c r="A653" t="s">
        <v>291</v>
      </c>
      <c r="B653" t="str">
        <f>_xlfn.LET(_xlpm.isSizes,IFERROR(FIND(",",A653)&gt;=1,FALSE),_xlpm.isSizesUp,IFERROR(FIND(",",#REF!)&gt;=1,FALSE),_xlpm.isName,AND(IFERROR(VALUE(MID(A653,1,1)),FALSE),NOT(IFERROR(FIND("” ",A653)&gt;=1,FALSE)),NOT(IFERROR(FIND("/",A653)&gt;=1,FALSE))),_xlpm.isNameDown,AND(IFERROR(VALUE(MID(A654,1,1)),FALSE),NOT(IFERROR(FIND("” ",A654)&gt;=1,FALSE)),NOT(IFERROR(FIND("/",A654)&gt;=1,FALSE))),IF(_xlpm.isSizes,A653,IF(_xlpm.isSizesUp,A653,IF(_xlpm.isName,A653,IF(AND(_xlpm.isNameDown&lt;&gt;_xlpm.isName),A653,"")))))</f>
        <v>25551BH FOSTER</v>
      </c>
    </row>
    <row r="654" spans="1:2" x14ac:dyDescent="0.25">
      <c r="A654" t="s">
        <v>290</v>
      </c>
      <c r="B654" t="str">
        <f t="shared" si="11"/>
        <v/>
      </c>
    </row>
    <row r="655" spans="1:2" x14ac:dyDescent="0.25">
      <c r="A655" t="s">
        <v>287</v>
      </c>
      <c r="B655" t="str">
        <f t="shared" si="11"/>
        <v/>
      </c>
    </row>
    <row r="656" spans="1:2" x14ac:dyDescent="0.25">
      <c r="A656" t="s">
        <v>292</v>
      </c>
      <c r="B656" t="str">
        <f t="shared" si="11"/>
        <v/>
      </c>
    </row>
    <row r="657" spans="1:2" x14ac:dyDescent="0.25">
      <c r="A657" t="s">
        <v>143</v>
      </c>
      <c r="B657" t="str">
        <f t="shared" si="11"/>
        <v/>
      </c>
    </row>
    <row r="658" spans="1:2" x14ac:dyDescent="0.25">
      <c r="A658" t="s">
        <v>15</v>
      </c>
      <c r="B658" t="str">
        <f t="shared" si="11"/>
        <v/>
      </c>
    </row>
    <row r="659" spans="1:2" x14ac:dyDescent="0.25">
      <c r="A659" t="s">
        <v>1</v>
      </c>
      <c r="B659" t="str">
        <f t="shared" si="11"/>
        <v>S, M, L, XL</v>
      </c>
    </row>
    <row r="660" spans="1:2" x14ac:dyDescent="0.25">
      <c r="A660" t="s">
        <v>293</v>
      </c>
      <c r="B660" t="str">
        <f t="shared" si="11"/>
        <v>Avion Black Oak</v>
      </c>
    </row>
    <row r="661" spans="1:2" x14ac:dyDescent="0.25">
      <c r="A661" t="s">
        <v>294</v>
      </c>
      <c r="B661" t="str">
        <f t="shared" si="11"/>
        <v>25555BH APOSTO</v>
      </c>
    </row>
    <row r="662" spans="1:2" x14ac:dyDescent="0.25">
      <c r="A662" t="s">
        <v>285</v>
      </c>
      <c r="B662" t="str">
        <f t="shared" si="11"/>
        <v/>
      </c>
    </row>
    <row r="663" spans="1:2" x14ac:dyDescent="0.25">
      <c r="A663" t="s">
        <v>287</v>
      </c>
      <c r="B663" t="str">
        <f t="shared" si="11"/>
        <v/>
      </c>
    </row>
    <row r="664" spans="1:2" x14ac:dyDescent="0.25">
      <c r="A664" t="s">
        <v>143</v>
      </c>
      <c r="B664" t="str">
        <f t="shared" si="11"/>
        <v/>
      </c>
    </row>
    <row r="665" spans="1:2" x14ac:dyDescent="0.25">
      <c r="A665" t="s">
        <v>15</v>
      </c>
      <c r="B665" t="str">
        <f t="shared" si="11"/>
        <v/>
      </c>
    </row>
    <row r="666" spans="1:2" x14ac:dyDescent="0.25">
      <c r="A666" t="s">
        <v>1</v>
      </c>
      <c r="B666" t="str">
        <f t="shared" si="11"/>
        <v>S, M, L, XL</v>
      </c>
    </row>
    <row r="667" spans="1:2" x14ac:dyDescent="0.25">
      <c r="A667" t="s">
        <v>295</v>
      </c>
      <c r="B667" t="str">
        <f t="shared" si="11"/>
        <v>Beige Stripe Black Stripe Avion Stripe</v>
      </c>
    </row>
    <row r="668" spans="1:2" x14ac:dyDescent="0.25">
      <c r="A668" t="s">
        <v>296</v>
      </c>
      <c r="B668" t="str">
        <f t="shared" si="11"/>
        <v>25554BH LOU</v>
      </c>
    </row>
    <row r="669" spans="1:2" x14ac:dyDescent="0.25">
      <c r="A669" t="s">
        <v>297</v>
      </c>
      <c r="B669" t="str">
        <f t="shared" si="11"/>
        <v/>
      </c>
    </row>
    <row r="670" spans="1:2" x14ac:dyDescent="0.25">
      <c r="A670" t="s">
        <v>287</v>
      </c>
      <c r="B670" t="str">
        <f t="shared" si="11"/>
        <v/>
      </c>
    </row>
    <row r="671" spans="1:2" x14ac:dyDescent="0.25">
      <c r="A671" t="s">
        <v>143</v>
      </c>
      <c r="B671" t="str">
        <f t="shared" si="11"/>
        <v/>
      </c>
    </row>
    <row r="672" spans="1:2" x14ac:dyDescent="0.25">
      <c r="A672" t="s">
        <v>15</v>
      </c>
      <c r="B672" t="str">
        <f t="shared" si="11"/>
        <v/>
      </c>
    </row>
    <row r="673" spans="1:2" x14ac:dyDescent="0.25">
      <c r="A673" t="s">
        <v>1</v>
      </c>
      <c r="B673" t="str">
        <f t="shared" si="11"/>
        <v>S, M, L, XL</v>
      </c>
    </row>
    <row r="674" spans="1:2" x14ac:dyDescent="0.25">
      <c r="A674" t="s">
        <v>298</v>
      </c>
      <c r="B674" t="str">
        <f t="shared" si="11"/>
        <v>Oak Plaid</v>
      </c>
    </row>
    <row r="675" spans="1:2" x14ac:dyDescent="0.25">
      <c r="A675" t="s">
        <v>299</v>
      </c>
      <c r="B675" t="str">
        <f t="shared" si="11"/>
        <v>25558BH FURMAN</v>
      </c>
    </row>
    <row r="676" spans="1:2" x14ac:dyDescent="0.25">
      <c r="A676" t="s">
        <v>300</v>
      </c>
      <c r="B676" t="str">
        <f t="shared" si="11"/>
        <v/>
      </c>
    </row>
    <row r="677" spans="1:2" x14ac:dyDescent="0.25">
      <c r="A677" t="s">
        <v>287</v>
      </c>
      <c r="B677" t="str">
        <f t="shared" si="11"/>
        <v/>
      </c>
    </row>
    <row r="678" spans="1:2" x14ac:dyDescent="0.25">
      <c r="A678" t="s">
        <v>143</v>
      </c>
      <c r="B678" t="str">
        <f t="shared" si="11"/>
        <v/>
      </c>
    </row>
    <row r="679" spans="1:2" x14ac:dyDescent="0.25">
      <c r="A679" t="s">
        <v>15</v>
      </c>
      <c r="B679" t="str">
        <f t="shared" si="11"/>
        <v/>
      </c>
    </row>
    <row r="680" spans="1:2" x14ac:dyDescent="0.25">
      <c r="A680" t="s">
        <v>1</v>
      </c>
      <c r="B680" t="str">
        <f t="shared" si="11"/>
        <v>S, M, L, XL</v>
      </c>
    </row>
    <row r="681" spans="1:2" x14ac:dyDescent="0.25">
      <c r="A681" t="s">
        <v>301</v>
      </c>
      <c r="B681" t="str">
        <f t="shared" si="11"/>
        <v>Blue Plaid Copper Plaid Uniform Green Plaid</v>
      </c>
    </row>
    <row r="682" spans="1:2" x14ac:dyDescent="0.25">
      <c r="A682" t="s">
        <v>302</v>
      </c>
      <c r="B682" t="str">
        <f t="shared" si="11"/>
        <v>25440 ORMOND</v>
      </c>
    </row>
    <row r="683" spans="1:2" x14ac:dyDescent="0.25">
      <c r="A683" t="s">
        <v>297</v>
      </c>
      <c r="B683" t="str">
        <f t="shared" si="11"/>
        <v/>
      </c>
    </row>
    <row r="684" spans="1:2" x14ac:dyDescent="0.25">
      <c r="A684" t="s">
        <v>287</v>
      </c>
      <c r="B684" t="str">
        <f t="shared" si="11"/>
        <v/>
      </c>
    </row>
    <row r="685" spans="1:2" x14ac:dyDescent="0.25">
      <c r="A685" t="s">
        <v>143</v>
      </c>
      <c r="B685" t="str">
        <f t="shared" si="11"/>
        <v/>
      </c>
    </row>
    <row r="686" spans="1:2" x14ac:dyDescent="0.25">
      <c r="A686" t="s">
        <v>15</v>
      </c>
      <c r="B686" t="str">
        <f t="shared" si="11"/>
        <v/>
      </c>
    </row>
    <row r="687" spans="1:2" x14ac:dyDescent="0.25">
      <c r="A687" t="s">
        <v>105</v>
      </c>
      <c r="B687" t="str">
        <f t="shared" si="11"/>
        <v>S, M, L, XL, XXL</v>
      </c>
    </row>
    <row r="688" spans="1:2" x14ac:dyDescent="0.25">
      <c r="A688" t="s">
        <v>303</v>
      </c>
      <c r="B688" t="str">
        <f t="shared" si="11"/>
        <v>Black Paid Brown Herringbone</v>
      </c>
    </row>
    <row r="689" spans="1:2" x14ac:dyDescent="0.25">
      <c r="A689" t="s">
        <v>304</v>
      </c>
      <c r="B689" t="str">
        <f t="shared" si="11"/>
        <v>25548BH FINNEGAN</v>
      </c>
    </row>
    <row r="690" spans="1:2" x14ac:dyDescent="0.25">
      <c r="A690" t="s">
        <v>300</v>
      </c>
      <c r="B690" t="str">
        <f t="shared" si="11"/>
        <v/>
      </c>
    </row>
    <row r="691" spans="1:2" x14ac:dyDescent="0.25">
      <c r="A691" t="s">
        <v>287</v>
      </c>
      <c r="B691" t="str">
        <f t="shared" ref="B691:B752" si="12">_xlfn.LET(_xlpm.isSizes,IFERROR(FIND(",",A691)&gt;=1,FALSE),_xlpm.isSizesUp,IFERROR(FIND(",",A690)&gt;=1,FALSE),_xlpm.isName,AND(IFERROR(VALUE(MID(A691,1,1)),FALSE),NOT(IFERROR(FIND("” ",A691)&gt;=1,FALSE)),NOT(IFERROR(FIND("/",A691)&gt;=1,FALSE))),_xlpm.isNameDown,AND(IFERROR(VALUE(MID(A692,1,1)),FALSE),NOT(IFERROR(FIND("” ",A692)&gt;=1,FALSE)),NOT(IFERROR(FIND("/",A692)&gt;=1,FALSE))),IF(_xlpm.isSizes,A691,IF(_xlpm.isSizesUp,A691,IF(_xlpm.isName,A691,IF(AND(_xlpm.isNameDown&lt;&gt;_xlpm.isName),A691,"")))))</f>
        <v/>
      </c>
    </row>
    <row r="692" spans="1:2" x14ac:dyDescent="0.25">
      <c r="A692" t="s">
        <v>143</v>
      </c>
      <c r="B692" t="str">
        <f t="shared" si="12"/>
        <v/>
      </c>
    </row>
    <row r="693" spans="1:2" x14ac:dyDescent="0.25">
      <c r="A693" t="s">
        <v>15</v>
      </c>
      <c r="B693" t="str">
        <f t="shared" si="12"/>
        <v/>
      </c>
    </row>
    <row r="694" spans="1:2" x14ac:dyDescent="0.25">
      <c r="A694" t="s">
        <v>1</v>
      </c>
      <c r="B694" t="str">
        <f t="shared" si="12"/>
        <v>S, M, L, XL</v>
      </c>
    </row>
    <row r="695" spans="1:2" x14ac:dyDescent="0.25">
      <c r="A695" t="s">
        <v>151</v>
      </c>
      <c r="B695" t="str">
        <f t="shared" si="12"/>
        <v>Black Ochre</v>
      </c>
    </row>
    <row r="696" spans="1:2" x14ac:dyDescent="0.25">
      <c r="A696" t="s">
        <v>305</v>
      </c>
      <c r="B696" t="str">
        <f t="shared" si="12"/>
        <v>25557BH BRUNE</v>
      </c>
    </row>
    <row r="697" spans="1:2" x14ac:dyDescent="0.25">
      <c r="A697" t="s">
        <v>300</v>
      </c>
      <c r="B697" t="str">
        <f t="shared" si="12"/>
        <v/>
      </c>
    </row>
    <row r="698" spans="1:2" x14ac:dyDescent="0.25">
      <c r="A698" t="s">
        <v>287</v>
      </c>
      <c r="B698" t="str">
        <f t="shared" si="12"/>
        <v/>
      </c>
    </row>
    <row r="699" spans="1:2" x14ac:dyDescent="0.25">
      <c r="A699" t="s">
        <v>143</v>
      </c>
      <c r="B699" t="str">
        <f t="shared" si="12"/>
        <v/>
      </c>
    </row>
    <row r="700" spans="1:2" x14ac:dyDescent="0.25">
      <c r="A700" t="s">
        <v>15</v>
      </c>
      <c r="B700" t="str">
        <f t="shared" si="12"/>
        <v/>
      </c>
    </row>
    <row r="701" spans="1:2" x14ac:dyDescent="0.25">
      <c r="A701" t="s">
        <v>1</v>
      </c>
      <c r="B701" t="str">
        <f t="shared" si="12"/>
        <v>S, M, L, XL</v>
      </c>
    </row>
    <row r="702" spans="1:2" x14ac:dyDescent="0.25">
      <c r="A702" t="s">
        <v>306</v>
      </c>
      <c r="B702" t="str">
        <f t="shared" si="12"/>
        <v>Avion Grey</v>
      </c>
    </row>
    <row r="703" spans="1:2" x14ac:dyDescent="0.25">
      <c r="A703" t="s">
        <v>307</v>
      </c>
      <c r="B703" t="str">
        <f t="shared" si="12"/>
        <v>25556BH GRIFF</v>
      </c>
    </row>
    <row r="704" spans="1:2" x14ac:dyDescent="0.25">
      <c r="A704" t="s">
        <v>297</v>
      </c>
      <c r="B704" t="str">
        <f t="shared" si="12"/>
        <v/>
      </c>
    </row>
    <row r="705" spans="1:2" x14ac:dyDescent="0.25">
      <c r="A705" t="s">
        <v>287</v>
      </c>
      <c r="B705" t="str">
        <f t="shared" si="12"/>
        <v/>
      </c>
    </row>
    <row r="706" spans="1:2" x14ac:dyDescent="0.25">
      <c r="A706" t="s">
        <v>143</v>
      </c>
      <c r="B706" t="str">
        <f t="shared" si="12"/>
        <v/>
      </c>
    </row>
    <row r="707" spans="1:2" x14ac:dyDescent="0.25">
      <c r="A707" t="s">
        <v>15</v>
      </c>
      <c r="B707" t="str">
        <f t="shared" si="12"/>
        <v/>
      </c>
    </row>
    <row r="708" spans="1:2" x14ac:dyDescent="0.25">
      <c r="A708" t="s">
        <v>1</v>
      </c>
      <c r="B708" t="str">
        <f t="shared" si="12"/>
        <v>S, M, L, XL</v>
      </c>
    </row>
    <row r="709" spans="1:2" x14ac:dyDescent="0.25">
      <c r="A709" t="s">
        <v>308</v>
      </c>
      <c r="B709" t="str">
        <f t="shared" si="12"/>
        <v>Avion Plaid Oak Twill Uniform Green Plaid</v>
      </c>
    </row>
    <row r="710" spans="1:2" x14ac:dyDescent="0.25">
      <c r="A710" t="s">
        <v>309</v>
      </c>
      <c r="B710" t="str">
        <f t="shared" si="12"/>
        <v>1365 GRAHAM</v>
      </c>
    </row>
    <row r="711" spans="1:2" x14ac:dyDescent="0.25">
      <c r="A711" t="s">
        <v>310</v>
      </c>
      <c r="B711" t="str">
        <f t="shared" si="12"/>
        <v/>
      </c>
    </row>
    <row r="712" spans="1:2" x14ac:dyDescent="0.25">
      <c r="A712" t="s">
        <v>143</v>
      </c>
      <c r="B712" t="str">
        <f t="shared" si="12"/>
        <v/>
      </c>
    </row>
    <row r="713" spans="1:2" x14ac:dyDescent="0.25">
      <c r="A713" t="s">
        <v>15</v>
      </c>
      <c r="B713" t="str">
        <f t="shared" si="12"/>
        <v/>
      </c>
    </row>
    <row r="714" spans="1:2" x14ac:dyDescent="0.25">
      <c r="A714" t="s">
        <v>105</v>
      </c>
      <c r="B714" t="str">
        <f t="shared" si="12"/>
        <v>S, M, L, XL, XXL</v>
      </c>
    </row>
    <row r="715" spans="1:2" x14ac:dyDescent="0.25">
      <c r="A715" t="s">
        <v>311</v>
      </c>
      <c r="B715" t="str">
        <f t="shared" si="12"/>
        <v>Black Chino Navy Tan</v>
      </c>
    </row>
    <row r="716" spans="1:2" x14ac:dyDescent="0.25">
      <c r="A716" t="s">
        <v>312</v>
      </c>
      <c r="B716" t="str">
        <f t="shared" si="12"/>
        <v>25150BH REFFELL</v>
      </c>
    </row>
    <row r="717" spans="1:2" x14ac:dyDescent="0.25">
      <c r="A717" t="s">
        <v>313</v>
      </c>
      <c r="B717" t="str">
        <f t="shared" si="12"/>
        <v/>
      </c>
    </row>
    <row r="718" spans="1:2" x14ac:dyDescent="0.25">
      <c r="A718" t="s">
        <v>143</v>
      </c>
      <c r="B718" t="str">
        <f t="shared" si="12"/>
        <v/>
      </c>
    </row>
    <row r="719" spans="1:2" x14ac:dyDescent="0.25">
      <c r="A719" t="s">
        <v>15</v>
      </c>
      <c r="B719" t="str">
        <f t="shared" si="12"/>
        <v/>
      </c>
    </row>
    <row r="720" spans="1:2" x14ac:dyDescent="0.25">
      <c r="A720" t="s">
        <v>1</v>
      </c>
      <c r="B720" t="str">
        <f t="shared" si="12"/>
        <v>S, M, L, XL</v>
      </c>
    </row>
    <row r="721" spans="1:2" x14ac:dyDescent="0.25">
      <c r="A721" t="s">
        <v>314</v>
      </c>
      <c r="B721" t="str">
        <f t="shared" si="12"/>
        <v>Black Copper</v>
      </c>
    </row>
    <row r="722" spans="1:2" x14ac:dyDescent="0.25">
      <c r="A722" t="s">
        <v>315</v>
      </c>
      <c r="B722" t="str">
        <f t="shared" si="12"/>
        <v>25102 TAXTEN</v>
      </c>
    </row>
    <row r="723" spans="1:2" x14ac:dyDescent="0.25">
      <c r="A723" t="s">
        <v>316</v>
      </c>
      <c r="B723" t="str">
        <f t="shared" si="12"/>
        <v/>
      </c>
    </row>
    <row r="724" spans="1:2" x14ac:dyDescent="0.25">
      <c r="A724" t="s">
        <v>143</v>
      </c>
      <c r="B724" t="str">
        <f t="shared" si="12"/>
        <v/>
      </c>
    </row>
    <row r="725" spans="1:2" x14ac:dyDescent="0.25">
      <c r="A725" t="s">
        <v>15</v>
      </c>
      <c r="B725" t="str">
        <f t="shared" si="12"/>
        <v/>
      </c>
    </row>
    <row r="726" spans="1:2" x14ac:dyDescent="0.25">
      <c r="A726" t="s">
        <v>1</v>
      </c>
      <c r="B726" t="str">
        <f t="shared" si="12"/>
        <v>S, M, L, XL</v>
      </c>
    </row>
    <row r="727" spans="1:2" x14ac:dyDescent="0.25">
      <c r="A727" t="s">
        <v>317</v>
      </c>
      <c r="B727" t="str">
        <f t="shared" si="12"/>
        <v>Brown</v>
      </c>
    </row>
    <row r="728" spans="1:2" x14ac:dyDescent="0.25">
      <c r="A728" t="s">
        <v>318</v>
      </c>
      <c r="B728" t="str">
        <f t="shared" si="12"/>
        <v>25101 STOCKTON</v>
      </c>
    </row>
    <row r="729" spans="1:2" x14ac:dyDescent="0.25">
      <c r="A729" t="s">
        <v>319</v>
      </c>
      <c r="B729" t="str">
        <f t="shared" si="12"/>
        <v/>
      </c>
    </row>
    <row r="730" spans="1:2" x14ac:dyDescent="0.25">
      <c r="A730" t="s">
        <v>320</v>
      </c>
      <c r="B730" t="str">
        <f t="shared" si="12"/>
        <v/>
      </c>
    </row>
    <row r="731" spans="1:2" x14ac:dyDescent="0.25">
      <c r="A731" t="s">
        <v>321</v>
      </c>
      <c r="B731" t="str">
        <f t="shared" si="12"/>
        <v/>
      </c>
    </row>
    <row r="732" spans="1:2" x14ac:dyDescent="0.25">
      <c r="A732" t="s">
        <v>15</v>
      </c>
      <c r="B732" t="str">
        <f t="shared" si="12"/>
        <v/>
      </c>
    </row>
    <row r="733" spans="1:2" x14ac:dyDescent="0.25">
      <c r="A733" t="s">
        <v>1</v>
      </c>
      <c r="B733" t="str">
        <f t="shared" si="12"/>
        <v>S, M, L, XL</v>
      </c>
    </row>
    <row r="734" spans="1:2" x14ac:dyDescent="0.25">
      <c r="A734" t="s">
        <v>9</v>
      </c>
      <c r="B734" t="str">
        <f>_xlfn.LET(_xlpm.isSizes,IFERROR(FIND(",",A734)&gt;=1,FALSE),_xlpm.isSizesUp,IFERROR(FIND(",",A733)&gt;=1,FALSE),_xlpm.isName,AND(IFERROR(VALUE(MID(A734,1,1)),FALSE),NOT(IFERROR(FIND("” ",A734)&gt;=1,FALSE)),NOT(IFERROR(FIND("/",A734)&gt;=1,FALSE))),_xlpm.isNameDown,AND(IFERROR(VALUE(MID(#REF!,1,1)),FALSE),NOT(IFERROR(FIND("” ",#REF!)&gt;=1,FALSE)),NOT(IFERROR(FIND("/",#REF!)&gt;=1,FALSE))),IF(_xlpm.isSizes,A734,IF(_xlpm.isSizesUp,A734,IF(_xlpm.isName,A734,IF(AND(_xlpm.isNameDown&lt;&gt;_xlpm.isName),A734,"")))))</f>
        <v>Black</v>
      </c>
    </row>
    <row r="735" spans="1:2" x14ac:dyDescent="0.25">
      <c r="A735" t="s">
        <v>322</v>
      </c>
      <c r="B735" t="str">
        <f>_xlfn.LET(_xlpm.isSizes,IFERROR(FIND(",",A735)&gt;=1,FALSE),_xlpm.isSizesUp,IFERROR(FIND(",",#REF!)&gt;=1,FALSE),_xlpm.isName,AND(IFERROR(VALUE(MID(A735,1,1)),FALSE),NOT(IFERROR(FIND("” ",A735)&gt;=1,FALSE)),NOT(IFERROR(FIND("/",A735)&gt;=1,FALSE))),_xlpm.isNameDown,AND(IFERROR(VALUE(MID(A736,1,1)),FALSE),NOT(IFERROR(FIND("” ",A736)&gt;=1,FALSE)),NOT(IFERROR(FIND("/",A736)&gt;=1,FALSE))),IF(_xlpm.isSizes,A735,IF(_xlpm.isSizesUp,A735,IF(_xlpm.isName,A735,IF(AND(_xlpm.isNameDown&lt;&gt;_xlpm.isName),A735,"")))))</f>
        <v>25111 LAZAR</v>
      </c>
    </row>
    <row r="736" spans="1:2" x14ac:dyDescent="0.25">
      <c r="A736" t="s">
        <v>316</v>
      </c>
      <c r="B736" t="str">
        <f t="shared" si="12"/>
        <v/>
      </c>
    </row>
    <row r="737" spans="1:2" x14ac:dyDescent="0.25">
      <c r="A737" t="s">
        <v>143</v>
      </c>
      <c r="B737" t="str">
        <f t="shared" si="12"/>
        <v/>
      </c>
    </row>
    <row r="738" spans="1:2" x14ac:dyDescent="0.25">
      <c r="A738" t="s">
        <v>15</v>
      </c>
      <c r="B738" t="str">
        <f t="shared" si="12"/>
        <v/>
      </c>
    </row>
    <row r="739" spans="1:2" x14ac:dyDescent="0.25">
      <c r="A739" t="s">
        <v>1</v>
      </c>
      <c r="B739" t="str">
        <f t="shared" si="12"/>
        <v>S, M, L, XL</v>
      </c>
    </row>
    <row r="740" spans="1:2" x14ac:dyDescent="0.25">
      <c r="A740" t="s">
        <v>323</v>
      </c>
      <c r="B740" t="str">
        <f t="shared" si="12"/>
        <v>Dark Coffee</v>
      </c>
    </row>
    <row r="741" spans="1:2" x14ac:dyDescent="0.25">
      <c r="A741" t="s">
        <v>324</v>
      </c>
      <c r="B741" t="str">
        <f t="shared" si="12"/>
        <v>25100 NOCLIN</v>
      </c>
    </row>
    <row r="742" spans="1:2" x14ac:dyDescent="0.25">
      <c r="A742" t="s">
        <v>290</v>
      </c>
      <c r="B742" t="str">
        <f t="shared" si="12"/>
        <v/>
      </c>
    </row>
    <row r="743" spans="1:2" x14ac:dyDescent="0.25">
      <c r="A743" t="s">
        <v>320</v>
      </c>
      <c r="B743" t="str">
        <f t="shared" si="12"/>
        <v/>
      </c>
    </row>
    <row r="744" spans="1:2" x14ac:dyDescent="0.25">
      <c r="A744" t="s">
        <v>321</v>
      </c>
      <c r="B744" t="str">
        <f t="shared" si="12"/>
        <v/>
      </c>
    </row>
    <row r="745" spans="1:2" x14ac:dyDescent="0.25">
      <c r="A745" t="s">
        <v>15</v>
      </c>
      <c r="B745" t="str">
        <f t="shared" si="12"/>
        <v/>
      </c>
    </row>
    <row r="746" spans="1:2" x14ac:dyDescent="0.25">
      <c r="A746" t="s">
        <v>1</v>
      </c>
      <c r="B746" t="str">
        <f t="shared" si="12"/>
        <v>S, M, L, XL</v>
      </c>
    </row>
    <row r="747" spans="1:2" x14ac:dyDescent="0.25">
      <c r="A747" t="s">
        <v>9</v>
      </c>
      <c r="B747" t="str">
        <f>_xlfn.LET(_xlpm.isSizes,IFERROR(FIND(",",A747)&gt;=1,FALSE),_xlpm.isSizesUp,IFERROR(FIND(",",A746)&gt;=1,FALSE),_xlpm.isName,AND(IFERROR(VALUE(MID(A747,1,1)),FALSE),NOT(IFERROR(FIND("” ",A747)&gt;=1,FALSE)),NOT(IFERROR(FIND("/",A747)&gt;=1,FALSE))),_xlpm.isNameDown,AND(IFERROR(VALUE(MID(#REF!,1,1)),FALSE),NOT(IFERROR(FIND("” ",#REF!)&gt;=1,FALSE)),NOT(IFERROR(FIND("/",#REF!)&gt;=1,FALSE))),IF(_xlpm.isSizes,A747,IF(_xlpm.isSizesUp,A747,IF(_xlpm.isName,A747,IF(AND(_xlpm.isNameDown&lt;&gt;_xlpm.isName),A747,"")))))</f>
        <v>Black</v>
      </c>
    </row>
    <row r="748" spans="1:2" x14ac:dyDescent="0.25">
      <c r="A748" t="s">
        <v>325</v>
      </c>
      <c r="B748" t="str">
        <f>_xlfn.LET(_xlpm.isSizes,IFERROR(FIND(",",A748)&gt;=1,FALSE),_xlpm.isSizesUp,IFERROR(FIND(",",#REF!)&gt;=1,FALSE),_xlpm.isName,AND(IFERROR(VALUE(MID(A748,1,1)),FALSE),NOT(IFERROR(FIND("” ",A748)&gt;=1,FALSE)),NOT(IFERROR(FIND("/",A748)&gt;=1,FALSE))),_xlpm.isNameDown,AND(IFERROR(VALUE(MID(A749,1,1)),FALSE),NOT(IFERROR(FIND("” ",A749)&gt;=1,FALSE)),NOT(IFERROR(FIND("/",A749)&gt;=1,FALSE))),IF(_xlpm.isSizes,A748,IF(_xlpm.isSizesUp,A748,IF(_xlpm.isName,A748,IF(AND(_xlpm.isNameDown&lt;&gt;_xlpm.isName),A748,"")))))</f>
        <v>25105 VEGA</v>
      </c>
    </row>
    <row r="749" spans="1:2" x14ac:dyDescent="0.25">
      <c r="A749" t="s">
        <v>326</v>
      </c>
      <c r="B749" t="str">
        <f t="shared" si="12"/>
        <v/>
      </c>
    </row>
    <row r="750" spans="1:2" x14ac:dyDescent="0.25">
      <c r="A750" t="s">
        <v>327</v>
      </c>
      <c r="B750" t="str">
        <f t="shared" si="12"/>
        <v/>
      </c>
    </row>
    <row r="751" spans="1:2" x14ac:dyDescent="0.25">
      <c r="A751" t="s">
        <v>15</v>
      </c>
      <c r="B751" t="str">
        <f t="shared" si="12"/>
        <v/>
      </c>
    </row>
    <row r="752" spans="1:2" x14ac:dyDescent="0.25">
      <c r="A752" t="s">
        <v>1</v>
      </c>
      <c r="B752" t="str">
        <f t="shared" si="12"/>
        <v>S, M, L, XL</v>
      </c>
    </row>
    <row r="753" spans="1:2" x14ac:dyDescent="0.25">
      <c r="A753" t="s">
        <v>9</v>
      </c>
      <c r="B753" t="str">
        <f t="shared" ref="B753:B783" si="13">_xlfn.LET(_xlpm.isSizes,IFERROR(FIND(",",A753)&gt;=1,FALSE),_xlpm.isSizesUp,IFERROR(FIND(",",A752)&gt;=1,FALSE),_xlpm.isName,AND(IFERROR(VALUE(MID(A753,1,1)),FALSE),NOT(IFERROR(FIND("” ",A753)&gt;=1,FALSE)),NOT(IFERROR(FIND("/",A753)&gt;=1,FALSE))),_xlpm.isNameDown,AND(IFERROR(VALUE(MID(A754,1,1)),FALSE),NOT(IFERROR(FIND("” ",A754)&gt;=1,FALSE)),NOT(IFERROR(FIND("/",A754)&gt;=1,FALSE))),IF(_xlpm.isSizes,A753,IF(_xlpm.isSizesUp,A753,IF(_xlpm.isName,A753,IF(AND(_xlpm.isNameDown&lt;&gt;_xlpm.isName),A753,"")))))</f>
        <v>Black</v>
      </c>
    </row>
    <row r="754" spans="1:2" x14ac:dyDescent="0.25">
      <c r="A754" t="s">
        <v>328</v>
      </c>
      <c r="B754" t="str">
        <f t="shared" si="13"/>
        <v>25141BH BRODIE</v>
      </c>
    </row>
    <row r="755" spans="1:2" x14ac:dyDescent="0.25">
      <c r="A755" t="s">
        <v>326</v>
      </c>
      <c r="B755" t="str">
        <f t="shared" si="13"/>
        <v/>
      </c>
    </row>
    <row r="756" spans="1:2" x14ac:dyDescent="0.25">
      <c r="A756" t="s">
        <v>329</v>
      </c>
      <c r="B756" t="str">
        <f t="shared" si="13"/>
        <v/>
      </c>
    </row>
    <row r="757" spans="1:2" x14ac:dyDescent="0.25">
      <c r="A757" t="s">
        <v>15</v>
      </c>
      <c r="B757" t="str">
        <f t="shared" si="13"/>
        <v/>
      </c>
    </row>
    <row r="758" spans="1:2" x14ac:dyDescent="0.25">
      <c r="A758" t="s">
        <v>1</v>
      </c>
      <c r="B758" t="str">
        <f t="shared" si="13"/>
        <v>S, M, L, XL</v>
      </c>
    </row>
    <row r="759" spans="1:2" x14ac:dyDescent="0.25">
      <c r="A759" t="s">
        <v>330</v>
      </c>
      <c r="B759" t="str">
        <f t="shared" si="13"/>
        <v>Marl Black Navy Plaid</v>
      </c>
    </row>
    <row r="760" spans="1:2" x14ac:dyDescent="0.25">
      <c r="A760" t="s">
        <v>331</v>
      </c>
      <c r="B760" t="str">
        <f t="shared" si="13"/>
        <v>25119 VERNON</v>
      </c>
    </row>
    <row r="761" spans="1:2" x14ac:dyDescent="0.25">
      <c r="A761" t="s">
        <v>326</v>
      </c>
      <c r="B761" t="str">
        <f t="shared" si="13"/>
        <v/>
      </c>
    </row>
    <row r="762" spans="1:2" x14ac:dyDescent="0.25">
      <c r="A762" t="s">
        <v>332</v>
      </c>
      <c r="B762" t="str">
        <f t="shared" si="13"/>
        <v/>
      </c>
    </row>
    <row r="763" spans="1:2" x14ac:dyDescent="0.25">
      <c r="A763" t="s">
        <v>333</v>
      </c>
      <c r="B763" t="str">
        <f t="shared" si="13"/>
        <v/>
      </c>
    </row>
    <row r="764" spans="1:2" x14ac:dyDescent="0.25">
      <c r="A764" t="s">
        <v>15</v>
      </c>
      <c r="B764" t="str">
        <f t="shared" si="13"/>
        <v/>
      </c>
    </row>
    <row r="765" spans="1:2" x14ac:dyDescent="0.25">
      <c r="A765" t="s">
        <v>1</v>
      </c>
      <c r="B765" t="str">
        <f t="shared" si="13"/>
        <v>S, M, L, XL</v>
      </c>
    </row>
    <row r="766" spans="1:2" x14ac:dyDescent="0.25">
      <c r="A766" t="s">
        <v>334</v>
      </c>
      <c r="B766" t="str">
        <f t="shared" si="13"/>
        <v>Black Brown</v>
      </c>
    </row>
    <row r="767" spans="1:2" x14ac:dyDescent="0.25">
      <c r="A767" t="s">
        <v>335</v>
      </c>
      <c r="B767" t="str">
        <f t="shared" si="13"/>
        <v>1362 DALTON</v>
      </c>
    </row>
    <row r="768" spans="1:2" x14ac:dyDescent="0.25">
      <c r="A768" t="s">
        <v>336</v>
      </c>
      <c r="B768" t="str">
        <f t="shared" si="13"/>
        <v/>
      </c>
    </row>
    <row r="769" spans="1:2" x14ac:dyDescent="0.25">
      <c r="A769" t="s">
        <v>337</v>
      </c>
      <c r="B769" t="str">
        <f t="shared" si="13"/>
        <v/>
      </c>
    </row>
    <row r="770" spans="1:2" x14ac:dyDescent="0.25">
      <c r="A770" t="s">
        <v>310</v>
      </c>
      <c r="B770" t="str">
        <f t="shared" si="13"/>
        <v/>
      </c>
    </row>
    <row r="771" spans="1:2" x14ac:dyDescent="0.25">
      <c r="A771" t="s">
        <v>143</v>
      </c>
      <c r="B771" t="str">
        <f t="shared" si="13"/>
        <v/>
      </c>
    </row>
    <row r="772" spans="1:2" x14ac:dyDescent="0.25">
      <c r="A772" t="s">
        <v>105</v>
      </c>
      <c r="B772" t="str">
        <f t="shared" si="13"/>
        <v>S, M, L, XL, XXL</v>
      </c>
    </row>
    <row r="773" spans="1:2" x14ac:dyDescent="0.25">
      <c r="A773" t="s">
        <v>311</v>
      </c>
      <c r="B773" t="str">
        <f t="shared" si="13"/>
        <v>Black Chino Navy Tan</v>
      </c>
    </row>
    <row r="774" spans="1:2" x14ac:dyDescent="0.25">
      <c r="A774" t="s">
        <v>338</v>
      </c>
      <c r="B774" t="str">
        <f t="shared" si="13"/>
        <v>1369 JACKMAN</v>
      </c>
    </row>
    <row r="775" spans="1:2" x14ac:dyDescent="0.25">
      <c r="A775" t="s">
        <v>339</v>
      </c>
      <c r="B775" t="str">
        <f t="shared" si="13"/>
        <v/>
      </c>
    </row>
    <row r="776" spans="1:2" x14ac:dyDescent="0.25">
      <c r="A776" t="s">
        <v>340</v>
      </c>
      <c r="B776" t="str">
        <f t="shared" si="13"/>
        <v/>
      </c>
    </row>
    <row r="777" spans="1:2" x14ac:dyDescent="0.25">
      <c r="A777" t="s">
        <v>341</v>
      </c>
      <c r="B777" t="str">
        <f t="shared" si="13"/>
        <v/>
      </c>
    </row>
    <row r="778" spans="1:2" x14ac:dyDescent="0.25">
      <c r="A778" t="s">
        <v>342</v>
      </c>
      <c r="B778" t="str">
        <f t="shared" si="13"/>
        <v/>
      </c>
    </row>
    <row r="779" spans="1:2" x14ac:dyDescent="0.25">
      <c r="A779" t="s">
        <v>24</v>
      </c>
      <c r="B779" t="str">
        <f t="shared" si="13"/>
        <v/>
      </c>
    </row>
    <row r="780" spans="1:2" x14ac:dyDescent="0.25">
      <c r="A780" t="s">
        <v>343</v>
      </c>
      <c r="B780" t="str">
        <f t="shared" si="13"/>
        <v/>
      </c>
    </row>
    <row r="781" spans="1:2" x14ac:dyDescent="0.25">
      <c r="A781" t="s">
        <v>105</v>
      </c>
      <c r="B781" t="str">
        <f t="shared" si="13"/>
        <v>S, M, L, XL, XXL</v>
      </c>
    </row>
    <row r="782" spans="1:2" x14ac:dyDescent="0.25">
      <c r="A782" t="s">
        <v>346</v>
      </c>
      <c r="B782" t="str">
        <f t="shared" si="13"/>
        <v>Charcoal Dk. Brown Navy Black Burgundy</v>
      </c>
    </row>
    <row r="783" spans="1:2" x14ac:dyDescent="0.25">
      <c r="B783" t="str">
        <f t="shared" si="13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755B1-186C-4591-91C7-658931F7D295}">
  <sheetPr codeName="Лист1"/>
  <dimension ref="A1:C284"/>
  <sheetViews>
    <sheetView topLeftCell="A256" workbookViewId="0">
      <selection activeCell="C281" sqref="C281"/>
    </sheetView>
  </sheetViews>
  <sheetFormatPr defaultRowHeight="15" x14ac:dyDescent="0.25"/>
  <cols>
    <col min="1" max="1" width="80.7109375" bestFit="1" customWidth="1"/>
    <col min="2" max="2" width="14.7109375" bestFit="1" customWidth="1"/>
    <col min="3" max="3" width="49.5703125" customWidth="1"/>
  </cols>
  <sheetData>
    <row r="1" spans="1:3" x14ac:dyDescent="0.25">
      <c r="A1" s="2" t="s">
        <v>439</v>
      </c>
      <c r="B1" s="2" t="s">
        <v>438</v>
      </c>
      <c r="C1" s="2" t="s">
        <v>446</v>
      </c>
    </row>
    <row r="2" spans="1:3" x14ac:dyDescent="0.25">
      <c r="A2" t="s">
        <v>10</v>
      </c>
      <c r="B2" t="b">
        <f>IFERROR(VLOOKUP(A2,Результат!C:C,1,0)&lt;&gt;"",FALSE)</f>
        <v>1</v>
      </c>
      <c r="C2" t="str">
        <f t="shared" ref="C2:C65" si="0">IF(AND(IFERROR(FIND(",",A1)&gt;=1,FALSE),B3&lt;&gt;TRUE),A2&amp;" "&amp;A3,"")</f>
        <v/>
      </c>
    </row>
    <row r="3" spans="1:3" x14ac:dyDescent="0.25">
      <c r="A3" t="s">
        <v>3</v>
      </c>
      <c r="B3" t="b">
        <f>IFERROR(VLOOKUP(A3,Результат!C:C,1,0)&lt;&gt;"",FALSE)</f>
        <v>0</v>
      </c>
      <c r="C3" t="str">
        <f t="shared" si="0"/>
        <v/>
      </c>
    </row>
    <row r="4" spans="1:3" x14ac:dyDescent="0.25">
      <c r="A4" t="s">
        <v>16</v>
      </c>
      <c r="B4" t="b">
        <f>IFERROR(VLOOKUP(A4,Результат!C:C,1,0)&lt;&gt;"",FALSE)</f>
        <v>0</v>
      </c>
      <c r="C4" t="str">
        <f t="shared" si="0"/>
        <v/>
      </c>
    </row>
    <row r="5" spans="1:3" x14ac:dyDescent="0.25">
      <c r="A5" t="s">
        <v>17</v>
      </c>
      <c r="B5" t="b">
        <f>IFERROR(VLOOKUP(A5,Результат!C:C,1,0)&lt;&gt;"",FALSE)</f>
        <v>1</v>
      </c>
      <c r="C5" t="str">
        <f t="shared" si="0"/>
        <v/>
      </c>
    </row>
    <row r="6" spans="1:3" x14ac:dyDescent="0.25">
      <c r="A6" t="s">
        <v>1</v>
      </c>
      <c r="B6" t="b">
        <f>IFERROR(VLOOKUP(A6,Результат!C:C,1,0)&lt;&gt;"",FALSE)</f>
        <v>0</v>
      </c>
      <c r="C6" t="str">
        <f t="shared" si="0"/>
        <v/>
      </c>
    </row>
    <row r="7" spans="1:3" x14ac:dyDescent="0.25">
      <c r="A7" t="s">
        <v>20</v>
      </c>
      <c r="B7" t="b">
        <f>IFERROR(VLOOKUP(A7,Результат!C:C,1,0)&lt;&gt;"",FALSE)</f>
        <v>0</v>
      </c>
      <c r="C7" t="str">
        <f t="shared" si="0"/>
        <v/>
      </c>
    </row>
    <row r="8" spans="1:3" x14ac:dyDescent="0.25">
      <c r="A8" t="s">
        <v>21</v>
      </c>
      <c r="B8" t="b">
        <f>IFERROR(VLOOKUP(A8,Результат!C:C,1,0)&lt;&gt;"",FALSE)</f>
        <v>1</v>
      </c>
      <c r="C8" t="str">
        <f t="shared" si="0"/>
        <v/>
      </c>
    </row>
    <row r="9" spans="1:3" x14ac:dyDescent="0.25">
      <c r="A9" t="s">
        <v>1</v>
      </c>
      <c r="B9" t="b">
        <f>IFERROR(VLOOKUP(A9,Результат!C:C,1,0)&lt;&gt;"",FALSE)</f>
        <v>0</v>
      </c>
      <c r="C9" t="str">
        <f t="shared" si="0"/>
        <v/>
      </c>
    </row>
    <row r="10" spans="1:3" x14ac:dyDescent="0.25">
      <c r="A10" t="s">
        <v>25</v>
      </c>
      <c r="B10" t="b">
        <f>IFERROR(VLOOKUP(A10,Результат!C:C,1,0)&lt;&gt;"",FALSE)</f>
        <v>0</v>
      </c>
      <c r="C10" t="str">
        <f t="shared" si="0"/>
        <v/>
      </c>
    </row>
    <row r="11" spans="1:3" x14ac:dyDescent="0.25">
      <c r="A11" t="s">
        <v>2</v>
      </c>
      <c r="B11" t="b">
        <f>IFERROR(VLOOKUP(A11,Результат!C:C,1,0)&lt;&gt;"",FALSE)</f>
        <v>1</v>
      </c>
      <c r="C11" t="str">
        <f t="shared" si="0"/>
        <v/>
      </c>
    </row>
    <row r="12" spans="1:3" x14ac:dyDescent="0.25">
      <c r="A12" t="s">
        <v>1</v>
      </c>
      <c r="B12" t="b">
        <f>IFERROR(VLOOKUP(A12,Результат!C:C,1,0)&lt;&gt;"",FALSE)</f>
        <v>0</v>
      </c>
      <c r="C12" t="str">
        <f t="shared" si="0"/>
        <v/>
      </c>
    </row>
    <row r="13" spans="1:3" x14ac:dyDescent="0.25">
      <c r="A13" t="s">
        <v>27</v>
      </c>
      <c r="B13" t="b">
        <f>IFERROR(VLOOKUP(A13,Результат!C:C,1,0)&lt;&gt;"",FALSE)</f>
        <v>0</v>
      </c>
      <c r="C13" t="str">
        <f t="shared" si="0"/>
        <v/>
      </c>
    </row>
    <row r="14" spans="1:3" x14ac:dyDescent="0.25">
      <c r="A14" t="s">
        <v>28</v>
      </c>
      <c r="B14" t="b">
        <f>IFERROR(VLOOKUP(A14,Результат!C:C,1,0)&lt;&gt;"",FALSE)</f>
        <v>1</v>
      </c>
      <c r="C14" t="str">
        <f t="shared" si="0"/>
        <v/>
      </c>
    </row>
    <row r="15" spans="1:3" x14ac:dyDescent="0.25">
      <c r="A15" t="s">
        <v>1</v>
      </c>
      <c r="B15" t="b">
        <f>IFERROR(VLOOKUP(A15,Результат!C:C,1,0)&lt;&gt;"",FALSE)</f>
        <v>0</v>
      </c>
      <c r="C15" t="str">
        <f t="shared" si="0"/>
        <v/>
      </c>
    </row>
    <row r="16" spans="1:3" x14ac:dyDescent="0.25">
      <c r="A16" t="s">
        <v>31</v>
      </c>
      <c r="B16" t="b">
        <f>IFERROR(VLOOKUP(A16,Результат!C:C,1,0)&lt;&gt;"",FALSE)</f>
        <v>0</v>
      </c>
      <c r="C16" t="str">
        <f t="shared" si="0"/>
        <v/>
      </c>
    </row>
    <row r="17" spans="1:3" x14ac:dyDescent="0.25">
      <c r="A17" t="s">
        <v>4</v>
      </c>
      <c r="B17" t="b">
        <f>IFERROR(VLOOKUP(A17,Результат!C:C,1,0)&lt;&gt;"",FALSE)</f>
        <v>1</v>
      </c>
      <c r="C17" t="str">
        <f t="shared" si="0"/>
        <v/>
      </c>
    </row>
    <row r="18" spans="1:3" x14ac:dyDescent="0.25">
      <c r="A18" t="s">
        <v>1</v>
      </c>
      <c r="B18" t="b">
        <f>IFERROR(VLOOKUP(A18,Результат!C:C,1,0)&lt;&gt;"",FALSE)</f>
        <v>0</v>
      </c>
      <c r="C18" t="str">
        <f t="shared" si="0"/>
        <v/>
      </c>
    </row>
    <row r="19" spans="1:3" x14ac:dyDescent="0.25">
      <c r="A19" t="s">
        <v>36</v>
      </c>
      <c r="B19" t="b">
        <f>IFERROR(VLOOKUP(A19,Результат!C:C,1,0)&lt;&gt;"",FALSE)</f>
        <v>0</v>
      </c>
      <c r="C19" t="str">
        <f t="shared" si="0"/>
        <v/>
      </c>
    </row>
    <row r="20" spans="1:3" x14ac:dyDescent="0.25">
      <c r="A20" t="s">
        <v>37</v>
      </c>
      <c r="B20" t="b">
        <f>IFERROR(VLOOKUP(A20,Результат!C:C,1,0)&lt;&gt;"",FALSE)</f>
        <v>1</v>
      </c>
      <c r="C20" t="str">
        <f t="shared" si="0"/>
        <v/>
      </c>
    </row>
    <row r="21" spans="1:3" x14ac:dyDescent="0.25">
      <c r="A21" t="s">
        <v>1</v>
      </c>
      <c r="B21" t="b">
        <f>IFERROR(VLOOKUP(A21,Результат!C:C,1,0)&lt;&gt;"",FALSE)</f>
        <v>0</v>
      </c>
      <c r="C21" t="str">
        <f t="shared" si="0"/>
        <v/>
      </c>
    </row>
    <row r="22" spans="1:3" x14ac:dyDescent="0.25">
      <c r="A22" t="s">
        <v>40</v>
      </c>
      <c r="B22" t="b">
        <f>IFERROR(VLOOKUP(A22,Результат!C:C,1,0)&lt;&gt;"",FALSE)</f>
        <v>0</v>
      </c>
      <c r="C22" t="str">
        <f t="shared" si="0"/>
        <v/>
      </c>
    </row>
    <row r="23" spans="1:3" x14ac:dyDescent="0.25">
      <c r="A23" t="s">
        <v>41</v>
      </c>
      <c r="B23" t="b">
        <f>IFERROR(VLOOKUP(A23,Результат!C:C,1,0)&lt;&gt;"",FALSE)</f>
        <v>1</v>
      </c>
      <c r="C23" t="str">
        <f t="shared" si="0"/>
        <v/>
      </c>
    </row>
    <row r="24" spans="1:3" x14ac:dyDescent="0.25">
      <c r="A24" t="s">
        <v>1</v>
      </c>
      <c r="B24" t="b">
        <f>IFERROR(VLOOKUP(A24,Результат!C:C,1,0)&lt;&gt;"",FALSE)</f>
        <v>0</v>
      </c>
      <c r="C24" t="str">
        <f t="shared" si="0"/>
        <v/>
      </c>
    </row>
    <row r="25" spans="1:3" x14ac:dyDescent="0.25">
      <c r="A25" t="s">
        <v>44</v>
      </c>
      <c r="B25" t="b">
        <f>IFERROR(VLOOKUP(A25,Результат!C:C,1,0)&lt;&gt;"",FALSE)</f>
        <v>0</v>
      </c>
      <c r="C25" t="str">
        <f t="shared" si="0"/>
        <v/>
      </c>
    </row>
    <row r="26" spans="1:3" x14ac:dyDescent="0.25">
      <c r="A26" t="s">
        <v>45</v>
      </c>
      <c r="B26" t="b">
        <f>IFERROR(VLOOKUP(A26,Результат!C:C,1,0)&lt;&gt;"",FALSE)</f>
        <v>1</v>
      </c>
      <c r="C26" t="str">
        <f t="shared" si="0"/>
        <v/>
      </c>
    </row>
    <row r="27" spans="1:3" x14ac:dyDescent="0.25">
      <c r="A27" t="s">
        <v>1</v>
      </c>
      <c r="B27" t="b">
        <f>IFERROR(VLOOKUP(A27,Результат!C:C,1,0)&lt;&gt;"",FALSE)</f>
        <v>0</v>
      </c>
      <c r="C27" t="str">
        <f t="shared" si="0"/>
        <v/>
      </c>
    </row>
    <row r="28" spans="1:3" x14ac:dyDescent="0.25">
      <c r="A28" t="s">
        <v>9</v>
      </c>
      <c r="B28" t="b">
        <f>IFERROR(VLOOKUP(A28,Результат!C:C,1,0)&lt;&gt;"",FALSE)</f>
        <v>0</v>
      </c>
      <c r="C28" t="str">
        <f t="shared" si="0"/>
        <v/>
      </c>
    </row>
    <row r="29" spans="1:3" x14ac:dyDescent="0.25">
      <c r="A29" t="s">
        <v>47</v>
      </c>
      <c r="B29" t="b">
        <f>IFERROR(VLOOKUP(A29,Результат!C:C,1,0)&lt;&gt;"",FALSE)</f>
        <v>1</v>
      </c>
      <c r="C29" t="str">
        <f t="shared" si="0"/>
        <v/>
      </c>
    </row>
    <row r="30" spans="1:3" x14ac:dyDescent="0.25">
      <c r="A30" t="s">
        <v>1</v>
      </c>
      <c r="B30" t="b">
        <f>IFERROR(VLOOKUP(A30,Результат!C:C,1,0)&lt;&gt;"",FALSE)</f>
        <v>0</v>
      </c>
      <c r="C30" t="str">
        <f t="shared" si="0"/>
        <v/>
      </c>
    </row>
    <row r="31" spans="1:3" x14ac:dyDescent="0.25">
      <c r="A31" t="s">
        <v>53</v>
      </c>
      <c r="B31" t="b">
        <f>IFERROR(VLOOKUP(A31,Результат!C:C,1,0)&lt;&gt;"",FALSE)</f>
        <v>0</v>
      </c>
      <c r="C31" t="str">
        <f t="shared" si="0"/>
        <v/>
      </c>
    </row>
    <row r="32" spans="1:3" x14ac:dyDescent="0.25">
      <c r="A32" t="s">
        <v>54</v>
      </c>
      <c r="B32" t="b">
        <f>IFERROR(VLOOKUP(A32,Результат!C:C,1,0)&lt;&gt;"",FALSE)</f>
        <v>1</v>
      </c>
      <c r="C32" t="str">
        <f t="shared" si="0"/>
        <v/>
      </c>
    </row>
    <row r="33" spans="1:3" x14ac:dyDescent="0.25">
      <c r="A33" t="s">
        <v>1</v>
      </c>
      <c r="B33" t="b">
        <f>IFERROR(VLOOKUP(A33,Результат!C:C,1,0)&lt;&gt;"",FALSE)</f>
        <v>0</v>
      </c>
      <c r="C33" t="str">
        <f t="shared" si="0"/>
        <v/>
      </c>
    </row>
    <row r="34" spans="1:3" x14ac:dyDescent="0.25">
      <c r="A34" t="s">
        <v>57</v>
      </c>
      <c r="B34" t="b">
        <f>IFERROR(VLOOKUP(A34,Результат!C:C,1,0)&lt;&gt;"",FALSE)</f>
        <v>0</v>
      </c>
      <c r="C34" t="str">
        <f t="shared" si="0"/>
        <v/>
      </c>
    </row>
    <row r="35" spans="1:3" x14ac:dyDescent="0.25">
      <c r="A35" t="s">
        <v>58</v>
      </c>
      <c r="B35" t="b">
        <f>IFERROR(VLOOKUP(A35,Результат!C:C,1,0)&lt;&gt;"",FALSE)</f>
        <v>1</v>
      </c>
      <c r="C35" t="str">
        <f t="shared" si="0"/>
        <v/>
      </c>
    </row>
    <row r="36" spans="1:3" x14ac:dyDescent="0.25">
      <c r="A36" t="s">
        <v>1</v>
      </c>
      <c r="B36" t="b">
        <f>IFERROR(VLOOKUP(A36,Результат!C:C,1,0)&lt;&gt;"",FALSE)</f>
        <v>0</v>
      </c>
      <c r="C36" t="str">
        <f t="shared" si="0"/>
        <v/>
      </c>
    </row>
    <row r="37" spans="1:3" x14ac:dyDescent="0.25">
      <c r="A37" t="s">
        <v>60</v>
      </c>
      <c r="B37" t="b">
        <f>IFERROR(VLOOKUP(A37,Результат!C:C,1,0)&lt;&gt;"",FALSE)</f>
        <v>0</v>
      </c>
      <c r="C37" t="str">
        <f t="shared" si="0"/>
        <v/>
      </c>
    </row>
    <row r="38" spans="1:3" x14ac:dyDescent="0.25">
      <c r="A38" t="s">
        <v>61</v>
      </c>
      <c r="B38" t="b">
        <f>IFERROR(VLOOKUP(A38,Результат!C:C,1,0)&lt;&gt;"",FALSE)</f>
        <v>1</v>
      </c>
      <c r="C38" t="str">
        <f t="shared" si="0"/>
        <v/>
      </c>
    </row>
    <row r="39" spans="1:3" x14ac:dyDescent="0.25">
      <c r="A39" t="s">
        <v>1</v>
      </c>
      <c r="B39" t="b">
        <f>IFERROR(VLOOKUP(A39,Результат!C:C,1,0)&lt;&gt;"",FALSE)</f>
        <v>0</v>
      </c>
      <c r="C39" t="str">
        <f t="shared" si="0"/>
        <v/>
      </c>
    </row>
    <row r="40" spans="1:3" x14ac:dyDescent="0.25">
      <c r="A40" t="s">
        <v>65</v>
      </c>
      <c r="B40" t="b">
        <f>IFERROR(VLOOKUP(A40,Результат!C:C,1,0)&lt;&gt;"",FALSE)</f>
        <v>0</v>
      </c>
      <c r="C40" t="str">
        <f t="shared" si="0"/>
        <v>Peacoat Plaza Taupe Saddle Steel Almond Black Camel</v>
      </c>
    </row>
    <row r="41" spans="1:3" x14ac:dyDescent="0.25">
      <c r="A41" t="s">
        <v>66</v>
      </c>
      <c r="B41" t="b">
        <f>IFERROR(VLOOKUP(A41,Результат!C:C,1,0)&lt;&gt;"",FALSE)</f>
        <v>0</v>
      </c>
      <c r="C41" t="str">
        <f t="shared" si="0"/>
        <v/>
      </c>
    </row>
    <row r="42" spans="1:3" x14ac:dyDescent="0.25">
      <c r="A42" t="s">
        <v>67</v>
      </c>
      <c r="B42" t="b">
        <f>IFERROR(VLOOKUP(A42,Результат!C:C,1,0)&lt;&gt;"",FALSE)</f>
        <v>1</v>
      </c>
      <c r="C42" t="str">
        <f t="shared" si="0"/>
        <v/>
      </c>
    </row>
    <row r="43" spans="1:3" x14ac:dyDescent="0.25">
      <c r="A43" t="s">
        <v>1</v>
      </c>
      <c r="B43" t="b">
        <f>IFERROR(VLOOKUP(A43,Результат!C:C,1,0)&lt;&gt;"",FALSE)</f>
        <v>0</v>
      </c>
      <c r="C43" t="str">
        <f t="shared" si="0"/>
        <v/>
      </c>
    </row>
    <row r="44" spans="1:3" x14ac:dyDescent="0.25">
      <c r="A44" t="s">
        <v>73</v>
      </c>
      <c r="B44" t="b">
        <f>IFERROR(VLOOKUP(A44,Результат!C:C,1,0)&lt;&gt;"",FALSE)</f>
        <v>0</v>
      </c>
      <c r="C44" t="str">
        <f t="shared" si="0"/>
        <v/>
      </c>
    </row>
    <row r="45" spans="1:3" x14ac:dyDescent="0.25">
      <c r="A45" t="s">
        <v>74</v>
      </c>
      <c r="B45" t="b">
        <f>IFERROR(VLOOKUP(A45,Результат!C:C,1,0)&lt;&gt;"",FALSE)</f>
        <v>1</v>
      </c>
      <c r="C45" t="str">
        <f t="shared" si="0"/>
        <v/>
      </c>
    </row>
    <row r="46" spans="1:3" x14ac:dyDescent="0.25">
      <c r="A46" t="s">
        <v>1</v>
      </c>
      <c r="B46" t="b">
        <f>IFERROR(VLOOKUP(A46,Результат!C:C,1,0)&lt;&gt;"",FALSE)</f>
        <v>0</v>
      </c>
      <c r="C46" t="str">
        <f t="shared" si="0"/>
        <v/>
      </c>
    </row>
    <row r="47" spans="1:3" x14ac:dyDescent="0.25">
      <c r="A47" t="s">
        <v>78</v>
      </c>
      <c r="B47" t="b">
        <f>IFERROR(VLOOKUP(A47,Результат!C:C,1,0)&lt;&gt;"",FALSE)</f>
        <v>0</v>
      </c>
      <c r="C47" t="str">
        <f t="shared" si="0"/>
        <v/>
      </c>
    </row>
    <row r="48" spans="1:3" x14ac:dyDescent="0.25">
      <c r="A48" t="s">
        <v>79</v>
      </c>
      <c r="B48" t="b">
        <f>IFERROR(VLOOKUP(A48,Результат!C:C,1,0)&lt;&gt;"",FALSE)</f>
        <v>1</v>
      </c>
      <c r="C48" t="str">
        <f t="shared" si="0"/>
        <v/>
      </c>
    </row>
    <row r="49" spans="1:3" x14ac:dyDescent="0.25">
      <c r="A49" t="s">
        <v>1</v>
      </c>
      <c r="B49" t="b">
        <f>IFERROR(VLOOKUP(A49,Результат!C:C,1,0)&lt;&gt;"",FALSE)</f>
        <v>0</v>
      </c>
      <c r="C49" t="str">
        <f t="shared" si="0"/>
        <v/>
      </c>
    </row>
    <row r="50" spans="1:3" x14ac:dyDescent="0.25">
      <c r="A50" t="s">
        <v>82</v>
      </c>
      <c r="B50" t="b">
        <f>IFERROR(VLOOKUP(A50,Результат!C:C,1,0)&lt;&gt;"",FALSE)</f>
        <v>0</v>
      </c>
      <c r="C50" t="str">
        <f t="shared" si="0"/>
        <v/>
      </c>
    </row>
    <row r="51" spans="1:3" x14ac:dyDescent="0.25">
      <c r="A51" t="s">
        <v>83</v>
      </c>
      <c r="B51" t="b">
        <f>IFERROR(VLOOKUP(A51,Результат!C:C,1,0)&lt;&gt;"",FALSE)</f>
        <v>1</v>
      </c>
      <c r="C51" t="str">
        <f t="shared" si="0"/>
        <v/>
      </c>
    </row>
    <row r="52" spans="1:3" x14ac:dyDescent="0.25">
      <c r="A52" t="s">
        <v>1</v>
      </c>
      <c r="B52" t="b">
        <f>IFERROR(VLOOKUP(A52,Результат!C:C,1,0)&lt;&gt;"",FALSE)</f>
        <v>0</v>
      </c>
      <c r="C52" t="str">
        <f t="shared" si="0"/>
        <v/>
      </c>
    </row>
    <row r="53" spans="1:3" x14ac:dyDescent="0.25">
      <c r="A53" t="s">
        <v>86</v>
      </c>
      <c r="B53" t="b">
        <f>IFERROR(VLOOKUP(A53,Результат!C:C,1,0)&lt;&gt;"",FALSE)</f>
        <v>0</v>
      </c>
      <c r="C53" t="str">
        <f t="shared" si="0"/>
        <v>Greige Honey Ochre Silver Lining Avion Black Chestnut</v>
      </c>
    </row>
    <row r="54" spans="1:3" x14ac:dyDescent="0.25">
      <c r="A54" t="s">
        <v>87</v>
      </c>
      <c r="B54" t="b">
        <f>IFERROR(VLOOKUP(A54,Результат!C:C,1,0)&lt;&gt;"",FALSE)</f>
        <v>0</v>
      </c>
      <c r="C54" t="str">
        <f t="shared" si="0"/>
        <v/>
      </c>
    </row>
    <row r="55" spans="1:3" x14ac:dyDescent="0.25">
      <c r="A55" t="s">
        <v>88</v>
      </c>
      <c r="B55" t="b">
        <f>IFERROR(VLOOKUP(A55,Результат!C:C,1,0)&lt;&gt;"",FALSE)</f>
        <v>1</v>
      </c>
      <c r="C55" t="str">
        <f t="shared" si="0"/>
        <v/>
      </c>
    </row>
    <row r="56" spans="1:3" x14ac:dyDescent="0.25">
      <c r="A56" t="s">
        <v>1</v>
      </c>
      <c r="B56" t="b">
        <f>IFERROR(VLOOKUP(A56,Результат!C:C,1,0)&lt;&gt;"",FALSE)</f>
        <v>0</v>
      </c>
      <c r="C56" t="str">
        <f t="shared" si="0"/>
        <v/>
      </c>
    </row>
    <row r="57" spans="1:3" x14ac:dyDescent="0.25">
      <c r="A57" t="s">
        <v>92</v>
      </c>
      <c r="B57" t="b">
        <f>IFERROR(VLOOKUP(A57,Результат!C:C,1,0)&lt;&gt;"",FALSE)</f>
        <v>0</v>
      </c>
      <c r="C57" t="str">
        <f t="shared" si="0"/>
        <v/>
      </c>
    </row>
    <row r="58" spans="1:3" x14ac:dyDescent="0.25">
      <c r="A58" t="s">
        <v>93</v>
      </c>
      <c r="B58" t="b">
        <f>IFERROR(VLOOKUP(A58,Результат!C:C,1,0)&lt;&gt;"",FALSE)</f>
        <v>1</v>
      </c>
      <c r="C58" t="str">
        <f t="shared" si="0"/>
        <v/>
      </c>
    </row>
    <row r="59" spans="1:3" x14ac:dyDescent="0.25">
      <c r="A59" t="s">
        <v>1</v>
      </c>
      <c r="B59" t="b">
        <f>IFERROR(VLOOKUP(A59,Результат!C:C,1,0)&lt;&gt;"",FALSE)</f>
        <v>0</v>
      </c>
      <c r="C59" t="str">
        <f t="shared" si="0"/>
        <v/>
      </c>
    </row>
    <row r="60" spans="1:3" x14ac:dyDescent="0.25">
      <c r="A60" t="s">
        <v>97</v>
      </c>
      <c r="B60" t="b">
        <f>IFERROR(VLOOKUP(A60,Результат!C:C,1,0)&lt;&gt;"",FALSE)</f>
        <v>0</v>
      </c>
      <c r="C60" t="str">
        <f t="shared" si="0"/>
        <v/>
      </c>
    </row>
    <row r="61" spans="1:3" x14ac:dyDescent="0.25">
      <c r="A61" t="s">
        <v>98</v>
      </c>
      <c r="B61" t="b">
        <f>IFERROR(VLOOKUP(A61,Результат!C:C,1,0)&lt;&gt;"",FALSE)</f>
        <v>1</v>
      </c>
      <c r="C61" t="str">
        <f t="shared" si="0"/>
        <v/>
      </c>
    </row>
    <row r="62" spans="1:3" x14ac:dyDescent="0.25">
      <c r="A62" t="s">
        <v>1</v>
      </c>
      <c r="B62" t="b">
        <f>IFERROR(VLOOKUP(A62,Результат!C:C,1,0)&lt;&gt;"",FALSE)</f>
        <v>0</v>
      </c>
      <c r="C62" t="str">
        <f t="shared" si="0"/>
        <v/>
      </c>
    </row>
    <row r="63" spans="1:3" x14ac:dyDescent="0.25">
      <c r="A63" t="s">
        <v>102</v>
      </c>
      <c r="B63" t="b">
        <f>IFERROR(VLOOKUP(A63,Результат!C:C,1,0)&lt;&gt;"",FALSE)</f>
        <v>0</v>
      </c>
      <c r="C63" t="str">
        <f t="shared" si="0"/>
        <v/>
      </c>
    </row>
    <row r="64" spans="1:3" x14ac:dyDescent="0.25">
      <c r="A64" t="s">
        <v>103</v>
      </c>
      <c r="B64" t="b">
        <f>IFERROR(VLOOKUP(A64,Результат!C:C,1,0)&lt;&gt;"",FALSE)</f>
        <v>1</v>
      </c>
      <c r="C64" t="str">
        <f t="shared" si="0"/>
        <v/>
      </c>
    </row>
    <row r="65" spans="1:3" x14ac:dyDescent="0.25">
      <c r="A65" t="s">
        <v>105</v>
      </c>
      <c r="B65" t="b">
        <f>IFERROR(VLOOKUP(A65,Результат!C:C,1,0)&lt;&gt;"",FALSE)</f>
        <v>0</v>
      </c>
      <c r="C65" t="str">
        <f t="shared" si="0"/>
        <v/>
      </c>
    </row>
    <row r="66" spans="1:3" x14ac:dyDescent="0.25">
      <c r="A66" t="s">
        <v>106</v>
      </c>
      <c r="B66" t="b">
        <f>IFERROR(VLOOKUP(A66,Результат!C:C,1,0)&lt;&gt;"",FALSE)</f>
        <v>0</v>
      </c>
      <c r="C66" t="str">
        <f t="shared" ref="C66:C129" si="1">IF(AND(IFERROR(FIND(",",A65)&gt;=1,FALSE),B67&lt;&gt;TRUE),A66&amp;" "&amp;A67,"")</f>
        <v/>
      </c>
    </row>
    <row r="67" spans="1:3" x14ac:dyDescent="0.25">
      <c r="A67" t="s">
        <v>7</v>
      </c>
      <c r="B67" t="b">
        <f>IFERROR(VLOOKUP(A67,Результат!C:C,1,0)&lt;&gt;"",FALSE)</f>
        <v>1</v>
      </c>
      <c r="C67" t="str">
        <f t="shared" si="1"/>
        <v/>
      </c>
    </row>
    <row r="68" spans="1:3" x14ac:dyDescent="0.25">
      <c r="A68" t="s">
        <v>1</v>
      </c>
      <c r="B68" t="b">
        <f>IFERROR(VLOOKUP(A68,Результат!C:C,1,0)&lt;&gt;"",FALSE)</f>
        <v>0</v>
      </c>
      <c r="C68" t="str">
        <f t="shared" si="1"/>
        <v/>
      </c>
    </row>
    <row r="69" spans="1:3" x14ac:dyDescent="0.25">
      <c r="A69" t="s">
        <v>109</v>
      </c>
      <c r="B69" t="b">
        <f>IFERROR(VLOOKUP(A69,Результат!C:C,1,0)&lt;&gt;"",FALSE)</f>
        <v>0</v>
      </c>
      <c r="C69" t="str">
        <f t="shared" si="1"/>
        <v/>
      </c>
    </row>
    <row r="70" spans="1:3" x14ac:dyDescent="0.25">
      <c r="A70" t="s">
        <v>110</v>
      </c>
      <c r="B70" t="b">
        <f>IFERROR(VLOOKUP(A70,Результат!C:C,1,0)&lt;&gt;"",FALSE)</f>
        <v>1</v>
      </c>
      <c r="C70" t="str">
        <f t="shared" si="1"/>
        <v/>
      </c>
    </row>
    <row r="71" spans="1:3" x14ac:dyDescent="0.25">
      <c r="A71" t="s">
        <v>1</v>
      </c>
      <c r="B71" t="b">
        <f>IFERROR(VLOOKUP(A71,Результат!C:C,1,0)&lt;&gt;"",FALSE)</f>
        <v>0</v>
      </c>
      <c r="C71" t="str">
        <f t="shared" si="1"/>
        <v/>
      </c>
    </row>
    <row r="72" spans="1:3" x14ac:dyDescent="0.25">
      <c r="A72" t="s">
        <v>114</v>
      </c>
      <c r="B72" t="b">
        <f>IFERROR(VLOOKUP(A72,Результат!C:C,1,0)&lt;&gt;"",FALSE)</f>
        <v>0</v>
      </c>
      <c r="C72" t="str">
        <f t="shared" si="1"/>
        <v/>
      </c>
    </row>
    <row r="73" spans="1:3" x14ac:dyDescent="0.25">
      <c r="A73" t="s">
        <v>8</v>
      </c>
      <c r="B73" t="b">
        <f>IFERROR(VLOOKUP(A73,Результат!C:C,1,0)&lt;&gt;"",FALSE)</f>
        <v>1</v>
      </c>
      <c r="C73" t="str">
        <f t="shared" si="1"/>
        <v/>
      </c>
    </row>
    <row r="74" spans="1:3" x14ac:dyDescent="0.25">
      <c r="A74" t="s">
        <v>1</v>
      </c>
      <c r="B74" t="b">
        <f>IFERROR(VLOOKUP(A74,Результат!C:C,1,0)&lt;&gt;"",FALSE)</f>
        <v>0</v>
      </c>
      <c r="C74" t="str">
        <f t="shared" si="1"/>
        <v/>
      </c>
    </row>
    <row r="75" spans="1:3" x14ac:dyDescent="0.25">
      <c r="A75" t="s">
        <v>65</v>
      </c>
      <c r="B75" t="b">
        <f>IFERROR(VLOOKUP(A75,Результат!C:C,1,0)&lt;&gt;"",FALSE)</f>
        <v>0</v>
      </c>
      <c r="C75" t="str">
        <f t="shared" si="1"/>
        <v>Peacoat Plaza Taupe Saddle Steel Almond Black Camel</v>
      </c>
    </row>
    <row r="76" spans="1:3" x14ac:dyDescent="0.25">
      <c r="A76" t="s">
        <v>66</v>
      </c>
      <c r="B76" t="b">
        <f>IFERROR(VLOOKUP(A76,Результат!C:C,1,0)&lt;&gt;"",FALSE)</f>
        <v>0</v>
      </c>
      <c r="C76" t="str">
        <f t="shared" si="1"/>
        <v/>
      </c>
    </row>
    <row r="77" spans="1:3" x14ac:dyDescent="0.25">
      <c r="A77" t="s">
        <v>115</v>
      </c>
      <c r="B77" t="b">
        <f>IFERROR(VLOOKUP(A77,Результат!C:C,1,0)&lt;&gt;"",FALSE)</f>
        <v>1</v>
      </c>
      <c r="C77" t="str">
        <f t="shared" si="1"/>
        <v/>
      </c>
    </row>
    <row r="78" spans="1:3" x14ac:dyDescent="0.25">
      <c r="A78" t="s">
        <v>1</v>
      </c>
      <c r="B78" t="b">
        <f>IFERROR(VLOOKUP(A78,Результат!C:C,1,0)&lt;&gt;"",FALSE)</f>
        <v>0</v>
      </c>
      <c r="C78" t="str">
        <f t="shared" si="1"/>
        <v/>
      </c>
    </row>
    <row r="79" spans="1:3" x14ac:dyDescent="0.25">
      <c r="A79" t="s">
        <v>119</v>
      </c>
      <c r="B79" t="b">
        <f>IFERROR(VLOOKUP(A79,Результат!C:C,1,0)&lt;&gt;"",FALSE)</f>
        <v>0</v>
      </c>
      <c r="C79" t="str">
        <f t="shared" si="1"/>
        <v/>
      </c>
    </row>
    <row r="80" spans="1:3" x14ac:dyDescent="0.25">
      <c r="A80" t="s">
        <v>6</v>
      </c>
      <c r="B80" t="b">
        <f>IFERROR(VLOOKUP(A80,Результат!C:C,1,0)&lt;&gt;"",FALSE)</f>
        <v>1</v>
      </c>
      <c r="C80" t="str">
        <f t="shared" si="1"/>
        <v/>
      </c>
    </row>
    <row r="81" spans="1:3" x14ac:dyDescent="0.25">
      <c r="A81" t="s">
        <v>1</v>
      </c>
      <c r="B81" t="b">
        <f>IFERROR(VLOOKUP(A81,Результат!C:C,1,0)&lt;&gt;"",FALSE)</f>
        <v>0</v>
      </c>
      <c r="C81" t="str">
        <f t="shared" si="1"/>
        <v/>
      </c>
    </row>
    <row r="82" spans="1:3" x14ac:dyDescent="0.25">
      <c r="A82" t="s">
        <v>65</v>
      </c>
      <c r="B82" t="b">
        <f>IFERROR(VLOOKUP(A82,Результат!C:C,1,0)&lt;&gt;"",FALSE)</f>
        <v>0</v>
      </c>
      <c r="C82" t="str">
        <f t="shared" si="1"/>
        <v>Peacoat Plaza Taupe Saddle Steel Almond Black Camel Henna</v>
      </c>
    </row>
    <row r="83" spans="1:3" x14ac:dyDescent="0.25">
      <c r="A83" t="s">
        <v>122</v>
      </c>
      <c r="B83" t="b">
        <f>IFERROR(VLOOKUP(A83,Результат!C:C,1,0)&lt;&gt;"",FALSE)</f>
        <v>0</v>
      </c>
      <c r="C83" t="str">
        <f t="shared" si="1"/>
        <v/>
      </c>
    </row>
    <row r="84" spans="1:3" x14ac:dyDescent="0.25">
      <c r="A84" t="s">
        <v>123</v>
      </c>
      <c r="B84" t="b">
        <f>IFERROR(VLOOKUP(A84,Результат!C:C,1,0)&lt;&gt;"",FALSE)</f>
        <v>1</v>
      </c>
      <c r="C84" t="str">
        <f t="shared" si="1"/>
        <v/>
      </c>
    </row>
    <row r="85" spans="1:3" x14ac:dyDescent="0.25">
      <c r="A85" t="s">
        <v>1</v>
      </c>
      <c r="B85" t="b">
        <f>IFERROR(VLOOKUP(A85,Результат!C:C,1,0)&lt;&gt;"",FALSE)</f>
        <v>0</v>
      </c>
      <c r="C85" t="str">
        <f t="shared" si="1"/>
        <v/>
      </c>
    </row>
    <row r="86" spans="1:3" x14ac:dyDescent="0.25">
      <c r="A86" t="s">
        <v>126</v>
      </c>
      <c r="B86" t="b">
        <f>IFERROR(VLOOKUP(A86,Результат!C:C,1,0)&lt;&gt;"",FALSE)</f>
        <v>0</v>
      </c>
      <c r="C86" t="str">
        <f t="shared" si="1"/>
        <v/>
      </c>
    </row>
    <row r="87" spans="1:3" x14ac:dyDescent="0.25">
      <c r="A87" t="s">
        <v>127</v>
      </c>
      <c r="B87" t="b">
        <f>IFERROR(VLOOKUP(A87,Результат!C:C,1,0)&lt;&gt;"",FALSE)</f>
        <v>1</v>
      </c>
      <c r="C87" t="str">
        <f t="shared" si="1"/>
        <v/>
      </c>
    </row>
    <row r="88" spans="1:3" x14ac:dyDescent="0.25">
      <c r="A88" t="s">
        <v>1</v>
      </c>
      <c r="B88" t="b">
        <f>IFERROR(VLOOKUP(A88,Результат!C:C,1,0)&lt;&gt;"",FALSE)</f>
        <v>0</v>
      </c>
      <c r="C88" t="str">
        <f t="shared" si="1"/>
        <v/>
      </c>
    </row>
    <row r="89" spans="1:3" x14ac:dyDescent="0.25">
      <c r="A89" t="s">
        <v>129</v>
      </c>
      <c r="B89" t="b">
        <f>IFERROR(VLOOKUP(A89,Результат!C:C,1,0)&lt;&gt;"",FALSE)</f>
        <v>0</v>
      </c>
      <c r="C89" t="str">
        <f t="shared" si="1"/>
        <v/>
      </c>
    </row>
    <row r="90" spans="1:3" x14ac:dyDescent="0.25">
      <c r="A90" t="s">
        <v>130</v>
      </c>
      <c r="B90" t="b">
        <f>IFERROR(VLOOKUP(A90,Результат!C:C,1,0)&lt;&gt;"",FALSE)</f>
        <v>1</v>
      </c>
      <c r="C90" t="str">
        <f t="shared" si="1"/>
        <v/>
      </c>
    </row>
    <row r="91" spans="1:3" x14ac:dyDescent="0.25">
      <c r="A91" t="s">
        <v>134</v>
      </c>
      <c r="B91" t="b">
        <f>IFERROR(VLOOKUP(A91,Результат!C:C,1,0)&lt;&gt;"",FALSE)</f>
        <v>0</v>
      </c>
      <c r="C91" t="str">
        <f t="shared" si="1"/>
        <v/>
      </c>
    </row>
    <row r="92" spans="1:3" x14ac:dyDescent="0.25">
      <c r="A92" t="s">
        <v>135</v>
      </c>
      <c r="B92" t="b">
        <f>IFERROR(VLOOKUP(A92,Результат!C:C,1,0)&lt;&gt;"",FALSE)</f>
        <v>0</v>
      </c>
      <c r="C92" t="str">
        <f t="shared" si="1"/>
        <v/>
      </c>
    </row>
    <row r="93" spans="1:3" x14ac:dyDescent="0.25">
      <c r="A93" t="s">
        <v>136</v>
      </c>
      <c r="B93" t="b">
        <f>IFERROR(VLOOKUP(A93,Результат!C:C,1,0)&lt;&gt;"",FALSE)</f>
        <v>1</v>
      </c>
      <c r="C93" t="str">
        <f t="shared" si="1"/>
        <v/>
      </c>
    </row>
    <row r="94" spans="1:3" x14ac:dyDescent="0.25">
      <c r="A94" t="s">
        <v>1</v>
      </c>
      <c r="B94" t="b">
        <f>IFERROR(VLOOKUP(A94,Результат!C:C,1,0)&lt;&gt;"",FALSE)</f>
        <v>0</v>
      </c>
      <c r="C94" t="str">
        <f t="shared" si="1"/>
        <v/>
      </c>
    </row>
    <row r="95" spans="1:3" x14ac:dyDescent="0.25">
      <c r="A95" t="s">
        <v>137</v>
      </c>
      <c r="B95" t="b">
        <f>IFERROR(VLOOKUP(A95,Результат!C:C,1,0)&lt;&gt;"",FALSE)</f>
        <v>0</v>
      </c>
      <c r="C95" t="str">
        <f t="shared" si="1"/>
        <v/>
      </c>
    </row>
    <row r="96" spans="1:3" x14ac:dyDescent="0.25">
      <c r="A96" t="s">
        <v>138</v>
      </c>
      <c r="B96" t="b">
        <f>IFERROR(VLOOKUP(A96,Результат!C:C,1,0)&lt;&gt;"",FALSE)</f>
        <v>1</v>
      </c>
      <c r="C96" t="str">
        <f t="shared" si="1"/>
        <v/>
      </c>
    </row>
    <row r="97" spans="1:3" x14ac:dyDescent="0.25">
      <c r="A97" t="s">
        <v>1</v>
      </c>
      <c r="B97" t="b">
        <f>IFERROR(VLOOKUP(A97,Результат!C:C,1,0)&lt;&gt;"",FALSE)</f>
        <v>0</v>
      </c>
      <c r="C97" t="str">
        <f t="shared" si="1"/>
        <v/>
      </c>
    </row>
    <row r="98" spans="1:3" x14ac:dyDescent="0.25">
      <c r="A98" t="s">
        <v>119</v>
      </c>
      <c r="B98" t="b">
        <f>IFERROR(VLOOKUP(A98,Результат!C:C,1,0)&lt;&gt;"",FALSE)</f>
        <v>0</v>
      </c>
      <c r="C98" t="str">
        <f t="shared" si="1"/>
        <v/>
      </c>
    </row>
    <row r="99" spans="1:3" x14ac:dyDescent="0.25">
      <c r="A99" t="s">
        <v>144</v>
      </c>
      <c r="B99" t="b">
        <f>IFERROR(VLOOKUP(A99,Результат!C:C,1,0)&lt;&gt;"",FALSE)</f>
        <v>1</v>
      </c>
      <c r="C99" t="str">
        <f t="shared" si="1"/>
        <v/>
      </c>
    </row>
    <row r="100" spans="1:3" x14ac:dyDescent="0.25">
      <c r="A100" t="s">
        <v>105</v>
      </c>
      <c r="B100" t="b">
        <f>IFERROR(VLOOKUP(A100,Результат!C:C,1,0)&lt;&gt;"",FALSE)</f>
        <v>0</v>
      </c>
      <c r="C100" t="str">
        <f t="shared" si="1"/>
        <v/>
      </c>
    </row>
    <row r="101" spans="1:3" x14ac:dyDescent="0.25">
      <c r="A101" t="s">
        <v>145</v>
      </c>
      <c r="B101" t="b">
        <f>IFERROR(VLOOKUP(A101,Результат!C:C,1,0)&lt;&gt;"",FALSE)</f>
        <v>0</v>
      </c>
      <c r="C101" t="str">
        <f t="shared" si="1"/>
        <v>Navy Nickel Satin Brass Silverbelly Vintage Blue Black Cognac Copper Medium Brown Mix Basalt Avion</v>
      </c>
    </row>
    <row r="102" spans="1:3" x14ac:dyDescent="0.25">
      <c r="A102" t="s">
        <v>344</v>
      </c>
      <c r="B102" t="b">
        <f>IFERROR(VLOOKUP(A102,Результат!C:C,1,0)&lt;&gt;"",FALSE)</f>
        <v>0</v>
      </c>
      <c r="C102" t="str">
        <f t="shared" si="1"/>
        <v/>
      </c>
    </row>
    <row r="103" spans="1:3" x14ac:dyDescent="0.25">
      <c r="A103" t="s">
        <v>146</v>
      </c>
      <c r="B103" t="b">
        <f>IFERROR(VLOOKUP(A103,Результат!C:C,1,0)&lt;&gt;"",FALSE)</f>
        <v>1</v>
      </c>
      <c r="C103" t="str">
        <f t="shared" si="1"/>
        <v/>
      </c>
    </row>
    <row r="104" spans="1:3" x14ac:dyDescent="0.25">
      <c r="A104" t="s">
        <v>1</v>
      </c>
      <c r="B104" t="b">
        <f>IFERROR(VLOOKUP(A104,Результат!C:C,1,0)&lt;&gt;"",FALSE)</f>
        <v>0</v>
      </c>
      <c r="C104" t="str">
        <f t="shared" si="1"/>
        <v/>
      </c>
    </row>
    <row r="105" spans="1:3" x14ac:dyDescent="0.25">
      <c r="A105" t="s">
        <v>148</v>
      </c>
      <c r="B105" t="b">
        <f>IFERROR(VLOOKUP(A105,Результат!C:C,1,0)&lt;&gt;"",FALSE)</f>
        <v>0</v>
      </c>
      <c r="C105" t="str">
        <f t="shared" si="1"/>
        <v/>
      </c>
    </row>
    <row r="106" spans="1:3" x14ac:dyDescent="0.25">
      <c r="A106" t="s">
        <v>149</v>
      </c>
      <c r="B106" t="b">
        <f>IFERROR(VLOOKUP(A106,Результат!C:C,1,0)&lt;&gt;"",FALSE)</f>
        <v>1</v>
      </c>
      <c r="C106" t="str">
        <f t="shared" si="1"/>
        <v/>
      </c>
    </row>
    <row r="107" spans="1:3" x14ac:dyDescent="0.25">
      <c r="A107" t="s">
        <v>1</v>
      </c>
      <c r="B107" t="b">
        <f>IFERROR(VLOOKUP(A107,Результат!C:C,1,0)&lt;&gt;"",FALSE)</f>
        <v>0</v>
      </c>
      <c r="C107" t="str">
        <f t="shared" si="1"/>
        <v/>
      </c>
    </row>
    <row r="108" spans="1:3" x14ac:dyDescent="0.25">
      <c r="A108" t="s">
        <v>151</v>
      </c>
      <c r="B108" t="b">
        <f>IFERROR(VLOOKUP(A108,Результат!C:C,1,0)&lt;&gt;"",FALSE)</f>
        <v>0</v>
      </c>
      <c r="C108" t="str">
        <f t="shared" si="1"/>
        <v/>
      </c>
    </row>
    <row r="109" spans="1:3" x14ac:dyDescent="0.25">
      <c r="A109" t="s">
        <v>152</v>
      </c>
      <c r="B109" t="b">
        <f>IFERROR(VLOOKUP(A109,Результат!C:C,1,0)&lt;&gt;"",FALSE)</f>
        <v>1</v>
      </c>
      <c r="C109" t="str">
        <f t="shared" si="1"/>
        <v/>
      </c>
    </row>
    <row r="110" spans="1:3" x14ac:dyDescent="0.25">
      <c r="A110" t="s">
        <v>1</v>
      </c>
      <c r="B110" t="b">
        <f>IFERROR(VLOOKUP(A110,Результат!C:C,1,0)&lt;&gt;"",FALSE)</f>
        <v>0</v>
      </c>
      <c r="C110" t="str">
        <f t="shared" si="1"/>
        <v/>
      </c>
    </row>
    <row r="111" spans="1:3" x14ac:dyDescent="0.25">
      <c r="A111" t="s">
        <v>155</v>
      </c>
      <c r="B111" t="b">
        <f>IFERROR(VLOOKUP(A111,Результат!C:C,1,0)&lt;&gt;"",FALSE)</f>
        <v>0</v>
      </c>
      <c r="C111" t="str">
        <f t="shared" si="1"/>
        <v/>
      </c>
    </row>
    <row r="112" spans="1:3" x14ac:dyDescent="0.25">
      <c r="A112" t="s">
        <v>156</v>
      </c>
      <c r="B112" t="b">
        <f>IFERROR(VLOOKUP(A112,Результат!C:C,1,0)&lt;&gt;"",FALSE)</f>
        <v>1</v>
      </c>
      <c r="C112" t="str">
        <f t="shared" si="1"/>
        <v/>
      </c>
    </row>
    <row r="113" spans="1:3" x14ac:dyDescent="0.25">
      <c r="A113" t="s">
        <v>1</v>
      </c>
      <c r="B113" t="b">
        <f>IFERROR(VLOOKUP(A113,Результат!C:C,1,0)&lt;&gt;"",FALSE)</f>
        <v>0</v>
      </c>
      <c r="C113" t="str">
        <f t="shared" si="1"/>
        <v/>
      </c>
    </row>
    <row r="114" spans="1:3" x14ac:dyDescent="0.25">
      <c r="A114" t="s">
        <v>159</v>
      </c>
      <c r="B114" t="b">
        <f>IFERROR(VLOOKUP(A114,Результат!C:C,1,0)&lt;&gt;"",FALSE)</f>
        <v>0</v>
      </c>
      <c r="C114" t="str">
        <f t="shared" si="1"/>
        <v/>
      </c>
    </row>
    <row r="115" spans="1:3" x14ac:dyDescent="0.25">
      <c r="A115" t="s">
        <v>160</v>
      </c>
      <c r="B115" t="b">
        <f>IFERROR(VLOOKUP(A115,Результат!C:C,1,0)&lt;&gt;"",FALSE)</f>
        <v>1</v>
      </c>
      <c r="C115" t="str">
        <f t="shared" si="1"/>
        <v/>
      </c>
    </row>
    <row r="116" spans="1:3" x14ac:dyDescent="0.25">
      <c r="A116" t="s">
        <v>1</v>
      </c>
      <c r="B116" t="b">
        <f>IFERROR(VLOOKUP(A116,Результат!C:C,1,0)&lt;&gt;"",FALSE)</f>
        <v>0</v>
      </c>
      <c r="C116" t="str">
        <f t="shared" si="1"/>
        <v/>
      </c>
    </row>
    <row r="117" spans="1:3" x14ac:dyDescent="0.25">
      <c r="A117" t="s">
        <v>162</v>
      </c>
      <c r="B117" t="b">
        <f>IFERROR(VLOOKUP(A117,Результат!C:C,1,0)&lt;&gt;"",FALSE)</f>
        <v>0</v>
      </c>
      <c r="C117" t="str">
        <f t="shared" si="1"/>
        <v/>
      </c>
    </row>
    <row r="118" spans="1:3" x14ac:dyDescent="0.25">
      <c r="A118" t="s">
        <v>163</v>
      </c>
      <c r="B118" t="b">
        <f>IFERROR(VLOOKUP(A118,Результат!C:C,1,0)&lt;&gt;"",FALSE)</f>
        <v>1</v>
      </c>
      <c r="C118" t="str">
        <f t="shared" si="1"/>
        <v/>
      </c>
    </row>
    <row r="119" spans="1:3" x14ac:dyDescent="0.25">
      <c r="A119" t="s">
        <v>1</v>
      </c>
      <c r="B119" t="b">
        <f>IFERROR(VLOOKUP(A119,Результат!C:C,1,0)&lt;&gt;"",FALSE)</f>
        <v>0</v>
      </c>
      <c r="C119" t="str">
        <f t="shared" si="1"/>
        <v/>
      </c>
    </row>
    <row r="120" spans="1:3" x14ac:dyDescent="0.25">
      <c r="A120" t="s">
        <v>167</v>
      </c>
      <c r="B120" t="b">
        <f>IFERROR(VLOOKUP(A120,Результат!C:C,1,0)&lt;&gt;"",FALSE)</f>
        <v>0</v>
      </c>
      <c r="C120" t="str">
        <f t="shared" si="1"/>
        <v/>
      </c>
    </row>
    <row r="121" spans="1:3" x14ac:dyDescent="0.25">
      <c r="A121" t="s">
        <v>168</v>
      </c>
      <c r="B121" t="b">
        <f>IFERROR(VLOOKUP(A121,Результат!C:C,1,0)&lt;&gt;"",FALSE)</f>
        <v>1</v>
      </c>
      <c r="C121" t="str">
        <f t="shared" si="1"/>
        <v/>
      </c>
    </row>
    <row r="122" spans="1:3" x14ac:dyDescent="0.25">
      <c r="A122" t="s">
        <v>105</v>
      </c>
      <c r="B122" t="b">
        <f>IFERROR(VLOOKUP(A122,Результат!C:C,1,0)&lt;&gt;"",FALSE)</f>
        <v>0</v>
      </c>
      <c r="C122" t="str">
        <f t="shared" si="1"/>
        <v/>
      </c>
    </row>
    <row r="123" spans="1:3" x14ac:dyDescent="0.25">
      <c r="A123" t="s">
        <v>171</v>
      </c>
      <c r="B123" t="b">
        <f>IFERROR(VLOOKUP(A123,Результат!C:C,1,0)&lt;&gt;"",FALSE)</f>
        <v>0</v>
      </c>
      <c r="C123" t="str">
        <f t="shared" si="1"/>
        <v/>
      </c>
    </row>
    <row r="124" spans="1:3" x14ac:dyDescent="0.25">
      <c r="A124" t="s">
        <v>172</v>
      </c>
      <c r="B124" t="b">
        <f>IFERROR(VLOOKUP(A124,Результат!C:C,1,0)&lt;&gt;"",FALSE)</f>
        <v>1</v>
      </c>
      <c r="C124" t="str">
        <f t="shared" si="1"/>
        <v/>
      </c>
    </row>
    <row r="125" spans="1:3" x14ac:dyDescent="0.25">
      <c r="A125" t="s">
        <v>105</v>
      </c>
      <c r="B125" t="b">
        <f>IFERROR(VLOOKUP(A125,Результат!C:C,1,0)&lt;&gt;"",FALSE)</f>
        <v>0</v>
      </c>
      <c r="C125" t="str">
        <f t="shared" si="1"/>
        <v/>
      </c>
    </row>
    <row r="126" spans="1:3" x14ac:dyDescent="0.25">
      <c r="A126" t="s">
        <v>175</v>
      </c>
      <c r="B126" t="b">
        <f>IFERROR(VLOOKUP(A126,Результат!C:C,1,0)&lt;&gt;"",FALSE)</f>
        <v>0</v>
      </c>
      <c r="C126" t="str">
        <f t="shared" si="1"/>
        <v>Sea Breeze Serpent Speckled Egg Mix Uniform Green Vintage Blue Antique Black Contrapposto Grey Navy</v>
      </c>
    </row>
    <row r="127" spans="1:3" x14ac:dyDescent="0.25">
      <c r="A127" t="s">
        <v>176</v>
      </c>
      <c r="B127" t="b">
        <f>IFERROR(VLOOKUP(A127,Результат!C:C,1,0)&lt;&gt;"",FALSE)</f>
        <v>0</v>
      </c>
      <c r="C127" t="str">
        <f t="shared" si="1"/>
        <v/>
      </c>
    </row>
    <row r="128" spans="1:3" x14ac:dyDescent="0.25">
      <c r="A128" t="s">
        <v>177</v>
      </c>
      <c r="B128" t="b">
        <f>IFERROR(VLOOKUP(A128,Результат!C:C,1,0)&lt;&gt;"",FALSE)</f>
        <v>1</v>
      </c>
      <c r="C128" t="str">
        <f t="shared" si="1"/>
        <v/>
      </c>
    </row>
    <row r="129" spans="1:3" x14ac:dyDescent="0.25">
      <c r="A129" t="s">
        <v>1</v>
      </c>
      <c r="B129" t="b">
        <f>IFERROR(VLOOKUP(A129,Результат!C:C,1,0)&lt;&gt;"",FALSE)</f>
        <v>0</v>
      </c>
      <c r="C129" t="str">
        <f t="shared" si="1"/>
        <v/>
      </c>
    </row>
    <row r="130" spans="1:3" x14ac:dyDescent="0.25">
      <c r="A130" t="s">
        <v>179</v>
      </c>
      <c r="B130" t="b">
        <f>IFERROR(VLOOKUP(A130,Результат!C:C,1,0)&lt;&gt;"",FALSE)</f>
        <v>0</v>
      </c>
      <c r="C130" t="str">
        <f t="shared" ref="C130:C192" si="2">IF(AND(IFERROR(FIND(",",A129)&gt;=1,FALSE),B131&lt;&gt;TRUE),A130&amp;" "&amp;A131,"")</f>
        <v/>
      </c>
    </row>
    <row r="131" spans="1:3" x14ac:dyDescent="0.25">
      <c r="A131" t="s">
        <v>180</v>
      </c>
      <c r="B131" t="b">
        <f>IFERROR(VLOOKUP(A131,Результат!C:C,1,0)&lt;&gt;"",FALSE)</f>
        <v>1</v>
      </c>
      <c r="C131" t="str">
        <f t="shared" si="2"/>
        <v/>
      </c>
    </row>
    <row r="132" spans="1:3" x14ac:dyDescent="0.25">
      <c r="A132" t="s">
        <v>1</v>
      </c>
      <c r="B132" t="b">
        <f>IFERROR(VLOOKUP(A132,Результат!C:C,1,0)&lt;&gt;"",FALSE)</f>
        <v>0</v>
      </c>
      <c r="C132" t="str">
        <f t="shared" si="2"/>
        <v/>
      </c>
    </row>
    <row r="133" spans="1:3" x14ac:dyDescent="0.25">
      <c r="A133" t="s">
        <v>184</v>
      </c>
      <c r="B133" t="b">
        <f>IFERROR(VLOOKUP(A133,Результат!C:C,1,0)&lt;&gt;"",FALSE)</f>
        <v>0</v>
      </c>
      <c r="C133" t="str">
        <f t="shared" si="2"/>
        <v/>
      </c>
    </row>
    <row r="134" spans="1:3" x14ac:dyDescent="0.25">
      <c r="A134" t="s">
        <v>185</v>
      </c>
      <c r="B134" t="b">
        <f>IFERROR(VLOOKUP(A134,Результат!C:C,1,0)&lt;&gt;"",FALSE)</f>
        <v>1</v>
      </c>
      <c r="C134" t="str">
        <f t="shared" si="2"/>
        <v/>
      </c>
    </row>
    <row r="135" spans="1:3" x14ac:dyDescent="0.25">
      <c r="A135" t="s">
        <v>1</v>
      </c>
      <c r="B135" t="b">
        <f>IFERROR(VLOOKUP(A135,Результат!C:C,1,0)&lt;&gt;"",FALSE)</f>
        <v>0</v>
      </c>
      <c r="C135" t="str">
        <f t="shared" si="2"/>
        <v/>
      </c>
    </row>
    <row r="136" spans="1:3" x14ac:dyDescent="0.25">
      <c r="A136" t="s">
        <v>187</v>
      </c>
      <c r="B136" t="b">
        <f>IFERROR(VLOOKUP(A136,Результат!C:C,1,0)&lt;&gt;"",FALSE)</f>
        <v>0</v>
      </c>
      <c r="C136" t="str">
        <f t="shared" si="2"/>
        <v/>
      </c>
    </row>
    <row r="137" spans="1:3" x14ac:dyDescent="0.25">
      <c r="A137" t="s">
        <v>188</v>
      </c>
      <c r="B137" t="b">
        <f>IFERROR(VLOOKUP(A137,Результат!C:C,1,0)&lt;&gt;"",FALSE)</f>
        <v>1</v>
      </c>
      <c r="C137" t="str">
        <f t="shared" si="2"/>
        <v/>
      </c>
    </row>
    <row r="138" spans="1:3" x14ac:dyDescent="0.25">
      <c r="A138" t="s">
        <v>1</v>
      </c>
      <c r="B138" t="b">
        <f>IFERROR(VLOOKUP(A138,Результат!C:C,1,0)&lt;&gt;"",FALSE)</f>
        <v>0</v>
      </c>
      <c r="C138" t="str">
        <f t="shared" si="2"/>
        <v/>
      </c>
    </row>
    <row r="139" spans="1:3" x14ac:dyDescent="0.25">
      <c r="A139" t="s">
        <v>189</v>
      </c>
      <c r="B139" t="b">
        <f>IFERROR(VLOOKUP(A139,Результат!C:C,1,0)&lt;&gt;"",FALSE)</f>
        <v>0</v>
      </c>
      <c r="C139" t="str">
        <f t="shared" si="2"/>
        <v/>
      </c>
    </row>
    <row r="140" spans="1:3" x14ac:dyDescent="0.25">
      <c r="A140" t="s">
        <v>190</v>
      </c>
      <c r="B140" t="b">
        <f>IFERROR(VLOOKUP(A140,Результат!C:C,1,0)&lt;&gt;"",FALSE)</f>
        <v>1</v>
      </c>
      <c r="C140" t="str">
        <f t="shared" si="2"/>
        <v/>
      </c>
    </row>
    <row r="141" spans="1:3" x14ac:dyDescent="0.25">
      <c r="A141" t="s">
        <v>1</v>
      </c>
      <c r="B141" t="b">
        <f>IFERROR(VLOOKUP(A141,Результат!C:C,1,0)&lt;&gt;"",FALSE)</f>
        <v>0</v>
      </c>
      <c r="C141" t="str">
        <f t="shared" si="2"/>
        <v/>
      </c>
    </row>
    <row r="142" spans="1:3" x14ac:dyDescent="0.25">
      <c r="A142" t="s">
        <v>191</v>
      </c>
      <c r="B142" t="b">
        <f>IFERROR(VLOOKUP(A142,Результат!C:C,1,0)&lt;&gt;"",FALSE)</f>
        <v>0</v>
      </c>
      <c r="C142" t="str">
        <f t="shared" si="2"/>
        <v/>
      </c>
    </row>
    <row r="143" spans="1:3" x14ac:dyDescent="0.25">
      <c r="A143" t="s">
        <v>192</v>
      </c>
      <c r="B143" t="b">
        <f>IFERROR(VLOOKUP(A143,Результат!C:C,1,0)&lt;&gt;"",FALSE)</f>
        <v>1</v>
      </c>
      <c r="C143" t="str">
        <f t="shared" si="2"/>
        <v/>
      </c>
    </row>
    <row r="144" spans="1:3" x14ac:dyDescent="0.25">
      <c r="A144" t="s">
        <v>1</v>
      </c>
      <c r="B144" t="b">
        <f>IFERROR(VLOOKUP(A144,Результат!C:C,1,0)&lt;&gt;"",FALSE)</f>
        <v>0</v>
      </c>
      <c r="C144" t="str">
        <f t="shared" si="2"/>
        <v/>
      </c>
    </row>
    <row r="145" spans="1:3" x14ac:dyDescent="0.25">
      <c r="A145" t="s">
        <v>195</v>
      </c>
      <c r="B145" t="b">
        <f>IFERROR(VLOOKUP(A145,Результат!C:C,1,0)&lt;&gt;"",FALSE)</f>
        <v>0</v>
      </c>
      <c r="C145" t="str">
        <f t="shared" si="2"/>
        <v/>
      </c>
    </row>
    <row r="146" spans="1:3" x14ac:dyDescent="0.25">
      <c r="A146" t="s">
        <v>196</v>
      </c>
      <c r="B146" t="b">
        <f>IFERROR(VLOOKUP(A146,Результат!C:C,1,0)&lt;&gt;"",FALSE)</f>
        <v>1</v>
      </c>
      <c r="C146" t="str">
        <f t="shared" si="2"/>
        <v/>
      </c>
    </row>
    <row r="147" spans="1:3" x14ac:dyDescent="0.25">
      <c r="A147" t="s">
        <v>1</v>
      </c>
      <c r="B147" t="b">
        <f>IFERROR(VLOOKUP(A147,Результат!C:C,1,0)&lt;&gt;"",FALSE)</f>
        <v>0</v>
      </c>
      <c r="C147" t="str">
        <f t="shared" si="2"/>
        <v/>
      </c>
    </row>
    <row r="148" spans="1:3" x14ac:dyDescent="0.25">
      <c r="A148" t="s">
        <v>198</v>
      </c>
      <c r="B148" t="b">
        <f>IFERROR(VLOOKUP(A148,Результат!C:C,1,0)&lt;&gt;"",FALSE)</f>
        <v>0</v>
      </c>
      <c r="C148" t="str">
        <f t="shared" si="2"/>
        <v>Oxblood Pewter Serpent Silverbelly Black Cognac Olive Mix</v>
      </c>
    </row>
    <row r="149" spans="1:3" x14ac:dyDescent="0.25">
      <c r="A149" t="s">
        <v>199</v>
      </c>
      <c r="B149" t="b">
        <f>IFERROR(VLOOKUP(A149,Результат!C:C,1,0)&lt;&gt;"",FALSE)</f>
        <v>0</v>
      </c>
      <c r="C149" t="str">
        <f t="shared" si="2"/>
        <v/>
      </c>
    </row>
    <row r="150" spans="1:3" x14ac:dyDescent="0.25">
      <c r="A150" t="s">
        <v>200</v>
      </c>
      <c r="B150" t="b">
        <f>IFERROR(VLOOKUP(A150,Результат!C:C,1,0)&lt;&gt;"",FALSE)</f>
        <v>1</v>
      </c>
      <c r="C150" t="str">
        <f t="shared" si="2"/>
        <v/>
      </c>
    </row>
    <row r="151" spans="1:3" x14ac:dyDescent="0.25">
      <c r="A151" t="s">
        <v>1</v>
      </c>
      <c r="B151" t="b">
        <f>IFERROR(VLOOKUP(A151,Результат!C:C,1,0)&lt;&gt;"",FALSE)</f>
        <v>0</v>
      </c>
      <c r="C151" t="str">
        <f t="shared" si="2"/>
        <v/>
      </c>
    </row>
    <row r="152" spans="1:3" x14ac:dyDescent="0.25">
      <c r="A152" t="s">
        <v>203</v>
      </c>
      <c r="B152" t="b">
        <f>IFERROR(VLOOKUP(A152,Результат!C:C,1,0)&lt;&gt;"",FALSE)</f>
        <v>0</v>
      </c>
      <c r="C152" t="str">
        <f t="shared" si="2"/>
        <v/>
      </c>
    </row>
    <row r="153" spans="1:3" x14ac:dyDescent="0.25">
      <c r="A153" t="s">
        <v>204</v>
      </c>
      <c r="B153" t="b">
        <f>IFERROR(VLOOKUP(A153,Результат!C:C,1,0)&lt;&gt;"",FALSE)</f>
        <v>1</v>
      </c>
      <c r="C153" t="str">
        <f t="shared" si="2"/>
        <v/>
      </c>
    </row>
    <row r="154" spans="1:3" x14ac:dyDescent="0.25">
      <c r="A154" t="s">
        <v>105</v>
      </c>
      <c r="B154" t="b">
        <f>IFERROR(VLOOKUP(A154,Результат!C:C,1,0)&lt;&gt;"",FALSE)</f>
        <v>0</v>
      </c>
      <c r="C154" t="str">
        <f t="shared" si="2"/>
        <v/>
      </c>
    </row>
    <row r="155" spans="1:3" x14ac:dyDescent="0.25">
      <c r="A155" t="s">
        <v>205</v>
      </c>
      <c r="B155" t="b">
        <f>IFERROR(VLOOKUP(A155,Результат!C:C,1,0)&lt;&gt;"",FALSE)</f>
        <v>0</v>
      </c>
      <c r="C155" t="str">
        <f t="shared" si="2"/>
        <v>Contrapposto Copper Natural Mix Navy Port Red Satin Brass Sea Breeze Unbleached Vintage Blue Basalt Black Black Mix Brown</v>
      </c>
    </row>
    <row r="156" spans="1:3" x14ac:dyDescent="0.25">
      <c r="A156" t="s">
        <v>453</v>
      </c>
      <c r="B156" t="b">
        <f>IFERROR(VLOOKUP(A156,Результат!C:C,1,0)&lt;&gt;"",FALSE)</f>
        <v>0</v>
      </c>
      <c r="C156" t="str">
        <f t="shared" si="2"/>
        <v/>
      </c>
    </row>
    <row r="157" spans="1:3" x14ac:dyDescent="0.25">
      <c r="A157" t="s">
        <v>208</v>
      </c>
      <c r="B157" t="b">
        <f>IFERROR(VLOOKUP(A157,Результат!C:C,1,0)&lt;&gt;"",FALSE)</f>
        <v>1</v>
      </c>
      <c r="C157" t="str">
        <f t="shared" si="2"/>
        <v/>
      </c>
    </row>
    <row r="158" spans="1:3" x14ac:dyDescent="0.25">
      <c r="A158" t="s">
        <v>1</v>
      </c>
      <c r="B158" t="b">
        <f>IFERROR(VLOOKUP(A158,Результат!C:C,1,0)&lt;&gt;"",FALSE)</f>
        <v>0</v>
      </c>
      <c r="C158" t="str">
        <f t="shared" si="2"/>
        <v/>
      </c>
    </row>
    <row r="159" spans="1:3" x14ac:dyDescent="0.25">
      <c r="A159" t="s">
        <v>212</v>
      </c>
      <c r="B159" t="b">
        <f>IFERROR(VLOOKUP(A159,Результат!C:C,1,0)&lt;&gt;"",FALSE)</f>
        <v>0</v>
      </c>
      <c r="C159" t="str">
        <f t="shared" si="2"/>
        <v/>
      </c>
    </row>
    <row r="160" spans="1:3" x14ac:dyDescent="0.25">
      <c r="A160" t="s">
        <v>213</v>
      </c>
      <c r="B160" t="b">
        <f>IFERROR(VLOOKUP(A160,Результат!C:C,1,0)&lt;&gt;"",FALSE)</f>
        <v>1</v>
      </c>
      <c r="C160" t="str">
        <f t="shared" si="2"/>
        <v/>
      </c>
    </row>
    <row r="161" spans="1:3" x14ac:dyDescent="0.25">
      <c r="A161" t="s">
        <v>1</v>
      </c>
      <c r="B161" t="b">
        <f>IFERROR(VLOOKUP(A161,Результат!C:C,1,0)&lt;&gt;"",FALSE)</f>
        <v>0</v>
      </c>
      <c r="C161" t="str">
        <f t="shared" si="2"/>
        <v/>
      </c>
    </row>
    <row r="162" spans="1:3" x14ac:dyDescent="0.25">
      <c r="A162" t="s">
        <v>217</v>
      </c>
      <c r="B162" t="b">
        <f>IFERROR(VLOOKUP(A162,Результат!C:C,1,0)&lt;&gt;"",FALSE)</f>
        <v>0</v>
      </c>
      <c r="C162" t="str">
        <f t="shared" si="2"/>
        <v/>
      </c>
    </row>
    <row r="163" spans="1:3" x14ac:dyDescent="0.25">
      <c r="A163" t="s">
        <v>218</v>
      </c>
      <c r="B163" t="b">
        <f>IFERROR(VLOOKUP(A163,Результат!C:C,1,0)&lt;&gt;"",FALSE)</f>
        <v>1</v>
      </c>
      <c r="C163" t="str">
        <f t="shared" si="2"/>
        <v/>
      </c>
    </row>
    <row r="164" spans="1:3" x14ac:dyDescent="0.25">
      <c r="A164" t="s">
        <v>1</v>
      </c>
      <c r="B164" t="b">
        <f>IFERROR(VLOOKUP(A164,Результат!C:C,1,0)&lt;&gt;"",FALSE)</f>
        <v>0</v>
      </c>
      <c r="C164" t="str">
        <f t="shared" si="2"/>
        <v/>
      </c>
    </row>
    <row r="165" spans="1:3" x14ac:dyDescent="0.25">
      <c r="A165" t="s">
        <v>219</v>
      </c>
      <c r="B165" t="b">
        <f>IFERROR(VLOOKUP(A165,Результат!C:C,1,0)&lt;&gt;"",FALSE)</f>
        <v>0</v>
      </c>
      <c r="C165" t="str">
        <f t="shared" si="2"/>
        <v/>
      </c>
    </row>
    <row r="166" spans="1:3" x14ac:dyDescent="0.25">
      <c r="A166" t="s">
        <v>220</v>
      </c>
      <c r="B166" t="b">
        <f>IFERROR(VLOOKUP(A166,Результат!C:C,1,0)&lt;&gt;"",FALSE)</f>
        <v>1</v>
      </c>
      <c r="C166" t="str">
        <f t="shared" si="2"/>
        <v/>
      </c>
    </row>
    <row r="167" spans="1:3" x14ac:dyDescent="0.25">
      <c r="A167" t="s">
        <v>1</v>
      </c>
      <c r="B167" t="b">
        <f>IFERROR(VLOOKUP(A167,Результат!C:C,1,0)&lt;&gt;"",FALSE)</f>
        <v>0</v>
      </c>
      <c r="C167" t="str">
        <f t="shared" si="2"/>
        <v/>
      </c>
    </row>
    <row r="168" spans="1:3" x14ac:dyDescent="0.25">
      <c r="A168" t="s">
        <v>222</v>
      </c>
      <c r="B168" t="b">
        <f>IFERROR(VLOOKUP(A168,Результат!C:C,1,0)&lt;&gt;"",FALSE)</f>
        <v>0</v>
      </c>
      <c r="C168" t="str">
        <f t="shared" si="2"/>
        <v/>
      </c>
    </row>
    <row r="169" spans="1:3" x14ac:dyDescent="0.25">
      <c r="A169" t="s">
        <v>223</v>
      </c>
      <c r="B169" t="b">
        <f>IFERROR(VLOOKUP(A169,Результат!C:C,1,0)&lt;&gt;"",FALSE)</f>
        <v>1</v>
      </c>
      <c r="C169" t="str">
        <f t="shared" si="2"/>
        <v/>
      </c>
    </row>
    <row r="170" spans="1:3" x14ac:dyDescent="0.25">
      <c r="A170" t="s">
        <v>105</v>
      </c>
      <c r="B170" t="b">
        <f>IFERROR(VLOOKUP(A170,Результат!C:C,1,0)&lt;&gt;"",FALSE)</f>
        <v>0</v>
      </c>
      <c r="C170" t="str">
        <f t="shared" si="2"/>
        <v/>
      </c>
    </row>
    <row r="171" spans="1:3" x14ac:dyDescent="0.25">
      <c r="A171" t="s">
        <v>9</v>
      </c>
      <c r="B171" t="b">
        <f>IFERROR(VLOOKUP(A171,Результат!C:C,1,0)&lt;&gt;"",FALSE)</f>
        <v>0</v>
      </c>
      <c r="C171" t="str">
        <f t="shared" si="2"/>
        <v/>
      </c>
    </row>
    <row r="172" spans="1:3" x14ac:dyDescent="0.25">
      <c r="A172" t="s">
        <v>226</v>
      </c>
      <c r="B172" t="b">
        <f>IFERROR(VLOOKUP(A172,Результат!C:C,1,0)&lt;&gt;"",FALSE)</f>
        <v>1</v>
      </c>
      <c r="C172" t="str">
        <f t="shared" si="2"/>
        <v/>
      </c>
    </row>
    <row r="173" spans="1:3" x14ac:dyDescent="0.25">
      <c r="A173" t="s">
        <v>105</v>
      </c>
      <c r="B173" t="b">
        <f>IFERROR(VLOOKUP(A173,Результат!C:C,1,0)&lt;&gt;"",FALSE)</f>
        <v>0</v>
      </c>
      <c r="C173" t="str">
        <f t="shared" si="2"/>
        <v/>
      </c>
    </row>
    <row r="174" spans="1:3" x14ac:dyDescent="0.25">
      <c r="A174" t="s">
        <v>9</v>
      </c>
      <c r="B174" t="b">
        <f>IFERROR(VLOOKUP(A174,Результат!C:C,1,0)&lt;&gt;"",FALSE)</f>
        <v>0</v>
      </c>
      <c r="C174" t="str">
        <f t="shared" si="2"/>
        <v/>
      </c>
    </row>
    <row r="175" spans="1:3" x14ac:dyDescent="0.25">
      <c r="A175" t="s">
        <v>227</v>
      </c>
      <c r="B175" t="b">
        <f>IFERROR(VLOOKUP(A175,Результат!C:C,1,0)&lt;&gt;"",FALSE)</f>
        <v>1</v>
      </c>
      <c r="C175" t="str">
        <f t="shared" si="2"/>
        <v/>
      </c>
    </row>
    <row r="176" spans="1:3" x14ac:dyDescent="0.25">
      <c r="A176" t="s">
        <v>1</v>
      </c>
      <c r="B176" t="b">
        <f>IFERROR(VLOOKUP(A176,Результат!C:C,1,0)&lt;&gt;"",FALSE)</f>
        <v>0</v>
      </c>
      <c r="C176" t="str">
        <f t="shared" si="2"/>
        <v/>
      </c>
    </row>
    <row r="177" spans="1:3" x14ac:dyDescent="0.25">
      <c r="A177" t="s">
        <v>230</v>
      </c>
      <c r="B177" t="b">
        <f>IFERROR(VLOOKUP(A177,Результат!C:C,1,0)&lt;&gt;"",FALSE)</f>
        <v>0</v>
      </c>
      <c r="C177" t="str">
        <f t="shared" si="2"/>
        <v/>
      </c>
    </row>
    <row r="178" spans="1:3" x14ac:dyDescent="0.25">
      <c r="A178" t="s">
        <v>231</v>
      </c>
      <c r="B178" t="b">
        <f>IFERROR(VLOOKUP(A178,Результат!C:C,1,0)&lt;&gt;"",FALSE)</f>
        <v>1</v>
      </c>
      <c r="C178" t="str">
        <f t="shared" si="2"/>
        <v/>
      </c>
    </row>
    <row r="179" spans="1:3" x14ac:dyDescent="0.25">
      <c r="A179" t="s">
        <v>105</v>
      </c>
      <c r="B179" t="b">
        <f>IFERROR(VLOOKUP(A179,Результат!C:C,1,0)&lt;&gt;"",FALSE)</f>
        <v>0</v>
      </c>
      <c r="C179" t="str">
        <f t="shared" si="2"/>
        <v/>
      </c>
    </row>
    <row r="180" spans="1:3" x14ac:dyDescent="0.25">
      <c r="A180" t="s">
        <v>233</v>
      </c>
      <c r="B180" t="b">
        <f>IFERROR(VLOOKUP(A180,Результат!C:C,1,0)&lt;&gt;"",FALSE)</f>
        <v>0</v>
      </c>
      <c r="C180" t="str">
        <f t="shared" si="2"/>
        <v/>
      </c>
    </row>
    <row r="181" spans="1:3" x14ac:dyDescent="0.25">
      <c r="A181" t="s">
        <v>234</v>
      </c>
      <c r="B181" t="b">
        <f>IFERROR(VLOOKUP(A181,Результат!C:C,1,0)&lt;&gt;"",FALSE)</f>
        <v>1</v>
      </c>
      <c r="C181" t="str">
        <f t="shared" si="2"/>
        <v/>
      </c>
    </row>
    <row r="182" spans="1:3" x14ac:dyDescent="0.25">
      <c r="A182" t="s">
        <v>1</v>
      </c>
      <c r="B182" t="b">
        <f>IFERROR(VLOOKUP(A182,Результат!C:C,1,0)&lt;&gt;"",FALSE)</f>
        <v>0</v>
      </c>
      <c r="C182" t="str">
        <f t="shared" si="2"/>
        <v/>
      </c>
    </row>
    <row r="183" spans="1:3" x14ac:dyDescent="0.25">
      <c r="A183" t="s">
        <v>237</v>
      </c>
      <c r="B183" t="b">
        <f>IFERROR(VLOOKUP(A183,Результат!C:C,1,0)&lt;&gt;"",FALSE)</f>
        <v>0</v>
      </c>
      <c r="C183" t="str">
        <f t="shared" si="2"/>
        <v/>
      </c>
    </row>
    <row r="184" spans="1:3" x14ac:dyDescent="0.25">
      <c r="A184" t="s">
        <v>238</v>
      </c>
      <c r="B184" t="b">
        <f>IFERROR(VLOOKUP(A184,Результат!C:C,1,0)&lt;&gt;"",FALSE)</f>
        <v>1</v>
      </c>
      <c r="C184" t="str">
        <f t="shared" si="2"/>
        <v/>
      </c>
    </row>
    <row r="185" spans="1:3" x14ac:dyDescent="0.25">
      <c r="A185" t="s">
        <v>1</v>
      </c>
      <c r="B185" t="b">
        <f>IFERROR(VLOOKUP(A185,Результат!C:C,1,0)&lt;&gt;"",FALSE)</f>
        <v>0</v>
      </c>
      <c r="C185" t="str">
        <f t="shared" si="2"/>
        <v/>
      </c>
    </row>
    <row r="186" spans="1:3" x14ac:dyDescent="0.25">
      <c r="A186" t="s">
        <v>243</v>
      </c>
      <c r="B186" t="b">
        <f>IFERROR(VLOOKUP(A186,Результат!C:C,1,0)&lt;&gt;"",FALSE)</f>
        <v>0</v>
      </c>
      <c r="C186" t="str">
        <f t="shared" si="2"/>
        <v/>
      </c>
    </row>
    <row r="187" spans="1:3" x14ac:dyDescent="0.25">
      <c r="A187" t="s">
        <v>244</v>
      </c>
      <c r="B187" t="b">
        <f>IFERROR(VLOOKUP(A187,Результат!C:C,1,0)&lt;&gt;"",FALSE)</f>
        <v>1</v>
      </c>
      <c r="C187" t="str">
        <f t="shared" si="2"/>
        <v/>
      </c>
    </row>
    <row r="188" spans="1:3" x14ac:dyDescent="0.25">
      <c r="A188" t="s">
        <v>1</v>
      </c>
      <c r="B188" t="b">
        <f>IFERROR(VLOOKUP(A188,Результат!C:C,1,0)&lt;&gt;"",FALSE)</f>
        <v>0</v>
      </c>
      <c r="C188" t="str">
        <f t="shared" si="2"/>
        <v/>
      </c>
    </row>
    <row r="189" spans="1:3" x14ac:dyDescent="0.25">
      <c r="A189" t="s">
        <v>245</v>
      </c>
      <c r="B189" t="b">
        <f>IFERROR(VLOOKUP(A189,Результат!C:C,1,0)&lt;&gt;"",FALSE)</f>
        <v>0</v>
      </c>
      <c r="C189" t="str">
        <f t="shared" si="2"/>
        <v/>
      </c>
    </row>
    <row r="190" spans="1:3" x14ac:dyDescent="0.25">
      <c r="A190" t="s">
        <v>246</v>
      </c>
      <c r="B190" t="b">
        <f>IFERROR(VLOOKUP(A190,Результат!C:C,1,0)&lt;&gt;"",FALSE)</f>
        <v>1</v>
      </c>
      <c r="C190" t="str">
        <f t="shared" si="2"/>
        <v/>
      </c>
    </row>
    <row r="191" spans="1:3" x14ac:dyDescent="0.25">
      <c r="A191" t="s">
        <v>1</v>
      </c>
      <c r="B191" t="b">
        <f>IFERROR(VLOOKUP(A191,Результат!C:C,1,0)&lt;&gt;"",FALSE)</f>
        <v>0</v>
      </c>
      <c r="C191" t="str">
        <f t="shared" si="2"/>
        <v/>
      </c>
    </row>
    <row r="192" spans="1:3" x14ac:dyDescent="0.25">
      <c r="A192" t="s">
        <v>252</v>
      </c>
      <c r="B192" t="b">
        <f>IFERROR(VLOOKUP(A192,Результат!C:C,1,0)&lt;&gt;"",FALSE)</f>
        <v>0</v>
      </c>
      <c r="C192" t="str">
        <f t="shared" si="2"/>
        <v/>
      </c>
    </row>
    <row r="193" spans="1:3" x14ac:dyDescent="0.25">
      <c r="A193" t="s">
        <v>253</v>
      </c>
      <c r="B193" t="b">
        <f>IFERROR(VLOOKUP(A193,Результат!C:C,1,0)&lt;&gt;"",FALSE)</f>
        <v>1</v>
      </c>
      <c r="C193" t="str">
        <f t="shared" ref="C193:C256" si="3">IF(AND(IFERROR(FIND(",",A192)&gt;=1,FALSE),B194&lt;&gt;TRUE),A193&amp;" "&amp;A194,"")</f>
        <v/>
      </c>
    </row>
    <row r="194" spans="1:3" x14ac:dyDescent="0.25">
      <c r="A194" t="s">
        <v>1</v>
      </c>
      <c r="B194" t="b">
        <f>IFERROR(VLOOKUP(A194,Результат!C:C,1,0)&lt;&gt;"",FALSE)</f>
        <v>0</v>
      </c>
      <c r="C194" t="str">
        <f t="shared" si="3"/>
        <v/>
      </c>
    </row>
    <row r="195" spans="1:3" x14ac:dyDescent="0.25">
      <c r="A195" t="s">
        <v>256</v>
      </c>
      <c r="B195" t="b">
        <f>IFERROR(VLOOKUP(A195,Результат!C:C,1,0)&lt;&gt;"",FALSE)</f>
        <v>0</v>
      </c>
      <c r="C195" t="str">
        <f t="shared" si="3"/>
        <v/>
      </c>
    </row>
    <row r="196" spans="1:3" x14ac:dyDescent="0.25">
      <c r="A196" t="s">
        <v>257</v>
      </c>
      <c r="B196" t="b">
        <f>IFERROR(VLOOKUP(A196,Результат!C:C,1,0)&lt;&gt;"",FALSE)</f>
        <v>1</v>
      </c>
      <c r="C196" t="str">
        <f t="shared" si="3"/>
        <v/>
      </c>
    </row>
    <row r="197" spans="1:3" x14ac:dyDescent="0.25">
      <c r="A197" t="s">
        <v>1</v>
      </c>
      <c r="B197" t="b">
        <f>IFERROR(VLOOKUP(A197,Результат!C:C,1,0)&lt;&gt;"",FALSE)</f>
        <v>0</v>
      </c>
      <c r="C197" t="str">
        <f t="shared" si="3"/>
        <v/>
      </c>
    </row>
    <row r="198" spans="1:3" x14ac:dyDescent="0.25">
      <c r="A198" t="s">
        <v>259</v>
      </c>
      <c r="B198" t="b">
        <f>IFERROR(VLOOKUP(A198,Результат!C:C,1,0)&lt;&gt;"",FALSE)</f>
        <v>0</v>
      </c>
      <c r="C198" t="str">
        <f t="shared" si="3"/>
        <v/>
      </c>
    </row>
    <row r="199" spans="1:3" x14ac:dyDescent="0.25">
      <c r="A199" t="s">
        <v>260</v>
      </c>
      <c r="B199" t="b">
        <f>IFERROR(VLOOKUP(A199,Результат!C:C,1,0)&lt;&gt;"",FALSE)</f>
        <v>1</v>
      </c>
      <c r="C199" t="str">
        <f t="shared" si="3"/>
        <v/>
      </c>
    </row>
    <row r="200" spans="1:3" x14ac:dyDescent="0.25">
      <c r="A200" t="s">
        <v>262</v>
      </c>
      <c r="B200" t="b">
        <f>IFERROR(VLOOKUP(A200,Результат!C:C,1,0)&lt;&gt;"",FALSE)</f>
        <v>0</v>
      </c>
      <c r="C200" t="str">
        <f t="shared" si="3"/>
        <v/>
      </c>
    </row>
    <row r="201" spans="1:3" x14ac:dyDescent="0.25">
      <c r="A201" t="s">
        <v>9</v>
      </c>
      <c r="B201" t="b">
        <f>IFERROR(VLOOKUP(A201,Результат!C:C,1,0)&lt;&gt;"",FALSE)</f>
        <v>0</v>
      </c>
      <c r="C201" t="str">
        <f t="shared" si="3"/>
        <v/>
      </c>
    </row>
    <row r="202" spans="1:3" x14ac:dyDescent="0.25">
      <c r="A202" t="s">
        <v>263</v>
      </c>
      <c r="B202" t="b">
        <f>IFERROR(VLOOKUP(A202,Результат!C:C,1,0)&lt;&gt;"",FALSE)</f>
        <v>1</v>
      </c>
      <c r="C202" t="str">
        <f t="shared" si="3"/>
        <v/>
      </c>
    </row>
    <row r="203" spans="1:3" x14ac:dyDescent="0.25">
      <c r="A203" t="s">
        <v>262</v>
      </c>
      <c r="B203" t="b">
        <f>IFERROR(VLOOKUP(A203,Результат!C:C,1,0)&lt;&gt;"",FALSE)</f>
        <v>0</v>
      </c>
      <c r="C203" t="str">
        <f t="shared" si="3"/>
        <v/>
      </c>
    </row>
    <row r="204" spans="1:3" x14ac:dyDescent="0.25">
      <c r="A204" t="s">
        <v>266</v>
      </c>
      <c r="B204" t="b">
        <f>IFERROR(VLOOKUP(A204,Результат!C:C,1,0)&lt;&gt;"",FALSE)</f>
        <v>0</v>
      </c>
      <c r="C204" t="str">
        <f t="shared" si="3"/>
        <v/>
      </c>
    </row>
    <row r="205" spans="1:3" x14ac:dyDescent="0.25">
      <c r="A205" t="s">
        <v>267</v>
      </c>
      <c r="B205" t="b">
        <f>IFERROR(VLOOKUP(A205,Результат!C:C,1,0)&lt;&gt;"",FALSE)</f>
        <v>1</v>
      </c>
      <c r="C205" t="str">
        <f t="shared" si="3"/>
        <v/>
      </c>
    </row>
    <row r="206" spans="1:3" x14ac:dyDescent="0.25">
      <c r="A206" t="s">
        <v>1</v>
      </c>
      <c r="B206" t="b">
        <f>IFERROR(VLOOKUP(A206,Результат!C:C,1,0)&lt;&gt;"",FALSE)</f>
        <v>0</v>
      </c>
      <c r="C206" t="str">
        <f t="shared" si="3"/>
        <v/>
      </c>
    </row>
    <row r="207" spans="1:3" x14ac:dyDescent="0.25">
      <c r="A207" t="s">
        <v>9</v>
      </c>
      <c r="B207" t="b">
        <f>IFERROR(VLOOKUP(A207,Результат!C:C,1,0)&lt;&gt;"",FALSE)</f>
        <v>0</v>
      </c>
      <c r="C207" t="str">
        <f t="shared" si="3"/>
        <v/>
      </c>
    </row>
    <row r="208" spans="1:3" x14ac:dyDescent="0.25">
      <c r="A208" t="s">
        <v>270</v>
      </c>
      <c r="B208" t="b">
        <f>IFERROR(VLOOKUP(A208,Результат!C:C,1,0)&lt;&gt;"",FALSE)</f>
        <v>1</v>
      </c>
      <c r="C208" t="str">
        <f t="shared" si="3"/>
        <v/>
      </c>
    </row>
    <row r="209" spans="1:3" x14ac:dyDescent="0.25">
      <c r="A209" t="s">
        <v>105</v>
      </c>
      <c r="B209" t="b">
        <f>IFERROR(VLOOKUP(A209,Результат!C:C,1,0)&lt;&gt;"",FALSE)</f>
        <v>0</v>
      </c>
      <c r="C209" t="str">
        <f t="shared" si="3"/>
        <v/>
      </c>
    </row>
    <row r="210" spans="1:3" x14ac:dyDescent="0.25">
      <c r="A210" t="s">
        <v>271</v>
      </c>
      <c r="B210" t="b">
        <f>IFERROR(VLOOKUP(A210,Результат!C:C,1,0)&lt;&gt;"",FALSE)</f>
        <v>0</v>
      </c>
      <c r="C210" t="str">
        <f t="shared" si="3"/>
        <v/>
      </c>
    </row>
    <row r="211" spans="1:3" x14ac:dyDescent="0.25">
      <c r="A211" t="s">
        <v>272</v>
      </c>
      <c r="B211" t="b">
        <f>IFERROR(VLOOKUP(A211,Результат!C:C,1,0)&lt;&gt;"",FALSE)</f>
        <v>1</v>
      </c>
      <c r="C211" t="str">
        <f t="shared" si="3"/>
        <v/>
      </c>
    </row>
    <row r="212" spans="1:3" x14ac:dyDescent="0.25">
      <c r="A212" t="s">
        <v>105</v>
      </c>
      <c r="B212" t="b">
        <f>IFERROR(VLOOKUP(A212,Результат!C:C,1,0)&lt;&gt;"",FALSE)</f>
        <v>0</v>
      </c>
      <c r="C212" t="str">
        <f t="shared" si="3"/>
        <v/>
      </c>
    </row>
    <row r="213" spans="1:3" x14ac:dyDescent="0.25">
      <c r="A213" t="s">
        <v>276</v>
      </c>
      <c r="B213" t="b">
        <f>IFERROR(VLOOKUP(A213,Результат!C:C,1,0)&lt;&gt;"",FALSE)</f>
        <v>0</v>
      </c>
      <c r="C213" t="str">
        <f t="shared" si="3"/>
        <v>Fog Latte Navy Static Tan Birch Black Coconut Deep Red Espresso</v>
      </c>
    </row>
    <row r="214" spans="1:3" x14ac:dyDescent="0.25">
      <c r="A214" t="s">
        <v>277</v>
      </c>
      <c r="B214" t="b">
        <f>IFERROR(VLOOKUP(A214,Результат!C:C,1,0)&lt;&gt;"",FALSE)</f>
        <v>0</v>
      </c>
      <c r="C214" t="str">
        <f t="shared" si="3"/>
        <v/>
      </c>
    </row>
    <row r="215" spans="1:3" x14ac:dyDescent="0.25">
      <c r="A215" t="s">
        <v>278</v>
      </c>
      <c r="B215" t="b">
        <f>IFERROR(VLOOKUP(A215,Результат!C:C,1,0)&lt;&gt;"",FALSE)</f>
        <v>1</v>
      </c>
      <c r="C215" t="str">
        <f t="shared" si="3"/>
        <v/>
      </c>
    </row>
    <row r="216" spans="1:3" x14ac:dyDescent="0.25">
      <c r="A216" t="s">
        <v>105</v>
      </c>
      <c r="B216" t="b">
        <f>IFERROR(VLOOKUP(A216,Результат!C:C,1,0)&lt;&gt;"",FALSE)</f>
        <v>0</v>
      </c>
      <c r="C216" t="str">
        <f t="shared" si="3"/>
        <v/>
      </c>
    </row>
    <row r="217" spans="1:3" x14ac:dyDescent="0.25">
      <c r="A217" t="s">
        <v>280</v>
      </c>
      <c r="B217" t="b">
        <f>IFERROR(VLOOKUP(A217,Результат!C:C,1,0)&lt;&gt;"",FALSE)</f>
        <v>0</v>
      </c>
      <c r="C217" t="str">
        <f t="shared" si="3"/>
        <v>Navy Multi Nordic Multi Overcast Skydiver Woods Multi Cement Multi Deep Red Multi Light Grey Multi Natural Multi Brown Multi Charcoal Multi</v>
      </c>
    </row>
    <row r="218" spans="1:3" x14ac:dyDescent="0.25">
      <c r="A218" t="s">
        <v>345</v>
      </c>
      <c r="B218" t="b">
        <f>IFERROR(VLOOKUP(A218,Результат!C:C,1,0)&lt;&gt;"",FALSE)</f>
        <v>0</v>
      </c>
      <c r="C218" t="str">
        <f t="shared" si="3"/>
        <v/>
      </c>
    </row>
    <row r="219" spans="1:3" x14ac:dyDescent="0.25">
      <c r="A219" t="s">
        <v>281</v>
      </c>
      <c r="B219" t="b">
        <f>IFERROR(VLOOKUP(A219,Результат!C:C,1,0)&lt;&gt;"",FALSE)</f>
        <v>1</v>
      </c>
      <c r="C219" t="str">
        <f t="shared" si="3"/>
        <v/>
      </c>
    </row>
    <row r="220" spans="1:3" x14ac:dyDescent="0.25">
      <c r="A220" t="s">
        <v>1</v>
      </c>
      <c r="B220" t="b">
        <f>IFERROR(VLOOKUP(A220,Результат!C:C,1,0)&lt;&gt;"",FALSE)</f>
        <v>0</v>
      </c>
      <c r="C220" t="str">
        <f t="shared" si="3"/>
        <v/>
      </c>
    </row>
    <row r="221" spans="1:3" x14ac:dyDescent="0.25">
      <c r="A221" t="s">
        <v>283</v>
      </c>
      <c r="B221" t="b">
        <f>IFERROR(VLOOKUP(A221,Результат!C:C,1,0)&lt;&gt;"",FALSE)</f>
        <v>0</v>
      </c>
      <c r="C221" t="str">
        <f t="shared" si="3"/>
        <v/>
      </c>
    </row>
    <row r="222" spans="1:3" x14ac:dyDescent="0.25">
      <c r="A222" t="s">
        <v>284</v>
      </c>
      <c r="B222" t="b">
        <f>IFERROR(VLOOKUP(A222,Результат!C:C,1,0)&lt;&gt;"",FALSE)</f>
        <v>1</v>
      </c>
      <c r="C222" t="str">
        <f t="shared" si="3"/>
        <v/>
      </c>
    </row>
    <row r="223" spans="1:3" x14ac:dyDescent="0.25">
      <c r="A223" t="s">
        <v>1</v>
      </c>
      <c r="B223" t="b">
        <f>IFERROR(VLOOKUP(A223,Результат!C:C,1,0)&lt;&gt;"",FALSE)</f>
        <v>0</v>
      </c>
      <c r="C223" t="str">
        <f t="shared" si="3"/>
        <v/>
      </c>
    </row>
    <row r="224" spans="1:3" x14ac:dyDescent="0.25">
      <c r="A224" t="s">
        <v>288</v>
      </c>
      <c r="B224" t="b">
        <f>IFERROR(VLOOKUP(A224,Результат!C:C,1,0)&lt;&gt;"",FALSE)</f>
        <v>0</v>
      </c>
      <c r="C224" t="str">
        <f t="shared" si="3"/>
        <v/>
      </c>
    </row>
    <row r="225" spans="1:3" x14ac:dyDescent="0.25">
      <c r="A225" t="s">
        <v>289</v>
      </c>
      <c r="B225" t="b">
        <f>IFERROR(VLOOKUP(A225,Результат!C:C,1,0)&lt;&gt;"",FALSE)</f>
        <v>1</v>
      </c>
      <c r="C225" t="str">
        <f t="shared" si="3"/>
        <v/>
      </c>
    </row>
    <row r="226" spans="1:3" x14ac:dyDescent="0.25">
      <c r="A226" t="s">
        <v>1</v>
      </c>
      <c r="B226" t="b">
        <f>IFERROR(VLOOKUP(A226,Результат!C:C,1,0)&lt;&gt;"",FALSE)</f>
        <v>0</v>
      </c>
      <c r="C226" t="str">
        <f t="shared" si="3"/>
        <v/>
      </c>
    </row>
    <row r="227" spans="1:3" x14ac:dyDescent="0.25">
      <c r="A227" t="s">
        <v>283</v>
      </c>
      <c r="B227" t="b">
        <f>IFERROR(VLOOKUP(A227,Результат!C:C,1,0)&lt;&gt;"",FALSE)</f>
        <v>0</v>
      </c>
      <c r="C227" t="str">
        <f t="shared" si="3"/>
        <v/>
      </c>
    </row>
    <row r="228" spans="1:3" x14ac:dyDescent="0.25">
      <c r="A228" t="s">
        <v>291</v>
      </c>
      <c r="B228" t="b">
        <f>IFERROR(VLOOKUP(A228,Результат!C:C,1,0)&lt;&gt;"",FALSE)</f>
        <v>1</v>
      </c>
      <c r="C228" t="str">
        <f t="shared" si="3"/>
        <v/>
      </c>
    </row>
    <row r="229" spans="1:3" x14ac:dyDescent="0.25">
      <c r="A229" t="s">
        <v>1</v>
      </c>
      <c r="B229" t="b">
        <f>IFERROR(VLOOKUP(A229,Результат!C:C,1,0)&lt;&gt;"",FALSE)</f>
        <v>0</v>
      </c>
      <c r="C229" t="str">
        <f t="shared" si="3"/>
        <v/>
      </c>
    </row>
    <row r="230" spans="1:3" x14ac:dyDescent="0.25">
      <c r="A230" t="s">
        <v>293</v>
      </c>
      <c r="B230" t="b">
        <f>IFERROR(VLOOKUP(A230,Результат!C:C,1,0)&lt;&gt;"",FALSE)</f>
        <v>0</v>
      </c>
      <c r="C230" t="str">
        <f t="shared" si="3"/>
        <v/>
      </c>
    </row>
    <row r="231" spans="1:3" x14ac:dyDescent="0.25">
      <c r="A231" t="s">
        <v>294</v>
      </c>
      <c r="B231" t="b">
        <f>IFERROR(VLOOKUP(A231,Результат!C:C,1,0)&lt;&gt;"",FALSE)</f>
        <v>1</v>
      </c>
      <c r="C231" t="str">
        <f t="shared" si="3"/>
        <v/>
      </c>
    </row>
    <row r="232" spans="1:3" x14ac:dyDescent="0.25">
      <c r="A232" t="s">
        <v>1</v>
      </c>
      <c r="B232" t="b">
        <f>IFERROR(VLOOKUP(A232,Результат!C:C,1,0)&lt;&gt;"",FALSE)</f>
        <v>0</v>
      </c>
      <c r="C232" t="str">
        <f t="shared" si="3"/>
        <v/>
      </c>
    </row>
    <row r="233" spans="1:3" x14ac:dyDescent="0.25">
      <c r="A233" t="s">
        <v>295</v>
      </c>
      <c r="B233" t="b">
        <f>IFERROR(VLOOKUP(A233,Результат!C:C,1,0)&lt;&gt;"",FALSE)</f>
        <v>0</v>
      </c>
      <c r="C233" t="str">
        <f t="shared" si="3"/>
        <v/>
      </c>
    </row>
    <row r="234" spans="1:3" x14ac:dyDescent="0.25">
      <c r="A234" t="s">
        <v>296</v>
      </c>
      <c r="B234" t="b">
        <f>IFERROR(VLOOKUP(A234,Результат!C:C,1,0)&lt;&gt;"",FALSE)</f>
        <v>1</v>
      </c>
      <c r="C234" t="str">
        <f t="shared" si="3"/>
        <v/>
      </c>
    </row>
    <row r="235" spans="1:3" x14ac:dyDescent="0.25">
      <c r="A235" t="s">
        <v>1</v>
      </c>
      <c r="B235" t="b">
        <f>IFERROR(VLOOKUP(A235,Результат!C:C,1,0)&lt;&gt;"",FALSE)</f>
        <v>0</v>
      </c>
      <c r="C235" t="str">
        <f t="shared" si="3"/>
        <v/>
      </c>
    </row>
    <row r="236" spans="1:3" x14ac:dyDescent="0.25">
      <c r="A236" t="s">
        <v>298</v>
      </c>
      <c r="B236" t="b">
        <f>IFERROR(VLOOKUP(A236,Результат!C:C,1,0)&lt;&gt;"",FALSE)</f>
        <v>0</v>
      </c>
      <c r="C236" t="str">
        <f t="shared" si="3"/>
        <v/>
      </c>
    </row>
    <row r="237" spans="1:3" x14ac:dyDescent="0.25">
      <c r="A237" t="s">
        <v>299</v>
      </c>
      <c r="B237" t="b">
        <f>IFERROR(VLOOKUP(A237,Результат!C:C,1,0)&lt;&gt;"",FALSE)</f>
        <v>1</v>
      </c>
      <c r="C237" t="str">
        <f t="shared" si="3"/>
        <v/>
      </c>
    </row>
    <row r="238" spans="1:3" x14ac:dyDescent="0.25">
      <c r="A238" t="s">
        <v>1</v>
      </c>
      <c r="B238" t="b">
        <f>IFERROR(VLOOKUP(A238,Результат!C:C,1,0)&lt;&gt;"",FALSE)</f>
        <v>0</v>
      </c>
      <c r="C238" t="str">
        <f t="shared" si="3"/>
        <v/>
      </c>
    </row>
    <row r="239" spans="1:3" x14ac:dyDescent="0.25">
      <c r="A239" t="s">
        <v>301</v>
      </c>
      <c r="B239" t="b">
        <f>IFERROR(VLOOKUP(A239,Результат!C:C,1,0)&lt;&gt;"",FALSE)</f>
        <v>0</v>
      </c>
      <c r="C239" t="str">
        <f t="shared" si="3"/>
        <v/>
      </c>
    </row>
    <row r="240" spans="1:3" x14ac:dyDescent="0.25">
      <c r="A240" t="s">
        <v>302</v>
      </c>
      <c r="B240" t="b">
        <f>IFERROR(VLOOKUP(A240,Результат!C:C,1,0)&lt;&gt;"",FALSE)</f>
        <v>1</v>
      </c>
      <c r="C240" t="str">
        <f t="shared" si="3"/>
        <v/>
      </c>
    </row>
    <row r="241" spans="1:3" x14ac:dyDescent="0.25">
      <c r="A241" t="s">
        <v>105</v>
      </c>
      <c r="B241" t="b">
        <f>IFERROR(VLOOKUP(A241,Результат!C:C,1,0)&lt;&gt;"",FALSE)</f>
        <v>0</v>
      </c>
      <c r="C241" t="str">
        <f t="shared" si="3"/>
        <v/>
      </c>
    </row>
    <row r="242" spans="1:3" x14ac:dyDescent="0.25">
      <c r="A242" t="s">
        <v>303</v>
      </c>
      <c r="B242" t="b">
        <f>IFERROR(VLOOKUP(A242,Результат!C:C,1,0)&lt;&gt;"",FALSE)</f>
        <v>0</v>
      </c>
      <c r="C242" t="str">
        <f t="shared" si="3"/>
        <v/>
      </c>
    </row>
    <row r="243" spans="1:3" x14ac:dyDescent="0.25">
      <c r="A243" t="s">
        <v>304</v>
      </c>
      <c r="B243" t="b">
        <f>IFERROR(VLOOKUP(A243,Результат!C:C,1,0)&lt;&gt;"",FALSE)</f>
        <v>1</v>
      </c>
      <c r="C243" t="str">
        <f t="shared" si="3"/>
        <v/>
      </c>
    </row>
    <row r="244" spans="1:3" x14ac:dyDescent="0.25">
      <c r="A244" t="s">
        <v>1</v>
      </c>
      <c r="B244" t="b">
        <f>IFERROR(VLOOKUP(A244,Результат!C:C,1,0)&lt;&gt;"",FALSE)</f>
        <v>0</v>
      </c>
      <c r="C244" t="str">
        <f t="shared" si="3"/>
        <v/>
      </c>
    </row>
    <row r="245" spans="1:3" x14ac:dyDescent="0.25">
      <c r="A245" t="s">
        <v>151</v>
      </c>
      <c r="B245" t="b">
        <f>IFERROR(VLOOKUP(A245,Результат!C:C,1,0)&lt;&gt;"",FALSE)</f>
        <v>0</v>
      </c>
      <c r="C245" t="str">
        <f t="shared" si="3"/>
        <v/>
      </c>
    </row>
    <row r="246" spans="1:3" x14ac:dyDescent="0.25">
      <c r="A246" t="s">
        <v>305</v>
      </c>
      <c r="B246" t="b">
        <f>IFERROR(VLOOKUP(A246,Результат!C:C,1,0)&lt;&gt;"",FALSE)</f>
        <v>1</v>
      </c>
      <c r="C246" t="str">
        <f t="shared" si="3"/>
        <v/>
      </c>
    </row>
    <row r="247" spans="1:3" x14ac:dyDescent="0.25">
      <c r="A247" t="s">
        <v>1</v>
      </c>
      <c r="B247" t="b">
        <f>IFERROR(VLOOKUP(A247,Результат!C:C,1,0)&lt;&gt;"",FALSE)</f>
        <v>0</v>
      </c>
      <c r="C247" t="str">
        <f t="shared" si="3"/>
        <v/>
      </c>
    </row>
    <row r="248" spans="1:3" x14ac:dyDescent="0.25">
      <c r="A248" t="s">
        <v>306</v>
      </c>
      <c r="B248" t="b">
        <f>IFERROR(VLOOKUP(A248,Результат!C:C,1,0)&lt;&gt;"",FALSE)</f>
        <v>0</v>
      </c>
      <c r="C248" t="str">
        <f t="shared" si="3"/>
        <v/>
      </c>
    </row>
    <row r="249" spans="1:3" x14ac:dyDescent="0.25">
      <c r="A249" t="s">
        <v>307</v>
      </c>
      <c r="B249" t="b">
        <f>IFERROR(VLOOKUP(A249,Результат!C:C,1,0)&lt;&gt;"",FALSE)</f>
        <v>1</v>
      </c>
      <c r="C249" t="str">
        <f t="shared" si="3"/>
        <v/>
      </c>
    </row>
    <row r="250" spans="1:3" x14ac:dyDescent="0.25">
      <c r="A250" t="s">
        <v>1</v>
      </c>
      <c r="B250" t="b">
        <f>IFERROR(VLOOKUP(A250,Результат!C:C,1,0)&lt;&gt;"",FALSE)</f>
        <v>0</v>
      </c>
      <c r="C250" t="str">
        <f t="shared" si="3"/>
        <v/>
      </c>
    </row>
    <row r="251" spans="1:3" x14ac:dyDescent="0.25">
      <c r="A251" t="s">
        <v>308</v>
      </c>
      <c r="B251" t="b">
        <f>IFERROR(VLOOKUP(A251,Результат!C:C,1,0)&lt;&gt;"",FALSE)</f>
        <v>0</v>
      </c>
      <c r="C251" t="str">
        <f t="shared" si="3"/>
        <v/>
      </c>
    </row>
    <row r="252" spans="1:3" x14ac:dyDescent="0.25">
      <c r="A252" t="s">
        <v>309</v>
      </c>
      <c r="B252" t="b">
        <f>IFERROR(VLOOKUP(A252,Результат!C:C,1,0)&lt;&gt;"",FALSE)</f>
        <v>1</v>
      </c>
      <c r="C252" t="str">
        <f t="shared" si="3"/>
        <v/>
      </c>
    </row>
    <row r="253" spans="1:3" x14ac:dyDescent="0.25">
      <c r="A253" t="s">
        <v>105</v>
      </c>
      <c r="B253" t="b">
        <f>IFERROR(VLOOKUP(A253,Результат!C:C,1,0)&lt;&gt;"",FALSE)</f>
        <v>0</v>
      </c>
      <c r="C253" t="str">
        <f t="shared" si="3"/>
        <v/>
      </c>
    </row>
    <row r="254" spans="1:3" x14ac:dyDescent="0.25">
      <c r="A254" t="s">
        <v>311</v>
      </c>
      <c r="B254" t="b">
        <f>IFERROR(VLOOKUP(A254,Результат!C:C,1,0)&lt;&gt;"",FALSE)</f>
        <v>0</v>
      </c>
      <c r="C254" t="str">
        <f t="shared" si="3"/>
        <v/>
      </c>
    </row>
    <row r="255" spans="1:3" x14ac:dyDescent="0.25">
      <c r="A255" t="s">
        <v>312</v>
      </c>
      <c r="B255" t="b">
        <f>IFERROR(VLOOKUP(A255,Результат!C:C,1,0)&lt;&gt;"",FALSE)</f>
        <v>1</v>
      </c>
      <c r="C255" t="str">
        <f t="shared" si="3"/>
        <v/>
      </c>
    </row>
    <row r="256" spans="1:3" x14ac:dyDescent="0.25">
      <c r="A256" t="s">
        <v>1</v>
      </c>
      <c r="B256" t="b">
        <f>IFERROR(VLOOKUP(A256,Результат!C:C,1,0)&lt;&gt;"",FALSE)</f>
        <v>0</v>
      </c>
      <c r="C256" t="str">
        <f t="shared" si="3"/>
        <v/>
      </c>
    </row>
    <row r="257" spans="1:3" x14ac:dyDescent="0.25">
      <c r="A257" t="s">
        <v>314</v>
      </c>
      <c r="B257" t="b">
        <f>IFERROR(VLOOKUP(A257,Результат!C:C,1,0)&lt;&gt;"",FALSE)</f>
        <v>0</v>
      </c>
      <c r="C257" t="str">
        <f t="shared" ref="C257:C284" si="4">IF(AND(IFERROR(FIND(",",A256)&gt;=1,FALSE),B258&lt;&gt;TRUE),A257&amp;" "&amp;A258,"")</f>
        <v/>
      </c>
    </row>
    <row r="258" spans="1:3" x14ac:dyDescent="0.25">
      <c r="A258" t="s">
        <v>315</v>
      </c>
      <c r="B258" t="b">
        <f>IFERROR(VLOOKUP(A258,Результат!C:C,1,0)&lt;&gt;"",FALSE)</f>
        <v>1</v>
      </c>
      <c r="C258" t="str">
        <f t="shared" si="4"/>
        <v/>
      </c>
    </row>
    <row r="259" spans="1:3" x14ac:dyDescent="0.25">
      <c r="A259" t="s">
        <v>1</v>
      </c>
      <c r="B259" t="b">
        <f>IFERROR(VLOOKUP(A259,Результат!C:C,1,0)&lt;&gt;"",FALSE)</f>
        <v>0</v>
      </c>
      <c r="C259" t="str">
        <f t="shared" si="4"/>
        <v/>
      </c>
    </row>
    <row r="260" spans="1:3" x14ac:dyDescent="0.25">
      <c r="A260" t="s">
        <v>317</v>
      </c>
      <c r="B260" t="b">
        <f>IFERROR(VLOOKUP(A260,Результат!C:C,1,0)&lt;&gt;"",FALSE)</f>
        <v>0</v>
      </c>
      <c r="C260" t="str">
        <f t="shared" si="4"/>
        <v/>
      </c>
    </row>
    <row r="261" spans="1:3" x14ac:dyDescent="0.25">
      <c r="A261" t="s">
        <v>318</v>
      </c>
      <c r="B261" t="b">
        <f>IFERROR(VLOOKUP(A261,Результат!C:C,1,0)&lt;&gt;"",FALSE)</f>
        <v>1</v>
      </c>
      <c r="C261" t="str">
        <f t="shared" si="4"/>
        <v/>
      </c>
    </row>
    <row r="262" spans="1:3" x14ac:dyDescent="0.25">
      <c r="A262" t="s">
        <v>1</v>
      </c>
      <c r="B262" t="b">
        <f>IFERROR(VLOOKUP(A262,Результат!C:C,1,0)&lt;&gt;"",FALSE)</f>
        <v>0</v>
      </c>
      <c r="C262" t="str">
        <f t="shared" si="4"/>
        <v/>
      </c>
    </row>
    <row r="263" spans="1:3" x14ac:dyDescent="0.25">
      <c r="A263" t="s">
        <v>9</v>
      </c>
      <c r="B263" t="b">
        <f>IFERROR(VLOOKUP(A263,Результат!C:C,1,0)&lt;&gt;"",FALSE)</f>
        <v>0</v>
      </c>
      <c r="C263" t="str">
        <f t="shared" si="4"/>
        <v/>
      </c>
    </row>
    <row r="264" spans="1:3" x14ac:dyDescent="0.25">
      <c r="A264" t="s">
        <v>322</v>
      </c>
      <c r="B264" t="b">
        <f>IFERROR(VLOOKUP(A264,Результат!C:C,1,0)&lt;&gt;"",FALSE)</f>
        <v>1</v>
      </c>
      <c r="C264" t="str">
        <f t="shared" si="4"/>
        <v/>
      </c>
    </row>
    <row r="265" spans="1:3" x14ac:dyDescent="0.25">
      <c r="A265" t="s">
        <v>1</v>
      </c>
      <c r="B265" t="b">
        <f>IFERROR(VLOOKUP(A265,Результат!C:C,1,0)&lt;&gt;"",FALSE)</f>
        <v>0</v>
      </c>
      <c r="C265" t="str">
        <f t="shared" si="4"/>
        <v/>
      </c>
    </row>
    <row r="266" spans="1:3" x14ac:dyDescent="0.25">
      <c r="A266" t="s">
        <v>323</v>
      </c>
      <c r="B266" t="b">
        <f>IFERROR(VLOOKUP(A266,Результат!C:C,1,0)&lt;&gt;"",FALSE)</f>
        <v>0</v>
      </c>
      <c r="C266" t="str">
        <f t="shared" si="4"/>
        <v/>
      </c>
    </row>
    <row r="267" spans="1:3" x14ac:dyDescent="0.25">
      <c r="A267" t="s">
        <v>324</v>
      </c>
      <c r="B267" t="b">
        <f>IFERROR(VLOOKUP(A267,Результат!C:C,1,0)&lt;&gt;"",FALSE)</f>
        <v>1</v>
      </c>
      <c r="C267" t="str">
        <f t="shared" si="4"/>
        <v/>
      </c>
    </row>
    <row r="268" spans="1:3" x14ac:dyDescent="0.25">
      <c r="A268" t="s">
        <v>1</v>
      </c>
      <c r="B268" t="b">
        <f>IFERROR(VLOOKUP(A268,Результат!C:C,1,0)&lt;&gt;"",FALSE)</f>
        <v>0</v>
      </c>
      <c r="C268" t="str">
        <f t="shared" si="4"/>
        <v/>
      </c>
    </row>
    <row r="269" spans="1:3" x14ac:dyDescent="0.25">
      <c r="A269" t="s">
        <v>9</v>
      </c>
      <c r="B269" t="b">
        <f>IFERROR(VLOOKUP(A269,Результат!C:C,1,0)&lt;&gt;"",FALSE)</f>
        <v>0</v>
      </c>
      <c r="C269" t="str">
        <f t="shared" si="4"/>
        <v/>
      </c>
    </row>
    <row r="270" spans="1:3" x14ac:dyDescent="0.25">
      <c r="A270" t="s">
        <v>325</v>
      </c>
      <c r="B270" t="b">
        <f>IFERROR(VLOOKUP(A270,Результат!C:C,1,0)&lt;&gt;"",FALSE)</f>
        <v>1</v>
      </c>
      <c r="C270" t="str">
        <f t="shared" si="4"/>
        <v/>
      </c>
    </row>
    <row r="271" spans="1:3" x14ac:dyDescent="0.25">
      <c r="A271" t="s">
        <v>1</v>
      </c>
      <c r="B271" t="b">
        <f>IFERROR(VLOOKUP(A271,Результат!C:C,1,0)&lt;&gt;"",FALSE)</f>
        <v>0</v>
      </c>
      <c r="C271" t="str">
        <f t="shared" si="4"/>
        <v/>
      </c>
    </row>
    <row r="272" spans="1:3" x14ac:dyDescent="0.25">
      <c r="A272" t="s">
        <v>9</v>
      </c>
      <c r="B272" t="b">
        <f>IFERROR(VLOOKUP(A272,Результат!C:C,1,0)&lt;&gt;"",FALSE)</f>
        <v>0</v>
      </c>
      <c r="C272" t="str">
        <f t="shared" si="4"/>
        <v/>
      </c>
    </row>
    <row r="273" spans="1:3" x14ac:dyDescent="0.25">
      <c r="A273" t="s">
        <v>328</v>
      </c>
      <c r="B273" t="b">
        <f>IFERROR(VLOOKUP(A273,Результат!C:C,1,0)&lt;&gt;"",FALSE)</f>
        <v>1</v>
      </c>
      <c r="C273" t="str">
        <f t="shared" si="4"/>
        <v/>
      </c>
    </row>
    <row r="274" spans="1:3" x14ac:dyDescent="0.25">
      <c r="A274" t="s">
        <v>1</v>
      </c>
      <c r="B274" t="b">
        <f>IFERROR(VLOOKUP(A274,Результат!C:C,1,0)&lt;&gt;"",FALSE)</f>
        <v>0</v>
      </c>
      <c r="C274" t="str">
        <f t="shared" si="4"/>
        <v/>
      </c>
    </row>
    <row r="275" spans="1:3" x14ac:dyDescent="0.25">
      <c r="A275" t="s">
        <v>330</v>
      </c>
      <c r="B275" t="b">
        <f>IFERROR(VLOOKUP(A275,Результат!C:C,1,0)&lt;&gt;"",FALSE)</f>
        <v>0</v>
      </c>
      <c r="C275" t="str">
        <f t="shared" si="4"/>
        <v/>
      </c>
    </row>
    <row r="276" spans="1:3" x14ac:dyDescent="0.25">
      <c r="A276" t="s">
        <v>331</v>
      </c>
      <c r="B276" t="b">
        <f>IFERROR(VLOOKUP(A276,Результат!C:C,1,0)&lt;&gt;"",FALSE)</f>
        <v>1</v>
      </c>
      <c r="C276" t="str">
        <f t="shared" si="4"/>
        <v/>
      </c>
    </row>
    <row r="277" spans="1:3" x14ac:dyDescent="0.25">
      <c r="A277" t="s">
        <v>1</v>
      </c>
      <c r="B277" t="b">
        <f>IFERROR(VLOOKUP(A277,Результат!C:C,1,0)&lt;&gt;"",FALSE)</f>
        <v>0</v>
      </c>
      <c r="C277" t="str">
        <f t="shared" si="4"/>
        <v/>
      </c>
    </row>
    <row r="278" spans="1:3" x14ac:dyDescent="0.25">
      <c r="A278" t="s">
        <v>334</v>
      </c>
      <c r="B278" t="b">
        <f>IFERROR(VLOOKUP(A278,Результат!C:C,1,0)&lt;&gt;"",FALSE)</f>
        <v>0</v>
      </c>
      <c r="C278" t="str">
        <f t="shared" si="4"/>
        <v/>
      </c>
    </row>
    <row r="279" spans="1:3" x14ac:dyDescent="0.25">
      <c r="A279" t="s">
        <v>335</v>
      </c>
      <c r="B279" t="b">
        <f>IFERROR(VLOOKUP(A279,Результат!C:C,1,0)&lt;&gt;"",FALSE)</f>
        <v>1</v>
      </c>
      <c r="C279" t="str">
        <f t="shared" si="4"/>
        <v/>
      </c>
    </row>
    <row r="280" spans="1:3" x14ac:dyDescent="0.25">
      <c r="A280" t="s">
        <v>105</v>
      </c>
      <c r="B280" t="b">
        <f>IFERROR(VLOOKUP(A280,Результат!C:C,1,0)&lt;&gt;"",FALSE)</f>
        <v>0</v>
      </c>
      <c r="C280" t="str">
        <f t="shared" si="4"/>
        <v/>
      </c>
    </row>
    <row r="281" spans="1:3" x14ac:dyDescent="0.25">
      <c r="A281" t="s">
        <v>311</v>
      </c>
      <c r="B281" t="b">
        <f>IFERROR(VLOOKUP(A281,Результат!C:C,1,0)&lt;&gt;"",FALSE)</f>
        <v>0</v>
      </c>
      <c r="C281" t="str">
        <f t="shared" si="4"/>
        <v/>
      </c>
    </row>
    <row r="282" spans="1:3" x14ac:dyDescent="0.25">
      <c r="A282" t="s">
        <v>338</v>
      </c>
      <c r="B282" t="b">
        <f>IFERROR(VLOOKUP(A282,Результат!C:C,1,0)&lt;&gt;"",FALSE)</f>
        <v>1</v>
      </c>
      <c r="C282" t="str">
        <f t="shared" si="4"/>
        <v/>
      </c>
    </row>
    <row r="283" spans="1:3" x14ac:dyDescent="0.25">
      <c r="A283" t="s">
        <v>105</v>
      </c>
      <c r="B283" t="b">
        <f>IFERROR(VLOOKUP(A283,Результат!C:C,1,0)&lt;&gt;"",FALSE)</f>
        <v>0</v>
      </c>
      <c r="C283" t="str">
        <f t="shared" si="4"/>
        <v/>
      </c>
    </row>
    <row r="284" spans="1:3" x14ac:dyDescent="0.25">
      <c r="A284" t="s">
        <v>346</v>
      </c>
      <c r="B284" t="b">
        <f>IFERROR(VLOOKUP(A284,Результат!C:C,1,0)&lt;&gt;"",FALSE)</f>
        <v>0</v>
      </c>
      <c r="C284" t="str">
        <f t="shared" si="4"/>
        <v xml:space="preserve">Charcoal Dk. Brown Navy Black Burgundy 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E737F-D114-44CB-BF1D-3D8C1DACDAB7}">
  <sheetPr codeName="Лист2"/>
  <dimension ref="A1:E92"/>
  <sheetViews>
    <sheetView workbookViewId="0">
      <selection activeCell="E4" sqref="E4"/>
    </sheetView>
  </sheetViews>
  <sheetFormatPr defaultRowHeight="15" x14ac:dyDescent="0.25"/>
  <cols>
    <col min="1" max="1" width="22.5703125" bestFit="1" customWidth="1"/>
    <col min="2" max="2" width="40" bestFit="1" customWidth="1"/>
    <col min="3" max="3" width="7.5703125" customWidth="1"/>
    <col min="4" max="4" width="13.28515625" customWidth="1"/>
    <col min="5" max="5" width="76.140625" customWidth="1"/>
  </cols>
  <sheetData>
    <row r="1" spans="1:5" x14ac:dyDescent="0.25">
      <c r="A1" s="2" t="s">
        <v>440</v>
      </c>
      <c r="B1" s="2" t="s">
        <v>441</v>
      </c>
      <c r="C1" s="2" t="s">
        <v>442</v>
      </c>
      <c r="D1" s="2" t="s">
        <v>504</v>
      </c>
      <c r="E1" s="2" t="s">
        <v>502</v>
      </c>
    </row>
    <row r="2" spans="1:5" x14ac:dyDescent="0.25">
      <c r="A2" t="s">
        <v>10</v>
      </c>
      <c r="B2" t="s">
        <v>3</v>
      </c>
      <c r="C2" t="s">
        <v>16</v>
      </c>
      <c r="D2" t="str">
        <f>_xlfn.LET(_xlpm.SepColors,SUBSTITUTE(C2," ",", "),_xlpm.SepColors)</f>
        <v>Black, Charcoal, Cognac, Olive</v>
      </c>
      <c r="E2" t="str" cm="1">
        <f t="array" ref="E2">ReplaceColorsSeparators(D2)</f>
        <v>Black, Charcoal, Cognac, Olive</v>
      </c>
    </row>
    <row r="3" spans="1:5" x14ac:dyDescent="0.25">
      <c r="A3" t="s">
        <v>17</v>
      </c>
      <c r="B3" t="s">
        <v>1</v>
      </c>
      <c r="C3" t="s">
        <v>20</v>
      </c>
      <c r="D3" t="str">
        <f t="shared" ref="D3:D66" si="0">_xlfn.LET(_xlpm.SepColors,SUBSTITUTE(C3," ",", "),_xlpm.SepColors)</f>
        <v>Black, Maple</v>
      </c>
      <c r="E3" t="str" cm="1">
        <f t="array" ref="E3">ReplaceColorsSeparators(D3)</f>
        <v>Black, Maple</v>
      </c>
    </row>
    <row r="4" spans="1:5" x14ac:dyDescent="0.25">
      <c r="A4" t="s">
        <v>21</v>
      </c>
      <c r="B4" t="s">
        <v>1</v>
      </c>
      <c r="C4" t="s">
        <v>25</v>
      </c>
      <c r="D4" t="str">
        <f t="shared" si="0"/>
        <v>Black, Charcoal</v>
      </c>
      <c r="E4" t="str" cm="1">
        <f t="array" ref="E4">ReplaceColorsSeparators(D4)</f>
        <v>Black, Charcoal</v>
      </c>
    </row>
    <row r="5" spans="1:5" x14ac:dyDescent="0.25">
      <c r="A5" t="s">
        <v>2</v>
      </c>
      <c r="B5" t="s">
        <v>1</v>
      </c>
      <c r="C5" t="s">
        <v>27</v>
      </c>
      <c r="D5" t="str">
        <f t="shared" si="0"/>
        <v>Black, Buckskin</v>
      </c>
      <c r="E5" t="str" cm="1">
        <f t="array" ref="E5">ReplaceColorsSeparators(D5)</f>
        <v>Black, Buckskin</v>
      </c>
    </row>
    <row r="6" spans="1:5" x14ac:dyDescent="0.25">
      <c r="A6" t="s">
        <v>28</v>
      </c>
      <c r="B6" t="s">
        <v>1</v>
      </c>
      <c r="C6" t="s">
        <v>31</v>
      </c>
      <c r="D6" t="str">
        <f t="shared" si="0"/>
        <v>Copper, Slate, Uniform, Green</v>
      </c>
      <c r="E6" t="str" cm="1">
        <f t="array" ref="E6">ReplaceColorsSeparators(D6)</f>
        <v>Copper, Slate, Uniform Green</v>
      </c>
    </row>
    <row r="7" spans="1:5" x14ac:dyDescent="0.25">
      <c r="A7" t="s">
        <v>4</v>
      </c>
      <c r="B7" t="s">
        <v>1</v>
      </c>
      <c r="C7" t="s">
        <v>36</v>
      </c>
      <c r="D7" t="str">
        <f t="shared" si="0"/>
        <v>Black, Light, Mink</v>
      </c>
      <c r="E7" t="str" cm="1">
        <f t="array" ref="E7">ReplaceColorsSeparators(D7)</f>
        <v>Black, Light Mink</v>
      </c>
    </row>
    <row r="8" spans="1:5" x14ac:dyDescent="0.25">
      <c r="A8" t="s">
        <v>37</v>
      </c>
      <c r="B8" t="s">
        <v>1</v>
      </c>
      <c r="C8" t="s">
        <v>40</v>
      </c>
      <c r="D8" t="str">
        <f t="shared" si="0"/>
        <v>Black, Chocolate</v>
      </c>
      <c r="E8" t="str" cm="1">
        <f t="array" ref="E8">ReplaceColorsSeparators(D8)</f>
        <v>Black, Chocolate</v>
      </c>
    </row>
    <row r="9" spans="1:5" x14ac:dyDescent="0.25">
      <c r="A9" t="s">
        <v>41</v>
      </c>
      <c r="B9" t="s">
        <v>1</v>
      </c>
      <c r="C9" t="s">
        <v>44</v>
      </c>
      <c r="D9" t="str">
        <f t="shared" si="0"/>
        <v>Aubergine, Black, Mink</v>
      </c>
      <c r="E9" t="str" cm="1">
        <f t="array" ref="E9">ReplaceColorsSeparators(D9)</f>
        <v>Aubergine, Black, Mink</v>
      </c>
    </row>
    <row r="10" spans="1:5" x14ac:dyDescent="0.25">
      <c r="A10" t="s">
        <v>45</v>
      </c>
      <c r="B10" t="s">
        <v>1</v>
      </c>
      <c r="C10" t="s">
        <v>9</v>
      </c>
      <c r="D10" t="str">
        <f t="shared" si="0"/>
        <v>Black</v>
      </c>
      <c r="E10" t="str" cm="1">
        <f t="array" ref="E10">ReplaceColorsSeparators(D10)</f>
        <v>Black</v>
      </c>
    </row>
    <row r="11" spans="1:5" x14ac:dyDescent="0.25">
      <c r="A11" t="s">
        <v>47</v>
      </c>
      <c r="B11" t="s">
        <v>1</v>
      </c>
      <c r="C11" t="s">
        <v>53</v>
      </c>
      <c r="D11" t="str">
        <f t="shared" si="0"/>
        <v>Black, Nickel, Soft, Khaki, Stucco</v>
      </c>
      <c r="E11" t="str" cm="1">
        <f t="array" ref="E11">ReplaceColorsSeparators(D11)</f>
        <v>Black, Nickel, Soft Khaki, Stucco</v>
      </c>
    </row>
    <row r="12" spans="1:5" x14ac:dyDescent="0.25">
      <c r="A12" t="s">
        <v>54</v>
      </c>
      <c r="B12" t="s">
        <v>1</v>
      </c>
      <c r="C12" t="s">
        <v>57</v>
      </c>
      <c r="D12" t="str">
        <f t="shared" si="0"/>
        <v>Black, Eggplant, Lazuli, Blue, Oak, Taupe</v>
      </c>
      <c r="E12" t="str" cm="1">
        <f t="array" ref="E12">ReplaceColorsSeparators(D12)</f>
        <v>Black, Eggplant, Lazuli Blue, Oak, Taupe</v>
      </c>
    </row>
    <row r="13" spans="1:5" x14ac:dyDescent="0.25">
      <c r="A13" t="s">
        <v>58</v>
      </c>
      <c r="B13" t="s">
        <v>1</v>
      </c>
      <c r="C13" t="s">
        <v>60</v>
      </c>
      <c r="D13" t="str">
        <f t="shared" si="0"/>
        <v>Black, Copper, Nickel</v>
      </c>
      <c r="E13" t="str" cm="1">
        <f t="array" ref="E13">ReplaceColorsSeparators(D13)</f>
        <v>Black, Copper, Nickel</v>
      </c>
    </row>
    <row r="14" spans="1:5" x14ac:dyDescent="0.25">
      <c r="A14" t="s">
        <v>61</v>
      </c>
      <c r="B14" t="s">
        <v>1</v>
      </c>
      <c r="C14" t="s">
        <v>444</v>
      </c>
      <c r="D14" t="str">
        <f t="shared" si="0"/>
        <v>Peacoat, Plaza, Taupe, Saddle, Steel, Almond, Black, Camel</v>
      </c>
      <c r="E14" t="str" cm="1">
        <f t="array" ref="E14">ReplaceColorsSeparators(D14)</f>
        <v>Peacoat, Plaza Taupe, Saddle, Steel, Almond, Black, Camel</v>
      </c>
    </row>
    <row r="15" spans="1:5" x14ac:dyDescent="0.25">
      <c r="A15" t="s">
        <v>67</v>
      </c>
      <c r="B15" t="s">
        <v>1</v>
      </c>
      <c r="C15" t="s">
        <v>73</v>
      </c>
      <c r="D15" t="str">
        <f t="shared" si="0"/>
        <v>Black, Unbleached</v>
      </c>
      <c r="E15" t="str" cm="1">
        <f t="array" ref="E15">ReplaceColorsSeparators(D15)</f>
        <v>Black, Unbleached</v>
      </c>
    </row>
    <row r="16" spans="1:5" x14ac:dyDescent="0.25">
      <c r="A16" t="s">
        <v>74</v>
      </c>
      <c r="B16" t="s">
        <v>1</v>
      </c>
      <c r="C16" t="s">
        <v>78</v>
      </c>
      <c r="D16" t="str">
        <f t="shared" si="0"/>
        <v>Black, Lazuli, Blue, Uniform, Green</v>
      </c>
      <c r="E16" t="str" cm="1">
        <f t="array" ref="E16">ReplaceColorsSeparators(D16)</f>
        <v>Black, Lazuli Blue, Uniform Green</v>
      </c>
    </row>
    <row r="17" spans="1:5" x14ac:dyDescent="0.25">
      <c r="A17" t="s">
        <v>79</v>
      </c>
      <c r="B17" t="s">
        <v>1</v>
      </c>
      <c r="C17" t="s">
        <v>82</v>
      </c>
      <c r="D17" t="str">
        <f t="shared" si="0"/>
        <v>Black, Copper, Taupe</v>
      </c>
      <c r="E17" t="str" cm="1">
        <f t="array" ref="E17">ReplaceColorsSeparators(D17)</f>
        <v>Black, Copper, Taupe</v>
      </c>
    </row>
    <row r="18" spans="1:5" x14ac:dyDescent="0.25">
      <c r="A18" t="s">
        <v>83</v>
      </c>
      <c r="B18" t="s">
        <v>1</v>
      </c>
      <c r="C18" t="s">
        <v>445</v>
      </c>
      <c r="D18" t="str">
        <f t="shared" si="0"/>
        <v>Greige, Honey, Ochre, Silver, Lining, Avion, Black, Chestnut</v>
      </c>
      <c r="E18" t="str" cm="1">
        <f t="array" ref="E18">ReplaceColorsSeparators(D18)</f>
        <v>Greige, Honey, Ochre, Silver Lining, Avion, Black, Chestnut</v>
      </c>
    </row>
    <row r="19" spans="1:5" x14ac:dyDescent="0.25">
      <c r="A19" t="s">
        <v>88</v>
      </c>
      <c r="B19" t="s">
        <v>1</v>
      </c>
      <c r="C19" t="s">
        <v>92</v>
      </c>
      <c r="D19" t="str">
        <f t="shared" si="0"/>
        <v>Black, Nickel, Oak</v>
      </c>
      <c r="E19" t="str" cm="1">
        <f t="array" ref="E19">ReplaceColorsSeparators(D19)</f>
        <v>Black, Nickel, Oak</v>
      </c>
    </row>
    <row r="20" spans="1:5" x14ac:dyDescent="0.25">
      <c r="A20" t="s">
        <v>93</v>
      </c>
      <c r="B20" t="s">
        <v>1</v>
      </c>
      <c r="C20" t="s">
        <v>97</v>
      </c>
      <c r="D20" t="str">
        <f t="shared" si="0"/>
        <v>Avion, Black, Uniform, Green</v>
      </c>
      <c r="E20" t="str" cm="1">
        <f t="array" ref="E20">ReplaceColorsSeparators(D20)</f>
        <v>Avion, Black, Uniform Green</v>
      </c>
    </row>
    <row r="21" spans="1:5" x14ac:dyDescent="0.25">
      <c r="A21" t="s">
        <v>98</v>
      </c>
      <c r="B21" t="s">
        <v>1</v>
      </c>
      <c r="C21" t="s">
        <v>102</v>
      </c>
      <c r="D21" t="str">
        <f t="shared" si="0"/>
        <v>Black, Lazuli, Blue, Oak</v>
      </c>
      <c r="E21" t="str" cm="1">
        <f t="array" ref="E21">ReplaceColorsSeparators(D21)</f>
        <v>Black, Lazuli Blue, Oak</v>
      </c>
    </row>
    <row r="22" spans="1:5" x14ac:dyDescent="0.25">
      <c r="A22" t="s">
        <v>103</v>
      </c>
      <c r="B22" t="s">
        <v>105</v>
      </c>
      <c r="C22" t="s">
        <v>106</v>
      </c>
      <c r="D22" t="str">
        <f t="shared" si="0"/>
        <v>Black, Camel, Oak, Stucco</v>
      </c>
      <c r="E22" t="str" cm="1">
        <f t="array" ref="E22">ReplaceColorsSeparators(D22)</f>
        <v>Black, Camel, Oak, Stucco</v>
      </c>
    </row>
    <row r="23" spans="1:5" x14ac:dyDescent="0.25">
      <c r="A23" t="s">
        <v>7</v>
      </c>
      <c r="B23" t="s">
        <v>1</v>
      </c>
      <c r="C23" t="s">
        <v>109</v>
      </c>
      <c r="D23" t="str">
        <f t="shared" si="0"/>
        <v>Black, Plaza, Taupe</v>
      </c>
      <c r="E23" t="str" cm="1">
        <f t="array" ref="E23">ReplaceColorsSeparators(D23)</f>
        <v>Black, Plaza Taupe</v>
      </c>
    </row>
    <row r="24" spans="1:5" x14ac:dyDescent="0.25">
      <c r="A24" t="s">
        <v>110</v>
      </c>
      <c r="B24" t="s">
        <v>1</v>
      </c>
      <c r="C24" t="s">
        <v>114</v>
      </c>
      <c r="D24" t="str">
        <f t="shared" si="0"/>
        <v>Avion, Black, Soft, Khaki</v>
      </c>
      <c r="E24" t="str" cm="1">
        <f t="array" ref="E24">ReplaceColorsSeparators(D24)</f>
        <v>Avion, Black, Soft Khaki</v>
      </c>
    </row>
    <row r="25" spans="1:5" x14ac:dyDescent="0.25">
      <c r="A25" t="s">
        <v>8</v>
      </c>
      <c r="B25" t="s">
        <v>1</v>
      </c>
      <c r="C25" t="s">
        <v>444</v>
      </c>
      <c r="D25" t="str">
        <f t="shared" si="0"/>
        <v>Peacoat, Plaza, Taupe, Saddle, Steel, Almond, Black, Camel</v>
      </c>
      <c r="E25" t="str" cm="1">
        <f t="array" ref="E25">ReplaceColorsSeparators(D25)</f>
        <v>Peacoat, Plaza Taupe, Saddle, Steel, Almond, Black, Camel</v>
      </c>
    </row>
    <row r="26" spans="1:5" x14ac:dyDescent="0.25">
      <c r="A26" t="s">
        <v>115</v>
      </c>
      <c r="B26" t="s">
        <v>1</v>
      </c>
      <c r="C26" t="s">
        <v>119</v>
      </c>
      <c r="D26" t="str">
        <f t="shared" si="0"/>
        <v>Black, Midnight, Brown, Unbleached</v>
      </c>
      <c r="E26" t="str" cm="1">
        <f t="array" ref="E26">ReplaceColorsSeparators(D26)</f>
        <v>Black, Midnight Brown, Unbleached</v>
      </c>
    </row>
    <row r="27" spans="1:5" x14ac:dyDescent="0.25">
      <c r="A27" t="s">
        <v>6</v>
      </c>
      <c r="B27" t="s">
        <v>1</v>
      </c>
      <c r="C27" t="s">
        <v>447</v>
      </c>
      <c r="D27" t="str">
        <f t="shared" si="0"/>
        <v>Peacoat, Plaza, Taupe, Saddle, Steel, Almond, Black, Camel, Henna</v>
      </c>
      <c r="E27" t="str" cm="1">
        <f t="array" ref="E27">ReplaceColorsSeparators(D27)</f>
        <v>Peacoat, Plaza Taupe, Saddle, Steel, Almond, Black, Camel, Henna</v>
      </c>
    </row>
    <row r="28" spans="1:5" x14ac:dyDescent="0.25">
      <c r="A28" t="s">
        <v>123</v>
      </c>
      <c r="B28" t="s">
        <v>1</v>
      </c>
      <c r="C28" t="s">
        <v>126</v>
      </c>
      <c r="D28" t="str">
        <f t="shared" si="0"/>
        <v>Beech, Black, Whiskey</v>
      </c>
      <c r="E28" t="str" cm="1">
        <f t="array" ref="E28">ReplaceColorsSeparators(D28)</f>
        <v>Beech, Black, Whiskey</v>
      </c>
    </row>
    <row r="29" spans="1:5" x14ac:dyDescent="0.25">
      <c r="A29" t="s">
        <v>127</v>
      </c>
      <c r="B29" t="s">
        <v>1</v>
      </c>
      <c r="C29" t="s">
        <v>129</v>
      </c>
      <c r="D29" t="str">
        <f t="shared" si="0"/>
        <v>Ink, Blue, Plaza, Taupe</v>
      </c>
      <c r="E29" t="str" cm="1">
        <f t="array" ref="E29">ReplaceColorsSeparators(D29)</f>
        <v>Ink Blue, Plaza Taupe</v>
      </c>
    </row>
    <row r="30" spans="1:5" x14ac:dyDescent="0.25">
      <c r="A30" t="s">
        <v>130</v>
      </c>
      <c r="B30" t="s">
        <v>134</v>
      </c>
      <c r="C30" t="s">
        <v>135</v>
      </c>
      <c r="D30" t="str">
        <f t="shared" si="0"/>
        <v>Black, Black, Mix, Bluestone, Walnut</v>
      </c>
      <c r="E30" t="str" cm="1">
        <f t="array" ref="E30">ReplaceColorsSeparators(D30)</f>
        <v>Black, Black Mix, Bluestone, Walnut</v>
      </c>
    </row>
    <row r="31" spans="1:5" x14ac:dyDescent="0.25">
      <c r="A31" t="s">
        <v>136</v>
      </c>
      <c r="B31" t="s">
        <v>1</v>
      </c>
      <c r="C31" t="s">
        <v>137</v>
      </c>
      <c r="D31" t="str">
        <f t="shared" si="0"/>
        <v>Navy, Serpent, Walnut</v>
      </c>
      <c r="E31" t="str" cm="1">
        <f t="array" ref="E31">ReplaceColorsSeparators(D31)</f>
        <v>Navy, Serpent, Walnut</v>
      </c>
    </row>
    <row r="32" spans="1:5" x14ac:dyDescent="0.25">
      <c r="A32" t="s">
        <v>138</v>
      </c>
      <c r="B32" t="s">
        <v>1</v>
      </c>
      <c r="C32" t="s">
        <v>119</v>
      </c>
      <c r="D32" t="str">
        <f t="shared" si="0"/>
        <v>Black, Midnight, Brown, Unbleached</v>
      </c>
      <c r="E32" t="str" cm="1">
        <f t="array" ref="E32">ReplaceColorsSeparators(D32)</f>
        <v>Black, Midnight Brown, Unbleached</v>
      </c>
    </row>
    <row r="33" spans="1:5" x14ac:dyDescent="0.25">
      <c r="A33" t="s">
        <v>144</v>
      </c>
      <c r="B33" t="s">
        <v>105</v>
      </c>
      <c r="C33" t="s">
        <v>448</v>
      </c>
      <c r="D33" t="str">
        <f t="shared" si="0"/>
        <v>Navy, Nickel, Satin, Brass, Silverbelly, Vintage, Blue, Black, Cognac, Copper, Medium, Brown, Mix, Basalt, Avion</v>
      </c>
      <c r="E33" t="str" cm="1">
        <f t="array" ref="E33">ReplaceColorsSeparators(D33)</f>
        <v>Navy, Nickel, Satin Brass, Silverbelly, Vintage Blue, Black, Cognac, Copper, Medium Brown Mix, Basalt, Avion</v>
      </c>
    </row>
    <row r="34" spans="1:5" x14ac:dyDescent="0.25">
      <c r="A34" t="s">
        <v>146</v>
      </c>
      <c r="B34" t="s">
        <v>1</v>
      </c>
      <c r="C34" t="s">
        <v>148</v>
      </c>
      <c r="D34" t="str">
        <f t="shared" si="0"/>
        <v>Black, Unbleached, Woodland, Mix</v>
      </c>
      <c r="E34" t="str" cm="1">
        <f t="array" ref="E34">ReplaceColorsSeparators(D34)</f>
        <v>Black, Unbleached, Woodland Mix</v>
      </c>
    </row>
    <row r="35" spans="1:5" x14ac:dyDescent="0.25">
      <c r="A35" t="s">
        <v>149</v>
      </c>
      <c r="B35" t="s">
        <v>1</v>
      </c>
      <c r="C35" t="s">
        <v>151</v>
      </c>
      <c r="D35" t="str">
        <f t="shared" si="0"/>
        <v>Black, Ochre</v>
      </c>
      <c r="E35" t="str" cm="1">
        <f t="array" ref="E35">ReplaceColorsSeparators(D35)</f>
        <v>Black, Ochre</v>
      </c>
    </row>
    <row r="36" spans="1:5" x14ac:dyDescent="0.25">
      <c r="A36" t="s">
        <v>152</v>
      </c>
      <c r="B36" t="s">
        <v>1</v>
      </c>
      <c r="C36" t="s">
        <v>155</v>
      </c>
      <c r="D36" t="str">
        <f t="shared" si="0"/>
        <v>Black, Oak</v>
      </c>
      <c r="E36" t="str" cm="1">
        <f t="array" ref="E36">ReplaceColorsSeparators(D36)</f>
        <v>Black, Oak</v>
      </c>
    </row>
    <row r="37" spans="1:5" x14ac:dyDescent="0.25">
      <c r="A37" t="s">
        <v>156</v>
      </c>
      <c r="B37" t="s">
        <v>1</v>
      </c>
      <c r="C37" t="s">
        <v>159</v>
      </c>
      <c r="D37" t="str">
        <f t="shared" si="0"/>
        <v>Avion, Black</v>
      </c>
      <c r="E37" t="str" cm="1">
        <f t="array" ref="E37">ReplaceColorsSeparators(D37)</f>
        <v>Avion, Black</v>
      </c>
    </row>
    <row r="38" spans="1:5" x14ac:dyDescent="0.25">
      <c r="A38" t="s">
        <v>160</v>
      </c>
      <c r="B38" t="s">
        <v>1</v>
      </c>
      <c r="C38" t="s">
        <v>162</v>
      </c>
      <c r="D38" t="str">
        <f t="shared" si="0"/>
        <v>Black, Honey, Uniform, Green</v>
      </c>
      <c r="E38" t="str" cm="1">
        <f t="array" ref="E38">ReplaceColorsSeparators(D38)</f>
        <v>Black, Honey, Uniform Green</v>
      </c>
    </row>
    <row r="39" spans="1:5" x14ac:dyDescent="0.25">
      <c r="A39" t="s">
        <v>163</v>
      </c>
      <c r="B39" t="s">
        <v>1</v>
      </c>
      <c r="C39" t="s">
        <v>167</v>
      </c>
      <c r="D39" t="str">
        <f t="shared" si="0"/>
        <v>Black, Nickel, Satin, Brass, Uniform, Green</v>
      </c>
      <c r="E39" t="str" cm="1">
        <f t="array" ref="E39">ReplaceColorsSeparators(D39)</f>
        <v>Black, Nickel, Satin Brass, Uniform Green</v>
      </c>
    </row>
    <row r="40" spans="1:5" x14ac:dyDescent="0.25">
      <c r="A40" t="s">
        <v>168</v>
      </c>
      <c r="B40" t="s">
        <v>105</v>
      </c>
      <c r="C40" t="s">
        <v>171</v>
      </c>
      <c r="D40" t="str">
        <f t="shared" si="0"/>
        <v>Black, Caramel, Gun, Metal, Satin, Brass, Soft, Khaki</v>
      </c>
      <c r="E40" t="str" cm="1">
        <f t="array" ref="E40">ReplaceColorsSeparators(D40)</f>
        <v>Black, Caramel, Gun Metal, Satin Brass, Soft Khaki</v>
      </c>
    </row>
    <row r="41" spans="1:5" x14ac:dyDescent="0.25">
      <c r="A41" t="s">
        <v>172</v>
      </c>
      <c r="B41" t="s">
        <v>105</v>
      </c>
      <c r="C41" t="s">
        <v>449</v>
      </c>
      <c r="D41" t="str">
        <f t="shared" si="0"/>
        <v>Sea, Breeze, Serpent, Speckled, Egg, Mix, Uniform, Green, Vintage, Blue, Antique, Black, Contrapposto, Grey, Navy</v>
      </c>
      <c r="E41" t="str" cm="1">
        <f t="array" ref="E41">ReplaceColorsSeparators(D41)</f>
        <v>Sea Breeze, Serpent, Speckled Egg Mix, Uniform Green, Vintage Blue, Antique, Black, Contrapposto, Grey, Navy</v>
      </c>
    </row>
    <row r="42" spans="1:5" x14ac:dyDescent="0.25">
      <c r="A42" t="s">
        <v>177</v>
      </c>
      <c r="B42" t="s">
        <v>1</v>
      </c>
      <c r="C42" t="s">
        <v>179</v>
      </c>
      <c r="D42" t="str">
        <f t="shared" si="0"/>
        <v>Black, Oxford, Mix</v>
      </c>
      <c r="E42" t="str" cm="1">
        <f t="array" ref="E42">ReplaceColorsSeparators(D42)</f>
        <v>Black, Oxford Mix</v>
      </c>
    </row>
    <row r="43" spans="1:5" x14ac:dyDescent="0.25">
      <c r="A43" t="s">
        <v>180</v>
      </c>
      <c r="B43" t="s">
        <v>1</v>
      </c>
      <c r="C43" t="s">
        <v>184</v>
      </c>
      <c r="D43" t="str">
        <f t="shared" si="0"/>
        <v>Black, Camel, Pale, Olive, Whiskey</v>
      </c>
      <c r="E43" t="str" cm="1">
        <f t="array" ref="E43">ReplaceColorsSeparators(D43)</f>
        <v>Black, Camel, Pale Olive, Whiskey</v>
      </c>
    </row>
    <row r="44" spans="1:5" x14ac:dyDescent="0.25">
      <c r="A44" t="s">
        <v>185</v>
      </c>
      <c r="B44" t="s">
        <v>1</v>
      </c>
      <c r="C44" t="s">
        <v>187</v>
      </c>
      <c r="D44" t="str">
        <f t="shared" si="0"/>
        <v>Ink, Blue, Olive, Mix, Rust</v>
      </c>
      <c r="E44" t="str" cm="1">
        <f t="array" ref="E44">ReplaceColorsSeparators(D44)</f>
        <v>Ink Blue, Olive Mix, Rust</v>
      </c>
    </row>
    <row r="45" spans="1:5" x14ac:dyDescent="0.25">
      <c r="A45" t="s">
        <v>188</v>
      </c>
      <c r="B45" t="s">
        <v>1</v>
      </c>
      <c r="C45" t="s">
        <v>189</v>
      </c>
      <c r="D45" t="str">
        <f t="shared" si="0"/>
        <v>Black, Graphite, Nickel, Red</v>
      </c>
      <c r="E45" t="str" cm="1">
        <f t="array" ref="E45">ReplaceColorsSeparators(D45)</f>
        <v>Black, Graphite, Nickel, Red</v>
      </c>
    </row>
    <row r="46" spans="1:5" x14ac:dyDescent="0.25">
      <c r="A46" t="s">
        <v>190</v>
      </c>
      <c r="B46" t="s">
        <v>1</v>
      </c>
      <c r="C46" t="s">
        <v>191</v>
      </c>
      <c r="D46" t="str">
        <f t="shared" si="0"/>
        <v>Bluestone, Serpent, Woodland, Mix</v>
      </c>
      <c r="E46" t="str" cm="1">
        <f t="array" ref="E46">ReplaceColorsSeparators(D46)</f>
        <v>Bluestone, Serpent, Woodland Mix</v>
      </c>
    </row>
    <row r="47" spans="1:5" x14ac:dyDescent="0.25">
      <c r="A47" t="s">
        <v>192</v>
      </c>
      <c r="B47" t="s">
        <v>1</v>
      </c>
      <c r="C47" t="s">
        <v>195</v>
      </c>
      <c r="D47" t="str">
        <f t="shared" si="0"/>
        <v>Natural, Mix, Ochre</v>
      </c>
      <c r="E47" t="str" cm="1">
        <f t="array" ref="E47">ReplaceColorsSeparators(D47)</f>
        <v>Natural Mix, Ochre</v>
      </c>
    </row>
    <row r="48" spans="1:5" x14ac:dyDescent="0.25">
      <c r="A48" t="s">
        <v>196</v>
      </c>
      <c r="B48" t="s">
        <v>1</v>
      </c>
      <c r="C48" t="s">
        <v>450</v>
      </c>
      <c r="D48" t="str">
        <f t="shared" si="0"/>
        <v>Oxblood, Pewter, Serpent, Silverbelly, Black, Cognac, Olive, Mix</v>
      </c>
      <c r="E48" t="str" cm="1">
        <f t="array" ref="E48">ReplaceColorsSeparators(D48)</f>
        <v>Oxblood, Pewter, Serpent, Silverbelly, Black, Cognac, Olive Mix</v>
      </c>
    </row>
    <row r="49" spans="1:5" x14ac:dyDescent="0.25">
      <c r="A49" t="s">
        <v>200</v>
      </c>
      <c r="B49" t="s">
        <v>1</v>
      </c>
      <c r="C49" t="s">
        <v>203</v>
      </c>
      <c r="D49" t="str">
        <f t="shared" si="0"/>
        <v>Medium, Brown, Mix</v>
      </c>
      <c r="E49" t="str" cm="1">
        <f t="array" ref="E49">ReplaceColorsSeparators(D49)</f>
        <v>Medium Brown Mix</v>
      </c>
    </row>
    <row r="50" spans="1:5" x14ac:dyDescent="0.25">
      <c r="A50" t="s">
        <v>204</v>
      </c>
      <c r="B50" t="s">
        <v>105</v>
      </c>
      <c r="C50" t="s">
        <v>454</v>
      </c>
      <c r="D50" t="str">
        <f t="shared" si="0"/>
        <v>Contrapposto, Copper, Natural, Mix, Navy, Port, Red, Satin, Brass, Sea, Breeze, Unbleached, Vintage, Blue, Basalt, Black, Black, Mix, Brown</v>
      </c>
      <c r="E50" t="str" cm="1">
        <f t="array" ref="E50">ReplaceColorsSeparators(D50)</f>
        <v>Contrapposto, Copper, Natural Mix, Navy, Port, Red, Satin Brass, Sea Breeze, Unbleached, Vintage Blue, Basalt, Black, Black Mix, Brown</v>
      </c>
    </row>
    <row r="51" spans="1:5" x14ac:dyDescent="0.25">
      <c r="A51" t="s">
        <v>208</v>
      </c>
      <c r="B51" t="s">
        <v>1</v>
      </c>
      <c r="C51" t="s">
        <v>212</v>
      </c>
      <c r="D51" t="str">
        <f t="shared" si="0"/>
        <v>Black, Cognac, Fawn</v>
      </c>
      <c r="E51" t="str" cm="1">
        <f t="array" ref="E51">ReplaceColorsSeparators(D51)</f>
        <v>Black, Cognac, Fawn</v>
      </c>
    </row>
    <row r="52" spans="1:5" x14ac:dyDescent="0.25">
      <c r="A52" t="s">
        <v>213</v>
      </c>
      <c r="B52" t="s">
        <v>1</v>
      </c>
      <c r="C52" t="s">
        <v>217</v>
      </c>
      <c r="D52" t="str">
        <f t="shared" si="0"/>
        <v>Black, Uniform, Green</v>
      </c>
      <c r="E52" t="str" cm="1">
        <f t="array" ref="E52">ReplaceColorsSeparators(D52)</f>
        <v>Black, Uniform Green</v>
      </c>
    </row>
    <row r="53" spans="1:5" x14ac:dyDescent="0.25">
      <c r="A53" t="s">
        <v>218</v>
      </c>
      <c r="B53" t="s">
        <v>1</v>
      </c>
      <c r="C53" t="s">
        <v>219</v>
      </c>
      <c r="D53" t="str">
        <f t="shared" si="0"/>
        <v>Avion, Black, Whiskey</v>
      </c>
      <c r="E53" t="str" cm="1">
        <f t="array" ref="E53">ReplaceColorsSeparators(D53)</f>
        <v>Avion, Black, Whiskey</v>
      </c>
    </row>
    <row r="54" spans="1:5" x14ac:dyDescent="0.25">
      <c r="A54" t="s">
        <v>220</v>
      </c>
      <c r="B54" t="s">
        <v>1</v>
      </c>
      <c r="C54" t="s">
        <v>222</v>
      </c>
      <c r="D54" t="str">
        <f t="shared" si="0"/>
        <v>Black, Nickel, Uniform, Green</v>
      </c>
      <c r="E54" t="str" cm="1">
        <f t="array" ref="E54">ReplaceColorsSeparators(D54)</f>
        <v>Black, Nickel, Uniform Green</v>
      </c>
    </row>
    <row r="55" spans="1:5" x14ac:dyDescent="0.25">
      <c r="A55" t="s">
        <v>223</v>
      </c>
      <c r="B55" t="s">
        <v>105</v>
      </c>
      <c r="C55" t="s">
        <v>9</v>
      </c>
      <c r="D55" t="str">
        <f t="shared" si="0"/>
        <v>Black</v>
      </c>
      <c r="E55" t="str" cm="1">
        <f t="array" ref="E55">ReplaceColorsSeparators(D55)</f>
        <v>Black</v>
      </c>
    </row>
    <row r="56" spans="1:5" x14ac:dyDescent="0.25">
      <c r="A56" t="s">
        <v>226</v>
      </c>
      <c r="B56" t="s">
        <v>105</v>
      </c>
      <c r="C56" t="s">
        <v>9</v>
      </c>
      <c r="D56" t="str">
        <f t="shared" si="0"/>
        <v>Black</v>
      </c>
      <c r="E56" t="str" cm="1">
        <f t="array" ref="E56">ReplaceColorsSeparators(D56)</f>
        <v>Black</v>
      </c>
    </row>
    <row r="57" spans="1:5" x14ac:dyDescent="0.25">
      <c r="A57" t="s">
        <v>227</v>
      </c>
      <c r="B57" t="s">
        <v>1</v>
      </c>
      <c r="C57" t="s">
        <v>230</v>
      </c>
      <c r="D57" t="str">
        <f t="shared" si="0"/>
        <v>Black, Chocolate, Forest, Navy</v>
      </c>
      <c r="E57" t="str" cm="1">
        <f t="array" ref="E57">ReplaceColorsSeparators(D57)</f>
        <v>Black, Chocolate, Forest, Navy</v>
      </c>
    </row>
    <row r="58" spans="1:5" x14ac:dyDescent="0.25">
      <c r="A58" t="s">
        <v>231</v>
      </c>
      <c r="B58" t="s">
        <v>105</v>
      </c>
      <c r="C58" t="s">
        <v>233</v>
      </c>
      <c r="D58" t="str">
        <f t="shared" si="0"/>
        <v>Black, Lazuli, Blue, Mink, Ochre</v>
      </c>
      <c r="E58" t="str" cm="1">
        <f t="array" ref="E58">ReplaceColorsSeparators(D58)</f>
        <v>Black, Lazuli Blue, Mink, Ochre</v>
      </c>
    </row>
    <row r="59" spans="1:5" x14ac:dyDescent="0.25">
      <c r="A59" t="s">
        <v>234</v>
      </c>
      <c r="B59" t="s">
        <v>1</v>
      </c>
      <c r="C59" t="s">
        <v>237</v>
      </c>
      <c r="D59" t="str">
        <f t="shared" si="0"/>
        <v>Black, Caramel, Navy, Olive</v>
      </c>
      <c r="E59" t="str" cm="1">
        <f t="array" ref="E59">ReplaceColorsSeparators(D59)</f>
        <v>Black, Caramel, Navy, Olive</v>
      </c>
    </row>
    <row r="60" spans="1:5" x14ac:dyDescent="0.25">
      <c r="A60" t="s">
        <v>238</v>
      </c>
      <c r="B60" t="s">
        <v>1</v>
      </c>
      <c r="C60" t="s">
        <v>243</v>
      </c>
      <c r="D60" t="str">
        <f t="shared" si="0"/>
        <v>Black, Silver, Sand</v>
      </c>
      <c r="E60" t="str" cm="1">
        <f t="array" ref="E60">ReplaceColorsSeparators(D60)</f>
        <v>Black, Silver Sand</v>
      </c>
    </row>
    <row r="61" spans="1:5" x14ac:dyDescent="0.25">
      <c r="A61" t="s">
        <v>244</v>
      </c>
      <c r="B61" t="s">
        <v>1</v>
      </c>
      <c r="C61" t="s">
        <v>245</v>
      </c>
      <c r="D61" t="str">
        <f t="shared" si="0"/>
        <v>Bitter, Chocolate, Black, Mink, Night, Shade, Navy</v>
      </c>
      <c r="E61" t="str" cm="1">
        <f t="array" ref="E61">ReplaceColorsSeparators(D61)</f>
        <v>Bitter Chocolate, Black, Mink, Night Shade, Navy</v>
      </c>
    </row>
    <row r="62" spans="1:5" x14ac:dyDescent="0.25">
      <c r="A62" t="s">
        <v>246</v>
      </c>
      <c r="B62" t="s">
        <v>1</v>
      </c>
      <c r="C62" t="s">
        <v>252</v>
      </c>
      <c r="D62" t="str">
        <f t="shared" si="0"/>
        <v>Black, Olive, Oil, Plaza, Taupe</v>
      </c>
      <c r="E62" t="str" cm="1">
        <f t="array" ref="E62">ReplaceColorsSeparators(D62)</f>
        <v>Black, Olive Oil, Plaza Taupe</v>
      </c>
    </row>
    <row r="63" spans="1:5" x14ac:dyDescent="0.25">
      <c r="A63" t="s">
        <v>253</v>
      </c>
      <c r="B63" t="s">
        <v>1</v>
      </c>
      <c r="C63" t="s">
        <v>256</v>
      </c>
      <c r="D63" t="str">
        <f t="shared" si="0"/>
        <v>Ochre, Soft, Khaki</v>
      </c>
      <c r="E63" t="str" cm="1">
        <f t="array" ref="E63">ReplaceColorsSeparators(D63)</f>
        <v>Ochre, Soft Khaki</v>
      </c>
    </row>
    <row r="64" spans="1:5" x14ac:dyDescent="0.25">
      <c r="A64" t="s">
        <v>257</v>
      </c>
      <c r="B64" t="s">
        <v>1</v>
      </c>
      <c r="C64" t="s">
        <v>259</v>
      </c>
      <c r="D64" t="str">
        <f t="shared" si="0"/>
        <v>Black, Navy</v>
      </c>
      <c r="E64" t="str" cm="1">
        <f t="array" ref="E64">ReplaceColorsSeparators(D64)</f>
        <v>Black, Navy</v>
      </c>
    </row>
    <row r="65" spans="1:5" x14ac:dyDescent="0.25">
      <c r="A65" t="s">
        <v>260</v>
      </c>
      <c r="B65" t="s">
        <v>262</v>
      </c>
      <c r="C65" t="s">
        <v>9</v>
      </c>
      <c r="D65" t="str">
        <f t="shared" si="0"/>
        <v>Black</v>
      </c>
      <c r="E65" t="str" cm="1">
        <f t="array" ref="E65">ReplaceColorsSeparators(D65)</f>
        <v>Black</v>
      </c>
    </row>
    <row r="66" spans="1:5" x14ac:dyDescent="0.25">
      <c r="A66" t="s">
        <v>263</v>
      </c>
      <c r="B66" t="s">
        <v>262</v>
      </c>
      <c r="C66" t="s">
        <v>266</v>
      </c>
      <c r="D66" t="str">
        <f t="shared" si="0"/>
        <v>Black, Hemlock</v>
      </c>
      <c r="E66" t="str" cm="1">
        <f t="array" ref="E66">ReplaceColorsSeparators(D66)</f>
        <v>Black, Hemlock</v>
      </c>
    </row>
    <row r="67" spans="1:5" x14ac:dyDescent="0.25">
      <c r="A67" t="s">
        <v>267</v>
      </c>
      <c r="B67" t="s">
        <v>1</v>
      </c>
      <c r="C67" t="s">
        <v>9</v>
      </c>
      <c r="D67" t="str">
        <f t="shared" ref="D67:D92" si="1">_xlfn.LET(_xlpm.SepColors,SUBSTITUTE(C67," ",", "),_xlpm.SepColors)</f>
        <v>Black</v>
      </c>
      <c r="E67" t="str" cm="1">
        <f t="array" ref="E67">ReplaceColorsSeparators(D67)</f>
        <v>Black</v>
      </c>
    </row>
    <row r="68" spans="1:5" x14ac:dyDescent="0.25">
      <c r="A68" t="s">
        <v>270</v>
      </c>
      <c r="B68" t="s">
        <v>105</v>
      </c>
      <c r="C68" t="s">
        <v>271</v>
      </c>
      <c r="D68" t="str">
        <f t="shared" si="1"/>
        <v>Black, Brown, White</v>
      </c>
      <c r="E68" t="str" cm="1">
        <f t="array" ref="E68">ReplaceColorsSeparators(D68)</f>
        <v>Black, Brown, White</v>
      </c>
    </row>
    <row r="69" spans="1:5" x14ac:dyDescent="0.25">
      <c r="A69" t="s">
        <v>272</v>
      </c>
      <c r="B69" t="s">
        <v>105</v>
      </c>
      <c r="C69" t="s">
        <v>443</v>
      </c>
      <c r="D69" t="str">
        <f t="shared" si="1"/>
        <v>Fog, Latte, Navy, Static, Tan, Birch, Black, Coconut, Deep, Red, Espresso</v>
      </c>
      <c r="E69" t="str" cm="1">
        <f t="array" ref="E69">ReplaceColorsSeparators(D69)</f>
        <v>Fog, Latte, Navy, Static, Tan, Birch, Black, Coconut, Deep Red, Espresso</v>
      </c>
    </row>
    <row r="70" spans="1:5" x14ac:dyDescent="0.25">
      <c r="A70" t="s">
        <v>278</v>
      </c>
      <c r="B70" t="s">
        <v>105</v>
      </c>
      <c r="C70" t="s">
        <v>451</v>
      </c>
      <c r="D70" t="str">
        <f t="shared" si="1"/>
        <v>Navy, Multi, Nordic, Multi, Overcast, Skydiver, Woods, Multi, Cement, Multi, Deep, Red, Multi, Light, Grey, Multi, Natural, Multi, Brown, Multi, Charcoal, Multi</v>
      </c>
      <c r="E70" t="str" cm="1">
        <f t="array" ref="E70">ReplaceColorsSeparators(D70)</f>
        <v>Navy Multi, Nordic Multi, Overcast, Skydiver, Woods Multi, Cement Multi, Deep Red, Multi Light, Grey Multi, Natural Multi, Brown Multi, Charcoal Multi</v>
      </c>
    </row>
    <row r="71" spans="1:5" x14ac:dyDescent="0.25">
      <c r="A71" t="s">
        <v>281</v>
      </c>
      <c r="B71" t="s">
        <v>1</v>
      </c>
      <c r="C71" t="s">
        <v>283</v>
      </c>
      <c r="D71" t="str">
        <f t="shared" si="1"/>
        <v>Black, Blue, Bronze</v>
      </c>
      <c r="E71" t="str" cm="1">
        <f t="array" ref="E71">ReplaceColorsSeparators(D71)</f>
        <v>Black, Blue, Bronze</v>
      </c>
    </row>
    <row r="72" spans="1:5" x14ac:dyDescent="0.25">
      <c r="A72" t="s">
        <v>284</v>
      </c>
      <c r="B72" t="s">
        <v>1</v>
      </c>
      <c r="C72" t="s">
        <v>288</v>
      </c>
      <c r="D72" t="str">
        <f t="shared" si="1"/>
        <v>Copper, Green, Grey</v>
      </c>
      <c r="E72" t="str" cm="1">
        <f t="array" ref="E72">ReplaceColorsSeparators(D72)</f>
        <v>Copper, Green, Grey</v>
      </c>
    </row>
    <row r="73" spans="1:5" x14ac:dyDescent="0.25">
      <c r="A73" t="s">
        <v>289</v>
      </c>
      <c r="B73" t="s">
        <v>1</v>
      </c>
      <c r="C73" t="s">
        <v>283</v>
      </c>
      <c r="D73" t="str">
        <f t="shared" si="1"/>
        <v>Black, Blue, Bronze</v>
      </c>
      <c r="E73" t="str" cm="1">
        <f t="array" ref="E73">ReplaceColorsSeparators(D73)</f>
        <v>Black, Blue, Bronze</v>
      </c>
    </row>
    <row r="74" spans="1:5" x14ac:dyDescent="0.25">
      <c r="A74" t="s">
        <v>291</v>
      </c>
      <c r="B74" t="s">
        <v>1</v>
      </c>
      <c r="C74" t="s">
        <v>293</v>
      </c>
      <c r="D74" t="str">
        <f t="shared" si="1"/>
        <v>Avion, Black, Oak</v>
      </c>
      <c r="E74" t="str" cm="1">
        <f t="array" ref="E74">ReplaceColorsSeparators(D74)</f>
        <v>Avion, Black, Oak</v>
      </c>
    </row>
    <row r="75" spans="1:5" x14ac:dyDescent="0.25">
      <c r="A75" t="s">
        <v>294</v>
      </c>
      <c r="B75" t="s">
        <v>1</v>
      </c>
      <c r="C75" t="s">
        <v>295</v>
      </c>
      <c r="D75" t="str">
        <f t="shared" si="1"/>
        <v>Beige, Stripe, Black, Stripe, Avion, Stripe</v>
      </c>
      <c r="E75" t="str" cm="1">
        <f t="array" ref="E75">ReplaceColorsSeparators(D75)</f>
        <v>Beige Stripe, Black Stripe, Avion Stripe</v>
      </c>
    </row>
    <row r="76" spans="1:5" x14ac:dyDescent="0.25">
      <c r="A76" t="s">
        <v>296</v>
      </c>
      <c r="B76" t="s">
        <v>1</v>
      </c>
      <c r="C76" t="s">
        <v>298</v>
      </c>
      <c r="D76" t="str">
        <f t="shared" si="1"/>
        <v>Oak, Plaid</v>
      </c>
      <c r="E76" t="str" cm="1">
        <f t="array" ref="E76">ReplaceColorsSeparators(D76)</f>
        <v>Oak Plaid</v>
      </c>
    </row>
    <row r="77" spans="1:5" x14ac:dyDescent="0.25">
      <c r="A77" t="s">
        <v>299</v>
      </c>
      <c r="B77" t="s">
        <v>1</v>
      </c>
      <c r="C77" t="s">
        <v>301</v>
      </c>
      <c r="D77" t="str">
        <f t="shared" si="1"/>
        <v>Blue, Plaid, Copper, Plaid, Uniform, Green, Plaid</v>
      </c>
      <c r="E77" t="str" cm="1">
        <f t="array" ref="E77">ReplaceColorsSeparators(D77)</f>
        <v>Blue Plaid, Copper Plaid, Uniform Green, Plaid</v>
      </c>
    </row>
    <row r="78" spans="1:5" x14ac:dyDescent="0.25">
      <c r="A78" t="s">
        <v>302</v>
      </c>
      <c r="B78" t="s">
        <v>105</v>
      </c>
      <c r="C78" t="s">
        <v>303</v>
      </c>
      <c r="D78" t="str">
        <f t="shared" si="1"/>
        <v>Black, Paid, Brown, Herringbone</v>
      </c>
      <c r="E78" t="str" cm="1">
        <f t="array" ref="E78">ReplaceColorsSeparators(D78)</f>
        <v>Black Paid, Brown Herringbone</v>
      </c>
    </row>
    <row r="79" spans="1:5" x14ac:dyDescent="0.25">
      <c r="A79" t="s">
        <v>304</v>
      </c>
      <c r="B79" t="s">
        <v>1</v>
      </c>
      <c r="C79" t="s">
        <v>151</v>
      </c>
      <c r="D79" t="str">
        <f t="shared" si="1"/>
        <v>Black, Ochre</v>
      </c>
      <c r="E79" t="str" cm="1">
        <f t="array" ref="E79">ReplaceColorsSeparators(D79)</f>
        <v>Black, Ochre</v>
      </c>
    </row>
    <row r="80" spans="1:5" x14ac:dyDescent="0.25">
      <c r="A80" t="s">
        <v>305</v>
      </c>
      <c r="B80" t="s">
        <v>1</v>
      </c>
      <c r="C80" t="s">
        <v>306</v>
      </c>
      <c r="D80" t="str">
        <f t="shared" si="1"/>
        <v>Avion, Grey</v>
      </c>
      <c r="E80" t="str" cm="1">
        <f t="array" ref="E80">ReplaceColorsSeparators(D80)</f>
        <v>Avion, Grey</v>
      </c>
    </row>
    <row r="81" spans="1:5" x14ac:dyDescent="0.25">
      <c r="A81" t="s">
        <v>307</v>
      </c>
      <c r="B81" t="s">
        <v>1</v>
      </c>
      <c r="C81" t="s">
        <v>308</v>
      </c>
      <c r="D81" t="str">
        <f t="shared" si="1"/>
        <v>Avion, Plaid, Oak, Twill, Uniform, Green, Plaid</v>
      </c>
      <c r="E81" t="str" cm="1">
        <f t="array" ref="E81">ReplaceColorsSeparators(D81)</f>
        <v>Avion Plaid, Oak Twill, Uniform Green, Plaid</v>
      </c>
    </row>
    <row r="82" spans="1:5" x14ac:dyDescent="0.25">
      <c r="A82" t="s">
        <v>309</v>
      </c>
      <c r="B82" t="s">
        <v>105</v>
      </c>
      <c r="C82" t="s">
        <v>311</v>
      </c>
      <c r="D82" t="str">
        <f t="shared" si="1"/>
        <v>Black, Chino, Navy, Tan</v>
      </c>
      <c r="E82" t="str" cm="1">
        <f t="array" ref="E82">ReplaceColorsSeparators(D82)</f>
        <v>Black, Chino, Navy, Tan</v>
      </c>
    </row>
    <row r="83" spans="1:5" x14ac:dyDescent="0.25">
      <c r="A83" t="s">
        <v>312</v>
      </c>
      <c r="B83" t="s">
        <v>1</v>
      </c>
      <c r="C83" t="s">
        <v>314</v>
      </c>
      <c r="D83" t="str">
        <f t="shared" si="1"/>
        <v>Black, Copper</v>
      </c>
      <c r="E83" t="str" cm="1">
        <f t="array" ref="E83">ReplaceColorsSeparators(D83)</f>
        <v>Black, Copper</v>
      </c>
    </row>
    <row r="84" spans="1:5" x14ac:dyDescent="0.25">
      <c r="A84" t="s">
        <v>315</v>
      </c>
      <c r="B84" t="s">
        <v>1</v>
      </c>
      <c r="C84" t="s">
        <v>317</v>
      </c>
      <c r="D84" t="str">
        <f t="shared" si="1"/>
        <v>Brown</v>
      </c>
      <c r="E84" t="str" cm="1">
        <f t="array" ref="E84">ReplaceColorsSeparators(D84)</f>
        <v>Brown</v>
      </c>
    </row>
    <row r="85" spans="1:5" x14ac:dyDescent="0.25">
      <c r="A85" t="s">
        <v>318</v>
      </c>
      <c r="B85" t="s">
        <v>1</v>
      </c>
      <c r="C85" t="s">
        <v>9</v>
      </c>
      <c r="D85" t="str">
        <f t="shared" si="1"/>
        <v>Black</v>
      </c>
      <c r="E85" t="str" cm="1">
        <f t="array" ref="E85">ReplaceColorsSeparators(D85)</f>
        <v>Black</v>
      </c>
    </row>
    <row r="86" spans="1:5" x14ac:dyDescent="0.25">
      <c r="A86" t="s">
        <v>322</v>
      </c>
      <c r="B86" t="s">
        <v>1</v>
      </c>
      <c r="C86" t="s">
        <v>323</v>
      </c>
      <c r="D86" t="str">
        <f t="shared" si="1"/>
        <v>Dark, Coffee</v>
      </c>
      <c r="E86" t="str" cm="1">
        <f t="array" ref="E86">ReplaceColorsSeparators(D86)</f>
        <v>Dark Coffee</v>
      </c>
    </row>
    <row r="87" spans="1:5" x14ac:dyDescent="0.25">
      <c r="A87" t="s">
        <v>324</v>
      </c>
      <c r="B87" t="s">
        <v>1</v>
      </c>
      <c r="C87" t="s">
        <v>9</v>
      </c>
      <c r="D87" t="str">
        <f t="shared" si="1"/>
        <v>Black</v>
      </c>
      <c r="E87" t="str" cm="1">
        <f t="array" ref="E87">ReplaceColorsSeparators(D87)</f>
        <v>Black</v>
      </c>
    </row>
    <row r="88" spans="1:5" x14ac:dyDescent="0.25">
      <c r="A88" t="s">
        <v>325</v>
      </c>
      <c r="B88" t="s">
        <v>1</v>
      </c>
      <c r="C88" t="s">
        <v>9</v>
      </c>
      <c r="D88" t="str">
        <f t="shared" si="1"/>
        <v>Black</v>
      </c>
      <c r="E88" t="str" cm="1">
        <f t="array" ref="E88">ReplaceColorsSeparators(D88)</f>
        <v>Black</v>
      </c>
    </row>
    <row r="89" spans="1:5" x14ac:dyDescent="0.25">
      <c r="A89" t="s">
        <v>328</v>
      </c>
      <c r="B89" t="s">
        <v>1</v>
      </c>
      <c r="C89" t="s">
        <v>330</v>
      </c>
      <c r="D89" t="str">
        <f t="shared" si="1"/>
        <v>Marl, Black, Navy, Plaid</v>
      </c>
      <c r="E89" t="str" cm="1">
        <f t="array" ref="E89">ReplaceColorsSeparators(D89)</f>
        <v>Marl Black, Navy Plaid</v>
      </c>
    </row>
    <row r="90" spans="1:5" x14ac:dyDescent="0.25">
      <c r="A90" t="s">
        <v>331</v>
      </c>
      <c r="B90" t="s">
        <v>1</v>
      </c>
      <c r="C90" t="s">
        <v>334</v>
      </c>
      <c r="D90" t="str">
        <f t="shared" si="1"/>
        <v>Black, Brown</v>
      </c>
      <c r="E90" t="str" cm="1">
        <f t="array" ref="E90">ReplaceColorsSeparators(D90)</f>
        <v>Black, Brown</v>
      </c>
    </row>
    <row r="91" spans="1:5" x14ac:dyDescent="0.25">
      <c r="A91" t="s">
        <v>335</v>
      </c>
      <c r="B91" t="s">
        <v>105</v>
      </c>
      <c r="C91" t="s">
        <v>311</v>
      </c>
      <c r="D91" t="str">
        <f t="shared" si="1"/>
        <v>Black, Chino, Navy, Tan</v>
      </c>
      <c r="E91" t="str" cm="1">
        <f t="array" ref="E91">ReplaceColorsSeparators(D91)</f>
        <v>Black, Chino, Navy, Tan</v>
      </c>
    </row>
    <row r="92" spans="1:5" x14ac:dyDescent="0.25">
      <c r="A92" t="s">
        <v>338</v>
      </c>
      <c r="B92" t="s">
        <v>105</v>
      </c>
      <c r="C92" t="s">
        <v>452</v>
      </c>
      <c r="D92" t="str">
        <f t="shared" si="1"/>
        <v xml:space="preserve">Charcoal, Dk., Brown, Navy, Black, Burgundy, </v>
      </c>
      <c r="E92" t="str" cm="1">
        <f t="array" ref="E92">ReplaceColorsSeparators(D92)</f>
        <v xml:space="preserve">Charcoal, Dk. Brown, Navy, Black, Burgundy, 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D788CD-C1B6-44D9-AA61-4D509996C289}">
  <sheetPr codeName="Лист6"/>
  <dimension ref="A1:B50"/>
  <sheetViews>
    <sheetView zoomScaleNormal="100" workbookViewId="0">
      <selection activeCell="A2" sqref="A2"/>
    </sheetView>
  </sheetViews>
  <sheetFormatPr defaultRowHeight="15" x14ac:dyDescent="0.25"/>
  <cols>
    <col min="1" max="1" width="19.5703125" bestFit="1" customWidth="1"/>
    <col min="2" max="2" width="19.28515625" bestFit="1" customWidth="1"/>
  </cols>
  <sheetData>
    <row r="1" spans="1:2" x14ac:dyDescent="0.25">
      <c r="A1" s="2" t="s">
        <v>503</v>
      </c>
      <c r="B1" s="2" t="s">
        <v>455</v>
      </c>
    </row>
    <row r="2" spans="1:2" x14ac:dyDescent="0.25">
      <c r="A2" t="str">
        <f>SUBSTITUTE(B2," ",", ")</f>
        <v>Uniform, Green</v>
      </c>
      <c r="B2" t="s">
        <v>456</v>
      </c>
    </row>
    <row r="3" spans="1:2" x14ac:dyDescent="0.25">
      <c r="A3" t="str">
        <f t="shared" ref="A3:A50" si="0">SUBSTITUTE(B3," ",", ")</f>
        <v>Light, Mink</v>
      </c>
      <c r="B3" t="s">
        <v>457</v>
      </c>
    </row>
    <row r="4" spans="1:2" x14ac:dyDescent="0.25">
      <c r="A4" t="str">
        <f t="shared" si="0"/>
        <v>Soft, Khaki</v>
      </c>
      <c r="B4" t="s">
        <v>458</v>
      </c>
    </row>
    <row r="5" spans="1:2" x14ac:dyDescent="0.25">
      <c r="A5" t="str">
        <f t="shared" si="0"/>
        <v>Lazuli, Blue</v>
      </c>
      <c r="B5" t="s">
        <v>459</v>
      </c>
    </row>
    <row r="6" spans="1:2" x14ac:dyDescent="0.25">
      <c r="A6" t="str">
        <f t="shared" si="0"/>
        <v>Silver, Lining</v>
      </c>
      <c r="B6" t="s">
        <v>460</v>
      </c>
    </row>
    <row r="7" spans="1:2" x14ac:dyDescent="0.25">
      <c r="A7" t="str">
        <f t="shared" si="0"/>
        <v>Plaza, Taupe</v>
      </c>
      <c r="B7" t="s">
        <v>461</v>
      </c>
    </row>
    <row r="8" spans="1:2" x14ac:dyDescent="0.25">
      <c r="A8" t="str">
        <f t="shared" si="0"/>
        <v>Midnight, Brown</v>
      </c>
      <c r="B8" t="s">
        <v>462</v>
      </c>
    </row>
    <row r="9" spans="1:2" x14ac:dyDescent="0.25">
      <c r="A9" t="str">
        <f t="shared" si="0"/>
        <v>Black, Mix</v>
      </c>
      <c r="B9" t="s">
        <v>463</v>
      </c>
    </row>
    <row r="10" spans="1:2" x14ac:dyDescent="0.25">
      <c r="A10" t="str">
        <f t="shared" si="0"/>
        <v>Woodland, Mix</v>
      </c>
      <c r="B10" t="s">
        <v>464</v>
      </c>
    </row>
    <row r="11" spans="1:2" x14ac:dyDescent="0.25">
      <c r="A11" t="str">
        <f t="shared" si="0"/>
        <v>Satin, Brass</v>
      </c>
      <c r="B11" t="s">
        <v>465</v>
      </c>
    </row>
    <row r="12" spans="1:2" x14ac:dyDescent="0.25">
      <c r="A12" t="str">
        <f t="shared" si="0"/>
        <v>Medium, Brown, Mix</v>
      </c>
      <c r="B12" t="s">
        <v>203</v>
      </c>
    </row>
    <row r="13" spans="1:2" x14ac:dyDescent="0.25">
      <c r="A13" t="str">
        <f t="shared" si="0"/>
        <v>Vintage, Blue</v>
      </c>
      <c r="B13" t="s">
        <v>466</v>
      </c>
    </row>
    <row r="14" spans="1:2" x14ac:dyDescent="0.25">
      <c r="A14" t="str">
        <f t="shared" si="0"/>
        <v>Speckled, Egg, Mix</v>
      </c>
      <c r="B14" t="s">
        <v>467</v>
      </c>
    </row>
    <row r="15" spans="1:2" x14ac:dyDescent="0.25">
      <c r="A15" t="str">
        <f t="shared" si="0"/>
        <v>Ink, Blue</v>
      </c>
      <c r="B15" t="s">
        <v>468</v>
      </c>
    </row>
    <row r="16" spans="1:2" x14ac:dyDescent="0.25">
      <c r="A16" t="str">
        <f t="shared" si="0"/>
        <v>Olive, Mix</v>
      </c>
      <c r="B16" t="s">
        <v>469</v>
      </c>
    </row>
    <row r="17" spans="1:2" x14ac:dyDescent="0.25">
      <c r="A17" t="str">
        <f t="shared" si="0"/>
        <v>Gun, Metal</v>
      </c>
      <c r="B17" t="s">
        <v>470</v>
      </c>
    </row>
    <row r="18" spans="1:2" x14ac:dyDescent="0.25">
      <c r="A18" t="str">
        <f t="shared" si="0"/>
        <v>Pale, Olive</v>
      </c>
      <c r="B18" t="s">
        <v>471</v>
      </c>
    </row>
    <row r="19" spans="1:2" x14ac:dyDescent="0.25">
      <c r="A19" t="str">
        <f t="shared" si="0"/>
        <v>Natural, Mix</v>
      </c>
      <c r="B19" t="s">
        <v>472</v>
      </c>
    </row>
    <row r="20" spans="1:2" x14ac:dyDescent="0.25">
      <c r="A20" t="str">
        <f t="shared" si="0"/>
        <v>Oxford, Mix</v>
      </c>
      <c r="B20" t="s">
        <v>473</v>
      </c>
    </row>
    <row r="21" spans="1:2" x14ac:dyDescent="0.25">
      <c r="A21" t="str">
        <f t="shared" si="0"/>
        <v>Sea, Breeze</v>
      </c>
      <c r="B21" t="s">
        <v>474</v>
      </c>
    </row>
    <row r="22" spans="1:2" x14ac:dyDescent="0.25">
      <c r="A22" t="str">
        <f t="shared" si="0"/>
        <v>Bitter, Chocolate</v>
      </c>
      <c r="B22" t="s">
        <v>475</v>
      </c>
    </row>
    <row r="23" spans="1:2" x14ac:dyDescent="0.25">
      <c r="A23" t="str">
        <f t="shared" si="0"/>
        <v>Night, Shade</v>
      </c>
      <c r="B23" t="s">
        <v>476</v>
      </c>
    </row>
    <row r="24" spans="1:2" x14ac:dyDescent="0.25">
      <c r="A24" t="str">
        <f t="shared" si="0"/>
        <v>Silver, Sand</v>
      </c>
      <c r="B24" t="s">
        <v>477</v>
      </c>
    </row>
    <row r="25" spans="1:2" x14ac:dyDescent="0.25">
      <c r="A25" t="str">
        <f t="shared" si="0"/>
        <v>Olive, Oil</v>
      </c>
      <c r="B25" t="s">
        <v>478</v>
      </c>
    </row>
    <row r="26" spans="1:2" x14ac:dyDescent="0.25">
      <c r="A26" t="str">
        <f t="shared" si="0"/>
        <v>Charcoal, Multi</v>
      </c>
      <c r="B26" t="s">
        <v>481</v>
      </c>
    </row>
    <row r="27" spans="1:2" x14ac:dyDescent="0.25">
      <c r="A27" t="str">
        <f t="shared" si="0"/>
        <v>Brown, Multi</v>
      </c>
      <c r="B27" t="s">
        <v>480</v>
      </c>
    </row>
    <row r="28" spans="1:2" x14ac:dyDescent="0.25">
      <c r="A28" t="str">
        <f t="shared" si="0"/>
        <v>Cement, Multi</v>
      </c>
      <c r="B28" t="s">
        <v>485</v>
      </c>
    </row>
    <row r="29" spans="1:2" x14ac:dyDescent="0.25">
      <c r="A29" t="str">
        <f t="shared" si="0"/>
        <v>Woods, Multi</v>
      </c>
      <c r="B29" t="s">
        <v>482</v>
      </c>
    </row>
    <row r="30" spans="1:2" x14ac:dyDescent="0.25">
      <c r="A30" t="str">
        <f t="shared" si="0"/>
        <v>Navy, Multi</v>
      </c>
      <c r="B30" t="s">
        <v>483</v>
      </c>
    </row>
    <row r="31" spans="1:2" x14ac:dyDescent="0.25">
      <c r="A31" t="str">
        <f t="shared" si="0"/>
        <v>Nordic, Multi</v>
      </c>
      <c r="B31" t="s">
        <v>484</v>
      </c>
    </row>
    <row r="32" spans="1:2" x14ac:dyDescent="0.25">
      <c r="A32" t="str">
        <f t="shared" si="0"/>
        <v>Deep, Red</v>
      </c>
      <c r="B32" t="s">
        <v>479</v>
      </c>
    </row>
    <row r="33" spans="1:2" x14ac:dyDescent="0.25">
      <c r="A33" t="str">
        <f t="shared" si="0"/>
        <v>Multi, Light</v>
      </c>
      <c r="B33" t="s">
        <v>486</v>
      </c>
    </row>
    <row r="34" spans="1:2" x14ac:dyDescent="0.25">
      <c r="A34" t="str">
        <f t="shared" si="0"/>
        <v>Grey, Multi</v>
      </c>
      <c r="B34" t="s">
        <v>488</v>
      </c>
    </row>
    <row r="35" spans="1:2" x14ac:dyDescent="0.25">
      <c r="A35" t="str">
        <f t="shared" si="0"/>
        <v>Natural, Multi</v>
      </c>
      <c r="B35" t="s">
        <v>487</v>
      </c>
    </row>
    <row r="36" spans="1:2" x14ac:dyDescent="0.25">
      <c r="A36" t="str">
        <f t="shared" si="0"/>
        <v>Oak, Plaid</v>
      </c>
      <c r="B36" t="s">
        <v>298</v>
      </c>
    </row>
    <row r="37" spans="1:2" x14ac:dyDescent="0.25">
      <c r="A37" t="str">
        <f t="shared" si="0"/>
        <v>Beige, Stripe</v>
      </c>
      <c r="B37" t="s">
        <v>489</v>
      </c>
    </row>
    <row r="38" spans="1:2" x14ac:dyDescent="0.25">
      <c r="A38" t="str">
        <f t="shared" si="0"/>
        <v>Black, Stripe</v>
      </c>
      <c r="B38" t="s">
        <v>490</v>
      </c>
    </row>
    <row r="39" spans="1:2" x14ac:dyDescent="0.25">
      <c r="A39" t="str">
        <f t="shared" si="0"/>
        <v>Avion, Stripe</v>
      </c>
      <c r="B39" t="s">
        <v>491</v>
      </c>
    </row>
    <row r="40" spans="1:2" x14ac:dyDescent="0.25">
      <c r="A40" t="str">
        <f t="shared" si="0"/>
        <v>Avion, Plaid</v>
      </c>
      <c r="B40" t="s">
        <v>493</v>
      </c>
    </row>
    <row r="41" spans="1:2" x14ac:dyDescent="0.25">
      <c r="A41" t="str">
        <f t="shared" si="0"/>
        <v>Blue, Plaid</v>
      </c>
      <c r="B41" t="s">
        <v>497</v>
      </c>
    </row>
    <row r="42" spans="1:2" x14ac:dyDescent="0.25">
      <c r="A42" t="str">
        <f t="shared" si="0"/>
        <v>Black, Paid</v>
      </c>
      <c r="B42" t="s">
        <v>498</v>
      </c>
    </row>
    <row r="43" spans="1:2" x14ac:dyDescent="0.25">
      <c r="A43" t="str">
        <f t="shared" si="0"/>
        <v>Dark, Coffee</v>
      </c>
      <c r="B43" t="s">
        <v>323</v>
      </c>
    </row>
    <row r="44" spans="1:2" x14ac:dyDescent="0.25">
      <c r="A44" t="str">
        <f t="shared" si="0"/>
        <v>Marl, Black</v>
      </c>
      <c r="B44" t="s">
        <v>500</v>
      </c>
    </row>
    <row r="45" spans="1:2" x14ac:dyDescent="0.25">
      <c r="A45" t="str">
        <f t="shared" si="0"/>
        <v>Dk., Brown</v>
      </c>
      <c r="B45" t="s">
        <v>492</v>
      </c>
    </row>
    <row r="46" spans="1:2" x14ac:dyDescent="0.25">
      <c r="A46" t="str">
        <f t="shared" si="0"/>
        <v>Uniform, Green, Plaid</v>
      </c>
      <c r="B46" t="s">
        <v>494</v>
      </c>
    </row>
    <row r="47" spans="1:2" x14ac:dyDescent="0.25">
      <c r="A47" t="str">
        <f t="shared" si="0"/>
        <v>Oak, Twill</v>
      </c>
      <c r="B47" t="s">
        <v>495</v>
      </c>
    </row>
    <row r="48" spans="1:2" x14ac:dyDescent="0.25">
      <c r="A48" t="str">
        <f t="shared" si="0"/>
        <v>Copper, Plaid</v>
      </c>
      <c r="B48" t="s">
        <v>496</v>
      </c>
    </row>
    <row r="49" spans="1:2" x14ac:dyDescent="0.25">
      <c r="A49" t="str">
        <f t="shared" si="0"/>
        <v>Brown, Herringbone</v>
      </c>
      <c r="B49" t="s">
        <v>499</v>
      </c>
    </row>
    <row r="50" spans="1:2" x14ac:dyDescent="0.25">
      <c r="A50" t="str">
        <f t="shared" si="0"/>
        <v>Navy, Plaid</v>
      </c>
      <c r="B50" t="s">
        <v>501</v>
      </c>
    </row>
  </sheetData>
  <conditionalFormatting sqref="B37:B1048576 B1:B35">
    <cfRule type="duplicateValues" dxfId="0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CD7A9-B0A3-4371-AA26-CBCEA0553CA9}">
  <sheetPr codeName="Лист4"/>
  <dimension ref="A1:E92"/>
  <sheetViews>
    <sheetView tabSelected="1"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21.42578125" customWidth="1"/>
    <col min="2" max="2" width="14.42578125" hidden="1" customWidth="1"/>
    <col min="3" max="3" width="22.5703125" style="1" bestFit="1" customWidth="1"/>
    <col min="4" max="4" width="40" style="1" bestFit="1" customWidth="1"/>
    <col min="5" max="5" width="60.7109375" style="1" bestFit="1" customWidth="1"/>
  </cols>
  <sheetData>
    <row r="1" spans="1:5" s="2" customFormat="1" x14ac:dyDescent="0.25">
      <c r="A1" s="2" t="s">
        <v>505</v>
      </c>
      <c r="C1" s="3" t="s">
        <v>440</v>
      </c>
      <c r="D1" s="3" t="s">
        <v>441</v>
      </c>
      <c r="E1" s="3" t="s">
        <v>442</v>
      </c>
    </row>
    <row r="2" spans="1:5" ht="74.45" customHeight="1" x14ac:dyDescent="0.25">
      <c r="B2" t="s">
        <v>347</v>
      </c>
      <c r="C2" s="1" t="s">
        <v>28</v>
      </c>
      <c r="D2" s="1" t="str">
        <f>TRIM(_xlfn.XLOOKUP(Результат!C2,Таблица!A:A,Таблица!B:B,"Ошибка",0))</f>
        <v>S, M, L, XL</v>
      </c>
      <c r="E2" s="1" t="str">
        <f>TRIM(_xlfn.XLOOKUP(Результат!C2,Таблица!A:A,Таблица!E:E,"Ошибка",0))</f>
        <v>Copper, Slate, Uniform Green</v>
      </c>
    </row>
    <row r="3" spans="1:5" ht="68.849999999999994" customHeight="1" x14ac:dyDescent="0.25">
      <c r="B3" t="s">
        <v>348</v>
      </c>
      <c r="C3" s="1" t="s">
        <v>21</v>
      </c>
      <c r="D3" s="1" t="str">
        <f>TRIM(_xlfn.XLOOKUP(Результат!C3,Таблица!A:A,Таблица!B:B,"Ошибка",0))</f>
        <v>S, M, L, XL</v>
      </c>
      <c r="E3" s="1" t="str">
        <f>TRIM(_xlfn.XLOOKUP(Результат!C3,Таблица!A:A,Таблица!E:E,"Ошибка",0))</f>
        <v>Black, Charcoal</v>
      </c>
    </row>
    <row r="4" spans="1:5" ht="80.45" customHeight="1" x14ac:dyDescent="0.25">
      <c r="B4" t="s">
        <v>349</v>
      </c>
      <c r="C4" s="1" t="s">
        <v>2</v>
      </c>
      <c r="D4" s="1" t="str">
        <f>TRIM(_xlfn.XLOOKUP(Результат!C4,Таблица!A:A,Таблица!B:B,"Ошибка",0))</f>
        <v>S, M, L, XL</v>
      </c>
      <c r="E4" s="1" t="str">
        <f>TRIM(_xlfn.XLOOKUP(Результат!C4,Таблица!A:A,Таблица!E:E,"Ошибка",0))</f>
        <v>Black, Buckskin</v>
      </c>
    </row>
    <row r="5" spans="1:5" ht="76.349999999999994" customHeight="1" x14ac:dyDescent="0.25">
      <c r="B5" t="s">
        <v>350</v>
      </c>
      <c r="C5" s="1" t="s">
        <v>4</v>
      </c>
      <c r="D5" s="1" t="str">
        <f>TRIM(_xlfn.XLOOKUP(Результат!C5,Таблица!A:A,Таблица!B:B,"Ошибка",0))</f>
        <v>S, M, L, XL</v>
      </c>
      <c r="E5" s="1" t="str">
        <f>TRIM(_xlfn.XLOOKUP(Результат!C5,Таблица!A:A,Таблица!E:E,"Ошибка",0))</f>
        <v>Black, Light Mink</v>
      </c>
    </row>
    <row r="6" spans="1:5" ht="78.75" customHeight="1" x14ac:dyDescent="0.25">
      <c r="B6" t="s">
        <v>351</v>
      </c>
      <c r="C6" s="1" t="s">
        <v>37</v>
      </c>
      <c r="D6" s="1" t="str">
        <f>TRIM(_xlfn.XLOOKUP(Результат!C6,Таблица!A:A,Таблица!B:B,"Ошибка",0))</f>
        <v>S, M, L, XL</v>
      </c>
      <c r="E6" s="1" t="str">
        <f>TRIM(_xlfn.XLOOKUP(Результат!C6,Таблица!A:A,Таблица!E:E,"Ошибка",0))</f>
        <v>Black, Chocolate</v>
      </c>
    </row>
    <row r="7" spans="1:5" ht="77.099999999999994" customHeight="1" x14ac:dyDescent="0.25">
      <c r="B7" t="s">
        <v>352</v>
      </c>
      <c r="C7" s="1" t="s">
        <v>17</v>
      </c>
      <c r="D7" s="1" t="str">
        <f>TRIM(_xlfn.XLOOKUP(Результат!C7,Таблица!A:A,Таблица!B:B,"Ошибка",0))</f>
        <v>S, M, L, XL</v>
      </c>
      <c r="E7" s="1" t="str">
        <f>TRIM(_xlfn.XLOOKUP(Результат!C7,Таблица!A:A,Таблица!E:E,"Ошибка",0))</f>
        <v>Black, Maple</v>
      </c>
    </row>
    <row r="8" spans="1:5" ht="84.6" customHeight="1" x14ac:dyDescent="0.25">
      <c r="B8" t="s">
        <v>353</v>
      </c>
      <c r="C8" s="1" t="s">
        <v>10</v>
      </c>
      <c r="D8" s="1" t="str">
        <f>TRIM(_xlfn.XLOOKUP(Результат!C8,Таблица!A:A,Таблица!B:B,"Ошибка",0))</f>
        <v>6 7/8, 7, 7 1/8, 7 1/4, 7 3/8, 7 1/2, 7 5/8</v>
      </c>
      <c r="E8" s="1" t="str">
        <f>TRIM(_xlfn.XLOOKUP(Результат!C8,Таблица!A:A,Таблица!E:E,"Ошибка",0))</f>
        <v>Black, Charcoal, Cognac, Olive</v>
      </c>
    </row>
    <row r="9" spans="1:5" ht="76.900000000000006" customHeight="1" x14ac:dyDescent="0.25">
      <c r="B9" t="s">
        <v>354</v>
      </c>
      <c r="C9" s="1" t="s">
        <v>41</v>
      </c>
      <c r="D9" s="1" t="str">
        <f>TRIM(_xlfn.XLOOKUP(Результат!C9,Таблица!A:A,Таблица!B:B,"Ошибка",0))</f>
        <v>S, M, L, XL</v>
      </c>
      <c r="E9" s="1" t="str">
        <f>TRIM(_xlfn.XLOOKUP(Результат!C9,Таблица!A:A,Таблица!E:E,"Ошибка",0))</f>
        <v>Aubergine, Black, Mink</v>
      </c>
    </row>
    <row r="10" spans="1:5" ht="72.599999999999994" customHeight="1" x14ac:dyDescent="0.25">
      <c r="B10" t="s">
        <v>355</v>
      </c>
      <c r="C10" s="1" t="s">
        <v>45</v>
      </c>
      <c r="D10" s="1" t="str">
        <f>TRIM(_xlfn.XLOOKUP(Результат!C10,Таблица!A:A,Таблица!B:B,"Ошибка",0))</f>
        <v>S, M, L, XL</v>
      </c>
      <c r="E10" s="1" t="str">
        <f>TRIM(_xlfn.XLOOKUP(Результат!C10,Таблица!A:A,Таблица!E:E,"Ошибка",0))</f>
        <v>Black</v>
      </c>
    </row>
    <row r="11" spans="1:5" ht="79.349999999999994" customHeight="1" x14ac:dyDescent="0.25">
      <c r="B11" t="s">
        <v>356</v>
      </c>
      <c r="C11" s="1" t="s">
        <v>47</v>
      </c>
      <c r="D11" s="1" t="str">
        <f>TRIM(_xlfn.XLOOKUP(Результат!C11,Таблица!A:A,Таблица!B:B,"Ошибка",0))</f>
        <v>S, M, L, XL</v>
      </c>
      <c r="E11" s="1" t="str">
        <f>TRIM(_xlfn.XLOOKUP(Результат!C11,Таблица!A:A,Таблица!E:E,"Ошибка",0))</f>
        <v>Black, Nickel, Soft Khaki, Stucco</v>
      </c>
    </row>
    <row r="12" spans="1:5" ht="78.400000000000006" customHeight="1" x14ac:dyDescent="0.25">
      <c r="B12" t="s">
        <v>357</v>
      </c>
      <c r="C12" s="1" t="s">
        <v>54</v>
      </c>
      <c r="D12" s="1" t="str">
        <f>TRIM(_xlfn.XLOOKUP(Результат!C12,Таблица!A:A,Таблица!B:B,"Ошибка",0))</f>
        <v>S, M, L, XL</v>
      </c>
      <c r="E12" s="1" t="str">
        <f>TRIM(_xlfn.XLOOKUP(Результат!C12,Таблица!A:A,Таблица!E:E,"Ошибка",0))</f>
        <v>Black, Eggplant, Lazuli Blue, Oak, Taupe</v>
      </c>
    </row>
    <row r="13" spans="1:5" ht="77.099999999999994" customHeight="1" x14ac:dyDescent="0.25">
      <c r="B13" t="s">
        <v>358</v>
      </c>
      <c r="C13" s="1" t="s">
        <v>58</v>
      </c>
      <c r="D13" s="1" t="str">
        <f>TRIM(_xlfn.XLOOKUP(Результат!C13,Таблица!A:A,Таблица!B:B,"Ошибка",0))</f>
        <v>S, M, L, XL</v>
      </c>
      <c r="E13" s="1" t="str">
        <f>TRIM(_xlfn.XLOOKUP(Результат!C13,Таблица!A:A,Таблица!E:E,"Ошибка",0))</f>
        <v>Black, Copper, Nickel</v>
      </c>
    </row>
    <row r="14" spans="1:5" ht="78.599999999999994" customHeight="1" x14ac:dyDescent="0.25">
      <c r="B14" t="s">
        <v>359</v>
      </c>
      <c r="C14" s="1" t="s">
        <v>88</v>
      </c>
      <c r="D14" s="1" t="str">
        <f>TRIM(_xlfn.XLOOKUP(Результат!C14,Таблица!A:A,Таблица!B:B,"Ошибка",0))</f>
        <v>S, M, L, XL</v>
      </c>
      <c r="E14" s="1" t="str">
        <f>TRIM(_xlfn.XLOOKUP(Результат!C14,Таблица!A:A,Таблица!E:E,"Ошибка",0))</f>
        <v>Black, Nickel, Oak</v>
      </c>
    </row>
    <row r="15" spans="1:5" ht="76.7" customHeight="1" x14ac:dyDescent="0.25">
      <c r="B15" t="s">
        <v>360</v>
      </c>
      <c r="C15" s="1" t="s">
        <v>93</v>
      </c>
      <c r="D15" s="1" t="str">
        <f>TRIM(_xlfn.XLOOKUP(Результат!C15,Таблица!A:A,Таблица!B:B,"Ошибка",0))</f>
        <v>S, M, L, XL</v>
      </c>
      <c r="E15" s="1" t="str">
        <f>TRIM(_xlfn.XLOOKUP(Результат!C15,Таблица!A:A,Таблица!E:E,"Ошибка",0))</f>
        <v>Avion, Black, Uniform Green</v>
      </c>
    </row>
    <row r="16" spans="1:5" ht="72.95" customHeight="1" x14ac:dyDescent="0.25">
      <c r="B16" t="s">
        <v>361</v>
      </c>
      <c r="C16" s="1" t="s">
        <v>79</v>
      </c>
      <c r="D16" s="1" t="str">
        <f>TRIM(_xlfn.XLOOKUP(Результат!C16,Таблица!A:A,Таблица!B:B,"Ошибка",0))</f>
        <v>S, M, L, XL</v>
      </c>
      <c r="E16" s="1" t="str">
        <f>TRIM(_xlfn.XLOOKUP(Результат!C16,Таблица!A:A,Таблица!E:E,"Ошибка",0))</f>
        <v>Black, Copper, Taupe</v>
      </c>
    </row>
    <row r="17" spans="2:5" ht="81.95" customHeight="1" x14ac:dyDescent="0.25">
      <c r="B17" t="s">
        <v>362</v>
      </c>
      <c r="C17" s="1" t="s">
        <v>98</v>
      </c>
      <c r="D17" s="1" t="str">
        <f>TRIM(_xlfn.XLOOKUP(Результат!C17,Таблица!A:A,Таблица!B:B,"Ошибка",0))</f>
        <v>S, M, L, XL</v>
      </c>
      <c r="E17" s="1" t="str">
        <f>TRIM(_xlfn.XLOOKUP(Результат!C17,Таблица!A:A,Таблица!E:E,"Ошибка",0))</f>
        <v>Black, Lazuli Blue, Oak</v>
      </c>
    </row>
    <row r="18" spans="2:5" ht="74.650000000000006" customHeight="1" x14ac:dyDescent="0.25">
      <c r="B18" t="s">
        <v>363</v>
      </c>
      <c r="C18" s="1" t="s">
        <v>74</v>
      </c>
      <c r="D18" s="1" t="str">
        <f>TRIM(_xlfn.XLOOKUP(Результат!C18,Таблица!A:A,Таблица!B:B,"Ошибка",0))</f>
        <v>S, M, L, XL</v>
      </c>
      <c r="E18" s="1" t="str">
        <f>TRIM(_xlfn.XLOOKUP(Результат!C18,Таблица!A:A,Таблица!E:E,"Ошибка",0))</f>
        <v>Black, Lazuli Blue, Uniform Green</v>
      </c>
    </row>
    <row r="19" spans="2:5" ht="74.849999999999994" customHeight="1" x14ac:dyDescent="0.25">
      <c r="B19" t="s">
        <v>364</v>
      </c>
      <c r="C19" s="1" t="s">
        <v>83</v>
      </c>
      <c r="D19" s="1" t="str">
        <f>TRIM(_xlfn.XLOOKUP(Результат!C19,Таблица!A:A,Таблица!B:B,"Ошибка",0))</f>
        <v>S, M, L, XL</v>
      </c>
      <c r="E19" s="1" t="str">
        <f>TRIM(_xlfn.XLOOKUP(Результат!C19,Таблица!A:A,Таблица!E:E,"Ошибка",0))</f>
        <v>Greige, Honey, Ochre, Silver Lining, Avion, Black, Chestnut</v>
      </c>
    </row>
    <row r="20" spans="2:5" ht="78.400000000000006" customHeight="1" x14ac:dyDescent="0.25">
      <c r="B20" t="s">
        <v>365</v>
      </c>
      <c r="C20" s="1" t="s">
        <v>61</v>
      </c>
      <c r="D20" s="1" t="str">
        <f>TRIM(_xlfn.XLOOKUP(Результат!C20,Таблица!A:A,Таблица!B:B,"Ошибка",0))</f>
        <v>S, M, L, XL</v>
      </c>
      <c r="E20" s="1" t="str">
        <f>TRIM(_xlfn.XLOOKUP(Результат!C20,Таблица!A:A,Таблица!E:E,"Ошибка",0))</f>
        <v>Peacoat, Plaza Taupe, Saddle, Steel, Almond, Black, Camel</v>
      </c>
    </row>
    <row r="21" spans="2:5" ht="74.25" customHeight="1" x14ac:dyDescent="0.25">
      <c r="B21" t="s">
        <v>366</v>
      </c>
      <c r="C21" s="1" t="s">
        <v>67</v>
      </c>
      <c r="D21" s="1" t="str">
        <f>TRIM(_xlfn.XLOOKUP(Результат!C21,Таблица!A:A,Таблица!B:B,"Ошибка",0))</f>
        <v>S, M, L, XL</v>
      </c>
      <c r="E21" s="1" t="str">
        <f>TRIM(_xlfn.XLOOKUP(Результат!C21,Таблица!A:A,Таблица!E:E,"Ошибка",0))</f>
        <v>Black, Unbleached</v>
      </c>
    </row>
    <row r="22" spans="2:5" ht="81.95" customHeight="1" x14ac:dyDescent="0.25">
      <c r="B22" t="s">
        <v>367</v>
      </c>
      <c r="C22" s="1" t="s">
        <v>103</v>
      </c>
      <c r="D22" s="1" t="str">
        <f>TRIM(_xlfn.XLOOKUP(Результат!C22,Таблица!A:A,Таблица!B:B,"Ошибка",0))</f>
        <v>S, M, L, XL, XXL</v>
      </c>
      <c r="E22" s="1" t="str">
        <f>TRIM(_xlfn.XLOOKUP(Результат!C22,Таблица!A:A,Таблица!E:E,"Ошибка",0))</f>
        <v>Black, Camel, Oak, Stucco</v>
      </c>
    </row>
    <row r="23" spans="2:5" ht="71.45" customHeight="1" x14ac:dyDescent="0.25">
      <c r="B23" t="s">
        <v>368</v>
      </c>
      <c r="C23" s="1" t="s">
        <v>123</v>
      </c>
      <c r="D23" s="1" t="str">
        <f>TRIM(_xlfn.XLOOKUP(Результат!C23,Таблица!A:A,Таблица!B:B,"Ошибка",0))</f>
        <v>S, M, L, XL</v>
      </c>
      <c r="E23" s="1" t="str">
        <f>TRIM(_xlfn.XLOOKUP(Результат!C23,Таблица!A:A,Таблица!E:E,"Ошибка",0))</f>
        <v>Beech, Black, Whiskey</v>
      </c>
    </row>
    <row r="24" spans="2:5" ht="70.900000000000006" customHeight="1" x14ac:dyDescent="0.25">
      <c r="B24" t="s">
        <v>369</v>
      </c>
      <c r="C24" s="1" t="s">
        <v>7</v>
      </c>
      <c r="D24" s="1" t="str">
        <f>TRIM(_xlfn.XLOOKUP(Результат!C24,Таблица!A:A,Таблица!B:B,"Ошибка",0))</f>
        <v>S, M, L, XL</v>
      </c>
      <c r="E24" s="1" t="str">
        <f>TRIM(_xlfn.XLOOKUP(Результат!C24,Таблица!A:A,Таблица!E:E,"Ошибка",0))</f>
        <v>Black, Plaza Taupe</v>
      </c>
    </row>
    <row r="25" spans="2:5" ht="72.400000000000006" customHeight="1" x14ac:dyDescent="0.25">
      <c r="B25" t="s">
        <v>370</v>
      </c>
      <c r="C25" s="1" t="s">
        <v>115</v>
      </c>
      <c r="D25" s="1" t="str">
        <f>TRIM(_xlfn.XLOOKUP(Результат!C25,Таблица!A:A,Таблица!B:B,"Ошибка",0))</f>
        <v>S, M, L, XL</v>
      </c>
      <c r="E25" s="1" t="str">
        <f>TRIM(_xlfn.XLOOKUP(Результат!C25,Таблица!A:A,Таблица!E:E,"Ошибка",0))</f>
        <v>Black, Midnight Brown, Unbleached</v>
      </c>
    </row>
    <row r="26" spans="2:5" ht="76.349999999999994" customHeight="1" x14ac:dyDescent="0.25">
      <c r="B26" t="s">
        <v>371</v>
      </c>
      <c r="C26" s="1" t="s">
        <v>110</v>
      </c>
      <c r="D26" s="1" t="str">
        <f>TRIM(_xlfn.XLOOKUP(Результат!C26,Таблица!A:A,Таблица!B:B,"Ошибка",0))</f>
        <v>S, M, L, XL</v>
      </c>
      <c r="E26" s="1" t="str">
        <f>TRIM(_xlfn.XLOOKUP(Результат!C26,Таблица!A:A,Таблица!E:E,"Ошибка",0))</f>
        <v>Avion, Black, Soft Khaki</v>
      </c>
    </row>
    <row r="27" spans="2:5" ht="77.849999999999994" customHeight="1" x14ac:dyDescent="0.25">
      <c r="B27" t="s">
        <v>372</v>
      </c>
      <c r="C27" s="1" t="s">
        <v>127</v>
      </c>
      <c r="D27" s="1" t="str">
        <f>TRIM(_xlfn.XLOOKUP(Результат!C27,Таблица!A:A,Таблица!B:B,"Ошибка",0))</f>
        <v>S, M, L, XL</v>
      </c>
      <c r="E27" s="1" t="str">
        <f>TRIM(_xlfn.XLOOKUP(Результат!C27,Таблица!A:A,Таблица!E:E,"Ошибка",0))</f>
        <v>Ink Blue, Plaza Taupe</v>
      </c>
    </row>
    <row r="28" spans="2:5" ht="78.400000000000006" customHeight="1" x14ac:dyDescent="0.25">
      <c r="B28" t="s">
        <v>373</v>
      </c>
      <c r="C28" s="1" t="s">
        <v>6</v>
      </c>
      <c r="D28" s="1" t="str">
        <f>TRIM(_xlfn.XLOOKUP(Результат!C28,Таблица!A:A,Таблица!B:B,"Ошибка",0))</f>
        <v>S, M, L, XL</v>
      </c>
      <c r="E28" s="1" t="str">
        <f>TRIM(_xlfn.XLOOKUP(Результат!C28,Таблица!A:A,Таблица!E:E,"Ошибка",0))</f>
        <v>Peacoat, Plaza Taupe, Saddle, Steel, Almond, Black, Camel, Henna</v>
      </c>
    </row>
    <row r="29" spans="2:5" ht="90.75" customHeight="1" x14ac:dyDescent="0.25">
      <c r="B29" t="s">
        <v>374</v>
      </c>
      <c r="C29" s="1" t="s">
        <v>8</v>
      </c>
      <c r="D29" s="1" t="str">
        <f>TRIM(_xlfn.XLOOKUP(Результат!C29,Таблица!A:A,Таблица!B:B,"Ошибка",0))</f>
        <v>S, M, L, XL</v>
      </c>
      <c r="E29" s="1" t="str">
        <f>TRIM(_xlfn.XLOOKUP(Результат!C29,Таблица!A:A,Таблица!E:E,"Ошибка",0))</f>
        <v>Peacoat, Plaza Taupe, Saddle, Steel, Almond, Black, Camel</v>
      </c>
    </row>
    <row r="30" spans="2:5" ht="94.35" customHeight="1" x14ac:dyDescent="0.25">
      <c r="B30" t="s">
        <v>375</v>
      </c>
      <c r="C30" s="1" t="s">
        <v>136</v>
      </c>
      <c r="D30" s="1" t="str">
        <f>TRIM(_xlfn.XLOOKUP(Результат!C30,Таблица!A:A,Таблица!B:B,"Ошибка",0))</f>
        <v>S, M, L, XL</v>
      </c>
      <c r="E30" s="1" t="str">
        <f>TRIM(_xlfn.XLOOKUP(Результат!C30,Таблица!A:A,Таблица!E:E,"Ошибка",0))</f>
        <v>Navy, Serpent, Walnut</v>
      </c>
    </row>
    <row r="31" spans="2:5" ht="75.599999999999994" customHeight="1" x14ac:dyDescent="0.25">
      <c r="B31" t="s">
        <v>376</v>
      </c>
      <c r="C31" s="1" t="s">
        <v>130</v>
      </c>
      <c r="D31" s="1" t="str">
        <f>TRIM(_xlfn.XLOOKUP(Результат!C31,Таблица!A:A,Таблица!B:B,"Ошибка",0))</f>
        <v>S, M, L, XL, XXL, XXXL</v>
      </c>
      <c r="E31" s="1" t="str">
        <f>TRIM(_xlfn.XLOOKUP(Результат!C31,Таблица!A:A,Таблица!E:E,"Ошибка",0))</f>
        <v>Black, Black Mix, Bluestone, Walnut</v>
      </c>
    </row>
    <row r="32" spans="2:5" ht="81.95" customHeight="1" x14ac:dyDescent="0.25">
      <c r="B32" t="s">
        <v>377</v>
      </c>
      <c r="C32" s="1" t="s">
        <v>156</v>
      </c>
      <c r="D32" s="1" t="str">
        <f>TRIM(_xlfn.XLOOKUP(Результат!C32,Таблица!A:A,Таблица!B:B,"Ошибка",0))</f>
        <v>S, M, L, XL</v>
      </c>
      <c r="E32" s="1" t="str">
        <f>TRIM(_xlfn.XLOOKUP(Результат!C32,Таблица!A:A,Таблица!E:E,"Ошибка",0))</f>
        <v>Avion, Black</v>
      </c>
    </row>
    <row r="33" spans="2:5" ht="81" customHeight="1" x14ac:dyDescent="0.25">
      <c r="B33" t="s">
        <v>378</v>
      </c>
      <c r="C33" s="1" t="s">
        <v>152</v>
      </c>
      <c r="D33" s="1" t="str">
        <f>TRIM(_xlfn.XLOOKUP(Результат!C33,Таблица!A:A,Таблица!B:B,"Ошибка",0))</f>
        <v>S, M, L, XL</v>
      </c>
      <c r="E33" s="1" t="str">
        <f>TRIM(_xlfn.XLOOKUP(Результат!C33,Таблица!A:A,Таблица!E:E,"Ошибка",0))</f>
        <v>Black, Oak</v>
      </c>
    </row>
    <row r="34" spans="2:5" ht="81.95" customHeight="1" x14ac:dyDescent="0.25">
      <c r="B34" t="s">
        <v>379</v>
      </c>
      <c r="C34" s="1" t="s">
        <v>160</v>
      </c>
      <c r="D34" s="1" t="str">
        <f>TRIM(_xlfn.XLOOKUP(Результат!C34,Таблица!A:A,Таблица!B:B,"Ошибка",0))</f>
        <v>S, M, L, XL</v>
      </c>
      <c r="E34" s="1" t="str">
        <f>TRIM(_xlfn.XLOOKUP(Результат!C34,Таблица!A:A,Таблица!E:E,"Ошибка",0))</f>
        <v>Black, Honey, Uniform Green</v>
      </c>
    </row>
    <row r="35" spans="2:5" ht="79.900000000000006" customHeight="1" x14ac:dyDescent="0.25">
      <c r="B35" t="s">
        <v>380</v>
      </c>
      <c r="C35" s="1" t="s">
        <v>163</v>
      </c>
      <c r="D35" s="1" t="str">
        <f>TRIM(_xlfn.XLOOKUP(Результат!C35,Таблица!A:A,Таблица!B:B,"Ошибка",0))</f>
        <v>S, M, L, XL</v>
      </c>
      <c r="E35" s="1" t="str">
        <f>TRIM(_xlfn.XLOOKUP(Результат!C35,Таблица!A:A,Таблица!E:E,"Ошибка",0))</f>
        <v>Black, Nickel, Satin Brass, Uniform Green</v>
      </c>
    </row>
    <row r="36" spans="2:5" ht="79.150000000000006" customHeight="1" x14ac:dyDescent="0.25">
      <c r="B36" t="s">
        <v>381</v>
      </c>
      <c r="C36" s="1" t="s">
        <v>138</v>
      </c>
      <c r="D36" s="1" t="str">
        <f>TRIM(_xlfn.XLOOKUP(Результат!C36,Таблица!A:A,Таблица!B:B,"Ошибка",0))</f>
        <v>S, M, L, XL</v>
      </c>
      <c r="E36" s="1" t="str">
        <f>TRIM(_xlfn.XLOOKUP(Результат!C36,Таблица!A:A,Таблица!E:E,"Ошибка",0))</f>
        <v>Black, Midnight Brown, Unbleached</v>
      </c>
    </row>
    <row r="37" spans="2:5" ht="88.9" customHeight="1" x14ac:dyDescent="0.25">
      <c r="B37" t="s">
        <v>382</v>
      </c>
      <c r="C37" s="1" t="s">
        <v>149</v>
      </c>
      <c r="D37" s="1" t="str">
        <f>TRIM(_xlfn.XLOOKUP(Результат!C37,Таблица!A:A,Таблица!B:B,"Ошибка",0))</f>
        <v>S, M, L, XL</v>
      </c>
      <c r="E37" s="1" t="str">
        <f>TRIM(_xlfn.XLOOKUP(Результат!C37,Таблица!A:A,Таблица!E:E,"Ошибка",0))</f>
        <v>Black, Ochre</v>
      </c>
    </row>
    <row r="38" spans="2:5" ht="79.349999999999994" customHeight="1" x14ac:dyDescent="0.25">
      <c r="B38" t="s">
        <v>383</v>
      </c>
      <c r="C38" s="1" t="s">
        <v>146</v>
      </c>
      <c r="D38" s="1" t="str">
        <f>TRIM(_xlfn.XLOOKUP(Результат!C38,Таблица!A:A,Таблица!B:B,"Ошибка",0))</f>
        <v>S, M, L, XL</v>
      </c>
      <c r="E38" s="1" t="str">
        <f>TRIM(_xlfn.XLOOKUP(Результат!C38,Таблица!A:A,Таблица!E:E,"Ошибка",0))</f>
        <v>Black, Unbleached, Woodland Mix</v>
      </c>
    </row>
    <row r="39" spans="2:5" ht="78" customHeight="1" x14ac:dyDescent="0.25">
      <c r="B39" t="s">
        <v>384</v>
      </c>
      <c r="C39" s="1" t="s">
        <v>144</v>
      </c>
      <c r="D39" s="1" t="str">
        <f>TRIM(_xlfn.XLOOKUP(Результат!C39,Таблица!A:A,Таблица!B:B,"Ошибка",0))</f>
        <v>S, M, L, XL, XXL</v>
      </c>
      <c r="E39" s="1" t="str">
        <f>TRIM(_xlfn.XLOOKUP(Результат!C39,Таблица!A:A,Таблица!E:E,"Ошибка",0))</f>
        <v>Navy, Nickel, Satin Brass, Silverbelly, Vintage Blue, Black, Cognac, Copper, Medium Brown Mix, Basalt, Avion</v>
      </c>
    </row>
    <row r="40" spans="2:5" ht="87.2" customHeight="1" x14ac:dyDescent="0.25">
      <c r="B40" t="s">
        <v>385</v>
      </c>
      <c r="C40" s="1" t="s">
        <v>190</v>
      </c>
      <c r="D40" s="1" t="str">
        <f>TRIM(_xlfn.XLOOKUP(Результат!C40,Таблица!A:A,Таблица!B:B,"Ошибка",0))</f>
        <v>S, M, L, XL</v>
      </c>
      <c r="E40" s="1" t="str">
        <f>TRIM(_xlfn.XLOOKUP(Результат!C40,Таблица!A:A,Таблица!E:E,"Ошибка",0))</f>
        <v>Bluestone, Serpent, Woodland Mix</v>
      </c>
    </row>
    <row r="41" spans="2:5" ht="82.9" customHeight="1" x14ac:dyDescent="0.25">
      <c r="B41" t="s">
        <v>386</v>
      </c>
      <c r="C41" s="1" t="s">
        <v>172</v>
      </c>
      <c r="D41" s="1" t="str">
        <f>TRIM(_xlfn.XLOOKUP(Результат!C41,Таблица!A:A,Таблица!B:B,"Ошибка",0))</f>
        <v>S, M, L, XL, XXL</v>
      </c>
      <c r="E41" s="1" t="str">
        <f>TRIM(_xlfn.XLOOKUP(Результат!C41,Таблица!A:A,Таблица!E:E,"Ошибка",0))</f>
        <v>Sea Breeze, Serpent, Speckled Egg Mix, Uniform Green, Vintage Blue, Antique, Black, Contrapposto, Grey, Navy</v>
      </c>
    </row>
    <row r="42" spans="2:5" ht="77.45" customHeight="1" x14ac:dyDescent="0.25">
      <c r="B42" t="s">
        <v>387</v>
      </c>
      <c r="C42" s="1" t="s">
        <v>168</v>
      </c>
      <c r="D42" s="1" t="str">
        <f>TRIM(_xlfn.XLOOKUP(Результат!C42,Таблица!A:A,Таблица!B:B,"Ошибка",0))</f>
        <v>S, M, L, XL, XXL</v>
      </c>
      <c r="E42" s="1" t="str">
        <f>TRIM(_xlfn.XLOOKUP(Результат!C42,Таблица!A:A,Таблица!E:E,"Ошибка",0))</f>
        <v>Black, Caramel, Gun Metal, Satin Brass, Soft Khaki</v>
      </c>
    </row>
    <row r="43" spans="2:5" ht="73.150000000000006" customHeight="1" x14ac:dyDescent="0.25">
      <c r="B43" t="s">
        <v>388</v>
      </c>
      <c r="C43" s="1" t="s">
        <v>192</v>
      </c>
      <c r="D43" s="1" t="str">
        <f>TRIM(_xlfn.XLOOKUP(Результат!C43,Таблица!A:A,Таблица!B:B,"Ошибка",0))</f>
        <v>S, M, L, XL</v>
      </c>
      <c r="E43" s="1" t="str">
        <f>TRIM(_xlfn.XLOOKUP(Результат!C43,Таблица!A:A,Таблица!E:E,"Ошибка",0))</f>
        <v>Natural Mix, Ochre</v>
      </c>
    </row>
    <row r="44" spans="2:5" ht="75.599999999999994" customHeight="1" x14ac:dyDescent="0.25">
      <c r="B44" t="s">
        <v>389</v>
      </c>
      <c r="C44" s="1" t="s">
        <v>188</v>
      </c>
      <c r="D44" s="1" t="str">
        <f>TRIM(_xlfn.XLOOKUP(Результат!C44,Таблица!A:A,Таблица!B:B,"Ошибка",0))</f>
        <v>S, M, L, XL</v>
      </c>
      <c r="E44" s="1" t="str">
        <f>TRIM(_xlfn.XLOOKUP(Результат!C44,Таблица!A:A,Таблица!E:E,"Ошибка",0))</f>
        <v>Black, Graphite, Nickel, Red</v>
      </c>
    </row>
    <row r="45" spans="2:5" ht="73.7" customHeight="1" x14ac:dyDescent="0.25">
      <c r="B45" t="s">
        <v>390</v>
      </c>
      <c r="C45" s="1" t="s">
        <v>185</v>
      </c>
      <c r="D45" s="1" t="str">
        <f>TRIM(_xlfn.XLOOKUP(Результат!C45,Таблица!A:A,Таблица!B:B,"Ошибка",0))</f>
        <v>S, M, L, XL</v>
      </c>
      <c r="E45" s="1" t="str">
        <f>TRIM(_xlfn.XLOOKUP(Результат!C45,Таблица!A:A,Таблица!E:E,"Ошибка",0))</f>
        <v>Ink Blue, Olive Mix, Rust</v>
      </c>
    </row>
    <row r="46" spans="2:5" ht="79.7" customHeight="1" x14ac:dyDescent="0.25">
      <c r="B46" t="s">
        <v>391</v>
      </c>
      <c r="C46" s="1" t="s">
        <v>180</v>
      </c>
      <c r="D46" s="1" t="str">
        <f>TRIM(_xlfn.XLOOKUP(Результат!C46,Таблица!A:A,Таблица!B:B,"Ошибка",0))</f>
        <v>S, M, L, XL</v>
      </c>
      <c r="E46" s="1" t="str">
        <f>TRIM(_xlfn.XLOOKUP(Результат!C46,Таблица!A:A,Таблица!E:E,"Ошибка",0))</f>
        <v>Black, Camel, Pale Olive, Whiskey</v>
      </c>
    </row>
    <row r="47" spans="2:5" ht="78.599999999999994" customHeight="1" x14ac:dyDescent="0.25">
      <c r="B47" t="s">
        <v>392</v>
      </c>
      <c r="C47" s="1" t="s">
        <v>177</v>
      </c>
      <c r="D47" s="1" t="str">
        <f>TRIM(_xlfn.XLOOKUP(Результат!C47,Таблица!A:A,Таблица!B:B,"Ошибка",0))</f>
        <v>S, M, L, XL</v>
      </c>
      <c r="E47" s="1" t="str">
        <f>TRIM(_xlfn.XLOOKUP(Результат!C47,Таблица!A:A,Таблица!E:E,"Ошибка",0))</f>
        <v>Black, Oxford Mix</v>
      </c>
    </row>
    <row r="48" spans="2:5" ht="88.5" customHeight="1" x14ac:dyDescent="0.25">
      <c r="B48" t="s">
        <v>393</v>
      </c>
      <c r="C48" s="1" t="s">
        <v>196</v>
      </c>
      <c r="D48" s="1" t="str">
        <f>TRIM(_xlfn.XLOOKUP(Результат!C48,Таблица!A:A,Таблица!B:B,"Ошибка",0))</f>
        <v>S, M, L, XL</v>
      </c>
      <c r="E48" s="1" t="str">
        <f>TRIM(_xlfn.XLOOKUP(Результат!C48,Таблица!A:A,Таблица!E:E,"Ошибка",0))</f>
        <v>Oxblood, Pewter, Serpent, Silverbelly, Black, Cognac, Olive Mix</v>
      </c>
    </row>
    <row r="49" spans="2:5" ht="75.95" customHeight="1" x14ac:dyDescent="0.25">
      <c r="B49" t="s">
        <v>394</v>
      </c>
      <c r="C49" s="1" t="s">
        <v>200</v>
      </c>
      <c r="D49" s="1" t="str">
        <f>TRIM(_xlfn.XLOOKUP(Результат!C49,Таблица!A:A,Таблица!B:B,"Ошибка",0))</f>
        <v>S, M, L, XL</v>
      </c>
      <c r="E49" s="1" t="str">
        <f>TRIM(_xlfn.XLOOKUP(Результат!C49,Таблица!A:A,Таблица!E:E,"Ошибка",0))</f>
        <v>Medium Brown Mix</v>
      </c>
    </row>
    <row r="50" spans="2:5" ht="95.65" customHeight="1" x14ac:dyDescent="0.25">
      <c r="B50" t="s">
        <v>395</v>
      </c>
      <c r="C50" s="1" t="s">
        <v>204</v>
      </c>
      <c r="D50" s="1" t="str">
        <f>TRIM(_xlfn.XLOOKUP(Результат!C50,Таблица!A:A,Таблица!B:B,"Ошибка",0))</f>
        <v>S, M, L, XL, XXL</v>
      </c>
      <c r="E50" s="1" t="str">
        <f>TRIM(_xlfn.XLOOKUP(Результат!C50,Таблица!A:A,Таблица!E:E,"Ошибка",0))</f>
        <v>Contrapposto, Copper, Natural Mix, Navy, Port, Red, Satin Brass, Sea Breeze, Unbleached, Vintage Blue, Basalt, Black, Black Mix, Brown</v>
      </c>
    </row>
    <row r="51" spans="2:5" ht="73.349999999999994" customHeight="1" x14ac:dyDescent="0.25">
      <c r="B51" t="s">
        <v>396</v>
      </c>
      <c r="C51" s="1" t="s">
        <v>208</v>
      </c>
      <c r="D51" s="1" t="str">
        <f>TRIM(_xlfn.XLOOKUP(Результат!C51,Таблица!A:A,Таблица!B:B,"Ошибка",0))</f>
        <v>S, M, L, XL</v>
      </c>
      <c r="E51" s="1" t="str">
        <f>TRIM(_xlfn.XLOOKUP(Результат!C51,Таблица!A:A,Таблица!E:E,"Ошибка",0))</f>
        <v>Black, Cognac, Fawn</v>
      </c>
    </row>
    <row r="52" spans="2:5" ht="77.25" customHeight="1" x14ac:dyDescent="0.25">
      <c r="B52" t="s">
        <v>397</v>
      </c>
      <c r="C52" s="1" t="s">
        <v>213</v>
      </c>
      <c r="D52" s="1" t="str">
        <f>TRIM(_xlfn.XLOOKUP(Результат!C52,Таблица!A:A,Таблица!B:B,"Ошибка",0))</f>
        <v>S, M, L, XL</v>
      </c>
      <c r="E52" s="1" t="str">
        <f>TRIM(_xlfn.XLOOKUP(Результат!C52,Таблица!A:A,Таблица!E:E,"Ошибка",0))</f>
        <v>Black, Uniform Green</v>
      </c>
    </row>
    <row r="53" spans="2:5" ht="80.25" customHeight="1" x14ac:dyDescent="0.25">
      <c r="B53" t="s">
        <v>398</v>
      </c>
      <c r="C53" s="1" t="s">
        <v>218</v>
      </c>
      <c r="D53" s="1" t="str">
        <f>TRIM(_xlfn.XLOOKUP(Результат!C53,Таблица!A:A,Таблица!B:B,"Ошибка",0))</f>
        <v>S, M, L, XL</v>
      </c>
      <c r="E53" s="1" t="str">
        <f>TRIM(_xlfn.XLOOKUP(Результат!C53,Таблица!A:A,Таблица!E:E,"Ошибка",0))</f>
        <v>Avion, Black, Whiskey</v>
      </c>
    </row>
    <row r="54" spans="2:5" ht="77.25" customHeight="1" x14ac:dyDescent="0.25">
      <c r="B54" t="s">
        <v>399</v>
      </c>
      <c r="C54" s="1" t="s">
        <v>220</v>
      </c>
      <c r="D54" s="1" t="str">
        <f>TRIM(_xlfn.XLOOKUP(Результат!C54,Таблица!A:A,Таблица!B:B,"Ошибка",0))</f>
        <v>S, M, L, XL</v>
      </c>
      <c r="E54" s="1" t="str">
        <f>TRIM(_xlfn.XLOOKUP(Результат!C54,Таблица!A:A,Таблица!E:E,"Ошибка",0))</f>
        <v>Black, Nickel, Uniform Green</v>
      </c>
    </row>
    <row r="55" spans="2:5" ht="81.400000000000006" customHeight="1" x14ac:dyDescent="0.25">
      <c r="B55" t="s">
        <v>400</v>
      </c>
      <c r="C55" s="1" t="s">
        <v>231</v>
      </c>
      <c r="D55" s="1" t="str">
        <f>TRIM(_xlfn.XLOOKUP(Результат!C55,Таблица!A:A,Таблица!B:B,"Ошибка",0))</f>
        <v>S, M, L, XL, XXL</v>
      </c>
      <c r="E55" s="1" t="str">
        <f>TRIM(_xlfn.XLOOKUP(Результат!C55,Таблица!A:A,Таблица!E:E,"Ошибка",0))</f>
        <v>Black, Lazuli Blue, Mink, Ochre</v>
      </c>
    </row>
    <row r="56" spans="2:5" ht="84.2" customHeight="1" x14ac:dyDescent="0.25">
      <c r="B56" t="s">
        <v>401</v>
      </c>
      <c r="C56" s="1" t="s">
        <v>226</v>
      </c>
      <c r="D56" s="1" t="str">
        <f>TRIM(_xlfn.XLOOKUP(Результат!C56,Таблица!A:A,Таблица!B:B,"Ошибка",0))</f>
        <v>S, M, L, XL, XXL</v>
      </c>
      <c r="E56" s="1" t="str">
        <f>TRIM(_xlfn.XLOOKUP(Результат!C56,Таблица!A:A,Таблица!E:E,"Ошибка",0))</f>
        <v>Black</v>
      </c>
    </row>
    <row r="57" spans="2:5" ht="84.95" customHeight="1" x14ac:dyDescent="0.25">
      <c r="B57" t="s">
        <v>402</v>
      </c>
      <c r="C57" s="1" t="s">
        <v>227</v>
      </c>
      <c r="D57" s="1" t="str">
        <f>TRIM(_xlfn.XLOOKUP(Результат!C57,Таблица!A:A,Таблица!B:B,"Ошибка",0))</f>
        <v>S, M, L, XL</v>
      </c>
      <c r="E57" s="1" t="str">
        <f>TRIM(_xlfn.XLOOKUP(Результат!C57,Таблица!A:A,Таблица!E:E,"Ошибка",0))</f>
        <v>Black, Chocolate, Forest, Navy</v>
      </c>
    </row>
    <row r="58" spans="2:5" ht="80.25" customHeight="1" x14ac:dyDescent="0.25">
      <c r="B58" t="s">
        <v>403</v>
      </c>
      <c r="C58" s="1" t="s">
        <v>223</v>
      </c>
      <c r="D58" s="1" t="str">
        <f>TRIM(_xlfn.XLOOKUP(Результат!C58,Таблица!A:A,Таблица!B:B,"Ошибка",0))</f>
        <v>S, M, L, XL, XXL</v>
      </c>
      <c r="E58" s="1" t="str">
        <f>TRIM(_xlfn.XLOOKUP(Результат!C58,Таблица!A:A,Таблица!E:E,"Ошибка",0))</f>
        <v>Black</v>
      </c>
    </row>
    <row r="59" spans="2:5" ht="83.25" customHeight="1" x14ac:dyDescent="0.25">
      <c r="B59" t="s">
        <v>404</v>
      </c>
      <c r="C59" s="1" t="s">
        <v>244</v>
      </c>
      <c r="D59" s="1" t="str">
        <f>TRIM(_xlfn.XLOOKUP(Результат!C59,Таблица!A:A,Таблица!B:B,"Ошибка",0))</f>
        <v>S, M, L, XL</v>
      </c>
      <c r="E59" s="1" t="str">
        <f>TRIM(_xlfn.XLOOKUP(Результат!C59,Таблица!A:A,Таблица!E:E,"Ошибка",0))</f>
        <v>Bitter Chocolate, Black, Mink, Night Shade, Navy</v>
      </c>
    </row>
    <row r="60" spans="2:5" ht="69" customHeight="1" x14ac:dyDescent="0.25">
      <c r="B60" t="s">
        <v>405</v>
      </c>
      <c r="C60" s="1" t="s">
        <v>238</v>
      </c>
      <c r="D60" s="1" t="str">
        <f>TRIM(_xlfn.XLOOKUP(Результат!C60,Таблица!A:A,Таблица!B:B,"Ошибка",0))</f>
        <v>S, M, L, XL</v>
      </c>
      <c r="E60" s="1" t="str">
        <f>TRIM(_xlfn.XLOOKUP(Результат!C60,Таблица!A:A,Таблица!E:E,"Ошибка",0))</f>
        <v>Black, Silver Sand</v>
      </c>
    </row>
    <row r="61" spans="2:5" ht="73.5" customHeight="1" x14ac:dyDescent="0.25">
      <c r="B61" t="s">
        <v>406</v>
      </c>
      <c r="C61" s="1" t="s">
        <v>234</v>
      </c>
      <c r="D61" s="1" t="str">
        <f>TRIM(_xlfn.XLOOKUP(Результат!C61,Таблица!A:A,Таблица!B:B,"Ошибка",0))</f>
        <v>S, M, L, XL</v>
      </c>
      <c r="E61" s="1" t="str">
        <f>TRIM(_xlfn.XLOOKUP(Результат!C61,Таблица!A:A,Таблица!E:E,"Ошибка",0))</f>
        <v>Black, Caramel, Navy, Olive</v>
      </c>
    </row>
    <row r="62" spans="2:5" ht="65.849999999999994" customHeight="1" x14ac:dyDescent="0.25">
      <c r="B62" t="s">
        <v>407</v>
      </c>
      <c r="C62" s="1" t="s">
        <v>246</v>
      </c>
      <c r="D62" s="1" t="str">
        <f>TRIM(_xlfn.XLOOKUP(Результат!C62,Таблица!A:A,Таблица!B:B,"Ошибка",0))</f>
        <v>S, M, L, XL</v>
      </c>
      <c r="E62" s="1" t="str">
        <f>TRIM(_xlfn.XLOOKUP(Результат!C62,Таблица!A:A,Таблица!E:E,"Ошибка",0))</f>
        <v>Black, Olive Oil, Plaza Taupe</v>
      </c>
    </row>
    <row r="63" spans="2:5" ht="76.349999999999994" customHeight="1" x14ac:dyDescent="0.25">
      <c r="B63" t="s">
        <v>408</v>
      </c>
      <c r="C63" s="1" t="s">
        <v>253</v>
      </c>
      <c r="D63" s="1" t="str">
        <f>TRIM(_xlfn.XLOOKUP(Результат!C63,Таблица!A:A,Таблица!B:B,"Ошибка",0))</f>
        <v>S, M, L, XL</v>
      </c>
      <c r="E63" s="1" t="str">
        <f>TRIM(_xlfn.XLOOKUP(Результат!C63,Таблица!A:A,Таблица!E:E,"Ошибка",0))</f>
        <v>Ochre, Soft Khaki</v>
      </c>
    </row>
    <row r="64" spans="2:5" ht="75.95" customHeight="1" x14ac:dyDescent="0.25">
      <c r="B64" t="s">
        <v>409</v>
      </c>
      <c r="C64" s="1" t="s">
        <v>257</v>
      </c>
      <c r="D64" s="1" t="str">
        <f>TRIM(_xlfn.XLOOKUP(Результат!C64,Таблица!A:A,Таблица!B:B,"Ошибка",0))</f>
        <v>S, M, L, XL</v>
      </c>
      <c r="E64" s="1" t="str">
        <f>TRIM(_xlfn.XLOOKUP(Результат!C64,Таблица!A:A,Таблица!E:E,"Ошибка",0))</f>
        <v>Black, Navy</v>
      </c>
    </row>
    <row r="65" spans="2:5" ht="71.650000000000006" customHeight="1" x14ac:dyDescent="0.25">
      <c r="B65" t="s">
        <v>410</v>
      </c>
      <c r="C65" s="1" t="s">
        <v>260</v>
      </c>
      <c r="D65" s="1" t="str">
        <f>TRIM(_xlfn.XLOOKUP(Результат!C65,Таблица!A:A,Таблица!B:B,"Ошибка",0))</f>
        <v>6 3/4, 6 7/8, 7, 7 1/8, 7 1/4, 7 3/8, 7 1/2, 7 5/8</v>
      </c>
      <c r="E65" s="1" t="str">
        <f>TRIM(_xlfn.XLOOKUP(Результат!C65,Таблица!A:A,Таблица!E:E,"Ошибка",0))</f>
        <v>Black</v>
      </c>
    </row>
    <row r="66" spans="2:5" ht="84.2" customHeight="1" x14ac:dyDescent="0.25">
      <c r="B66" t="s">
        <v>411</v>
      </c>
      <c r="C66" s="1" t="s">
        <v>270</v>
      </c>
      <c r="D66" s="1" t="str">
        <f>TRIM(_xlfn.XLOOKUP(Результат!C66,Таблица!A:A,Таблица!B:B,"Ошибка",0))</f>
        <v>S, M, L, XL, XXL</v>
      </c>
      <c r="E66" s="1" t="str">
        <f>TRIM(_xlfn.XLOOKUP(Результат!C66,Таблица!A:A,Таблица!E:E,"Ошибка",0))</f>
        <v>Black, Brown, White</v>
      </c>
    </row>
    <row r="67" spans="2:5" ht="82.9" customHeight="1" x14ac:dyDescent="0.25">
      <c r="B67" t="s">
        <v>412</v>
      </c>
      <c r="C67" s="1" t="s">
        <v>263</v>
      </c>
      <c r="D67" s="1" t="str">
        <f>TRIM(_xlfn.XLOOKUP(Результат!C67,Таблица!A:A,Таблица!B:B,"Ошибка",0))</f>
        <v>6 3/4, 6 7/8, 7, 7 1/8, 7 1/4, 7 3/8, 7 1/2, 7 5/8</v>
      </c>
      <c r="E67" s="1" t="str">
        <f>TRIM(_xlfn.XLOOKUP(Результат!C67,Таблица!A:A,Таблица!E:E,"Ошибка",0))</f>
        <v>Black, Hemlock</v>
      </c>
    </row>
    <row r="68" spans="2:5" ht="91.9" customHeight="1" x14ac:dyDescent="0.25">
      <c r="B68" t="s">
        <v>413</v>
      </c>
      <c r="C68" s="1" t="s">
        <v>267</v>
      </c>
      <c r="D68" s="1" t="str">
        <f>TRIM(_xlfn.XLOOKUP(Результат!C68,Таблица!A:A,Таблица!B:B,"Ошибка",0))</f>
        <v>S, M, L, XL</v>
      </c>
      <c r="E68" s="1" t="str">
        <f>TRIM(_xlfn.XLOOKUP(Результат!C68,Таблица!A:A,Таблица!E:E,"Ошибка",0))</f>
        <v>Black</v>
      </c>
    </row>
    <row r="69" spans="2:5" ht="79.150000000000006" customHeight="1" x14ac:dyDescent="0.25">
      <c r="B69" t="s">
        <v>414</v>
      </c>
      <c r="C69" s="1" t="s">
        <v>272</v>
      </c>
      <c r="D69" s="1" t="str">
        <f>TRIM(_xlfn.XLOOKUP(Результат!C69,Таблица!A:A,Таблица!B:B,"Ошибка",0))</f>
        <v>S, M, L, XL, XXL</v>
      </c>
      <c r="E69" s="1" t="str">
        <f>TRIM(_xlfn.XLOOKUP(Результат!C69,Таблица!A:A,Таблица!E:E,"Ошибка",0))</f>
        <v>Fog, Latte, Navy, Static, Tan, Birch, Black, Coconut, Deep Red, Espresso</v>
      </c>
    </row>
    <row r="70" spans="2:5" ht="79.7" customHeight="1" x14ac:dyDescent="0.25">
      <c r="B70" t="s">
        <v>415</v>
      </c>
      <c r="C70" s="1" t="s">
        <v>278</v>
      </c>
      <c r="D70" s="1" t="str">
        <f>TRIM(_xlfn.XLOOKUP(Результат!C70,Таблица!A:A,Таблица!B:B,"Ошибка",0))</f>
        <v>S, M, L, XL, XXL</v>
      </c>
      <c r="E70" s="1" t="str">
        <f>TRIM(_xlfn.XLOOKUP(Результат!C70,Таблица!A:A,Таблица!E:E,"Ошибка",0))</f>
        <v>Navy Multi, Nordic Multi, Overcast, Skydiver, Woods Multi, Cement Multi, Deep Red, Multi Light, Grey Multi, Natural Multi, Brown Multi, Charcoal Multi</v>
      </c>
    </row>
    <row r="71" spans="2:5" ht="72.2" customHeight="1" x14ac:dyDescent="0.25">
      <c r="B71" t="s">
        <v>416</v>
      </c>
      <c r="C71" s="1" t="s">
        <v>281</v>
      </c>
      <c r="D71" s="1" t="str">
        <f>TRIM(_xlfn.XLOOKUP(Результат!C71,Таблица!A:A,Таблица!B:B,"Ошибка",0))</f>
        <v>S, M, L, XL</v>
      </c>
      <c r="E71" s="1" t="str">
        <f>TRIM(_xlfn.XLOOKUP(Результат!C71,Таблица!A:A,Таблица!E:E,"Ошибка",0))</f>
        <v>Black, Blue, Bronze</v>
      </c>
    </row>
    <row r="72" spans="2:5" ht="74.45" customHeight="1" x14ac:dyDescent="0.25">
      <c r="B72" t="s">
        <v>417</v>
      </c>
      <c r="C72" s="1" t="s">
        <v>289</v>
      </c>
      <c r="D72" s="1" t="str">
        <f>TRIM(_xlfn.XLOOKUP(Результат!C72,Таблица!A:A,Таблица!B:B,"Ошибка",0))</f>
        <v>S, M, L, XL</v>
      </c>
      <c r="E72" s="1" t="str">
        <f>TRIM(_xlfn.XLOOKUP(Результат!C72,Таблица!A:A,Таблица!E:E,"Ошибка",0))</f>
        <v>Black, Blue, Bronze</v>
      </c>
    </row>
    <row r="73" spans="2:5" ht="74.45" customHeight="1" x14ac:dyDescent="0.25">
      <c r="B73" t="s">
        <v>418</v>
      </c>
      <c r="C73" s="1" t="s">
        <v>284</v>
      </c>
      <c r="D73" s="1" t="str">
        <f>TRIM(_xlfn.XLOOKUP(Результат!C73,Таблица!A:A,Таблица!B:B,"Ошибка",0))</f>
        <v>S, M, L, XL</v>
      </c>
      <c r="E73" s="1" t="str">
        <f>TRIM(_xlfn.XLOOKUP(Результат!C73,Таблица!A:A,Таблица!E:E,"Ошибка",0))</f>
        <v>Copper, Green, Grey</v>
      </c>
    </row>
    <row r="74" spans="2:5" ht="72.75" customHeight="1" x14ac:dyDescent="0.25">
      <c r="B74" t="s">
        <v>419</v>
      </c>
      <c r="C74" s="1" t="s">
        <v>296</v>
      </c>
      <c r="D74" s="1" t="str">
        <f>TRIM(_xlfn.XLOOKUP(Результат!C74,Таблица!A:A,Таблица!B:B,"Ошибка",0))</f>
        <v>S, M, L, XL</v>
      </c>
      <c r="E74" s="1" t="str">
        <f>TRIM(_xlfn.XLOOKUP(Результат!C74,Таблица!A:A,Таблица!E:E,"Ошибка",0))</f>
        <v>Oak Plaid</v>
      </c>
    </row>
    <row r="75" spans="2:5" ht="74.849999999999994" customHeight="1" x14ac:dyDescent="0.25">
      <c r="B75" t="s">
        <v>420</v>
      </c>
      <c r="C75" s="1" t="s">
        <v>294</v>
      </c>
      <c r="D75" s="1" t="str">
        <f>TRIM(_xlfn.XLOOKUP(Результат!C75,Таблица!A:A,Таблица!B:B,"Ошибка",0))</f>
        <v>S, M, L, XL</v>
      </c>
      <c r="E75" s="1" t="str">
        <f>TRIM(_xlfn.XLOOKUP(Результат!C75,Таблица!A:A,Таблица!E:E,"Ошибка",0))</f>
        <v>Beige Stripe, Black Stripe, Avion Stripe</v>
      </c>
    </row>
    <row r="76" spans="2:5" ht="58.7" customHeight="1" x14ac:dyDescent="0.25">
      <c r="B76" t="s">
        <v>421</v>
      </c>
      <c r="C76" s="1" t="s">
        <v>291</v>
      </c>
      <c r="D76" s="1" t="str">
        <f>TRIM(_xlfn.XLOOKUP(Результат!C76,Таблица!A:A,Таблица!B:B,"Ошибка",0))</f>
        <v>S, M, L, XL</v>
      </c>
      <c r="E76" s="1" t="str">
        <f>TRIM(_xlfn.XLOOKUP(Результат!C76,Таблица!A:A,Таблица!E:E,"Ошибка",0))</f>
        <v>Avion, Black, Oak</v>
      </c>
    </row>
    <row r="77" spans="2:5" ht="72.95" customHeight="1" x14ac:dyDescent="0.25">
      <c r="B77" t="s">
        <v>422</v>
      </c>
      <c r="C77" s="1" t="s">
        <v>307</v>
      </c>
      <c r="D77" s="1" t="str">
        <f>TRIM(_xlfn.XLOOKUP(Результат!C77,Таблица!A:A,Таблица!B:B,"Ошибка",0))</f>
        <v>S, M, L, XL</v>
      </c>
      <c r="E77" s="1" t="str">
        <f>TRIM(_xlfn.XLOOKUP(Результат!C77,Таблица!A:A,Таблица!E:E,"Ошибка",0))</f>
        <v>Avion Plaid, Oak Twill, Uniform Green, Plaid</v>
      </c>
    </row>
    <row r="78" spans="2:5" ht="72.2" customHeight="1" x14ac:dyDescent="0.25">
      <c r="B78" t="s">
        <v>423</v>
      </c>
      <c r="C78" s="1" t="s">
        <v>305</v>
      </c>
      <c r="D78" s="1" t="str">
        <f>TRIM(_xlfn.XLOOKUP(Результат!C78,Таблица!A:A,Таблица!B:B,"Ошибка",0))</f>
        <v>S, M, L, XL</v>
      </c>
      <c r="E78" s="1" t="str">
        <f>TRIM(_xlfn.XLOOKUP(Результат!C78,Таблица!A:A,Таблица!E:E,"Ошибка",0))</f>
        <v>Avion, Grey</v>
      </c>
    </row>
    <row r="79" spans="2:5" ht="71.849999999999994" customHeight="1" x14ac:dyDescent="0.25">
      <c r="B79" t="s">
        <v>424</v>
      </c>
      <c r="C79" s="1" t="s">
        <v>299</v>
      </c>
      <c r="D79" s="1" t="str">
        <f>TRIM(_xlfn.XLOOKUP(Результат!C79,Таблица!A:A,Таблица!B:B,"Ошибка",0))</f>
        <v>S, M, L, XL</v>
      </c>
      <c r="E79" s="1" t="str">
        <f>TRIM(_xlfn.XLOOKUP(Результат!C79,Таблица!A:A,Таблица!E:E,"Ошибка",0))</f>
        <v>Blue Plaid, Copper Plaid, Uniform Green, Plaid</v>
      </c>
    </row>
    <row r="80" spans="2:5" ht="70.349999999999994" customHeight="1" x14ac:dyDescent="0.25">
      <c r="B80" t="s">
        <v>425</v>
      </c>
      <c r="C80" s="1" t="s">
        <v>312</v>
      </c>
      <c r="D80" s="1" t="str">
        <f>TRIM(_xlfn.XLOOKUP(Результат!C80,Таблица!A:A,Таблица!B:B,"Ошибка",0))</f>
        <v>S, M, L, XL</v>
      </c>
      <c r="E80" s="1" t="str">
        <f>TRIM(_xlfn.XLOOKUP(Результат!C80,Таблица!A:A,Таблица!E:E,"Ошибка",0))</f>
        <v>Black, Copper</v>
      </c>
    </row>
    <row r="81" spans="2:5" ht="68.45" customHeight="1" x14ac:dyDescent="0.25">
      <c r="B81" t="s">
        <v>426</v>
      </c>
      <c r="C81" s="1" t="s">
        <v>304</v>
      </c>
      <c r="D81" s="1" t="str">
        <f>TRIM(_xlfn.XLOOKUP(Результат!C81,Таблица!A:A,Таблица!B:B,"Ошибка",0))</f>
        <v>S, M, L, XL</v>
      </c>
      <c r="E81" s="1" t="str">
        <f>TRIM(_xlfn.XLOOKUP(Результат!C81,Таблица!A:A,Таблица!E:E,"Ошибка",0))</f>
        <v>Black, Ochre</v>
      </c>
    </row>
    <row r="82" spans="2:5" ht="71.099999999999994" customHeight="1" x14ac:dyDescent="0.25">
      <c r="B82" t="s">
        <v>427</v>
      </c>
      <c r="C82" s="1" t="s">
        <v>309</v>
      </c>
      <c r="D82" s="1" t="str">
        <f>TRIM(_xlfn.XLOOKUP(Результат!C82,Таблица!A:A,Таблица!B:B,"Ошибка",0))</f>
        <v>S, M, L, XL, XXL</v>
      </c>
      <c r="E82" s="1" t="str">
        <f>TRIM(_xlfn.XLOOKUP(Результат!C82,Таблица!A:A,Таблица!E:E,"Ошибка",0))</f>
        <v>Black, Chino, Navy, Tan</v>
      </c>
    </row>
    <row r="83" spans="2:5" ht="72.599999999999994" customHeight="1" x14ac:dyDescent="0.25">
      <c r="B83" t="s">
        <v>428</v>
      </c>
      <c r="C83" s="1" t="s">
        <v>302</v>
      </c>
      <c r="D83" s="1" t="str">
        <f>TRIM(_xlfn.XLOOKUP(Результат!C83,Таблица!A:A,Таблица!B:B,"Ошибка",0))</f>
        <v>S, M, L, XL, XXL</v>
      </c>
      <c r="E83" s="1" t="str">
        <f>TRIM(_xlfn.XLOOKUP(Результат!C83,Таблица!A:A,Таблица!E:E,"Ошибка",0))</f>
        <v>Black Paid, Brown Herringbone</v>
      </c>
    </row>
    <row r="84" spans="2:5" ht="67.7" customHeight="1" x14ac:dyDescent="0.25">
      <c r="B84" t="s">
        <v>429</v>
      </c>
      <c r="C84" s="1" t="s">
        <v>322</v>
      </c>
      <c r="D84" s="1" t="str">
        <f>TRIM(_xlfn.XLOOKUP(Результат!C84,Таблица!A:A,Таблица!B:B,"Ошибка",0))</f>
        <v>S, M, L, XL</v>
      </c>
      <c r="E84" s="1" t="str">
        <f>TRIM(_xlfn.XLOOKUP(Результат!C84,Таблица!A:A,Таблица!E:E,"Ошибка",0))</f>
        <v>Dark Coffee</v>
      </c>
    </row>
    <row r="85" spans="2:5" ht="74.45" customHeight="1" x14ac:dyDescent="0.25">
      <c r="B85" t="s">
        <v>430</v>
      </c>
      <c r="C85" s="1" t="s">
        <v>318</v>
      </c>
      <c r="D85" s="1" t="str">
        <f>TRIM(_xlfn.XLOOKUP(Результат!C85,Таблица!A:A,Таблица!B:B,"Ошибка",0))</f>
        <v>S, M, L, XL</v>
      </c>
      <c r="E85" s="1" t="str">
        <f>TRIM(_xlfn.XLOOKUP(Результат!C85,Таблица!A:A,Таблица!E:E,"Ошибка",0))</f>
        <v>Black</v>
      </c>
    </row>
    <row r="86" spans="2:5" ht="68.650000000000006" customHeight="1" x14ac:dyDescent="0.25">
      <c r="B86" t="s">
        <v>431</v>
      </c>
      <c r="C86" s="1" t="s">
        <v>315</v>
      </c>
      <c r="D86" s="1" t="str">
        <f>TRIM(_xlfn.XLOOKUP(Результат!C86,Таблица!A:A,Таблица!B:B,"Ошибка",0))</f>
        <v>S, M, L, XL</v>
      </c>
      <c r="E86" s="1" t="str">
        <f>TRIM(_xlfn.XLOOKUP(Результат!C86,Таблица!A:A,Таблица!E:E,"Ошибка",0))</f>
        <v>Brown</v>
      </c>
    </row>
    <row r="87" spans="2:5" ht="69.95" customHeight="1" x14ac:dyDescent="0.25">
      <c r="B87" t="s">
        <v>432</v>
      </c>
      <c r="C87" s="1" t="s">
        <v>324</v>
      </c>
      <c r="D87" s="1" t="str">
        <f>TRIM(_xlfn.XLOOKUP(Результат!C87,Таблица!A:A,Таблица!B:B,"Ошибка",0))</f>
        <v>S, M, L, XL</v>
      </c>
      <c r="E87" s="1" t="str">
        <f>TRIM(_xlfn.XLOOKUP(Результат!C87,Таблица!A:A,Таблица!E:E,"Ошибка",0))</f>
        <v>Black</v>
      </c>
    </row>
    <row r="88" spans="2:5" ht="66.400000000000006" customHeight="1" x14ac:dyDescent="0.25">
      <c r="B88" t="s">
        <v>433</v>
      </c>
      <c r="C88" s="1" t="s">
        <v>328</v>
      </c>
      <c r="D88" s="1" t="str">
        <f>TRIM(_xlfn.XLOOKUP(Результат!C88,Таблица!A:A,Таблица!B:B,"Ошибка",0))</f>
        <v>S, M, L, XL</v>
      </c>
      <c r="E88" s="1" t="str">
        <f>TRIM(_xlfn.XLOOKUP(Результат!C88,Таблица!A:A,Таблица!E:E,"Ошибка",0))</f>
        <v>Marl Black, Navy Plaid</v>
      </c>
    </row>
    <row r="89" spans="2:5" ht="65.650000000000006" customHeight="1" x14ac:dyDescent="0.25">
      <c r="B89" t="s">
        <v>434</v>
      </c>
      <c r="C89" s="1" t="s">
        <v>331</v>
      </c>
      <c r="D89" s="1" t="str">
        <f>TRIM(_xlfn.XLOOKUP(Результат!C89,Таблица!A:A,Таблица!B:B,"Ошибка",0))</f>
        <v>S, M, L, XL</v>
      </c>
      <c r="E89" s="1" t="str">
        <f>TRIM(_xlfn.XLOOKUP(Результат!C89,Таблица!A:A,Таблица!E:E,"Ошибка",0))</f>
        <v>Black, Brown</v>
      </c>
    </row>
    <row r="90" spans="2:5" ht="68.099999999999994" customHeight="1" x14ac:dyDescent="0.25">
      <c r="B90" t="s">
        <v>435</v>
      </c>
      <c r="C90" s="1" t="s">
        <v>325</v>
      </c>
      <c r="D90" s="1" t="str">
        <f>TRIM(_xlfn.XLOOKUP(Результат!C90,Таблица!A:A,Таблица!B:B,"Ошибка",0))</f>
        <v>S, M, L, XL</v>
      </c>
      <c r="E90" s="1" t="str">
        <f>TRIM(_xlfn.XLOOKUP(Результат!C90,Таблица!A:A,Таблица!E:E,"Ошибка",0))</f>
        <v>Black</v>
      </c>
    </row>
    <row r="91" spans="2:5" ht="80.099999999999994" customHeight="1" x14ac:dyDescent="0.25">
      <c r="B91" t="s">
        <v>436</v>
      </c>
      <c r="C91" s="1" t="s">
        <v>338</v>
      </c>
      <c r="D91" s="1" t="str">
        <f>TRIM(_xlfn.XLOOKUP(Результат!C91,Таблица!A:A,Таблица!B:B,"Ошибка",0))</f>
        <v>S, M, L, XL, XXL</v>
      </c>
      <c r="E91" s="1" t="str">
        <f>TRIM(_xlfn.XLOOKUP(Результат!C91,Таблица!A:A,Таблица!E:E,"Ошибка",0))</f>
        <v>Charcoal, Dk. Brown, Navy, Black, Burgundy,</v>
      </c>
    </row>
    <row r="92" spans="2:5" ht="83.1" customHeight="1" x14ac:dyDescent="0.25">
      <c r="B92" t="s">
        <v>437</v>
      </c>
      <c r="C92" s="1" t="s">
        <v>335</v>
      </c>
      <c r="D92" s="1" t="str">
        <f>TRIM(_xlfn.XLOOKUP(Результат!C92,Таблица!A:A,Таблица!B:B,"Ошибка",0))</f>
        <v>S, M, L, XL, XXL</v>
      </c>
      <c r="E92" s="1" t="str">
        <f>TRIM(_xlfn.XLOOKUP(Результат!C92,Таблица!A:A,Таблица!E:E,"Ошибка",0))</f>
        <v>Black, Chino, Navy, Tan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</vt:i4>
      </vt:variant>
    </vt:vector>
  </HeadingPairs>
  <TitlesOfParts>
    <vt:vector size="7" baseType="lpstr">
      <vt:lpstr>Подготовка</vt:lpstr>
      <vt:lpstr>Вычисление</vt:lpstr>
      <vt:lpstr>Подготовка(Save)</vt:lpstr>
      <vt:lpstr>Таблица</vt:lpstr>
      <vt:lpstr>Цвета</vt:lpstr>
      <vt:lpstr>Результат</vt:lpstr>
      <vt:lpstr>DoubleColors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2022-01-24T07:06:12Z</dcterms:created>
  <dcterms:modified xsi:type="dcterms:W3CDTF">2022-01-24T10:40:21Z</dcterms:modified>
</cp:coreProperties>
</file>