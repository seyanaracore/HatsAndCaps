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4BB24111-2CE6-4B5B-B524-8FA0AA881E87}" xr6:coauthVersionLast="47" xr6:coauthVersionMax="47" xr10:uidLastSave="{00000000-0000-0000-0000-000000000000}"/>
  <bookViews>
    <workbookView xWindow="-120" yWindow="-120" windowWidth="29040" windowHeight="15840" activeTab="6" xr2:uid="{9E8BD5D7-3CAC-4A45-8D05-4165CCD83B9D}"/>
  </bookViews>
  <sheets>
    <sheet name="Подготовка" sheetId="11" r:id="rId1"/>
    <sheet name="Вычисление" sheetId="4" r:id="rId2"/>
    <sheet name="Подготовка(Save)" sheetId="5" state="hidden" r:id="rId3"/>
    <sheet name="Таблица" sheetId="7" r:id="rId4"/>
    <sheet name="Цвета" sheetId="12" r:id="rId5"/>
    <sheet name="Результат" sheetId="18" r:id="rId6"/>
    <sheet name="Результат (Save 2)" sheetId="19" r:id="rId7"/>
    <sheet name="Результат (Save)" sheetId="13" r:id="rId8"/>
  </sheets>
  <functionGroups builtInGroupCount="19"/>
  <definedNames>
    <definedName name="_xlpm.isName" hidden="1" xlm="1">#NAME?</definedName>
    <definedName name="_xlpm.isNameD" hidden="1" xlm="1">#NAME?</definedName>
    <definedName name="_xlpm.isNameDo" hidden="1" xlm="1">#NAME?</definedName>
    <definedName name="_xlpm.isNameDow" hidden="1" xlm="1">#NAME?</definedName>
    <definedName name="_xlpm.isNameDown" hidden="1" xlm="1">#NAME?</definedName>
    <definedName name="_xlpm.isNameU" hidden="1" xlm="1">#NAME?</definedName>
    <definedName name="_xlpm.isNameUp" hidden="1" xlm="1">#NAME?</definedName>
    <definedName name="_xlpm.isSizes" hidden="1" xlm="1">#NAME?</definedName>
    <definedName name="_xlpm.isSizesUp" hidden="1" xlm="1">#NAME?</definedName>
    <definedName name="_xlpm.SepColors" hidden="1" xlm="1">#NAME?</definedName>
    <definedName name="_xlpm.sizes" hidden="1" xlm="1">#NAME?</definedName>
    <definedName name="DoubleColors">Цвета!$A:$C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9" l="1"/>
  <c r="D3" i="19"/>
  <c r="D6" i="19"/>
  <c r="D8" i="19"/>
  <c r="D10" i="19"/>
  <c r="D12" i="19"/>
  <c r="D14" i="19"/>
  <c r="D18" i="19"/>
  <c r="D17" i="19"/>
  <c r="D16" i="19"/>
  <c r="D21" i="19"/>
  <c r="D20" i="19"/>
  <c r="D26" i="19"/>
  <c r="D25" i="19"/>
  <c r="D24" i="19"/>
  <c r="D31" i="19"/>
  <c r="D30" i="19"/>
  <c r="D29" i="19"/>
  <c r="D28" i="19"/>
  <c r="D34" i="19"/>
  <c r="D33" i="19"/>
  <c r="D37" i="19"/>
  <c r="D36" i="19"/>
  <c r="D40" i="19"/>
  <c r="D39" i="19"/>
  <c r="D43" i="19"/>
  <c r="D42" i="19"/>
  <c r="D46" i="19"/>
  <c r="D45" i="19"/>
  <c r="D49" i="19"/>
  <c r="D48" i="19"/>
  <c r="D56" i="19"/>
  <c r="D55" i="19"/>
  <c r="D54" i="19"/>
  <c r="D53" i="19"/>
  <c r="D52" i="19"/>
  <c r="D51" i="19"/>
  <c r="D63" i="19"/>
  <c r="D62" i="19"/>
  <c r="D61" i="19"/>
  <c r="D60" i="19"/>
  <c r="D59" i="19"/>
  <c r="D58" i="19"/>
  <c r="D65" i="19"/>
  <c r="D69" i="19"/>
  <c r="D68" i="19"/>
  <c r="D67" i="19"/>
  <c r="D72" i="19"/>
  <c r="D71" i="19"/>
  <c r="D74" i="19"/>
  <c r="D77" i="19"/>
  <c r="D76" i="19"/>
  <c r="D80" i="19"/>
  <c r="D79" i="19"/>
  <c r="D82" i="19"/>
  <c r="D90" i="19"/>
  <c r="D89" i="19"/>
  <c r="D88" i="19"/>
  <c r="D87" i="19"/>
  <c r="D86" i="19"/>
  <c r="D85" i="19"/>
  <c r="D84" i="19"/>
  <c r="D97" i="19"/>
  <c r="D96" i="19"/>
  <c r="D95" i="19"/>
  <c r="D94" i="19"/>
  <c r="D93" i="19"/>
  <c r="D92" i="19"/>
  <c r="D100" i="19"/>
  <c r="D99" i="19"/>
  <c r="D104" i="19"/>
  <c r="D103" i="19"/>
  <c r="D102" i="19"/>
  <c r="D106" i="19"/>
  <c r="D108" i="19"/>
  <c r="D111" i="19"/>
  <c r="D110" i="19"/>
  <c r="D115" i="19"/>
  <c r="D114" i="19"/>
  <c r="D113" i="19"/>
  <c r="D118" i="19"/>
  <c r="D117" i="19"/>
  <c r="D120" i="19"/>
  <c r="D123" i="19"/>
  <c r="D122" i="19"/>
  <c r="D134" i="19"/>
  <c r="D133" i="19"/>
  <c r="D132" i="19"/>
  <c r="D131" i="19"/>
  <c r="D130" i="19"/>
  <c r="D129" i="19"/>
  <c r="D128" i="19"/>
  <c r="D127" i="19"/>
  <c r="D126" i="19"/>
  <c r="D125" i="19"/>
  <c r="D137" i="19"/>
  <c r="D136" i="19"/>
  <c r="D147" i="19"/>
  <c r="D146" i="19"/>
  <c r="D145" i="19"/>
  <c r="D144" i="19"/>
  <c r="D143" i="19"/>
  <c r="D142" i="19"/>
  <c r="D141" i="19"/>
  <c r="D140" i="19"/>
  <c r="D139" i="19"/>
  <c r="D152" i="19"/>
  <c r="D151" i="19"/>
  <c r="D150" i="19"/>
  <c r="D149" i="19"/>
  <c r="D154" i="19"/>
  <c r="D158" i="19"/>
  <c r="D157" i="19"/>
  <c r="D156" i="19"/>
  <c r="D161" i="19"/>
  <c r="D160" i="19"/>
  <c r="D165" i="19"/>
  <c r="D164" i="19"/>
  <c r="D163" i="19"/>
  <c r="D167" i="19"/>
  <c r="D174" i="19"/>
  <c r="D173" i="19"/>
  <c r="D172" i="19"/>
  <c r="D171" i="19"/>
  <c r="D170" i="19"/>
  <c r="D169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92" i="19"/>
  <c r="D191" i="19"/>
  <c r="D194" i="19"/>
  <c r="D197" i="19"/>
  <c r="D196" i="19"/>
  <c r="D200" i="19"/>
  <c r="D199" i="19"/>
  <c r="D204" i="19"/>
  <c r="D203" i="19"/>
  <c r="D202" i="19"/>
  <c r="D209" i="19"/>
  <c r="D208" i="19"/>
  <c r="D207" i="19"/>
  <c r="D215" i="19"/>
  <c r="D214" i="19"/>
  <c r="D213" i="19"/>
  <c r="D212" i="19"/>
  <c r="D217" i="19"/>
  <c r="D221" i="19"/>
  <c r="D220" i="19"/>
  <c r="D219" i="19"/>
  <c r="D224" i="19"/>
  <c r="D223" i="19"/>
  <c r="D226" i="19"/>
  <c r="D228" i="19"/>
  <c r="D232" i="19"/>
  <c r="D231" i="19"/>
  <c r="D234" i="19"/>
  <c r="D245" i="19"/>
  <c r="D244" i="19"/>
  <c r="D243" i="19"/>
  <c r="D242" i="19"/>
  <c r="D241" i="19"/>
  <c r="D240" i="19"/>
  <c r="D239" i="19"/>
  <c r="D238" i="19"/>
  <c r="D237" i="19"/>
  <c r="D257" i="19"/>
  <c r="D256" i="19"/>
  <c r="D255" i="19"/>
  <c r="D254" i="19"/>
  <c r="D253" i="19"/>
  <c r="D252" i="19"/>
  <c r="D251" i="19"/>
  <c r="D250" i="19"/>
  <c r="D249" i="19"/>
  <c r="D248" i="19"/>
  <c r="D247" i="19"/>
  <c r="D260" i="19"/>
  <c r="D259" i="19"/>
  <c r="D263" i="19"/>
  <c r="D262" i="19"/>
  <c r="D266" i="19"/>
  <c r="D265" i="19"/>
  <c r="D270" i="19"/>
  <c r="D269" i="19"/>
  <c r="D273" i="19"/>
  <c r="D272" i="19"/>
  <c r="D277" i="19"/>
  <c r="D276" i="19"/>
  <c r="D275" i="19"/>
  <c r="D279" i="19"/>
  <c r="D283" i="19"/>
  <c r="D282" i="19"/>
  <c r="D281" i="19"/>
  <c r="D285" i="19"/>
  <c r="D287" i="19"/>
  <c r="D291" i="19"/>
  <c r="D290" i="19"/>
  <c r="D289" i="19"/>
  <c r="D293" i="19"/>
  <c r="D299" i="19"/>
  <c r="D301" i="19"/>
  <c r="D307" i="19"/>
  <c r="D306" i="19"/>
  <c r="D305" i="19"/>
  <c r="D304" i="19"/>
  <c r="D311" i="19"/>
  <c r="D310" i="19"/>
  <c r="D309" i="19"/>
  <c r="D308" i="19"/>
  <c r="D303" i="19"/>
  <c r="D302" i="19"/>
  <c r="D300" i="19"/>
  <c r="D298" i="19"/>
  <c r="D297" i="19"/>
  <c r="D296" i="19"/>
  <c r="D295" i="19"/>
  <c r="D294" i="19"/>
  <c r="D292" i="19"/>
  <c r="D288" i="19"/>
  <c r="D286" i="19"/>
  <c r="D284" i="19"/>
  <c r="D280" i="19"/>
  <c r="D278" i="19"/>
  <c r="D274" i="19"/>
  <c r="D271" i="19"/>
  <c r="D268" i="19"/>
  <c r="D267" i="19"/>
  <c r="D264" i="19"/>
  <c r="D261" i="19"/>
  <c r="D258" i="19"/>
  <c r="D246" i="19"/>
  <c r="D236" i="19"/>
  <c r="D235" i="19"/>
  <c r="D233" i="19"/>
  <c r="D230" i="19"/>
  <c r="D229" i="19"/>
  <c r="D227" i="19"/>
  <c r="D225" i="19"/>
  <c r="D222" i="19"/>
  <c r="D218" i="19"/>
  <c r="D216" i="19"/>
  <c r="D211" i="19"/>
  <c r="D210" i="19"/>
  <c r="D206" i="19"/>
  <c r="D205" i="19"/>
  <c r="D201" i="19"/>
  <c r="D198" i="19"/>
  <c r="D195" i="19"/>
  <c r="D193" i="19"/>
  <c r="D190" i="19"/>
  <c r="D176" i="19"/>
  <c r="D175" i="19"/>
  <c r="D168" i="19"/>
  <c r="D166" i="19"/>
  <c r="D162" i="19"/>
  <c r="D159" i="19"/>
  <c r="D155" i="19"/>
  <c r="D153" i="19"/>
  <c r="D148" i="19"/>
  <c r="D138" i="19"/>
  <c r="D135" i="19"/>
  <c r="D124" i="19"/>
  <c r="D121" i="19"/>
  <c r="D119" i="19"/>
  <c r="D116" i="19"/>
  <c r="D112" i="19"/>
  <c r="D109" i="19"/>
  <c r="D107" i="19"/>
  <c r="D105" i="19"/>
  <c r="D101" i="19"/>
  <c r="D98" i="19"/>
  <c r="D91" i="19"/>
  <c r="D83" i="19"/>
  <c r="D81" i="19"/>
  <c r="D78" i="19"/>
  <c r="D75" i="19"/>
  <c r="D73" i="19"/>
  <c r="D70" i="19"/>
  <c r="D66" i="19"/>
  <c r="D64" i="19"/>
  <c r="D57" i="19"/>
  <c r="D50" i="19"/>
  <c r="D47" i="19"/>
  <c r="D44" i="19"/>
  <c r="D41" i="19"/>
  <c r="D38" i="19"/>
  <c r="D35" i="19"/>
  <c r="D32" i="19"/>
  <c r="D27" i="19"/>
  <c r="D23" i="19"/>
  <c r="D22" i="19"/>
  <c r="D19" i="19"/>
  <c r="D15" i="19"/>
  <c r="D13" i="19"/>
  <c r="D11" i="19"/>
  <c r="D9" i="19"/>
  <c r="D7" i="19"/>
  <c r="D5" i="19"/>
  <c r="D2" i="19"/>
  <c r="F3" i="18"/>
  <c r="F4" i="18"/>
  <c r="F5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12" i="18"/>
  <c r="F113" i="18"/>
  <c r="F114" i="18"/>
  <c r="F115" i="18"/>
  <c r="F116" i="18"/>
  <c r="F117" i="18"/>
  <c r="F118" i="18"/>
  <c r="F119" i="18"/>
  <c r="F120" i="18"/>
  <c r="F121" i="18"/>
  <c r="F122" i="18"/>
  <c r="F123" i="18"/>
  <c r="F124" i="18"/>
  <c r="F125" i="18"/>
  <c r="F126" i="18"/>
  <c r="F127" i="18"/>
  <c r="F128" i="18"/>
  <c r="F129" i="18"/>
  <c r="F130" i="18"/>
  <c r="F131" i="18"/>
  <c r="F132" i="18"/>
  <c r="F133" i="18"/>
  <c r="F134" i="18"/>
  <c r="F135" i="18"/>
  <c r="F136" i="18"/>
  <c r="F137" i="18"/>
  <c r="F138" i="18"/>
  <c r="F139" i="18"/>
  <c r="F140" i="18"/>
  <c r="F141" i="18"/>
  <c r="F142" i="18"/>
  <c r="F143" i="18"/>
  <c r="F144" i="18"/>
  <c r="F145" i="18"/>
  <c r="F146" i="18"/>
  <c r="F147" i="18"/>
  <c r="F148" i="18"/>
  <c r="F149" i="18"/>
  <c r="F150" i="18"/>
  <c r="F151" i="18"/>
  <c r="F152" i="18"/>
  <c r="F153" i="18"/>
  <c r="F154" i="18"/>
  <c r="F155" i="18"/>
  <c r="F156" i="18"/>
  <c r="F157" i="18"/>
  <c r="F158" i="18"/>
  <c r="F159" i="18"/>
  <c r="F160" i="18"/>
  <c r="F161" i="18"/>
  <c r="F162" i="18"/>
  <c r="F163" i="18"/>
  <c r="F164" i="18"/>
  <c r="F165" i="18"/>
  <c r="F166" i="18"/>
  <c r="F167" i="18"/>
  <c r="F168" i="18"/>
  <c r="F169" i="18"/>
  <c r="F170" i="18"/>
  <c r="F171" i="18"/>
  <c r="F172" i="18"/>
  <c r="F173" i="18"/>
  <c r="F174" i="18"/>
  <c r="F175" i="18"/>
  <c r="F176" i="18"/>
  <c r="F177" i="18"/>
  <c r="F178" i="18"/>
  <c r="F179" i="18"/>
  <c r="F180" i="18"/>
  <c r="F181" i="18"/>
  <c r="F182" i="18"/>
  <c r="F183" i="18"/>
  <c r="F184" i="18"/>
  <c r="F185" i="18"/>
  <c r="F186" i="18"/>
  <c r="F187" i="18"/>
  <c r="F188" i="18"/>
  <c r="F189" i="18"/>
  <c r="F190" i="18"/>
  <c r="F191" i="18"/>
  <c r="F192" i="18"/>
  <c r="F193" i="18"/>
  <c r="F194" i="18"/>
  <c r="F195" i="18"/>
  <c r="F196" i="18"/>
  <c r="F197" i="18"/>
  <c r="F198" i="18"/>
  <c r="F199" i="18"/>
  <c r="F200" i="18"/>
  <c r="F201" i="18"/>
  <c r="F202" i="18"/>
  <c r="F203" i="18"/>
  <c r="F204" i="18"/>
  <c r="F205" i="18"/>
  <c r="F206" i="18"/>
  <c r="F207" i="18"/>
  <c r="F208" i="18"/>
  <c r="F209" i="18"/>
  <c r="F210" i="18"/>
  <c r="F211" i="18"/>
  <c r="F212" i="18"/>
  <c r="F213" i="18"/>
  <c r="F214" i="18"/>
  <c r="F215" i="18"/>
  <c r="F216" i="18"/>
  <c r="F217" i="18"/>
  <c r="F218" i="18"/>
  <c r="F219" i="18"/>
  <c r="F220" i="18"/>
  <c r="F221" i="18"/>
  <c r="F222" i="18"/>
  <c r="F223" i="18"/>
  <c r="F224" i="18"/>
  <c r="F225" i="18"/>
  <c r="F226" i="18"/>
  <c r="F227" i="18"/>
  <c r="F228" i="18"/>
  <c r="F229" i="18"/>
  <c r="F230" i="18"/>
  <c r="F231" i="18"/>
  <c r="F232" i="18"/>
  <c r="F233" i="18"/>
  <c r="F234" i="18"/>
  <c r="F235" i="18"/>
  <c r="F236" i="18"/>
  <c r="F237" i="18"/>
  <c r="F238" i="18"/>
  <c r="F239" i="18"/>
  <c r="F240" i="18"/>
  <c r="F241" i="18"/>
  <c r="F242" i="18"/>
  <c r="F243" i="18"/>
  <c r="F244" i="18"/>
  <c r="F245" i="18"/>
  <c r="F246" i="18"/>
  <c r="F247" i="18"/>
  <c r="F248" i="18"/>
  <c r="F249" i="18"/>
  <c r="F250" i="18"/>
  <c r="F251" i="18"/>
  <c r="F252" i="18"/>
  <c r="F253" i="18"/>
  <c r="F254" i="18"/>
  <c r="F255" i="18"/>
  <c r="F256" i="18"/>
  <c r="F257" i="18"/>
  <c r="F258" i="18"/>
  <c r="F259" i="18"/>
  <c r="F260" i="18"/>
  <c r="F261" i="18"/>
  <c r="F262" i="18"/>
  <c r="F263" i="18"/>
  <c r="F264" i="18"/>
  <c r="F265" i="18"/>
  <c r="F266" i="18"/>
  <c r="F267" i="18"/>
  <c r="F268" i="18"/>
  <c r="F269" i="18"/>
  <c r="F270" i="18"/>
  <c r="F271" i="18"/>
  <c r="F272" i="18"/>
  <c r="F273" i="18"/>
  <c r="F274" i="18"/>
  <c r="F275" i="18"/>
  <c r="F276" i="18"/>
  <c r="F277" i="18"/>
  <c r="F278" i="18"/>
  <c r="F279" i="18"/>
  <c r="F280" i="18"/>
  <c r="F281" i="18"/>
  <c r="F282" i="18"/>
  <c r="F283" i="18"/>
  <c r="F284" i="18"/>
  <c r="F285" i="18"/>
  <c r="F286" i="18"/>
  <c r="F287" i="18"/>
  <c r="F288" i="18"/>
  <c r="F289" i="18"/>
  <c r="F290" i="18"/>
  <c r="F291" i="18"/>
  <c r="F292" i="18"/>
  <c r="F293" i="18"/>
  <c r="F294" i="18"/>
  <c r="F295" i="18"/>
  <c r="F296" i="18"/>
  <c r="F297" i="18"/>
  <c r="F298" i="18"/>
  <c r="F299" i="18"/>
  <c r="F300" i="18"/>
  <c r="F301" i="18"/>
  <c r="F302" i="18"/>
  <c r="F303" i="18"/>
  <c r="F304" i="18"/>
  <c r="F305" i="18"/>
  <c r="F306" i="18"/>
  <c r="F307" i="18"/>
  <c r="F308" i="18"/>
  <c r="F309" i="18"/>
  <c r="F310" i="18"/>
  <c r="F311" i="18"/>
  <c r="F2" i="18"/>
  <c r="D4" i="18"/>
  <c r="D3" i="18"/>
  <c r="D6" i="18"/>
  <c r="D8" i="18"/>
  <c r="D10" i="18"/>
  <c r="D12" i="18"/>
  <c r="D14" i="18"/>
  <c r="D18" i="18"/>
  <c r="D17" i="18"/>
  <c r="D16" i="18"/>
  <c r="D21" i="18"/>
  <c r="D20" i="18"/>
  <c r="D26" i="18"/>
  <c r="D25" i="18"/>
  <c r="D24" i="18"/>
  <c r="D31" i="18"/>
  <c r="D30" i="18"/>
  <c r="D29" i="18"/>
  <c r="D28" i="18"/>
  <c r="D34" i="18"/>
  <c r="D33" i="18"/>
  <c r="D37" i="18"/>
  <c r="D36" i="18"/>
  <c r="D40" i="18"/>
  <c r="D39" i="18"/>
  <c r="D43" i="18"/>
  <c r="D42" i="18"/>
  <c r="D46" i="18"/>
  <c r="D45" i="18"/>
  <c r="D49" i="18"/>
  <c r="D48" i="18"/>
  <c r="D56" i="18"/>
  <c r="D55" i="18"/>
  <c r="D54" i="18"/>
  <c r="D53" i="18"/>
  <c r="D52" i="18"/>
  <c r="D51" i="18"/>
  <c r="D63" i="18"/>
  <c r="D62" i="18"/>
  <c r="D61" i="18"/>
  <c r="D60" i="18"/>
  <c r="D59" i="18"/>
  <c r="D58" i="18"/>
  <c r="D65" i="18"/>
  <c r="D69" i="18"/>
  <c r="D68" i="18"/>
  <c r="D67" i="18"/>
  <c r="D72" i="18"/>
  <c r="D71" i="18"/>
  <c r="D74" i="18"/>
  <c r="D77" i="18"/>
  <c r="D76" i="18"/>
  <c r="D80" i="18"/>
  <c r="D79" i="18"/>
  <c r="D82" i="18"/>
  <c r="D90" i="18"/>
  <c r="D89" i="18"/>
  <c r="D88" i="18"/>
  <c r="D87" i="18"/>
  <c r="D86" i="18"/>
  <c r="D85" i="18"/>
  <c r="D84" i="18"/>
  <c r="D97" i="18"/>
  <c r="D96" i="18"/>
  <c r="D95" i="18"/>
  <c r="D94" i="18"/>
  <c r="D93" i="18"/>
  <c r="D92" i="18"/>
  <c r="D100" i="18"/>
  <c r="D99" i="18"/>
  <c r="D104" i="18"/>
  <c r="D103" i="18"/>
  <c r="D102" i="18"/>
  <c r="D106" i="18"/>
  <c r="D108" i="18"/>
  <c r="D111" i="18"/>
  <c r="D110" i="18"/>
  <c r="D115" i="18"/>
  <c r="D114" i="18"/>
  <c r="D113" i="18"/>
  <c r="D118" i="18"/>
  <c r="D117" i="18"/>
  <c r="D120" i="18"/>
  <c r="D123" i="18"/>
  <c r="D122" i="18"/>
  <c r="D134" i="18"/>
  <c r="D133" i="18"/>
  <c r="D132" i="18"/>
  <c r="D131" i="18"/>
  <c r="D130" i="18"/>
  <c r="D129" i="18"/>
  <c r="D128" i="18"/>
  <c r="D127" i="18"/>
  <c r="D126" i="18"/>
  <c r="D125" i="18"/>
  <c r="D137" i="18"/>
  <c r="D136" i="18"/>
  <c r="D147" i="18"/>
  <c r="D146" i="18"/>
  <c r="D145" i="18"/>
  <c r="D144" i="18"/>
  <c r="D143" i="18"/>
  <c r="D142" i="18"/>
  <c r="D141" i="18"/>
  <c r="D140" i="18"/>
  <c r="D139" i="18"/>
  <c r="D152" i="18"/>
  <c r="D151" i="18"/>
  <c r="D150" i="18"/>
  <c r="D149" i="18"/>
  <c r="D154" i="18"/>
  <c r="D158" i="18"/>
  <c r="D157" i="18"/>
  <c r="D156" i="18"/>
  <c r="D161" i="18"/>
  <c r="D160" i="18"/>
  <c r="D165" i="18"/>
  <c r="D164" i="18"/>
  <c r="D163" i="18"/>
  <c r="D167" i="18"/>
  <c r="D174" i="18"/>
  <c r="D173" i="18"/>
  <c r="D172" i="18"/>
  <c r="D171" i="18"/>
  <c r="D170" i="18"/>
  <c r="D169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92" i="18"/>
  <c r="D191" i="18"/>
  <c r="D194" i="18"/>
  <c r="D197" i="18"/>
  <c r="D196" i="18"/>
  <c r="D200" i="18"/>
  <c r="D199" i="18"/>
  <c r="D204" i="18"/>
  <c r="D203" i="18"/>
  <c r="D202" i="18"/>
  <c r="D209" i="18"/>
  <c r="D208" i="18"/>
  <c r="D207" i="18"/>
  <c r="D215" i="18"/>
  <c r="D214" i="18"/>
  <c r="D213" i="18"/>
  <c r="D212" i="18"/>
  <c r="D217" i="18"/>
  <c r="D221" i="18"/>
  <c r="D220" i="18"/>
  <c r="D219" i="18"/>
  <c r="D224" i="18"/>
  <c r="D223" i="18"/>
  <c r="D226" i="18"/>
  <c r="D228" i="18"/>
  <c r="D232" i="18"/>
  <c r="D231" i="18"/>
  <c r="D234" i="18"/>
  <c r="D245" i="18"/>
  <c r="D244" i="18"/>
  <c r="D243" i="18"/>
  <c r="D242" i="18"/>
  <c r="D241" i="18"/>
  <c r="D240" i="18"/>
  <c r="D239" i="18"/>
  <c r="D238" i="18"/>
  <c r="D237" i="18"/>
  <c r="D257" i="18"/>
  <c r="D256" i="18"/>
  <c r="D255" i="18"/>
  <c r="D254" i="18"/>
  <c r="D253" i="18"/>
  <c r="D252" i="18"/>
  <c r="D251" i="18"/>
  <c r="D250" i="18"/>
  <c r="D249" i="18"/>
  <c r="D248" i="18"/>
  <c r="D247" i="18"/>
  <c r="D260" i="18"/>
  <c r="D259" i="18"/>
  <c r="D263" i="18"/>
  <c r="D262" i="18"/>
  <c r="D266" i="18"/>
  <c r="D265" i="18"/>
  <c r="D270" i="18"/>
  <c r="D269" i="18"/>
  <c r="D273" i="18"/>
  <c r="D272" i="18"/>
  <c r="D277" i="18"/>
  <c r="D276" i="18"/>
  <c r="D275" i="18"/>
  <c r="D279" i="18"/>
  <c r="D283" i="18"/>
  <c r="D282" i="18"/>
  <c r="D281" i="18"/>
  <c r="D285" i="18"/>
  <c r="D287" i="18"/>
  <c r="D291" i="18"/>
  <c r="D290" i="18"/>
  <c r="D289" i="18"/>
  <c r="D293" i="18"/>
  <c r="D299" i="18"/>
  <c r="D301" i="18"/>
  <c r="D307" i="18"/>
  <c r="D306" i="18"/>
  <c r="D305" i="18"/>
  <c r="D304" i="18"/>
  <c r="D310" i="18"/>
  <c r="D309" i="18"/>
  <c r="D308" i="18"/>
  <c r="D303" i="18"/>
  <c r="D302" i="18"/>
  <c r="D300" i="18"/>
  <c r="D298" i="18"/>
  <c r="D297" i="18"/>
  <c r="D296" i="18"/>
  <c r="D295" i="18"/>
  <c r="D294" i="18"/>
  <c r="D292" i="18"/>
  <c r="D288" i="18"/>
  <c r="D286" i="18"/>
  <c r="D284" i="18"/>
  <c r="D280" i="18"/>
  <c r="D278" i="18"/>
  <c r="D274" i="18"/>
  <c r="D271" i="18"/>
  <c r="D268" i="18"/>
  <c r="D267" i="18"/>
  <c r="D264" i="18"/>
  <c r="D261" i="18"/>
  <c r="D258" i="18"/>
  <c r="D246" i="18"/>
  <c r="D236" i="18"/>
  <c r="D235" i="18"/>
  <c r="D233" i="18"/>
  <c r="D230" i="18"/>
  <c r="D229" i="18"/>
  <c r="D227" i="18"/>
  <c r="D225" i="18"/>
  <c r="D222" i="18"/>
  <c r="D218" i="18"/>
  <c r="D216" i="18"/>
  <c r="D211" i="18"/>
  <c r="D210" i="18"/>
  <c r="D206" i="18"/>
  <c r="D205" i="18"/>
  <c r="D201" i="18"/>
  <c r="D198" i="18"/>
  <c r="D195" i="18"/>
  <c r="D193" i="18"/>
  <c r="D190" i="18"/>
  <c r="D176" i="18"/>
  <c r="D175" i="18"/>
  <c r="D168" i="18"/>
  <c r="D166" i="18"/>
  <c r="D162" i="18"/>
  <c r="D159" i="18"/>
  <c r="D155" i="18"/>
  <c r="D153" i="18"/>
  <c r="D148" i="18"/>
  <c r="D138" i="18"/>
  <c r="D135" i="18"/>
  <c r="D124" i="18"/>
  <c r="D121" i="18"/>
  <c r="D119" i="18"/>
  <c r="D116" i="18"/>
  <c r="D112" i="18"/>
  <c r="D109" i="18"/>
  <c r="D107" i="18"/>
  <c r="D105" i="18"/>
  <c r="D101" i="18"/>
  <c r="D98" i="18"/>
  <c r="D91" i="18"/>
  <c r="D83" i="18"/>
  <c r="D81" i="18"/>
  <c r="D78" i="18"/>
  <c r="D75" i="18"/>
  <c r="D73" i="18"/>
  <c r="D70" i="18"/>
  <c r="D66" i="18"/>
  <c r="D64" i="18"/>
  <c r="D57" i="18"/>
  <c r="D50" i="18"/>
  <c r="D47" i="18"/>
  <c r="D44" i="18"/>
  <c r="D41" i="18"/>
  <c r="D38" i="18"/>
  <c r="D35" i="18"/>
  <c r="D32" i="18"/>
  <c r="D27" i="18"/>
  <c r="D23" i="18"/>
  <c r="D22" i="18"/>
  <c r="D19" i="18"/>
  <c r="D15" i="18"/>
  <c r="D13" i="18"/>
  <c r="D11" i="18"/>
  <c r="D9" i="18"/>
  <c r="D7" i="18"/>
  <c r="D5" i="18"/>
  <c r="D2" i="18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2" i="12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2" i="12"/>
  <c r="D92" i="13" l="1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D4" i="13"/>
  <c r="D3" i="13"/>
  <c r="D2" i="13"/>
  <c r="E49" i="7" a="1"/>
  <c r="E64" i="7" a="1"/>
  <c r="E68" i="7" a="1"/>
  <c r="E78" i="7" a="1"/>
  <c r="E11" i="7" a="1"/>
  <c r="E19" i="7" a="1"/>
  <c r="E41" i="7" a="1"/>
  <c r="E30" i="7" a="1"/>
  <c r="E33" i="7" a="1"/>
  <c r="E81" i="7" a="1"/>
  <c r="E20" i="7" a="1"/>
  <c r="E67" i="7" a="1"/>
  <c r="E85" i="7" a="1"/>
  <c r="E7" i="7" a="1"/>
  <c r="E32" i="7" a="1"/>
  <c r="E80" i="7" a="1"/>
  <c r="E22" i="7" a="1"/>
  <c r="E8" i="7" a="1"/>
  <c r="E62" i="7" a="1"/>
  <c r="E15" i="7" a="1"/>
  <c r="E52" i="7" a="1"/>
  <c r="E57" i="7" a="1"/>
  <c r="E44" i="7" a="1"/>
  <c r="E38" i="7" a="1"/>
  <c r="E17" i="7" a="1"/>
  <c r="E3" i="7" a="1"/>
  <c r="E42" i="7" a="1"/>
  <c r="E91" i="7" a="1"/>
  <c r="E50" i="7" a="1"/>
  <c r="E18" i="7" a="1"/>
  <c r="E36" i="7" a="1"/>
  <c r="E90" i="7" a="1"/>
  <c r="E92" i="7" a="1"/>
  <c r="E61" i="7" a="1"/>
  <c r="E66" i="7" a="1"/>
  <c r="E5" i="7" a="1"/>
  <c r="E55" i="7" a="1"/>
  <c r="E56" i="7" a="1"/>
  <c r="E26" i="7" a="1"/>
  <c r="E27" i="7" a="1"/>
  <c r="E29" i="7" a="1"/>
  <c r="E63" i="7" a="1"/>
  <c r="E58" i="7" a="1"/>
  <c r="E34" i="7" a="1"/>
  <c r="E16" i="7" a="1"/>
  <c r="E54" i="7" a="1"/>
  <c r="E65" i="7" a="1"/>
  <c r="E24" i="7" a="1"/>
  <c r="E74" i="7" a="1"/>
  <c r="E14" i="7" a="1"/>
  <c r="E40" i="7" a="1"/>
  <c r="E86" i="7" a="1"/>
  <c r="E76" i="7" a="1"/>
  <c r="E4" i="7" a="1"/>
  <c r="E59" i="7" a="1"/>
  <c r="E12" i="7" a="1"/>
  <c r="E43" i="7" a="1"/>
  <c r="E37" i="7" a="1"/>
  <c r="E75" i="7" a="1"/>
  <c r="E46" i="7" a="1"/>
  <c r="E31" i="7" a="1"/>
  <c r="E84" i="7" a="1"/>
  <c r="E48" i="7" a="1"/>
  <c r="E6" i="7" a="1"/>
  <c r="E71" i="7" a="1"/>
  <c r="E47" i="7" a="1"/>
  <c r="E13" i="7" a="1"/>
  <c r="E23" i="7" a="1"/>
  <c r="E73" i="7" a="1"/>
  <c r="E60" i="7" a="1"/>
  <c r="E87" i="7" a="1"/>
  <c r="E35" i="7" a="1"/>
  <c r="E88" i="7" a="1"/>
  <c r="E21" i="7" a="1"/>
  <c r="E25" i="7" a="1"/>
  <c r="E89" i="7" a="1"/>
  <c r="E45" i="7" a="1"/>
  <c r="E82" i="7" a="1"/>
  <c r="E70" i="7" a="1"/>
  <c r="E9" i="7" a="1"/>
  <c r="E28" i="7" a="1"/>
  <c r="E72" i="7" a="1"/>
  <c r="E53" i="7" a="1"/>
  <c r="E77" i="7" a="1"/>
  <c r="E69" i="7" a="1"/>
  <c r="E51" i="7" a="1"/>
  <c r="E39" i="7" a="1"/>
  <c r="E10" i="7" a="1"/>
  <c r="E83" i="7" a="1"/>
  <c r="E79" i="7" a="1"/>
  <c r="E87" i="7" l="1"/>
  <c r="E75" i="7"/>
  <c r="E55" i="7"/>
  <c r="E43" i="7"/>
  <c r="E23" i="7"/>
  <c r="E11" i="7"/>
  <c r="E90" i="7"/>
  <c r="E86" i="7"/>
  <c r="E78" i="7"/>
  <c r="E74" i="7"/>
  <c r="E70" i="7"/>
  <c r="E66" i="7"/>
  <c r="E62" i="7"/>
  <c r="E58" i="7"/>
  <c r="E54" i="7"/>
  <c r="E50" i="7"/>
  <c r="E46" i="7"/>
  <c r="E42" i="7"/>
  <c r="E38" i="7"/>
  <c r="E34" i="7"/>
  <c r="E30" i="7"/>
  <c r="E26" i="7"/>
  <c r="E22" i="7"/>
  <c r="E18" i="7"/>
  <c r="E14" i="7"/>
  <c r="E10" i="7"/>
  <c r="E6" i="7"/>
  <c r="E79" i="7"/>
  <c r="E51" i="7"/>
  <c r="E31" i="7"/>
  <c r="E19" i="7"/>
  <c r="E82" i="7"/>
  <c r="E91" i="7"/>
  <c r="E67" i="7"/>
  <c r="E47" i="7"/>
  <c r="E15" i="7"/>
  <c r="E89" i="7"/>
  <c r="E77" i="7"/>
  <c r="E69" i="7"/>
  <c r="E57" i="7"/>
  <c r="E53" i="7"/>
  <c r="E49" i="7"/>
  <c r="E37" i="7"/>
  <c r="E33" i="7"/>
  <c r="E29" i="7"/>
  <c r="E25" i="7"/>
  <c r="E21" i="7"/>
  <c r="E17" i="7"/>
  <c r="E13" i="7"/>
  <c r="E9" i="7"/>
  <c r="E5" i="7"/>
  <c r="E71" i="7"/>
  <c r="E59" i="7"/>
  <c r="E39" i="7"/>
  <c r="E27" i="7"/>
  <c r="E7" i="7"/>
  <c r="E85" i="7"/>
  <c r="E73" i="7"/>
  <c r="E65" i="7"/>
  <c r="E45" i="7"/>
  <c r="E92" i="7"/>
  <c r="E84" i="7"/>
  <c r="E76" i="7"/>
  <c r="E68" i="7"/>
  <c r="E64" i="7"/>
  <c r="E56" i="7"/>
  <c r="E52" i="7"/>
  <c r="E48" i="7"/>
  <c r="E44" i="7"/>
  <c r="E40" i="7"/>
  <c r="E36" i="7"/>
  <c r="E32" i="7"/>
  <c r="E28" i="7"/>
  <c r="E24" i="7"/>
  <c r="E20" i="7"/>
  <c r="E12" i="7"/>
  <c r="E8" i="7"/>
  <c r="E4" i="7"/>
  <c r="E83" i="7"/>
  <c r="E63" i="7"/>
  <c r="E35" i="7"/>
  <c r="E3" i="7"/>
  <c r="E81" i="7"/>
  <c r="E61" i="7"/>
  <c r="E41" i="7"/>
  <c r="E88" i="7"/>
  <c r="E80" i="7"/>
  <c r="E72" i="7"/>
  <c r="E60" i="7"/>
  <c r="E16" i="7"/>
  <c r="B274" i="11"/>
  <c r="C273" i="11" s="1"/>
  <c r="B273" i="11"/>
  <c r="C272" i="11" s="1"/>
  <c r="B272" i="11"/>
  <c r="C271" i="11" s="1"/>
  <c r="B271" i="11"/>
  <c r="C270" i="11" s="1"/>
  <c r="B270" i="11"/>
  <c r="C269" i="11" s="1"/>
  <c r="B269" i="11"/>
  <c r="C268" i="11" s="1"/>
  <c r="B268" i="11"/>
  <c r="C267" i="11" s="1"/>
  <c r="B267" i="11"/>
  <c r="C266" i="11" s="1"/>
  <c r="B266" i="11"/>
  <c r="C265" i="11" s="1"/>
  <c r="B265" i="11"/>
  <c r="C264" i="11" s="1"/>
  <c r="B264" i="11"/>
  <c r="C263" i="11" s="1"/>
  <c r="B263" i="11"/>
  <c r="C262" i="11" s="1"/>
  <c r="B262" i="11"/>
  <c r="C261" i="11" s="1"/>
  <c r="B261" i="11"/>
  <c r="C260" i="11" s="1"/>
  <c r="B260" i="11"/>
  <c r="C259" i="11" s="1"/>
  <c r="B259" i="11"/>
  <c r="C258" i="11" s="1"/>
  <c r="B258" i="11"/>
  <c r="C257" i="11" s="1"/>
  <c r="B257" i="11"/>
  <c r="C256" i="11" s="1"/>
  <c r="B256" i="11"/>
  <c r="C255" i="11" s="1"/>
  <c r="B255" i="11"/>
  <c r="C254" i="11" s="1"/>
  <c r="B254" i="11"/>
  <c r="C253" i="11" s="1"/>
  <c r="B253" i="11"/>
  <c r="C252" i="11" s="1"/>
  <c r="B252" i="11"/>
  <c r="C251" i="11" s="1"/>
  <c r="B251" i="11"/>
  <c r="C250" i="11" s="1"/>
  <c r="B250" i="11"/>
  <c r="C249" i="11" s="1"/>
  <c r="B249" i="11"/>
  <c r="C248" i="11" s="1"/>
  <c r="B248" i="11"/>
  <c r="C247" i="11" s="1"/>
  <c r="B247" i="11"/>
  <c r="C246" i="11" s="1"/>
  <c r="B246" i="11"/>
  <c r="C245" i="11" s="1"/>
  <c r="B245" i="11"/>
  <c r="C244" i="11" s="1"/>
  <c r="B244" i="11"/>
  <c r="C243" i="11" s="1"/>
  <c r="B243" i="11"/>
  <c r="C242" i="11" s="1"/>
  <c r="B242" i="11"/>
  <c r="C241" i="11" s="1"/>
  <c r="B241" i="11"/>
  <c r="C240" i="11" s="1"/>
  <c r="B240" i="11"/>
  <c r="C239" i="11" s="1"/>
  <c r="B239" i="11"/>
  <c r="C238" i="11" s="1"/>
  <c r="B238" i="11"/>
  <c r="C237" i="11" s="1"/>
  <c r="B237" i="11"/>
  <c r="C236" i="11" s="1"/>
  <c r="B236" i="11"/>
  <c r="C235" i="11" s="1"/>
  <c r="B235" i="11"/>
  <c r="C234" i="11" s="1"/>
  <c r="B234" i="11"/>
  <c r="C233" i="11" s="1"/>
  <c r="B233" i="11"/>
  <c r="C232" i="11" s="1"/>
  <c r="B232" i="11"/>
  <c r="C231" i="11" s="1"/>
  <c r="B231" i="11"/>
  <c r="C230" i="11" s="1"/>
  <c r="B230" i="11"/>
  <c r="C229" i="11" s="1"/>
  <c r="B229" i="11"/>
  <c r="C228" i="11" s="1"/>
  <c r="B228" i="11"/>
  <c r="C227" i="11" s="1"/>
  <c r="B227" i="11"/>
  <c r="C226" i="11" s="1"/>
  <c r="B226" i="11"/>
  <c r="C225" i="11" s="1"/>
  <c r="B225" i="11"/>
  <c r="C224" i="11" s="1"/>
  <c r="B224" i="11"/>
  <c r="C223" i="11" s="1"/>
  <c r="B223" i="11"/>
  <c r="C222" i="11" s="1"/>
  <c r="B222" i="11"/>
  <c r="C221" i="11" s="1"/>
  <c r="B221" i="11"/>
  <c r="C220" i="11" s="1"/>
  <c r="B220" i="11"/>
  <c r="C219" i="11" s="1"/>
  <c r="B219" i="11"/>
  <c r="C218" i="11" s="1"/>
  <c r="B218" i="11"/>
  <c r="C217" i="11" s="1"/>
  <c r="B217" i="11"/>
  <c r="C216" i="11" s="1"/>
  <c r="B216" i="11"/>
  <c r="C215" i="11" s="1"/>
  <c r="B215" i="11"/>
  <c r="C214" i="11" s="1"/>
  <c r="B214" i="11"/>
  <c r="C213" i="11" s="1"/>
  <c r="B213" i="11"/>
  <c r="C212" i="11" s="1"/>
  <c r="B212" i="11"/>
  <c r="C211" i="11" s="1"/>
  <c r="B211" i="11"/>
  <c r="C210" i="11" s="1"/>
  <c r="B210" i="11"/>
  <c r="C209" i="11" s="1"/>
  <c r="B209" i="11"/>
  <c r="C208" i="11" s="1"/>
  <c r="B208" i="11"/>
  <c r="C207" i="11" s="1"/>
  <c r="B207" i="11"/>
  <c r="C206" i="11" s="1"/>
  <c r="B206" i="11"/>
  <c r="C205" i="11" s="1"/>
  <c r="B205" i="11"/>
  <c r="C204" i="11" s="1"/>
  <c r="B204" i="11"/>
  <c r="C203" i="11" s="1"/>
  <c r="B203" i="11"/>
  <c r="C202" i="11" s="1"/>
  <c r="B202" i="11"/>
  <c r="C201" i="11" s="1"/>
  <c r="B201" i="11"/>
  <c r="C200" i="11" s="1"/>
  <c r="B200" i="11"/>
  <c r="C199" i="11" s="1"/>
  <c r="B199" i="11"/>
  <c r="C198" i="11" s="1"/>
  <c r="B198" i="11"/>
  <c r="C197" i="11" s="1"/>
  <c r="B197" i="11"/>
  <c r="C196" i="11" s="1"/>
  <c r="B196" i="11"/>
  <c r="C195" i="11" s="1"/>
  <c r="B195" i="11"/>
  <c r="C194" i="11" s="1"/>
  <c r="B194" i="11"/>
  <c r="C193" i="11" s="1"/>
  <c r="B193" i="11"/>
  <c r="C192" i="11" s="1"/>
  <c r="B192" i="11"/>
  <c r="C191" i="11" s="1"/>
  <c r="B191" i="11"/>
  <c r="C190" i="11" s="1"/>
  <c r="B190" i="11"/>
  <c r="C189" i="11" s="1"/>
  <c r="B189" i="11"/>
  <c r="C188" i="11" s="1"/>
  <c r="B188" i="11"/>
  <c r="C187" i="11" s="1"/>
  <c r="B187" i="11"/>
  <c r="C186" i="11" s="1"/>
  <c r="B186" i="11"/>
  <c r="C185" i="11" s="1"/>
  <c r="B185" i="11"/>
  <c r="C184" i="11" s="1"/>
  <c r="B184" i="11"/>
  <c r="C183" i="11" s="1"/>
  <c r="B183" i="11"/>
  <c r="C182" i="11" s="1"/>
  <c r="B182" i="11"/>
  <c r="C181" i="11" s="1"/>
  <c r="B181" i="11"/>
  <c r="C180" i="11" s="1"/>
  <c r="B180" i="11"/>
  <c r="C179" i="11" s="1"/>
  <c r="B179" i="11"/>
  <c r="C178" i="11" s="1"/>
  <c r="B178" i="11"/>
  <c r="C177" i="11" s="1"/>
  <c r="B177" i="11"/>
  <c r="C176" i="11" s="1"/>
  <c r="B176" i="11"/>
  <c r="C175" i="11" s="1"/>
  <c r="B175" i="11"/>
  <c r="C174" i="11" s="1"/>
  <c r="B174" i="11"/>
  <c r="C173" i="11" s="1"/>
  <c r="B173" i="11"/>
  <c r="C172" i="11" s="1"/>
  <c r="B172" i="11"/>
  <c r="C171" i="11" s="1"/>
  <c r="B171" i="11"/>
  <c r="C170" i="11" s="1"/>
  <c r="B170" i="11"/>
  <c r="C169" i="11" s="1"/>
  <c r="B169" i="11"/>
  <c r="C168" i="11" s="1"/>
  <c r="B168" i="11"/>
  <c r="C167" i="11" s="1"/>
  <c r="B167" i="11"/>
  <c r="C166" i="11" s="1"/>
  <c r="B166" i="11"/>
  <c r="C165" i="11" s="1"/>
  <c r="B165" i="11"/>
  <c r="C164" i="11" s="1"/>
  <c r="B164" i="11"/>
  <c r="C163" i="11" s="1"/>
  <c r="B163" i="11"/>
  <c r="C162" i="11" s="1"/>
  <c r="B162" i="11"/>
  <c r="C161" i="11" s="1"/>
  <c r="B161" i="11"/>
  <c r="C160" i="11" s="1"/>
  <c r="B160" i="11"/>
  <c r="C159" i="11" s="1"/>
  <c r="B159" i="11"/>
  <c r="C158" i="11" s="1"/>
  <c r="B158" i="11"/>
  <c r="C157" i="11" s="1"/>
  <c r="B157" i="11"/>
  <c r="C156" i="11" s="1"/>
  <c r="B156" i="11"/>
  <c r="C155" i="11" s="1"/>
  <c r="B155" i="11"/>
  <c r="C154" i="11" s="1"/>
  <c r="B154" i="11"/>
  <c r="C153" i="11" s="1"/>
  <c r="B153" i="11"/>
  <c r="C152" i="11" s="1"/>
  <c r="B152" i="11"/>
  <c r="C151" i="11" s="1"/>
  <c r="B151" i="11"/>
  <c r="C150" i="11" s="1"/>
  <c r="B150" i="11"/>
  <c r="C149" i="11" s="1"/>
  <c r="B149" i="11"/>
  <c r="C148" i="11" s="1"/>
  <c r="B148" i="11"/>
  <c r="C147" i="11" s="1"/>
  <c r="B147" i="11"/>
  <c r="C146" i="11" s="1"/>
  <c r="B146" i="11"/>
  <c r="C145" i="11" s="1"/>
  <c r="B145" i="11"/>
  <c r="C144" i="11" s="1"/>
  <c r="B144" i="11"/>
  <c r="C143" i="11" s="1"/>
  <c r="B143" i="11"/>
  <c r="C142" i="11" s="1"/>
  <c r="B142" i="11"/>
  <c r="C141" i="11" s="1"/>
  <c r="B141" i="11"/>
  <c r="C140" i="11" s="1"/>
  <c r="B140" i="11"/>
  <c r="C139" i="11" s="1"/>
  <c r="B139" i="11"/>
  <c r="C138" i="11" s="1"/>
  <c r="B138" i="11"/>
  <c r="C137" i="11" s="1"/>
  <c r="B137" i="11"/>
  <c r="C136" i="11" s="1"/>
  <c r="B136" i="11"/>
  <c r="C135" i="11" s="1"/>
  <c r="B135" i="11"/>
  <c r="C134" i="11" s="1"/>
  <c r="B134" i="11"/>
  <c r="C133" i="11" s="1"/>
  <c r="B133" i="11"/>
  <c r="C132" i="11" s="1"/>
  <c r="B132" i="11"/>
  <c r="C131" i="11" s="1"/>
  <c r="B131" i="11"/>
  <c r="C130" i="11" s="1"/>
  <c r="B130" i="11"/>
  <c r="C129" i="11" s="1"/>
  <c r="B129" i="11"/>
  <c r="C128" i="11" s="1"/>
  <c r="B128" i="11"/>
  <c r="C127" i="11" s="1"/>
  <c r="B127" i="11"/>
  <c r="C126" i="11" s="1"/>
  <c r="B126" i="11"/>
  <c r="C125" i="11" s="1"/>
  <c r="B125" i="11"/>
  <c r="C124" i="11" s="1"/>
  <c r="B124" i="11"/>
  <c r="C123" i="11" s="1"/>
  <c r="B123" i="11"/>
  <c r="C122" i="11" s="1"/>
  <c r="B122" i="11"/>
  <c r="C121" i="11" s="1"/>
  <c r="B121" i="11"/>
  <c r="C120" i="11" s="1"/>
  <c r="B120" i="11"/>
  <c r="C119" i="11" s="1"/>
  <c r="B119" i="11"/>
  <c r="C118" i="11" s="1"/>
  <c r="B118" i="11"/>
  <c r="C117" i="11" s="1"/>
  <c r="B117" i="11"/>
  <c r="C116" i="11" s="1"/>
  <c r="B116" i="11"/>
  <c r="C115" i="11" s="1"/>
  <c r="B115" i="11"/>
  <c r="C114" i="11" s="1"/>
  <c r="B114" i="11"/>
  <c r="C113" i="11" s="1"/>
  <c r="B113" i="11"/>
  <c r="C112" i="11" s="1"/>
  <c r="B112" i="11"/>
  <c r="C111" i="11" s="1"/>
  <c r="B111" i="11"/>
  <c r="C110" i="11" s="1"/>
  <c r="B110" i="11"/>
  <c r="C109" i="11" s="1"/>
  <c r="B109" i="11"/>
  <c r="C108" i="11" s="1"/>
  <c r="B108" i="11"/>
  <c r="C107" i="11" s="1"/>
  <c r="B107" i="11"/>
  <c r="C106" i="11" s="1"/>
  <c r="B106" i="11"/>
  <c r="C105" i="11" s="1"/>
  <c r="B105" i="11"/>
  <c r="C104" i="11" s="1"/>
  <c r="B104" i="11"/>
  <c r="C103" i="11" s="1"/>
  <c r="B103" i="11"/>
  <c r="C102" i="11" s="1"/>
  <c r="B102" i="11"/>
  <c r="C101" i="11" s="1"/>
  <c r="B101" i="11"/>
  <c r="C100" i="11" s="1"/>
  <c r="B100" i="11"/>
  <c r="C99" i="11" s="1"/>
  <c r="B99" i="11"/>
  <c r="C98" i="11" s="1"/>
  <c r="B98" i="11"/>
  <c r="C97" i="11" s="1"/>
  <c r="B97" i="11"/>
  <c r="C96" i="11" s="1"/>
  <c r="B96" i="11"/>
  <c r="C95" i="11" s="1"/>
  <c r="B95" i="11"/>
  <c r="C94" i="11" s="1"/>
  <c r="B94" i="11"/>
  <c r="C93" i="11" s="1"/>
  <c r="B93" i="11"/>
  <c r="C92" i="11" s="1"/>
  <c r="B92" i="11"/>
  <c r="C91" i="11" s="1"/>
  <c r="B91" i="11"/>
  <c r="C90" i="11" s="1"/>
  <c r="B90" i="11"/>
  <c r="C89" i="11" s="1"/>
  <c r="B89" i="11"/>
  <c r="C88" i="11" s="1"/>
  <c r="B88" i="11"/>
  <c r="C87" i="11" s="1"/>
  <c r="B87" i="11"/>
  <c r="C86" i="11" s="1"/>
  <c r="B86" i="11"/>
  <c r="C85" i="11" s="1"/>
  <c r="B85" i="11"/>
  <c r="C84" i="11" s="1"/>
  <c r="B84" i="11"/>
  <c r="C83" i="11" s="1"/>
  <c r="B83" i="11"/>
  <c r="C82" i="11" s="1"/>
  <c r="B82" i="11"/>
  <c r="C81" i="11" s="1"/>
  <c r="B81" i="11"/>
  <c r="C80" i="11" s="1"/>
  <c r="B80" i="11"/>
  <c r="C79" i="11" s="1"/>
  <c r="B79" i="11"/>
  <c r="C78" i="11" s="1"/>
  <c r="B78" i="11"/>
  <c r="C77" i="11" s="1"/>
  <c r="B77" i="11"/>
  <c r="C76" i="11" s="1"/>
  <c r="B76" i="11"/>
  <c r="C75" i="11" s="1"/>
  <c r="B75" i="11"/>
  <c r="C74" i="11" s="1"/>
  <c r="B74" i="11"/>
  <c r="C73" i="11" s="1"/>
  <c r="B73" i="11"/>
  <c r="C72" i="11" s="1"/>
  <c r="B72" i="11"/>
  <c r="C71" i="11" s="1"/>
  <c r="B71" i="11"/>
  <c r="C70" i="11" s="1"/>
  <c r="B70" i="11"/>
  <c r="C69" i="11" s="1"/>
  <c r="B69" i="11"/>
  <c r="C68" i="11" s="1"/>
  <c r="B68" i="11"/>
  <c r="C67" i="11" s="1"/>
  <c r="B67" i="11"/>
  <c r="C66" i="11" s="1"/>
  <c r="B66" i="11"/>
  <c r="C65" i="11" s="1"/>
  <c r="B65" i="11"/>
  <c r="C64" i="11" s="1"/>
  <c r="B64" i="11"/>
  <c r="C63" i="11" s="1"/>
  <c r="B63" i="11"/>
  <c r="C62" i="11" s="1"/>
  <c r="B62" i="11"/>
  <c r="C61" i="11" s="1"/>
  <c r="B61" i="11"/>
  <c r="C60" i="11" s="1"/>
  <c r="B60" i="11"/>
  <c r="C59" i="11" s="1"/>
  <c r="B59" i="11"/>
  <c r="C58" i="11" s="1"/>
  <c r="B58" i="11"/>
  <c r="C57" i="11" s="1"/>
  <c r="B57" i="11"/>
  <c r="C56" i="11" s="1"/>
  <c r="B56" i="11"/>
  <c r="C55" i="11" s="1"/>
  <c r="B55" i="11"/>
  <c r="C54" i="11" s="1"/>
  <c r="B54" i="11"/>
  <c r="C53" i="11" s="1"/>
  <c r="B53" i="11"/>
  <c r="C52" i="11" s="1"/>
  <c r="B52" i="11"/>
  <c r="C51" i="11" s="1"/>
  <c r="B51" i="11"/>
  <c r="C50" i="11" s="1"/>
  <c r="B50" i="11"/>
  <c r="C49" i="11" s="1"/>
  <c r="B49" i="11"/>
  <c r="C48" i="11" s="1"/>
  <c r="B48" i="11"/>
  <c r="C47" i="11" s="1"/>
  <c r="B47" i="11"/>
  <c r="C46" i="11" s="1"/>
  <c r="B46" i="11"/>
  <c r="C45" i="11" s="1"/>
  <c r="B45" i="11"/>
  <c r="C44" i="11" s="1"/>
  <c r="B44" i="11"/>
  <c r="C43" i="11" s="1"/>
  <c r="B43" i="11"/>
  <c r="C42" i="11" s="1"/>
  <c r="B42" i="11"/>
  <c r="C41" i="11" s="1"/>
  <c r="B41" i="11"/>
  <c r="C40" i="11" s="1"/>
  <c r="B40" i="11"/>
  <c r="C39" i="11" s="1"/>
  <c r="B39" i="11"/>
  <c r="C38" i="11" s="1"/>
  <c r="B38" i="11"/>
  <c r="C37" i="11" s="1"/>
  <c r="B37" i="11"/>
  <c r="C36" i="11" s="1"/>
  <c r="B36" i="11"/>
  <c r="C35" i="11" s="1"/>
  <c r="B35" i="11"/>
  <c r="C34" i="11" s="1"/>
  <c r="B34" i="11"/>
  <c r="C33" i="11" s="1"/>
  <c r="B33" i="11"/>
  <c r="C32" i="11" s="1"/>
  <c r="B32" i="11"/>
  <c r="C31" i="11" s="1"/>
  <c r="B31" i="11"/>
  <c r="C30" i="11" s="1"/>
  <c r="B30" i="11"/>
  <c r="C29" i="11" s="1"/>
  <c r="B29" i="11"/>
  <c r="C28" i="11" s="1"/>
  <c r="B28" i="11"/>
  <c r="C27" i="11" s="1"/>
  <c r="B27" i="11"/>
  <c r="C26" i="11" s="1"/>
  <c r="B26" i="11"/>
  <c r="C25" i="11" s="1"/>
  <c r="B25" i="11"/>
  <c r="C24" i="11" s="1"/>
  <c r="B24" i="11"/>
  <c r="C23" i="11" s="1"/>
  <c r="B23" i="11"/>
  <c r="C22" i="11" s="1"/>
  <c r="B22" i="11"/>
  <c r="C21" i="11" s="1"/>
  <c r="B21" i="11"/>
  <c r="C20" i="11" s="1"/>
  <c r="B20" i="11"/>
  <c r="C19" i="11" s="1"/>
  <c r="B19" i="11"/>
  <c r="C18" i="11" s="1"/>
  <c r="B18" i="11"/>
  <c r="C17" i="11" s="1"/>
  <c r="B17" i="11"/>
  <c r="C16" i="11" s="1"/>
  <c r="B16" i="11"/>
  <c r="C15" i="11" s="1"/>
  <c r="B15" i="11"/>
  <c r="C14" i="11" s="1"/>
  <c r="B14" i="11"/>
  <c r="C13" i="11" s="1"/>
  <c r="B13" i="11"/>
  <c r="C12" i="11" s="1"/>
  <c r="B12" i="11"/>
  <c r="C11" i="11" s="1"/>
  <c r="B11" i="11"/>
  <c r="C10" i="11" s="1"/>
  <c r="B10" i="11"/>
  <c r="C9" i="11" s="1"/>
  <c r="B9" i="11"/>
  <c r="C8" i="11" s="1"/>
  <c r="B8" i="11"/>
  <c r="C7" i="11" s="1"/>
  <c r="B7" i="11"/>
  <c r="C6" i="11" s="1"/>
  <c r="B6" i="11"/>
  <c r="C5" i="11" s="1"/>
  <c r="B5" i="11"/>
  <c r="C4" i="11" s="1"/>
  <c r="B4" i="11"/>
  <c r="C3" i="11" s="1"/>
  <c r="B3" i="11"/>
  <c r="C2" i="11" s="1"/>
  <c r="B2" i="11"/>
  <c r="C284" i="5"/>
  <c r="B214" i="5"/>
  <c r="C213" i="5" s="1"/>
  <c r="B41" i="5"/>
  <c r="C40" i="5" s="1"/>
  <c r="B54" i="5"/>
  <c r="C53" i="5" s="1"/>
  <c r="B3" i="5"/>
  <c r="C2" i="5" s="1"/>
  <c r="B4" i="5"/>
  <c r="C3" i="5" s="1"/>
  <c r="B5" i="5"/>
  <c r="C4" i="5" s="1"/>
  <c r="B6" i="5"/>
  <c r="C5" i="5" s="1"/>
  <c r="B7" i="5"/>
  <c r="C6" i="5" s="1"/>
  <c r="B8" i="5"/>
  <c r="C7" i="5" s="1"/>
  <c r="B9" i="5"/>
  <c r="C8" i="5" s="1"/>
  <c r="B10" i="5"/>
  <c r="C9" i="5" s="1"/>
  <c r="B11" i="5"/>
  <c r="C10" i="5" s="1"/>
  <c r="B12" i="5"/>
  <c r="C11" i="5" s="1"/>
  <c r="B13" i="5"/>
  <c r="C12" i="5" s="1"/>
  <c r="B14" i="5"/>
  <c r="C13" i="5" s="1"/>
  <c r="B15" i="5"/>
  <c r="C14" i="5" s="1"/>
  <c r="B16" i="5"/>
  <c r="C15" i="5" s="1"/>
  <c r="B17" i="5"/>
  <c r="C16" i="5" s="1"/>
  <c r="B18" i="5"/>
  <c r="C17" i="5" s="1"/>
  <c r="B19" i="5"/>
  <c r="C18" i="5" s="1"/>
  <c r="B20" i="5"/>
  <c r="C19" i="5" s="1"/>
  <c r="B21" i="5"/>
  <c r="C20" i="5" s="1"/>
  <c r="B22" i="5"/>
  <c r="C21" i="5" s="1"/>
  <c r="B23" i="5"/>
  <c r="C22" i="5" s="1"/>
  <c r="B24" i="5"/>
  <c r="C23" i="5" s="1"/>
  <c r="B25" i="5"/>
  <c r="C24" i="5" s="1"/>
  <c r="B26" i="5"/>
  <c r="C25" i="5" s="1"/>
  <c r="B27" i="5"/>
  <c r="C26" i="5" s="1"/>
  <c r="B28" i="5"/>
  <c r="C27" i="5" s="1"/>
  <c r="B29" i="5"/>
  <c r="C28" i="5" s="1"/>
  <c r="B30" i="5"/>
  <c r="C29" i="5" s="1"/>
  <c r="B31" i="5"/>
  <c r="C30" i="5" s="1"/>
  <c r="B32" i="5"/>
  <c r="C31" i="5" s="1"/>
  <c r="B33" i="5"/>
  <c r="C32" i="5" s="1"/>
  <c r="B34" i="5"/>
  <c r="C33" i="5" s="1"/>
  <c r="B35" i="5"/>
  <c r="C34" i="5" s="1"/>
  <c r="B36" i="5"/>
  <c r="C35" i="5" s="1"/>
  <c r="B37" i="5"/>
  <c r="C36" i="5" s="1"/>
  <c r="B38" i="5"/>
  <c r="C37" i="5" s="1"/>
  <c r="B39" i="5"/>
  <c r="C38" i="5" s="1"/>
  <c r="B40" i="5"/>
  <c r="C39" i="5" s="1"/>
  <c r="B42" i="5"/>
  <c r="C41" i="5" s="1"/>
  <c r="B43" i="5"/>
  <c r="C42" i="5" s="1"/>
  <c r="B44" i="5"/>
  <c r="C43" i="5" s="1"/>
  <c r="B45" i="5"/>
  <c r="C44" i="5" s="1"/>
  <c r="B46" i="5"/>
  <c r="C45" i="5" s="1"/>
  <c r="B47" i="5"/>
  <c r="C46" i="5" s="1"/>
  <c r="B48" i="5"/>
  <c r="C47" i="5" s="1"/>
  <c r="B49" i="5"/>
  <c r="C48" i="5" s="1"/>
  <c r="B50" i="5"/>
  <c r="C49" i="5" s="1"/>
  <c r="B51" i="5"/>
  <c r="C50" i="5" s="1"/>
  <c r="B52" i="5"/>
  <c r="C51" i="5" s="1"/>
  <c r="B53" i="5"/>
  <c r="C52" i="5" s="1"/>
  <c r="B55" i="5"/>
  <c r="C54" i="5" s="1"/>
  <c r="B56" i="5"/>
  <c r="C55" i="5" s="1"/>
  <c r="B57" i="5"/>
  <c r="C56" i="5" s="1"/>
  <c r="B58" i="5"/>
  <c r="C57" i="5" s="1"/>
  <c r="B59" i="5"/>
  <c r="C58" i="5" s="1"/>
  <c r="B60" i="5"/>
  <c r="C59" i="5" s="1"/>
  <c r="B61" i="5"/>
  <c r="C60" i="5" s="1"/>
  <c r="B62" i="5"/>
  <c r="C61" i="5" s="1"/>
  <c r="B63" i="5"/>
  <c r="C62" i="5" s="1"/>
  <c r="B64" i="5"/>
  <c r="C63" i="5" s="1"/>
  <c r="B65" i="5"/>
  <c r="C64" i="5" s="1"/>
  <c r="B66" i="5"/>
  <c r="C65" i="5" s="1"/>
  <c r="B67" i="5"/>
  <c r="C66" i="5" s="1"/>
  <c r="B68" i="5"/>
  <c r="C67" i="5" s="1"/>
  <c r="B69" i="5"/>
  <c r="C68" i="5" s="1"/>
  <c r="B70" i="5"/>
  <c r="C69" i="5" s="1"/>
  <c r="B71" i="5"/>
  <c r="C70" i="5" s="1"/>
  <c r="B72" i="5"/>
  <c r="C71" i="5" s="1"/>
  <c r="B73" i="5"/>
  <c r="C72" i="5" s="1"/>
  <c r="B74" i="5"/>
  <c r="C73" i="5" s="1"/>
  <c r="B75" i="5"/>
  <c r="C74" i="5" s="1"/>
  <c r="B76" i="5"/>
  <c r="C75" i="5" s="1"/>
  <c r="B77" i="5"/>
  <c r="C76" i="5" s="1"/>
  <c r="B78" i="5"/>
  <c r="C77" i="5" s="1"/>
  <c r="B79" i="5"/>
  <c r="C78" i="5" s="1"/>
  <c r="B80" i="5"/>
  <c r="C79" i="5" s="1"/>
  <c r="B81" i="5"/>
  <c r="C80" i="5" s="1"/>
  <c r="B82" i="5"/>
  <c r="C81" i="5" s="1"/>
  <c r="B83" i="5"/>
  <c r="C82" i="5" s="1"/>
  <c r="B84" i="5"/>
  <c r="C83" i="5" s="1"/>
  <c r="B85" i="5"/>
  <c r="C84" i="5" s="1"/>
  <c r="B86" i="5"/>
  <c r="C85" i="5" s="1"/>
  <c r="B87" i="5"/>
  <c r="C86" i="5" s="1"/>
  <c r="B88" i="5"/>
  <c r="C87" i="5" s="1"/>
  <c r="B89" i="5"/>
  <c r="C88" i="5" s="1"/>
  <c r="B90" i="5"/>
  <c r="C89" i="5" s="1"/>
  <c r="B91" i="5"/>
  <c r="C90" i="5" s="1"/>
  <c r="B92" i="5"/>
  <c r="C91" i="5" s="1"/>
  <c r="B93" i="5"/>
  <c r="C92" i="5" s="1"/>
  <c r="B94" i="5"/>
  <c r="C93" i="5" s="1"/>
  <c r="B95" i="5"/>
  <c r="C94" i="5" s="1"/>
  <c r="B96" i="5"/>
  <c r="C95" i="5" s="1"/>
  <c r="B97" i="5"/>
  <c r="C96" i="5" s="1"/>
  <c r="B98" i="5"/>
  <c r="C97" i="5" s="1"/>
  <c r="B99" i="5"/>
  <c r="C98" i="5" s="1"/>
  <c r="B100" i="5"/>
  <c r="C99" i="5" s="1"/>
  <c r="B101" i="5"/>
  <c r="C100" i="5" s="1"/>
  <c r="B102" i="5"/>
  <c r="C101" i="5" s="1"/>
  <c r="B103" i="5"/>
  <c r="C102" i="5" s="1"/>
  <c r="B104" i="5"/>
  <c r="C103" i="5" s="1"/>
  <c r="B105" i="5"/>
  <c r="C104" i="5" s="1"/>
  <c r="B106" i="5"/>
  <c r="C105" i="5" s="1"/>
  <c r="B107" i="5"/>
  <c r="C106" i="5" s="1"/>
  <c r="B108" i="5"/>
  <c r="C107" i="5" s="1"/>
  <c r="B109" i="5"/>
  <c r="C108" i="5" s="1"/>
  <c r="B110" i="5"/>
  <c r="C109" i="5" s="1"/>
  <c r="B111" i="5"/>
  <c r="C110" i="5" s="1"/>
  <c r="B112" i="5"/>
  <c r="C111" i="5" s="1"/>
  <c r="B113" i="5"/>
  <c r="C112" i="5" s="1"/>
  <c r="B114" i="5"/>
  <c r="C113" i="5" s="1"/>
  <c r="B115" i="5"/>
  <c r="C114" i="5" s="1"/>
  <c r="B116" i="5"/>
  <c r="C115" i="5" s="1"/>
  <c r="B117" i="5"/>
  <c r="C116" i="5" s="1"/>
  <c r="B118" i="5"/>
  <c r="C117" i="5" s="1"/>
  <c r="B119" i="5"/>
  <c r="C118" i="5" s="1"/>
  <c r="B120" i="5"/>
  <c r="C119" i="5" s="1"/>
  <c r="B121" i="5"/>
  <c r="C120" i="5" s="1"/>
  <c r="B122" i="5"/>
  <c r="C121" i="5" s="1"/>
  <c r="B123" i="5"/>
  <c r="C122" i="5" s="1"/>
  <c r="B124" i="5"/>
  <c r="C123" i="5" s="1"/>
  <c r="B125" i="5"/>
  <c r="C124" i="5" s="1"/>
  <c r="B126" i="5"/>
  <c r="C125" i="5" s="1"/>
  <c r="B127" i="5"/>
  <c r="C126" i="5" s="1"/>
  <c r="B128" i="5"/>
  <c r="C127" i="5" s="1"/>
  <c r="B129" i="5"/>
  <c r="C128" i="5" s="1"/>
  <c r="B130" i="5"/>
  <c r="C129" i="5" s="1"/>
  <c r="B131" i="5"/>
  <c r="C130" i="5" s="1"/>
  <c r="B132" i="5"/>
  <c r="C131" i="5" s="1"/>
  <c r="B133" i="5"/>
  <c r="C132" i="5" s="1"/>
  <c r="B134" i="5"/>
  <c r="C133" i="5" s="1"/>
  <c r="B135" i="5"/>
  <c r="C134" i="5" s="1"/>
  <c r="B136" i="5"/>
  <c r="C135" i="5" s="1"/>
  <c r="B137" i="5"/>
  <c r="C136" i="5" s="1"/>
  <c r="B138" i="5"/>
  <c r="C137" i="5" s="1"/>
  <c r="B139" i="5"/>
  <c r="C138" i="5" s="1"/>
  <c r="B140" i="5"/>
  <c r="C139" i="5" s="1"/>
  <c r="B141" i="5"/>
  <c r="C140" i="5" s="1"/>
  <c r="B142" i="5"/>
  <c r="C141" i="5" s="1"/>
  <c r="B143" i="5"/>
  <c r="C142" i="5" s="1"/>
  <c r="B144" i="5"/>
  <c r="C143" i="5" s="1"/>
  <c r="B145" i="5"/>
  <c r="C144" i="5" s="1"/>
  <c r="B146" i="5"/>
  <c r="C145" i="5" s="1"/>
  <c r="B147" i="5"/>
  <c r="C146" i="5" s="1"/>
  <c r="B148" i="5"/>
  <c r="C147" i="5" s="1"/>
  <c r="B149" i="5"/>
  <c r="C148" i="5" s="1"/>
  <c r="B150" i="5"/>
  <c r="C149" i="5" s="1"/>
  <c r="B151" i="5"/>
  <c r="C150" i="5" s="1"/>
  <c r="B152" i="5"/>
  <c r="C151" i="5" s="1"/>
  <c r="B153" i="5"/>
  <c r="C152" i="5" s="1"/>
  <c r="B154" i="5"/>
  <c r="C153" i="5" s="1"/>
  <c r="B155" i="5"/>
  <c r="C154" i="5" s="1"/>
  <c r="B156" i="5"/>
  <c r="C155" i="5" s="1"/>
  <c r="B157" i="5"/>
  <c r="C156" i="5" s="1"/>
  <c r="B158" i="5"/>
  <c r="C157" i="5" s="1"/>
  <c r="B159" i="5"/>
  <c r="C158" i="5" s="1"/>
  <c r="B160" i="5"/>
  <c r="C159" i="5" s="1"/>
  <c r="B161" i="5"/>
  <c r="C160" i="5" s="1"/>
  <c r="B162" i="5"/>
  <c r="C161" i="5" s="1"/>
  <c r="B163" i="5"/>
  <c r="C162" i="5" s="1"/>
  <c r="B164" i="5"/>
  <c r="C163" i="5" s="1"/>
  <c r="B165" i="5"/>
  <c r="C164" i="5" s="1"/>
  <c r="B166" i="5"/>
  <c r="C165" i="5" s="1"/>
  <c r="B167" i="5"/>
  <c r="C166" i="5" s="1"/>
  <c r="B168" i="5"/>
  <c r="C167" i="5" s="1"/>
  <c r="B169" i="5"/>
  <c r="C168" i="5" s="1"/>
  <c r="B170" i="5"/>
  <c r="C169" i="5" s="1"/>
  <c r="B171" i="5"/>
  <c r="C170" i="5" s="1"/>
  <c r="B172" i="5"/>
  <c r="C171" i="5" s="1"/>
  <c r="B173" i="5"/>
  <c r="C172" i="5" s="1"/>
  <c r="B174" i="5"/>
  <c r="C173" i="5" s="1"/>
  <c r="B175" i="5"/>
  <c r="C174" i="5" s="1"/>
  <c r="B176" i="5"/>
  <c r="C175" i="5" s="1"/>
  <c r="B177" i="5"/>
  <c r="C176" i="5" s="1"/>
  <c r="B178" i="5"/>
  <c r="C177" i="5" s="1"/>
  <c r="B179" i="5"/>
  <c r="C178" i="5" s="1"/>
  <c r="B180" i="5"/>
  <c r="C179" i="5" s="1"/>
  <c r="B181" i="5"/>
  <c r="C180" i="5" s="1"/>
  <c r="B182" i="5"/>
  <c r="C181" i="5" s="1"/>
  <c r="B183" i="5"/>
  <c r="C182" i="5" s="1"/>
  <c r="B184" i="5"/>
  <c r="C183" i="5" s="1"/>
  <c r="B185" i="5"/>
  <c r="C184" i="5" s="1"/>
  <c r="B186" i="5"/>
  <c r="C185" i="5" s="1"/>
  <c r="B187" i="5"/>
  <c r="C186" i="5" s="1"/>
  <c r="B188" i="5"/>
  <c r="C187" i="5" s="1"/>
  <c r="B189" i="5"/>
  <c r="C188" i="5" s="1"/>
  <c r="B190" i="5"/>
  <c r="C189" i="5" s="1"/>
  <c r="B191" i="5"/>
  <c r="C190" i="5" s="1"/>
  <c r="B192" i="5"/>
  <c r="C191" i="5" s="1"/>
  <c r="B193" i="5"/>
  <c r="C192" i="5" s="1"/>
  <c r="B194" i="5"/>
  <c r="C193" i="5" s="1"/>
  <c r="B195" i="5"/>
  <c r="C194" i="5" s="1"/>
  <c r="B196" i="5"/>
  <c r="C195" i="5" s="1"/>
  <c r="B197" i="5"/>
  <c r="C196" i="5" s="1"/>
  <c r="B198" i="5"/>
  <c r="C197" i="5" s="1"/>
  <c r="B199" i="5"/>
  <c r="C198" i="5" s="1"/>
  <c r="B200" i="5"/>
  <c r="C199" i="5" s="1"/>
  <c r="B201" i="5"/>
  <c r="C200" i="5" s="1"/>
  <c r="B202" i="5"/>
  <c r="C201" i="5" s="1"/>
  <c r="B203" i="5"/>
  <c r="C202" i="5" s="1"/>
  <c r="B204" i="5"/>
  <c r="C203" i="5" s="1"/>
  <c r="B205" i="5"/>
  <c r="C204" i="5" s="1"/>
  <c r="B206" i="5"/>
  <c r="C205" i="5" s="1"/>
  <c r="B207" i="5"/>
  <c r="C206" i="5" s="1"/>
  <c r="B208" i="5"/>
  <c r="C207" i="5" s="1"/>
  <c r="B209" i="5"/>
  <c r="C208" i="5" s="1"/>
  <c r="B210" i="5"/>
  <c r="C209" i="5" s="1"/>
  <c r="B211" i="5"/>
  <c r="C210" i="5" s="1"/>
  <c r="B212" i="5"/>
  <c r="C211" i="5" s="1"/>
  <c r="B213" i="5"/>
  <c r="C212" i="5" s="1"/>
  <c r="B215" i="5"/>
  <c r="C214" i="5" s="1"/>
  <c r="B216" i="5"/>
  <c r="C215" i="5" s="1"/>
  <c r="B217" i="5"/>
  <c r="C216" i="5" s="1"/>
  <c r="B218" i="5"/>
  <c r="C217" i="5" s="1"/>
  <c r="B219" i="5"/>
  <c r="C218" i="5" s="1"/>
  <c r="B220" i="5"/>
  <c r="C219" i="5" s="1"/>
  <c r="B221" i="5"/>
  <c r="C220" i="5" s="1"/>
  <c r="B222" i="5"/>
  <c r="C221" i="5" s="1"/>
  <c r="B223" i="5"/>
  <c r="C222" i="5" s="1"/>
  <c r="B224" i="5"/>
  <c r="C223" i="5" s="1"/>
  <c r="B225" i="5"/>
  <c r="C224" i="5" s="1"/>
  <c r="B226" i="5"/>
  <c r="C225" i="5" s="1"/>
  <c r="B227" i="5"/>
  <c r="C226" i="5" s="1"/>
  <c r="B228" i="5"/>
  <c r="C227" i="5" s="1"/>
  <c r="B229" i="5"/>
  <c r="C228" i="5" s="1"/>
  <c r="B230" i="5"/>
  <c r="C229" i="5" s="1"/>
  <c r="B231" i="5"/>
  <c r="C230" i="5" s="1"/>
  <c r="B232" i="5"/>
  <c r="C231" i="5" s="1"/>
  <c r="B233" i="5"/>
  <c r="C232" i="5" s="1"/>
  <c r="B234" i="5"/>
  <c r="C233" i="5" s="1"/>
  <c r="B235" i="5"/>
  <c r="C234" i="5" s="1"/>
  <c r="B236" i="5"/>
  <c r="C235" i="5" s="1"/>
  <c r="B237" i="5"/>
  <c r="C236" i="5" s="1"/>
  <c r="B238" i="5"/>
  <c r="C237" i="5" s="1"/>
  <c r="B239" i="5"/>
  <c r="C238" i="5" s="1"/>
  <c r="B240" i="5"/>
  <c r="C239" i="5" s="1"/>
  <c r="B241" i="5"/>
  <c r="C240" i="5" s="1"/>
  <c r="B242" i="5"/>
  <c r="C241" i="5" s="1"/>
  <c r="B243" i="5"/>
  <c r="C242" i="5" s="1"/>
  <c r="B244" i="5"/>
  <c r="C243" i="5" s="1"/>
  <c r="B245" i="5"/>
  <c r="C244" i="5" s="1"/>
  <c r="B246" i="5"/>
  <c r="C245" i="5" s="1"/>
  <c r="B247" i="5"/>
  <c r="C246" i="5" s="1"/>
  <c r="B248" i="5"/>
  <c r="C247" i="5" s="1"/>
  <c r="B249" i="5"/>
  <c r="C248" i="5" s="1"/>
  <c r="B250" i="5"/>
  <c r="C249" i="5" s="1"/>
  <c r="B251" i="5"/>
  <c r="C250" i="5" s="1"/>
  <c r="B252" i="5"/>
  <c r="C251" i="5" s="1"/>
  <c r="B253" i="5"/>
  <c r="C252" i="5" s="1"/>
  <c r="B254" i="5"/>
  <c r="C253" i="5" s="1"/>
  <c r="B255" i="5"/>
  <c r="C254" i="5" s="1"/>
  <c r="B256" i="5"/>
  <c r="C255" i="5" s="1"/>
  <c r="B257" i="5"/>
  <c r="C256" i="5" s="1"/>
  <c r="B258" i="5"/>
  <c r="C257" i="5" s="1"/>
  <c r="B259" i="5"/>
  <c r="C258" i="5" s="1"/>
  <c r="B260" i="5"/>
  <c r="C259" i="5" s="1"/>
  <c r="B261" i="5"/>
  <c r="C260" i="5" s="1"/>
  <c r="B262" i="5"/>
  <c r="C261" i="5" s="1"/>
  <c r="B263" i="5"/>
  <c r="C262" i="5" s="1"/>
  <c r="B264" i="5"/>
  <c r="C263" i="5" s="1"/>
  <c r="B265" i="5"/>
  <c r="C264" i="5" s="1"/>
  <c r="B266" i="5"/>
  <c r="C265" i="5" s="1"/>
  <c r="B267" i="5"/>
  <c r="C266" i="5" s="1"/>
  <c r="B268" i="5"/>
  <c r="C267" i="5" s="1"/>
  <c r="B269" i="5"/>
  <c r="C268" i="5" s="1"/>
  <c r="B270" i="5"/>
  <c r="C269" i="5" s="1"/>
  <c r="B271" i="5"/>
  <c r="C270" i="5" s="1"/>
  <c r="B272" i="5"/>
  <c r="C271" i="5" s="1"/>
  <c r="B273" i="5"/>
  <c r="C272" i="5" s="1"/>
  <c r="B274" i="5"/>
  <c r="C273" i="5" s="1"/>
  <c r="B275" i="5"/>
  <c r="C274" i="5" s="1"/>
  <c r="B276" i="5"/>
  <c r="C275" i="5" s="1"/>
  <c r="B277" i="5"/>
  <c r="C276" i="5" s="1"/>
  <c r="B278" i="5"/>
  <c r="C277" i="5" s="1"/>
  <c r="B279" i="5"/>
  <c r="C278" i="5" s="1"/>
  <c r="B280" i="5"/>
  <c r="C279" i="5" s="1"/>
  <c r="B281" i="5"/>
  <c r="C280" i="5" s="1"/>
  <c r="B282" i="5"/>
  <c r="C281" i="5" s="1"/>
  <c r="B283" i="5"/>
  <c r="C282" i="5" s="1"/>
  <c r="B284" i="5"/>
  <c r="C283" i="5" s="1"/>
  <c r="B2" i="5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30" i="4"/>
  <c r="B303" i="4"/>
  <c r="B304" i="4"/>
  <c r="B305" i="4"/>
  <c r="B306" i="4"/>
  <c r="B307" i="4"/>
  <c r="B308" i="4"/>
  <c r="B309" i="4"/>
  <c r="B450" i="4"/>
  <c r="B451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2" i="4"/>
  <c r="B1" i="4"/>
  <c r="E2" i="7" a="1"/>
  <c r="E267" i="18" l="1"/>
  <c r="E267" i="19"/>
  <c r="E302" i="18"/>
  <c r="E302" i="19"/>
  <c r="E296" i="18"/>
  <c r="E296" i="19"/>
  <c r="E294" i="18"/>
  <c r="E294" i="19"/>
  <c r="E229" i="18"/>
  <c r="E229" i="19"/>
  <c r="E210" i="18"/>
  <c r="E210" i="19"/>
  <c r="E205" i="18"/>
  <c r="E205" i="19"/>
  <c r="E175" i="18"/>
  <c r="E175" i="19"/>
  <c r="E235" i="18"/>
  <c r="E235" i="19"/>
  <c r="E22" i="18"/>
  <c r="E22" i="19"/>
  <c r="E295" i="18"/>
  <c r="E295" i="19"/>
  <c r="E297" i="18"/>
  <c r="E297" i="19"/>
  <c r="E60" i="13"/>
  <c r="E85" i="13"/>
  <c r="E87" i="13"/>
  <c r="E73" i="13"/>
  <c r="E63" i="13"/>
  <c r="E36" i="13"/>
  <c r="E66" i="13"/>
  <c r="E5" i="13"/>
  <c r="E16" i="13"/>
  <c r="E57" i="13"/>
  <c r="E82" i="13"/>
  <c r="E19" i="13"/>
  <c r="E50" i="13"/>
  <c r="E84" i="13"/>
  <c r="E78" i="13"/>
  <c r="E80" i="13"/>
  <c r="E33" i="13"/>
  <c r="E74" i="13"/>
  <c r="E28" i="13"/>
  <c r="E17" i="13"/>
  <c r="E69" i="13"/>
  <c r="E14" i="13"/>
  <c r="E22" i="13"/>
  <c r="E54" i="13"/>
  <c r="E89" i="13"/>
  <c r="E90" i="13"/>
  <c r="E3" i="13"/>
  <c r="E42" i="13"/>
  <c r="E86" i="13"/>
  <c r="E35" i="13"/>
  <c r="E29" i="13"/>
  <c r="E79" i="13"/>
  <c r="E30" i="13"/>
  <c r="E25" i="13"/>
  <c r="E55" i="13"/>
  <c r="E11" i="13"/>
  <c r="E62" i="13"/>
  <c r="E41" i="13"/>
  <c r="E6" i="13"/>
  <c r="E45" i="13"/>
  <c r="E91" i="13"/>
  <c r="E61" i="13"/>
  <c r="E27" i="13"/>
  <c r="E88" i="13"/>
  <c r="E51" i="13"/>
  <c r="E31" i="13"/>
  <c r="E24" i="13"/>
  <c r="E59" i="13"/>
  <c r="E12" i="13"/>
  <c r="E48" i="13"/>
  <c r="E44" i="13"/>
  <c r="E71" i="13"/>
  <c r="E39" i="13"/>
  <c r="E21" i="13"/>
  <c r="E81" i="13"/>
  <c r="E38" i="13"/>
  <c r="E67" i="13"/>
  <c r="E46" i="13"/>
  <c r="E77" i="13"/>
  <c r="E15" i="13"/>
  <c r="E52" i="13"/>
  <c r="E65" i="13"/>
  <c r="E4" i="13"/>
  <c r="E32" i="13"/>
  <c r="E43" i="13"/>
  <c r="E2" i="13"/>
  <c r="E34" i="13"/>
  <c r="E70" i="13"/>
  <c r="E58" i="13"/>
  <c r="E18" i="13"/>
  <c r="E7" i="13"/>
  <c r="E26" i="13"/>
  <c r="E56" i="13"/>
  <c r="E72" i="13"/>
  <c r="E9" i="13"/>
  <c r="E49" i="13"/>
  <c r="E68" i="13"/>
  <c r="E10" i="13"/>
  <c r="E47" i="13"/>
  <c r="E76" i="13"/>
  <c r="E75" i="13"/>
  <c r="E37" i="13"/>
  <c r="E23" i="13"/>
  <c r="E64" i="13"/>
  <c r="E13" i="13"/>
  <c r="E53" i="13"/>
  <c r="E92" i="13"/>
  <c r="E20" i="13"/>
  <c r="E40" i="13"/>
  <c r="E83" i="13"/>
  <c r="E2" i="7"/>
  <c r="E8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<sst xmlns="http://schemas.openxmlformats.org/spreadsheetml/2006/main" count="3489" uniqueCount="573">
  <si>
    <t>4” Long Teardrop</t>
  </si>
  <si>
    <t>S, M, L, XL</t>
  </si>
  <si>
    <t>61432BH THE ARCHITECT</t>
  </si>
  <si>
    <t>6 7/8, 7, 7 1/8, 7 1/4, 7 3/8, 7 1/2, 7 5/8</t>
  </si>
  <si>
    <t>61430BH TRINELL</t>
  </si>
  <si>
    <t>Superior Fur Felt</t>
  </si>
  <si>
    <t>37173BH AMMON</t>
  </si>
  <si>
    <t>30001BH WALSH</t>
  </si>
  <si>
    <t>37171BH WINTERS</t>
  </si>
  <si>
    <t>Black</t>
  </si>
  <si>
    <t>6140 DRAPER III</t>
  </si>
  <si>
    <t>5 1/4” Pinch Front Crown</t>
  </si>
  <si>
    <t>2 1/4” Snap Brim</t>
  </si>
  <si>
    <t>Japanese Grosgrain Trim</t>
  </si>
  <si>
    <t>Genuine Leather Sweatband</t>
  </si>
  <si>
    <t>Fully Lined</t>
  </si>
  <si>
    <t>Black Charcoal Cognac Olive</t>
  </si>
  <si>
    <t>61433BH CAVALIER</t>
  </si>
  <si>
    <t>4 3/4” Raised Front Teardrop Crown</t>
  </si>
  <si>
    <t>2 5/8” Brim</t>
  </si>
  <si>
    <t>Black Maple</t>
  </si>
  <si>
    <t>61424BH RALAT</t>
  </si>
  <si>
    <t>3” Snap Brim</t>
  </si>
  <si>
    <t>Vintage Flooring Nail</t>
  </si>
  <si>
    <t>Fine Woven Sweatband</t>
  </si>
  <si>
    <t>Black Charcoal</t>
  </si>
  <si>
    <t>4 1/2” Cattleman Crown</t>
  </si>
  <si>
    <t>Black Buckskin</t>
  </si>
  <si>
    <t>61442BH NILSON</t>
  </si>
  <si>
    <t>2 7/8” Brim</t>
  </si>
  <si>
    <t>Black Dipped Nail</t>
  </si>
  <si>
    <t>Copper Slate Uniform Green</t>
  </si>
  <si>
    <t>4 1/2” Raised Front Teardrop Crown</t>
  </si>
  <si>
    <t>2 3/4” Brim</t>
  </si>
  <si>
    <t>Lambskin Leather Pug Band with Metal Tip</t>
  </si>
  <si>
    <t>Removable Feather</t>
  </si>
  <si>
    <t>Black Light Mink</t>
  </si>
  <si>
    <t>61428BH GIRVIN</t>
  </si>
  <si>
    <t>4” Long Teardrop Crown</t>
  </si>
  <si>
    <t>3” Brim</t>
  </si>
  <si>
    <t>Black Chocolate</t>
  </si>
  <si>
    <t>47009BH FLUME</t>
  </si>
  <si>
    <t>Fur Velour</t>
  </si>
  <si>
    <t>Smooth Natural Lambskin Trim with Feather</t>
  </si>
  <si>
    <t>Aubergine Black Mink</t>
  </si>
  <si>
    <t>61426BH AUMAN</t>
  </si>
  <si>
    <t>Chain Link Detail</t>
  </si>
  <si>
    <t>37188BH COLBY</t>
  </si>
  <si>
    <t>4 1/2” Fedora Crown</t>
  </si>
  <si>
    <t>2 5/8” Snap Brim</t>
  </si>
  <si>
    <t>Superfine Velour Finish</t>
  </si>
  <si>
    <t>Narrow Leather Band with Thick Topstitch</t>
  </si>
  <si>
    <t>Leather Cord Knot at Crosspiece with Removable Feather</t>
  </si>
  <si>
    <t>Black Nickel Soft Khaki Stucco</t>
  </si>
  <si>
    <t>37189BH GODWIN</t>
  </si>
  <si>
    <t>3” Flat Brim</t>
  </si>
  <si>
    <t>Leather Band with Double Triangle Fold</t>
  </si>
  <si>
    <t>Black Eggplant Lazuli Blue Oak Taupe</t>
  </si>
  <si>
    <t>37190BH TREVEL</t>
  </si>
  <si>
    <t>Japanese Grosgrain Geometric Band</t>
  </si>
  <si>
    <t>Black Copper Nickel</t>
  </si>
  <si>
    <t>37172BH BOGAN</t>
  </si>
  <si>
    <t>4” Center Dent Crown</t>
  </si>
  <si>
    <t>2” Snap Brim</t>
  </si>
  <si>
    <t>Elite Finish</t>
  </si>
  <si>
    <t>Peacoat Plaza Taupe Saddle Steel</t>
  </si>
  <si>
    <t>Almond Black Camel</t>
  </si>
  <si>
    <t>20007BH CLORINDON</t>
  </si>
  <si>
    <t>3” Brim with Bound Edge</t>
  </si>
  <si>
    <t>Elite Stiffened Finish</t>
  </si>
  <si>
    <t>Wide Japanese Grosgrain Band</t>
  </si>
  <si>
    <t>Heathered Ribbon Overlay with Knotted End</t>
  </si>
  <si>
    <t>Leather Sweatband</t>
  </si>
  <si>
    <t>Black Unbleached</t>
  </si>
  <si>
    <t>37193BH CONLON</t>
  </si>
  <si>
    <t>3 1/4” Brim with Slight Curl</t>
  </si>
  <si>
    <t>Beaver Finish</t>
  </si>
  <si>
    <t>Thin Japanese Grosgrain Ribbon Band</t>
  </si>
  <si>
    <t>Black Lazuli Blue Uniform Green</t>
  </si>
  <si>
    <t>37192BH CROFT</t>
  </si>
  <si>
    <t>4” Outdoorsman Crown</t>
  </si>
  <si>
    <t>Japanese Grosgrain Band overlaid with Ostrich Leather Band</t>
  </si>
  <si>
    <t>Black Copper Taupe</t>
  </si>
  <si>
    <t>20001BH COLVER</t>
  </si>
  <si>
    <t>Japanese Grosgrain Trim with Vintage Flooring Nail</t>
  </si>
  <si>
    <t>Drilex® Sweatband</t>
  </si>
  <si>
    <t>Greige Honey Ochre Silver Lining</t>
  </si>
  <si>
    <t>Avion Black Chestnut</t>
  </si>
  <si>
    <t>20009BH COLTER</t>
  </si>
  <si>
    <t>5 1/4” Raised Front Teardrop Crown</t>
  </si>
  <si>
    <t>3” Flat Brim with Underbrim Color Accent</t>
  </si>
  <si>
    <t>Stacked Japanese Grosgrain Ribbon Band</t>
  </si>
  <si>
    <t>Black Nickel Oak</t>
  </si>
  <si>
    <t>30003BH LANG</t>
  </si>
  <si>
    <t>4 1/4” Teardrop Crown</t>
  </si>
  <si>
    <t>3” Flat Brim with Double Wrapped Leather Band</t>
  </si>
  <si>
    <t>Polished Elite Stiffened Finish</t>
  </si>
  <si>
    <t>Avion Black Uniform Green</t>
  </si>
  <si>
    <t>37191BH LEVON</t>
  </si>
  <si>
    <t>4” Telescope Crown</t>
  </si>
  <si>
    <t>Elite Velour Finish</t>
  </si>
  <si>
    <t>Velvet Band with Contrast Tipped Crosspiece</t>
  </si>
  <si>
    <t>Black Lazuli Blue Oak</t>
  </si>
  <si>
    <t>37180BH STEDMAN</t>
  </si>
  <si>
    <t>Leather Double Wrap Band</t>
  </si>
  <si>
    <t>S, M, L, XL, XXL</t>
  </si>
  <si>
    <t>Black Camel Oak Stucco</t>
  </si>
  <si>
    <t>4” Rounded Pork Pie Crown</t>
  </si>
  <si>
    <t>Goatskin Leather Sweatband</t>
  </si>
  <si>
    <t>Black Plaza Taupe</t>
  </si>
  <si>
    <t>37185BH ELLETT</t>
  </si>
  <si>
    <t>4” Sever Pinch Front Crown</t>
  </si>
  <si>
    <t>2 3/8” Snap Brim</t>
  </si>
  <si>
    <t>Japanese Wide Grosgrain Trim Folded with Pleated End Piece</t>
  </si>
  <si>
    <t>Avion Black Soft Khaki</t>
  </si>
  <si>
    <t>37186BH ERNEST</t>
  </si>
  <si>
    <t>Polished Elite Finish</t>
  </si>
  <si>
    <t>Wide Japanese Grosgrain Band with Contrast Stripe at Crosspiece</t>
  </si>
  <si>
    <t>Cream Dipped Nail</t>
  </si>
  <si>
    <t>Black Midnight Brown Unbleached</t>
  </si>
  <si>
    <t>4 1/2” Teardrop Crown</t>
  </si>
  <si>
    <t>2 7/8” Turn Down Brim</t>
  </si>
  <si>
    <t>Almond Black Camel Henna</t>
  </si>
  <si>
    <t>30002BH BARKSDALE</t>
  </si>
  <si>
    <t>3 1/4” Hand Curled Brim</t>
  </si>
  <si>
    <t>Japanese Herringbone Ribbon Trim with Metal Clamp</t>
  </si>
  <si>
    <t>Beech Black Whiskey</t>
  </si>
  <si>
    <t>20006BH DEVERS</t>
  </si>
  <si>
    <t>Pebbled Leather Band with Buckle Detail</t>
  </si>
  <si>
    <t>Ink Blue Plaza Taupe</t>
  </si>
  <si>
    <t>37158BH BRANDT</t>
  </si>
  <si>
    <t>2 1/2”” Turn Down Brim</t>
  </si>
  <si>
    <t>Lanolux®</t>
  </si>
  <si>
    <t>Natural Leather Trim</t>
  </si>
  <si>
    <t>S, M, L, XL, XXL, XXXL</t>
  </si>
  <si>
    <t>Black Black Mix Bluestone Walnut</t>
  </si>
  <si>
    <t>37161BH PERRY</t>
  </si>
  <si>
    <t>Navy Serpent Walnut</t>
  </si>
  <si>
    <t>70656BH ACKER</t>
  </si>
  <si>
    <t>2 1/2” Snap Brim</t>
  </si>
  <si>
    <t>LiteFelt®</t>
  </si>
  <si>
    <t>Dual Color Suede Band with Whip Stitch Detail</t>
  </si>
  <si>
    <t>Thin Metal Detail on Each Side</t>
  </si>
  <si>
    <t>Comfort Sweatband</t>
  </si>
  <si>
    <t>7034 BLIXEN</t>
  </si>
  <si>
    <t>Navy Nickel Satin Brass Silverbelly Vintage Blue</t>
  </si>
  <si>
    <t>7006 BRIAR</t>
  </si>
  <si>
    <t>3” Contour Turn Down Brim</t>
  </si>
  <si>
    <t>Black Unbleached Woodland Mix</t>
  </si>
  <si>
    <t>70655BH LUND</t>
  </si>
  <si>
    <t>Suede Braid Cording with Metal Ends</t>
  </si>
  <si>
    <t>Black Ochre</t>
  </si>
  <si>
    <t>70658BH MOLIN</t>
  </si>
  <si>
    <t>3” Turn Down Brim</t>
  </si>
  <si>
    <t>Japanese Ribbon with Leather Band Overlay</t>
  </si>
  <si>
    <t>Black Oak</t>
  </si>
  <si>
    <t>70657BH FALCON</t>
  </si>
  <si>
    <t>4” Outback Crown</t>
  </si>
  <si>
    <t>Japanese Grograin Band with a Two Tone Leather Band</t>
  </si>
  <si>
    <t>Avion Black</t>
  </si>
  <si>
    <t>70659BH COLVIN</t>
  </si>
  <si>
    <t>Thin Double Wrapped Leather Band</t>
  </si>
  <si>
    <t>Black Honey Uniform Green</t>
  </si>
  <si>
    <t>70660BH ERLER</t>
  </si>
  <si>
    <t>4” Severe Pinch Front Crown</t>
  </si>
  <si>
    <t>Partial Grosgrain Band</t>
  </si>
  <si>
    <t>Pinch Stitching on Crown</t>
  </si>
  <si>
    <t>Black Nickel Satin Brass Uniform Green</t>
  </si>
  <si>
    <t>7021 DARRON</t>
  </si>
  <si>
    <t>4 1/2” Telescope Crown</t>
  </si>
  <si>
    <t>1 1/2” Snap</t>
  </si>
  <si>
    <t>Black Caramel Gun Metal Satin Brass Soft Khaki</t>
  </si>
  <si>
    <t>7005 CURTIS</t>
  </si>
  <si>
    <t>4” Low Profile Pinch Front Crown</t>
  </si>
  <si>
    <t>2 1/2” Turn Down Brim</t>
  </si>
  <si>
    <t>Sea Breeze Serpent Speckled Egg Mix Uniform Green Vintage Blue</t>
  </si>
  <si>
    <t>Antique Black Contrapposto Grey Navy</t>
  </si>
  <si>
    <t>70652BH MARACK</t>
  </si>
  <si>
    <t>Japanese Double Layered Ribbon Band</t>
  </si>
  <si>
    <t>Black Oxford Mix</t>
  </si>
  <si>
    <t>70646BH NELLES</t>
  </si>
  <si>
    <t>4” Low Teardrop Crown</t>
  </si>
  <si>
    <t>Two Tone Braided Leather Cord Trim</t>
  </si>
  <si>
    <t>Moisture Wicking Sweatband</t>
  </si>
  <si>
    <t>Black Camel Pale Olive Whiskey</t>
  </si>
  <si>
    <t>70654BH TREPORT</t>
  </si>
  <si>
    <t>Aged Suede Band with Metal Trim</t>
  </si>
  <si>
    <t>Ink Blue Olive Mix Rust</t>
  </si>
  <si>
    <t>7002 FEDORA</t>
  </si>
  <si>
    <t>Black Graphite Nickel Red</t>
  </si>
  <si>
    <t>70613BH SPERLING</t>
  </si>
  <si>
    <t>Bluestone Serpent Woodland Mix</t>
  </si>
  <si>
    <t>70653BH BURNELL</t>
  </si>
  <si>
    <t>Japanese Ribbon with Two Slot Crosspiece</t>
  </si>
  <si>
    <t>Feather inserted into Slots</t>
  </si>
  <si>
    <t>Natural Mix Ochre</t>
  </si>
  <si>
    <t>7016 WYNN</t>
  </si>
  <si>
    <t>1 3/4” Contour Snap Brim</t>
  </si>
  <si>
    <t>Oxblood Pewter Serpent Silverbelly</t>
  </si>
  <si>
    <t>Black Cognac Olive Mix</t>
  </si>
  <si>
    <t>7055 ATMORE</t>
  </si>
  <si>
    <t>2 1/4” Brim</t>
  </si>
  <si>
    <t>Hand Torched LiteFelt®</t>
  </si>
  <si>
    <t>Medium Brown Mix</t>
  </si>
  <si>
    <t>7001 TINO</t>
  </si>
  <si>
    <t>Contrapposto Copper Natural Mix Navy Port</t>
  </si>
  <si>
    <t>Red Satin Brass Sea Breeze Unbleached Vintage Blue</t>
  </si>
  <si>
    <t>Basalt Black Black Mix Brown</t>
  </si>
  <si>
    <t>38367BH NIALL</t>
  </si>
  <si>
    <t>4” Brim</t>
  </si>
  <si>
    <t>Wool Felt</t>
  </si>
  <si>
    <t>Narrow Two Tone Japanese Grograin Trim</t>
  </si>
  <si>
    <t>Black Cognac Fawn</t>
  </si>
  <si>
    <t>38359BH TROPE</t>
  </si>
  <si>
    <t>2 1/2” Bound Brim</t>
  </si>
  <si>
    <t>No Band</t>
  </si>
  <si>
    <t>Bailey Oval Pin</t>
  </si>
  <si>
    <t>Black Uniform Green</t>
  </si>
  <si>
    <t>38368BH CYD</t>
  </si>
  <si>
    <t>Avion Black Whiskey</t>
  </si>
  <si>
    <t>38366BH THALER</t>
  </si>
  <si>
    <t>Pug Band</t>
  </si>
  <si>
    <t>Black Nickel Uniform Green</t>
  </si>
  <si>
    <t>3817 GODFATHER</t>
  </si>
  <si>
    <t>Homburg Crown</t>
  </si>
  <si>
    <t>2 3/4” Roll Brim with Binding</t>
  </si>
  <si>
    <t>3814 GANGSTER</t>
  </si>
  <si>
    <t>38345BH MAGLOR</t>
  </si>
  <si>
    <t>1 1/2” Brim</t>
  </si>
  <si>
    <t>Grosgrain Trim</t>
  </si>
  <si>
    <t>Black Chocolate Forest Navy</t>
  </si>
  <si>
    <t>7100 RIFF</t>
  </si>
  <si>
    <t>Polished Wool Felt</t>
  </si>
  <si>
    <t>Black Lazuli Blue Mink Ochre</t>
  </si>
  <si>
    <t>38350BH PISTON</t>
  </si>
  <si>
    <t>3 1/4” Brim</t>
  </si>
  <si>
    <t>Vegan Leather Bolo Cord</t>
  </si>
  <si>
    <t>Black Caramel Navy Olive</t>
  </si>
  <si>
    <t>38357BH KISNER</t>
  </si>
  <si>
    <t>5 1/2” Open Crown</t>
  </si>
  <si>
    <t>Stiffened Wool Felt</t>
  </si>
  <si>
    <t>Laser Etched Design at Center Back</t>
  </si>
  <si>
    <t>Logo Metal Staple</t>
  </si>
  <si>
    <t>Black Silver Sand</t>
  </si>
  <si>
    <t>71001BH CRISS</t>
  </si>
  <si>
    <t>Bitter Chocolate Black Mink Night Shade Navy</t>
  </si>
  <si>
    <t>10001BH BRODNAX</t>
  </si>
  <si>
    <t>4 1/2” Moldable Crown</t>
  </si>
  <si>
    <t>2 1/2” Brim</t>
  </si>
  <si>
    <t>Moldable Wool Felt Finish</t>
  </si>
  <si>
    <t>Japanese Grosgrain Ribbon</t>
  </si>
  <si>
    <t>Overlaid with Laced Leather Band</t>
  </si>
  <si>
    <t>Black Olive Oil Plaza Taupe</t>
  </si>
  <si>
    <t>38358BH STERNE</t>
  </si>
  <si>
    <t>Japanese Grosgrain Ribbon with Double Folded Loop</t>
  </si>
  <si>
    <t>Braided Leather Cord Overlay with Metal Ends</t>
  </si>
  <si>
    <t>Ochre Soft Khaki</t>
  </si>
  <si>
    <t>38349BH KLAXON</t>
  </si>
  <si>
    <t>2” Brim</t>
  </si>
  <si>
    <t>Black Navy</t>
  </si>
  <si>
    <t>1451 JETT</t>
  </si>
  <si>
    <t>4” Porkpie Crown</t>
  </si>
  <si>
    <t>6 3/4, 6 7/8, 7, 7 1/8, 7 1/4, 7 3/8, 7 1/2, 7 5/8</t>
  </si>
  <si>
    <t>1452 HARKER</t>
  </si>
  <si>
    <t>4 1/2” Derby Crown</t>
  </si>
  <si>
    <t>1 1/2” Stingy Rolled Brim</t>
  </si>
  <si>
    <t>Black Hemlock</t>
  </si>
  <si>
    <t>3813 ICE</t>
  </si>
  <si>
    <t>5” Tall Crown</t>
  </si>
  <si>
    <t>2 1/8” Roll Brim with Binding</t>
  </si>
  <si>
    <t>3816 DERBY</t>
  </si>
  <si>
    <t>Black Brown White</t>
  </si>
  <si>
    <t>81670 BILLY</t>
  </si>
  <si>
    <t>3 3/4” Teardrop Crown</t>
  </si>
  <si>
    <t>1 5/8” Snap Brim</t>
  </si>
  <si>
    <t>Braid</t>
  </si>
  <si>
    <t>Fog Latte Navy Static Tan</t>
  </si>
  <si>
    <t>Birch Black Coconut Deep Red Espresso</t>
  </si>
  <si>
    <t>81690 MANNES</t>
  </si>
  <si>
    <t>Contrast Rope Grosgrain Band</t>
  </si>
  <si>
    <t>Navy Multi Nordic Multi Overcast Skydiver Woods Multi</t>
  </si>
  <si>
    <t>25550BH DERIN</t>
  </si>
  <si>
    <t>Paneled Contour Fit</t>
  </si>
  <si>
    <t>Black Blue Bronze</t>
  </si>
  <si>
    <t>25553BH ABEL</t>
  </si>
  <si>
    <t>Classic Flat Cap</t>
  </si>
  <si>
    <t>Double Pinch Pleat Center Front</t>
  </si>
  <si>
    <t>Wool Blend</t>
  </si>
  <si>
    <t>Copper Green Grey</t>
  </si>
  <si>
    <t>25552BH CLAUD</t>
  </si>
  <si>
    <t>8/4 Cap</t>
  </si>
  <si>
    <t>25551BH FOSTER</t>
  </si>
  <si>
    <t>Convertible Earflaps</t>
  </si>
  <si>
    <t>Avion Black Oak</t>
  </si>
  <si>
    <t>25555BH APOSTO</t>
  </si>
  <si>
    <t>Beige Stripe Black Stripe Avion Stripe</t>
  </si>
  <si>
    <t>25554BH LOU</t>
  </si>
  <si>
    <t>Contour 5 Panel Cap</t>
  </si>
  <si>
    <t>Oak Plaid</t>
  </si>
  <si>
    <t>25558BH FURMAN</t>
  </si>
  <si>
    <t>Contour 8 Panel</t>
  </si>
  <si>
    <t>Blue Plaid Copper Plaid Uniform Green Plaid</t>
  </si>
  <si>
    <t>25440 ORMOND</t>
  </si>
  <si>
    <t>Black Paid Brown Herringbone</t>
  </si>
  <si>
    <t>25548BH FINNEGAN</t>
  </si>
  <si>
    <t>25557BH BRUNE</t>
  </si>
  <si>
    <t>Avion Grey</t>
  </si>
  <si>
    <t>25556BH GRIFF</t>
  </si>
  <si>
    <t>Avion Plaid Oak Twill Uniform Green Plaid</t>
  </si>
  <si>
    <t>1365 GRAHAM</t>
  </si>
  <si>
    <t>Water Resistant Poplin Fabric</t>
  </si>
  <si>
    <t>Black Chino Navy Tan</t>
  </si>
  <si>
    <t>25150BH REFFELL</t>
  </si>
  <si>
    <t>Leather</t>
  </si>
  <si>
    <t>Black Copper</t>
  </si>
  <si>
    <t>25102 TAXTEN</t>
  </si>
  <si>
    <t>Burnished Lambskin Leather</t>
  </si>
  <si>
    <t>Brown</t>
  </si>
  <si>
    <t>25101 STOCKTON</t>
  </si>
  <si>
    <t>Ivy Cap</t>
  </si>
  <si>
    <t>Genuine Leather</t>
  </si>
  <si>
    <t>Grosgrain Sweatband</t>
  </si>
  <si>
    <t>25111 LAZAR</t>
  </si>
  <si>
    <t>Dark Coffee</t>
  </si>
  <si>
    <t>25100 NOCLIN</t>
  </si>
  <si>
    <t>25105 VEGA</t>
  </si>
  <si>
    <t>Trapper</t>
  </si>
  <si>
    <t>Lambskin Leather / Faux Fur</t>
  </si>
  <si>
    <t>25141BH BRODIE</t>
  </si>
  <si>
    <t>100% Viscose / Faux Fur</t>
  </si>
  <si>
    <t>Marl Black Navy Plaid</t>
  </si>
  <si>
    <t>25119 VERNON</t>
  </si>
  <si>
    <t>Genuine Lambskin Leather / Rabbit Fur</t>
  </si>
  <si>
    <t>Hand Stitched Crown Detail</t>
  </si>
  <si>
    <t>Black Brown</t>
  </si>
  <si>
    <t>1362 DALTON</t>
  </si>
  <si>
    <t>4 1/2” Safari Crease Crown</t>
  </si>
  <si>
    <t>2 3/4” Turn Down Brim</t>
  </si>
  <si>
    <t>1369 JACKMAN</t>
  </si>
  <si>
    <t>4” Low Pinch Front Crown</t>
  </si>
  <si>
    <t>2 1/8” Brim</t>
  </si>
  <si>
    <t>Vegan Leather Trim</t>
  </si>
  <si>
    <t>Roll Up / Packable</t>
  </si>
  <si>
    <t>Includes Dust Bag</t>
  </si>
  <si>
    <t>Black Cognac Copper Medium Brown Mix Basalt Avion</t>
  </si>
  <si>
    <t>Cement Multi Deep Red Multi Light Grey Multi Natural Multi Brown Multi Charcoal Multi</t>
  </si>
  <si>
    <t>Charcoal Dk. Brown Navy Black Burgundy</t>
  </si>
  <si>
    <t>Image_001.jpg</t>
  </si>
  <si>
    <t>Image_004.png</t>
  </si>
  <si>
    <t>Image_007.png</t>
  </si>
  <si>
    <t>Image_010.png</t>
  </si>
  <si>
    <t>Image_013.png</t>
  </si>
  <si>
    <t>Image_016.png</t>
  </si>
  <si>
    <t>Image_019.png</t>
  </si>
  <si>
    <t>Image_022.png</t>
  </si>
  <si>
    <t>Image_025.png</t>
  </si>
  <si>
    <t>Image_028.jpg</t>
  </si>
  <si>
    <t>Image_031.jpg</t>
  </si>
  <si>
    <t>Image_034.png</t>
  </si>
  <si>
    <t>Image_037.png</t>
  </si>
  <si>
    <t>Image_040.png</t>
  </si>
  <si>
    <t>Image_043.jpg</t>
  </si>
  <si>
    <t>Image_046.png</t>
  </si>
  <si>
    <t>Image_049.png</t>
  </si>
  <si>
    <t>Image_052.jpg</t>
  </si>
  <si>
    <t>Image_056.png</t>
  </si>
  <si>
    <t>Image_060.png</t>
  </si>
  <si>
    <t>Image_063.png</t>
  </si>
  <si>
    <t>Image_066.jpg</t>
  </si>
  <si>
    <t>Image_069.png</t>
  </si>
  <si>
    <t>Image_072.jpg</t>
  </si>
  <si>
    <t>Image_075.jpg</t>
  </si>
  <si>
    <t>Image_078.png</t>
  </si>
  <si>
    <t>Image_081.png</t>
  </si>
  <si>
    <t>Image_085.png</t>
  </si>
  <si>
    <t>Image_089.png</t>
  </si>
  <si>
    <t>Image_092.png</t>
  </si>
  <si>
    <t>Image_095.png</t>
  </si>
  <si>
    <t>Image_098.png</t>
  </si>
  <si>
    <t>Image_101.png</t>
  </si>
  <si>
    <t>Image_104.png</t>
  </si>
  <si>
    <t>Image_107.png</t>
  </si>
  <si>
    <t>Image_110.png</t>
  </si>
  <si>
    <t>Image_113.jpg</t>
  </si>
  <si>
    <t>Image_117.jpg</t>
  </si>
  <si>
    <t>Image_121.png</t>
  </si>
  <si>
    <t>Image_124.png</t>
  </si>
  <si>
    <t>Image_128.png</t>
  </si>
  <si>
    <t>Image_131.png</t>
  </si>
  <si>
    <t>Image_134.png</t>
  </si>
  <si>
    <t>Image_137.png</t>
  </si>
  <si>
    <t>Image_140.png</t>
  </si>
  <si>
    <t>Image_143.png</t>
  </si>
  <si>
    <t>Image_146.png</t>
  </si>
  <si>
    <t>Image_150.png</t>
  </si>
  <si>
    <t>Image_153.png</t>
  </si>
  <si>
    <t>Image_158.jpg</t>
  </si>
  <si>
    <t>Image_161.png</t>
  </si>
  <si>
    <t>Image_164.jpg</t>
  </si>
  <si>
    <t>Image_167.png</t>
  </si>
  <si>
    <t>Image_170.jpg</t>
  </si>
  <si>
    <t>Image_173.png</t>
  </si>
  <si>
    <t>Image_176.png</t>
  </si>
  <si>
    <t>Image_179.png</t>
  </si>
  <si>
    <t>Image_182.png</t>
  </si>
  <si>
    <t>Image_185.jpg</t>
  </si>
  <si>
    <t>Image_188.png</t>
  </si>
  <si>
    <t>Image_191.png</t>
  </si>
  <si>
    <t>Image_194.jpg</t>
  </si>
  <si>
    <t>Image_197.png</t>
  </si>
  <si>
    <t>Image_200.png</t>
  </si>
  <si>
    <t>Image_203.png</t>
  </si>
  <si>
    <t>Image_206.png</t>
  </si>
  <si>
    <t>Image_209.png</t>
  </si>
  <si>
    <t>Image_212.png</t>
  </si>
  <si>
    <t>Image_216.png</t>
  </si>
  <si>
    <t>Image_221.png</t>
  </si>
  <si>
    <t>Image_224.png</t>
  </si>
  <si>
    <t>Image_227.png</t>
  </si>
  <si>
    <t>Image_230.png</t>
  </si>
  <si>
    <t>Image_233.png</t>
  </si>
  <si>
    <t>Image_236.png</t>
  </si>
  <si>
    <t>Image_239.png</t>
  </si>
  <si>
    <t>Image_242.png</t>
  </si>
  <si>
    <t>Image_245.png</t>
  </si>
  <si>
    <t>Image_248.png</t>
  </si>
  <si>
    <t>Image_251.png</t>
  </si>
  <si>
    <t>Image_254.png</t>
  </si>
  <si>
    <t>Image_257.png</t>
  </si>
  <si>
    <t>Image_260.png</t>
  </si>
  <si>
    <t>Image_263.png</t>
  </si>
  <si>
    <t>Image_266.png</t>
  </si>
  <si>
    <t>Image_269.png</t>
  </si>
  <si>
    <t>Image_272.png</t>
  </si>
  <si>
    <t>Image_275.png</t>
  </si>
  <si>
    <t>Image_278.png</t>
  </si>
  <si>
    <t>Image_281.png</t>
  </si>
  <si>
    <t>Image_285.png</t>
  </si>
  <si>
    <t>Название</t>
  </si>
  <si>
    <t>Данные</t>
  </si>
  <si>
    <t>Style</t>
  </si>
  <si>
    <t>Sizes</t>
  </si>
  <si>
    <t>Colors</t>
  </si>
  <si>
    <t>Fog Latte Navy Static Tan Birch Black Coconut Deep Red Espresso</t>
  </si>
  <si>
    <t>Peacoat Plaza Taupe Saddle Steel Almond Black Camel</t>
  </si>
  <si>
    <t>Greige Honey Ochre Silver Lining Avion Black Chestnut</t>
  </si>
  <si>
    <t>Цвета</t>
  </si>
  <si>
    <t>Peacoat Plaza Taupe Saddle Steel Almond Black Camel Henna</t>
  </si>
  <si>
    <t>Navy Nickel Satin Brass Silverbelly Vintage Blue Black Cognac Copper Medium Brown Mix Basalt Avion</t>
  </si>
  <si>
    <t>Sea Breeze Serpent Speckled Egg Mix Uniform Green Vintage Blue Antique Black Contrapposto Grey Navy</t>
  </si>
  <si>
    <t>Oxblood Pewter Serpent Silverbelly Black Cognac Olive Mix</t>
  </si>
  <si>
    <t>Navy Multi Nordic Multi Overcast Skydiver Woods Multi Cement Multi Deep Red Multi Light Grey Multi Natural Multi Brown Multi Charcoal Multi</t>
  </si>
  <si>
    <t xml:space="preserve">Charcoal Dk. Brown Navy Black Burgundy </t>
  </si>
  <si>
    <t>Red Satin Brass Sea Breeze Unbleached Vintage Blue Basalt Black Black Mix Brown</t>
  </si>
  <si>
    <t>Contrapposto Copper Natural Mix Navy Port Red Satin Brass Sea Breeze Unbleached Vintage Blue Basalt Black Black Mix Brown</t>
  </si>
  <si>
    <t>Двойные цвета</t>
  </si>
  <si>
    <t>Uniform Green</t>
  </si>
  <si>
    <t>Light Mink</t>
  </si>
  <si>
    <t>Soft Khaki</t>
  </si>
  <si>
    <t>Lazuli Blue</t>
  </si>
  <si>
    <t>Silver Lining</t>
  </si>
  <si>
    <t>Plaza Taupe</t>
  </si>
  <si>
    <t>Midnight Brown</t>
  </si>
  <si>
    <t>Black Mix</t>
  </si>
  <si>
    <t>Woodland Mix</t>
  </si>
  <si>
    <t>Satin Brass</t>
  </si>
  <si>
    <t>Vintage Blue</t>
  </si>
  <si>
    <t>Speckled Egg Mix</t>
  </si>
  <si>
    <t>Ink Blue</t>
  </si>
  <si>
    <t>Olive Mix</t>
  </si>
  <si>
    <t>Gun Metal</t>
  </si>
  <si>
    <t>Pale Olive</t>
  </si>
  <si>
    <t>Natural Mix</t>
  </si>
  <si>
    <t>Oxford Mix</t>
  </si>
  <si>
    <t>Sea Breeze</t>
  </si>
  <si>
    <t>Bitter Chocolate</t>
  </si>
  <si>
    <t>Night Shade</t>
  </si>
  <si>
    <t>Silver Sand</t>
  </si>
  <si>
    <t>Olive Oil</t>
  </si>
  <si>
    <t>Deep Red</t>
  </si>
  <si>
    <t>Brown Multi</t>
  </si>
  <si>
    <t>Charcoal Multi</t>
  </si>
  <si>
    <t>Woods Multi</t>
  </si>
  <si>
    <t>Navy Multi</t>
  </si>
  <si>
    <t>Nordic Multi</t>
  </si>
  <si>
    <t>Cement Multi</t>
  </si>
  <si>
    <t>Multi Light</t>
  </si>
  <si>
    <t>Natural Multi</t>
  </si>
  <si>
    <t>Grey Multi</t>
  </si>
  <si>
    <t>Beige Stripe</t>
  </si>
  <si>
    <t>Black Stripe</t>
  </si>
  <si>
    <t>Avion Stripe</t>
  </si>
  <si>
    <t>Dk. Brown</t>
  </si>
  <si>
    <t>Avion Plaid</t>
  </si>
  <si>
    <t>Uniform Green Plaid</t>
  </si>
  <si>
    <t>Oak Twill</t>
  </si>
  <si>
    <t>Copper Plaid</t>
  </si>
  <si>
    <t>Blue Plaid</t>
  </si>
  <si>
    <t>Black Paid</t>
  </si>
  <si>
    <t>Brown Herringbone</t>
  </si>
  <si>
    <t>Marl Black</t>
  </si>
  <si>
    <t>Navy Plaid</t>
  </si>
  <si>
    <t>Разобранные</t>
  </si>
  <si>
    <t>VLUP</t>
  </si>
  <si>
    <t>Запятые</t>
  </si>
  <si>
    <t>Photo</t>
  </si>
  <si>
    <t>СЖПРОБ</t>
  </si>
  <si>
    <t>Path</t>
  </si>
  <si>
    <t>Chino</t>
  </si>
  <si>
    <t>Navy</t>
  </si>
  <si>
    <t>Tan</t>
  </si>
  <si>
    <t>Burgundy</t>
  </si>
  <si>
    <t>Charcoal</t>
  </si>
  <si>
    <t>Ochre</t>
  </si>
  <si>
    <t>Copper</t>
  </si>
  <si>
    <t>Plaid</t>
  </si>
  <si>
    <t>Grey</t>
  </si>
  <si>
    <t>Avion</t>
  </si>
  <si>
    <t>Oak</t>
  </si>
  <si>
    <t>Green</t>
  </si>
  <si>
    <t>Blue</t>
  </si>
  <si>
    <t>Bronze</t>
  </si>
  <si>
    <t>Overcast</t>
  </si>
  <si>
    <t>Skydiver</t>
  </si>
  <si>
    <t>Latte</t>
  </si>
  <si>
    <t>Static</t>
  </si>
  <si>
    <t>Birch</t>
  </si>
  <si>
    <t>Coconut</t>
  </si>
  <si>
    <t>Espresso</t>
  </si>
  <si>
    <t>Fog</t>
  </si>
  <si>
    <t>Hemlock</t>
  </si>
  <si>
    <t>White</t>
  </si>
  <si>
    <t>Caramel</t>
  </si>
  <si>
    <t>Olive</t>
  </si>
  <si>
    <t>Mink</t>
  </si>
  <si>
    <t>Chocolate</t>
  </si>
  <si>
    <t>Forest</t>
  </si>
  <si>
    <t>Nickel</t>
  </si>
  <si>
    <t>Whiskey</t>
  </si>
  <si>
    <t>Cognac</t>
  </si>
  <si>
    <t>Fawn</t>
  </si>
  <si>
    <t>Port</t>
  </si>
  <si>
    <t>Red</t>
  </si>
  <si>
    <t>Unbleached</t>
  </si>
  <si>
    <t>Basalt</t>
  </si>
  <si>
    <t>Contrapposto</t>
  </si>
  <si>
    <t>Pewter</t>
  </si>
  <si>
    <t>Serpent</t>
  </si>
  <si>
    <t>Silverbelly</t>
  </si>
  <si>
    <t>Oxblood</t>
  </si>
  <si>
    <t>Camel</t>
  </si>
  <si>
    <t>Rust</t>
  </si>
  <si>
    <t>Graphite</t>
  </si>
  <si>
    <t>Antique</t>
  </si>
  <si>
    <t>Bluestone</t>
  </si>
  <si>
    <t>Honey</t>
  </si>
  <si>
    <t>Walnut</t>
  </si>
  <si>
    <t>Saddle</t>
  </si>
  <si>
    <t>Steel</t>
  </si>
  <si>
    <t>Almond</t>
  </si>
  <si>
    <t>Peacoat</t>
  </si>
  <si>
    <t>Henna</t>
  </si>
  <si>
    <t>Beech</t>
  </si>
  <si>
    <t>Stucco</t>
  </si>
  <si>
    <t>Chestnut</t>
  </si>
  <si>
    <t>Greige</t>
  </si>
  <si>
    <t>Taupe</t>
  </si>
  <si>
    <t>Eggplant</t>
  </si>
  <si>
    <t>Aubergine</t>
  </si>
  <si>
    <t>Maple</t>
  </si>
  <si>
    <t>Buckskin</t>
  </si>
  <si>
    <t>Slate</t>
  </si>
  <si>
    <t>New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</si>
</sst>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left" vertical="center"/>
    </xf>
  </cellXfs>
  <cellStyles count="1"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jpg"/><Relationship Id="rId63" Type="http://schemas.openxmlformats.org/officeDocument/2006/relationships/image" Target="../media/image63.png"/><Relationship Id="rId84" Type="http://schemas.openxmlformats.org/officeDocument/2006/relationships/image" Target="../media/image84.png"/><Relationship Id="rId138" Type="http://schemas.openxmlformats.org/officeDocument/2006/relationships/image" Target="../media/image138.png"/><Relationship Id="rId159" Type="http://schemas.openxmlformats.org/officeDocument/2006/relationships/image" Target="../media/image15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png"/><Relationship Id="rId128" Type="http://schemas.openxmlformats.org/officeDocument/2006/relationships/image" Target="../media/image128.png"/><Relationship Id="rId149" Type="http://schemas.openxmlformats.org/officeDocument/2006/relationships/image" Target="../media/image149.png"/><Relationship Id="rId5" Type="http://schemas.openxmlformats.org/officeDocument/2006/relationships/image" Target="../media/image5.png"/><Relationship Id="rId95" Type="http://schemas.openxmlformats.org/officeDocument/2006/relationships/image" Target="../media/image95.png"/><Relationship Id="rId160" Type="http://schemas.openxmlformats.org/officeDocument/2006/relationships/image" Target="../media/image160.png"/><Relationship Id="rId22" Type="http://schemas.openxmlformats.org/officeDocument/2006/relationships/image" Target="../media/image22.jpg"/><Relationship Id="rId43" Type="http://schemas.openxmlformats.org/officeDocument/2006/relationships/image" Target="../media/image43.png"/><Relationship Id="rId64" Type="http://schemas.openxmlformats.org/officeDocument/2006/relationships/image" Target="../media/image64.jpg"/><Relationship Id="rId118" Type="http://schemas.openxmlformats.org/officeDocument/2006/relationships/image" Target="../media/image118.png"/><Relationship Id="rId139" Type="http://schemas.openxmlformats.org/officeDocument/2006/relationships/image" Target="../media/image139.png"/><Relationship Id="rId85" Type="http://schemas.openxmlformats.org/officeDocument/2006/relationships/image" Target="../media/image85.png"/><Relationship Id="rId150" Type="http://schemas.openxmlformats.org/officeDocument/2006/relationships/image" Target="../media/image150.png"/><Relationship Id="rId12" Type="http://schemas.openxmlformats.org/officeDocument/2006/relationships/image" Target="../media/image12.jpg"/><Relationship Id="rId33" Type="http://schemas.openxmlformats.org/officeDocument/2006/relationships/image" Target="../media/image33.png"/><Relationship Id="rId108" Type="http://schemas.openxmlformats.org/officeDocument/2006/relationships/image" Target="../media/image108.png"/><Relationship Id="rId129" Type="http://schemas.openxmlformats.org/officeDocument/2006/relationships/image" Target="../media/image129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40" Type="http://schemas.openxmlformats.org/officeDocument/2006/relationships/image" Target="../media/image140.png"/><Relationship Id="rId145" Type="http://schemas.openxmlformats.org/officeDocument/2006/relationships/image" Target="../media/image145.png"/><Relationship Id="rId161" Type="http://schemas.openxmlformats.org/officeDocument/2006/relationships/image" Target="../media/image161.png"/><Relationship Id="rId166" Type="http://schemas.openxmlformats.org/officeDocument/2006/relationships/image" Target="../media/image16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jp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51" Type="http://schemas.openxmlformats.org/officeDocument/2006/relationships/image" Target="../media/image151.png"/><Relationship Id="rId156" Type="http://schemas.openxmlformats.org/officeDocument/2006/relationships/image" Target="../media/image156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jp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141" Type="http://schemas.openxmlformats.org/officeDocument/2006/relationships/image" Target="../media/image141.png"/><Relationship Id="rId146" Type="http://schemas.openxmlformats.org/officeDocument/2006/relationships/image" Target="../media/image146.png"/><Relationship Id="rId167" Type="http://schemas.openxmlformats.org/officeDocument/2006/relationships/image" Target="../media/image167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162" Type="http://schemas.openxmlformats.org/officeDocument/2006/relationships/image" Target="../media/image16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jpg"/><Relationship Id="rId45" Type="http://schemas.openxmlformats.org/officeDocument/2006/relationships/image" Target="../media/image45.png"/><Relationship Id="rId66" Type="http://schemas.openxmlformats.org/officeDocument/2006/relationships/image" Target="../media/image66.jp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157" Type="http://schemas.openxmlformats.org/officeDocument/2006/relationships/image" Target="../media/image157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52" Type="http://schemas.openxmlformats.org/officeDocument/2006/relationships/image" Target="../media/image152.png"/><Relationship Id="rId19" Type="http://schemas.openxmlformats.org/officeDocument/2006/relationships/image" Target="../media/image19.png"/><Relationship Id="rId14" Type="http://schemas.openxmlformats.org/officeDocument/2006/relationships/image" Target="../media/image14.jp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jp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168" Type="http://schemas.openxmlformats.org/officeDocument/2006/relationships/image" Target="../media/image168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jp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163" Type="http://schemas.openxmlformats.org/officeDocument/2006/relationships/image" Target="../media/image163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158" Type="http://schemas.openxmlformats.org/officeDocument/2006/relationships/image" Target="../media/image1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jpg"/><Relationship Id="rId132" Type="http://schemas.openxmlformats.org/officeDocument/2006/relationships/image" Target="../media/image132.png"/><Relationship Id="rId153" Type="http://schemas.openxmlformats.org/officeDocument/2006/relationships/image" Target="../media/image153.png"/><Relationship Id="rId15" Type="http://schemas.openxmlformats.org/officeDocument/2006/relationships/image" Target="../media/image15.png"/><Relationship Id="rId36" Type="http://schemas.openxmlformats.org/officeDocument/2006/relationships/image" Target="../media/image36.jp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48" Type="http://schemas.openxmlformats.org/officeDocument/2006/relationships/image" Target="../media/image148.png"/><Relationship Id="rId164" Type="http://schemas.openxmlformats.org/officeDocument/2006/relationships/image" Target="../media/image164.jpg"/><Relationship Id="rId169" Type="http://schemas.openxmlformats.org/officeDocument/2006/relationships/image" Target="../media/image16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26" Type="http://schemas.openxmlformats.org/officeDocument/2006/relationships/image" Target="../media/image26.png"/><Relationship Id="rId47" Type="http://schemas.openxmlformats.org/officeDocument/2006/relationships/image" Target="../media/image47.png"/><Relationship Id="rId68" Type="http://schemas.openxmlformats.org/officeDocument/2006/relationships/image" Target="../media/image68.png"/><Relationship Id="rId89" Type="http://schemas.openxmlformats.org/officeDocument/2006/relationships/image" Target="../media/image89.jp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54" Type="http://schemas.openxmlformats.org/officeDocument/2006/relationships/image" Target="../media/image154.png"/><Relationship Id="rId16" Type="http://schemas.openxmlformats.org/officeDocument/2006/relationships/image" Target="../media/image16.png"/><Relationship Id="rId37" Type="http://schemas.openxmlformats.org/officeDocument/2006/relationships/image" Target="../media/image37.png"/><Relationship Id="rId58" Type="http://schemas.openxmlformats.org/officeDocument/2006/relationships/image" Target="../media/image58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Relationship Id="rId165" Type="http://schemas.openxmlformats.org/officeDocument/2006/relationships/image" Target="../media/image165.pn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34" Type="http://schemas.openxmlformats.org/officeDocument/2006/relationships/image" Target="../media/image134.png"/><Relationship Id="rId80" Type="http://schemas.openxmlformats.org/officeDocument/2006/relationships/image" Target="../media/image80.png"/><Relationship Id="rId155" Type="http://schemas.openxmlformats.org/officeDocument/2006/relationships/image" Target="../media/image155.png"/><Relationship Id="rId17" Type="http://schemas.openxmlformats.org/officeDocument/2006/relationships/image" Target="../media/image17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24" Type="http://schemas.openxmlformats.org/officeDocument/2006/relationships/image" Target="../media/image124.jp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44.png"/><Relationship Id="rId21" Type="http://schemas.openxmlformats.org/officeDocument/2006/relationships/image" Target="../media/image34.png"/><Relationship Id="rId42" Type="http://schemas.openxmlformats.org/officeDocument/2006/relationships/image" Target="../media/image74.png"/><Relationship Id="rId47" Type="http://schemas.openxmlformats.org/officeDocument/2006/relationships/image" Target="../media/image84.png"/><Relationship Id="rId63" Type="http://schemas.openxmlformats.org/officeDocument/2006/relationships/image" Target="../media/image113.png"/><Relationship Id="rId68" Type="http://schemas.openxmlformats.org/officeDocument/2006/relationships/image" Target="../media/image121.png"/><Relationship Id="rId84" Type="http://schemas.openxmlformats.org/officeDocument/2006/relationships/image" Target="../media/image151.png"/><Relationship Id="rId89" Type="http://schemas.openxmlformats.org/officeDocument/2006/relationships/image" Target="../media/image158.png"/><Relationship Id="rId16" Type="http://schemas.openxmlformats.org/officeDocument/2006/relationships/image" Target="../media/image24.png"/><Relationship Id="rId11" Type="http://schemas.openxmlformats.org/officeDocument/2006/relationships/image" Target="../media/image14.jpg"/><Relationship Id="rId32" Type="http://schemas.openxmlformats.org/officeDocument/2006/relationships/image" Target="../media/image54.png"/><Relationship Id="rId37" Type="http://schemas.openxmlformats.org/officeDocument/2006/relationships/image" Target="../media/image64.jpg"/><Relationship Id="rId53" Type="http://schemas.openxmlformats.org/officeDocument/2006/relationships/image" Target="../media/image95.png"/><Relationship Id="rId58" Type="http://schemas.openxmlformats.org/officeDocument/2006/relationships/image" Target="../media/image103.png"/><Relationship Id="rId74" Type="http://schemas.openxmlformats.org/officeDocument/2006/relationships/image" Target="../media/image132.png"/><Relationship Id="rId79" Type="http://schemas.openxmlformats.org/officeDocument/2006/relationships/image" Target="../media/image142.png"/><Relationship Id="rId5" Type="http://schemas.openxmlformats.org/officeDocument/2006/relationships/image" Target="../media/image168.png"/><Relationship Id="rId90" Type="http://schemas.openxmlformats.org/officeDocument/2006/relationships/image" Target="../media/image159.png"/><Relationship Id="rId14" Type="http://schemas.openxmlformats.org/officeDocument/2006/relationships/image" Target="../media/image20.png"/><Relationship Id="rId22" Type="http://schemas.openxmlformats.org/officeDocument/2006/relationships/image" Target="../media/image36.jpg"/><Relationship Id="rId27" Type="http://schemas.openxmlformats.org/officeDocument/2006/relationships/image" Target="../media/image46.png"/><Relationship Id="rId30" Type="http://schemas.openxmlformats.org/officeDocument/2006/relationships/image" Target="../media/image163.png"/><Relationship Id="rId35" Type="http://schemas.openxmlformats.org/officeDocument/2006/relationships/image" Target="../media/image60.png"/><Relationship Id="rId43" Type="http://schemas.openxmlformats.org/officeDocument/2006/relationships/image" Target="../media/image76.png"/><Relationship Id="rId48" Type="http://schemas.openxmlformats.org/officeDocument/2006/relationships/image" Target="../media/image86.png"/><Relationship Id="rId56" Type="http://schemas.openxmlformats.org/officeDocument/2006/relationships/image" Target="../media/image100.png"/><Relationship Id="rId64" Type="http://schemas.openxmlformats.org/officeDocument/2006/relationships/image" Target="../media/image115.png"/><Relationship Id="rId69" Type="http://schemas.openxmlformats.org/officeDocument/2006/relationships/image" Target="../media/image123.png"/><Relationship Id="rId77" Type="http://schemas.openxmlformats.org/officeDocument/2006/relationships/image" Target="../media/image138.png"/><Relationship Id="rId8" Type="http://schemas.openxmlformats.org/officeDocument/2006/relationships/image" Target="../media/image9.png"/><Relationship Id="rId51" Type="http://schemas.openxmlformats.org/officeDocument/2006/relationships/image" Target="../media/image91.png"/><Relationship Id="rId72" Type="http://schemas.openxmlformats.org/officeDocument/2006/relationships/image" Target="../media/image129.png"/><Relationship Id="rId80" Type="http://schemas.openxmlformats.org/officeDocument/2006/relationships/image" Target="../media/image144.png"/><Relationship Id="rId85" Type="http://schemas.openxmlformats.org/officeDocument/2006/relationships/image" Target="../media/image152.png"/><Relationship Id="rId3" Type="http://schemas.openxmlformats.org/officeDocument/2006/relationships/image" Target="../media/image167.png"/><Relationship Id="rId12" Type="http://schemas.openxmlformats.org/officeDocument/2006/relationships/image" Target="../media/image16.png"/><Relationship Id="rId17" Type="http://schemas.openxmlformats.org/officeDocument/2006/relationships/image" Target="../media/image26.png"/><Relationship Id="rId25" Type="http://schemas.openxmlformats.org/officeDocument/2006/relationships/image" Target="../media/image42.jpg"/><Relationship Id="rId33" Type="http://schemas.openxmlformats.org/officeDocument/2006/relationships/image" Target="../media/image56.png"/><Relationship Id="rId38" Type="http://schemas.openxmlformats.org/officeDocument/2006/relationships/image" Target="../media/image66.jpg"/><Relationship Id="rId46" Type="http://schemas.openxmlformats.org/officeDocument/2006/relationships/image" Target="../media/image82.png"/><Relationship Id="rId59" Type="http://schemas.openxmlformats.org/officeDocument/2006/relationships/image" Target="../media/image105.jpg"/><Relationship Id="rId67" Type="http://schemas.openxmlformats.org/officeDocument/2006/relationships/image" Target="../media/image120.png"/><Relationship Id="rId20" Type="http://schemas.openxmlformats.org/officeDocument/2006/relationships/image" Target="../media/image32.png"/><Relationship Id="rId41" Type="http://schemas.openxmlformats.org/officeDocument/2006/relationships/image" Target="../media/image72.png"/><Relationship Id="rId54" Type="http://schemas.openxmlformats.org/officeDocument/2006/relationships/image" Target="../media/image97.jpg"/><Relationship Id="rId62" Type="http://schemas.openxmlformats.org/officeDocument/2006/relationships/image" Target="../media/image111.jpg"/><Relationship Id="rId70" Type="http://schemas.openxmlformats.org/officeDocument/2006/relationships/image" Target="../media/image125.png"/><Relationship Id="rId75" Type="http://schemas.openxmlformats.org/officeDocument/2006/relationships/image" Target="../media/image134.png"/><Relationship Id="rId83" Type="http://schemas.openxmlformats.org/officeDocument/2006/relationships/image" Target="../media/image150.png"/><Relationship Id="rId88" Type="http://schemas.openxmlformats.org/officeDocument/2006/relationships/image" Target="../media/image156.png"/><Relationship Id="rId91" Type="http://schemas.openxmlformats.org/officeDocument/2006/relationships/image" Target="../media/image161.png"/><Relationship Id="rId1" Type="http://schemas.openxmlformats.org/officeDocument/2006/relationships/image" Target="../media/image164.jpg"/><Relationship Id="rId6" Type="http://schemas.openxmlformats.org/officeDocument/2006/relationships/image" Target="../media/image169.png"/><Relationship Id="rId15" Type="http://schemas.openxmlformats.org/officeDocument/2006/relationships/image" Target="../media/image22.jpg"/><Relationship Id="rId23" Type="http://schemas.openxmlformats.org/officeDocument/2006/relationships/image" Target="../media/image38.png"/><Relationship Id="rId28" Type="http://schemas.openxmlformats.org/officeDocument/2006/relationships/image" Target="../media/image48.png"/><Relationship Id="rId36" Type="http://schemas.openxmlformats.org/officeDocument/2006/relationships/image" Target="../media/image62.png"/><Relationship Id="rId49" Type="http://schemas.openxmlformats.org/officeDocument/2006/relationships/image" Target="../media/image87.png"/><Relationship Id="rId57" Type="http://schemas.openxmlformats.org/officeDocument/2006/relationships/image" Target="../media/image102.png"/><Relationship Id="rId10" Type="http://schemas.openxmlformats.org/officeDocument/2006/relationships/image" Target="../media/image12.jpg"/><Relationship Id="rId31" Type="http://schemas.openxmlformats.org/officeDocument/2006/relationships/image" Target="../media/image52.png"/><Relationship Id="rId44" Type="http://schemas.openxmlformats.org/officeDocument/2006/relationships/image" Target="../media/image78.png"/><Relationship Id="rId52" Type="http://schemas.openxmlformats.org/officeDocument/2006/relationships/image" Target="../media/image93.jpg"/><Relationship Id="rId60" Type="http://schemas.openxmlformats.org/officeDocument/2006/relationships/image" Target="../media/image107.png"/><Relationship Id="rId65" Type="http://schemas.openxmlformats.org/officeDocument/2006/relationships/image" Target="../media/image116.png"/><Relationship Id="rId73" Type="http://schemas.openxmlformats.org/officeDocument/2006/relationships/image" Target="../media/image131.png"/><Relationship Id="rId78" Type="http://schemas.openxmlformats.org/officeDocument/2006/relationships/image" Target="../media/image140.png"/><Relationship Id="rId81" Type="http://schemas.openxmlformats.org/officeDocument/2006/relationships/image" Target="../media/image146.png"/><Relationship Id="rId86" Type="http://schemas.openxmlformats.org/officeDocument/2006/relationships/image" Target="../media/image153.png"/><Relationship Id="rId4" Type="http://schemas.openxmlformats.org/officeDocument/2006/relationships/image" Target="../media/image166.png"/><Relationship Id="rId9" Type="http://schemas.openxmlformats.org/officeDocument/2006/relationships/image" Target="../media/image11.png"/><Relationship Id="rId13" Type="http://schemas.openxmlformats.org/officeDocument/2006/relationships/image" Target="../media/image18.png"/><Relationship Id="rId18" Type="http://schemas.openxmlformats.org/officeDocument/2006/relationships/image" Target="../media/image28.jpg"/><Relationship Id="rId39" Type="http://schemas.openxmlformats.org/officeDocument/2006/relationships/image" Target="../media/image68.png"/><Relationship Id="rId34" Type="http://schemas.openxmlformats.org/officeDocument/2006/relationships/image" Target="../media/image58.png"/><Relationship Id="rId50" Type="http://schemas.openxmlformats.org/officeDocument/2006/relationships/image" Target="../media/image89.jpg"/><Relationship Id="rId55" Type="http://schemas.openxmlformats.org/officeDocument/2006/relationships/image" Target="../media/image99.png"/><Relationship Id="rId76" Type="http://schemas.openxmlformats.org/officeDocument/2006/relationships/image" Target="../media/image136.png"/><Relationship Id="rId7" Type="http://schemas.openxmlformats.org/officeDocument/2006/relationships/image" Target="../media/image7.png"/><Relationship Id="rId71" Type="http://schemas.openxmlformats.org/officeDocument/2006/relationships/image" Target="../media/image127.png"/><Relationship Id="rId2" Type="http://schemas.openxmlformats.org/officeDocument/2006/relationships/image" Target="../media/image165.png"/><Relationship Id="rId29" Type="http://schemas.openxmlformats.org/officeDocument/2006/relationships/image" Target="../media/image49.png"/><Relationship Id="rId24" Type="http://schemas.openxmlformats.org/officeDocument/2006/relationships/image" Target="../media/image40.jpg"/><Relationship Id="rId40" Type="http://schemas.openxmlformats.org/officeDocument/2006/relationships/image" Target="../media/image70.png"/><Relationship Id="rId45" Type="http://schemas.openxmlformats.org/officeDocument/2006/relationships/image" Target="../media/image80.png"/><Relationship Id="rId66" Type="http://schemas.openxmlformats.org/officeDocument/2006/relationships/image" Target="../media/image118.png"/><Relationship Id="rId87" Type="http://schemas.openxmlformats.org/officeDocument/2006/relationships/image" Target="../media/image154.png"/><Relationship Id="rId61" Type="http://schemas.openxmlformats.org/officeDocument/2006/relationships/image" Target="../media/image109.png"/><Relationship Id="rId82" Type="http://schemas.openxmlformats.org/officeDocument/2006/relationships/image" Target="../media/image148.png"/><Relationship Id="rId19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570048</xdr:colOff>
      <xdr:row>1</xdr:row>
      <xdr:rowOff>180976</xdr:rowOff>
    </xdr:from>
    <xdr:to>
      <xdr:col>0</xdr:col>
      <xdr:colOff>904874</xdr:colOff>
      <xdr:row>3</xdr:row>
      <xdr:rowOff>876301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BF791538-E091-45D4-AA4E-A2F5ED58C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-553177" y="1494701"/>
          <a:ext cx="2581275" cy="334826"/>
        </a:xfrm>
        <a:prstGeom prst="rect">
          <a:avLst/>
        </a:prstGeom>
      </xdr:spPr>
    </xdr:pic>
    <xdr:clientData/>
  </xdr:twoCellAnchor>
  <xdr:twoCellAnchor editAs="oneCell">
    <xdr:from>
      <xdr:col>0</xdr:col>
      <xdr:colOff>556372</xdr:colOff>
      <xdr:row>4</xdr:row>
      <xdr:rowOff>190500</xdr:rowOff>
    </xdr:from>
    <xdr:to>
      <xdr:col>0</xdr:col>
      <xdr:colOff>933450</xdr:colOff>
      <xdr:row>5</xdr:row>
      <xdr:rowOff>847725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D2ADC8B5-709B-4E2F-96C3-AC9173F6CE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-55189" y="3821486"/>
          <a:ext cx="1600200" cy="377078"/>
        </a:xfrm>
        <a:prstGeom prst="rect">
          <a:avLst/>
        </a:prstGeom>
      </xdr:spPr>
    </xdr:pic>
    <xdr:clientData/>
  </xdr:twoCellAnchor>
  <xdr:twoCellAnchor editAs="oneCell">
    <xdr:from>
      <xdr:col>0</xdr:col>
      <xdr:colOff>612523</xdr:colOff>
      <xdr:row>6</xdr:row>
      <xdr:rowOff>381000</xdr:rowOff>
    </xdr:from>
    <xdr:to>
      <xdr:col>0</xdr:col>
      <xdr:colOff>816226</xdr:colOff>
      <xdr:row>7</xdr:row>
      <xdr:rowOff>809625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952B52C7-D60F-449B-8B9A-400072AF0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8575" y="5870323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612523</xdr:colOff>
      <xdr:row>8</xdr:row>
      <xdr:rowOff>381000</xdr:rowOff>
    </xdr:from>
    <xdr:to>
      <xdr:col>0</xdr:col>
      <xdr:colOff>816226</xdr:colOff>
      <xdr:row>9</xdr:row>
      <xdr:rowOff>809625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2D9C2CA6-5956-4740-ACE9-FCC4D683A9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8575" y="7756273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508747</xdr:colOff>
      <xdr:row>10</xdr:row>
      <xdr:rowOff>95251</xdr:rowOff>
    </xdr:from>
    <xdr:to>
      <xdr:col>0</xdr:col>
      <xdr:colOff>914400</xdr:colOff>
      <xdr:row>11</xdr:row>
      <xdr:rowOff>866776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62905DD8-47E8-48E8-B0AC-7D3F28D4F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-145676" y="9426949"/>
          <a:ext cx="1714500" cy="405653"/>
        </a:xfrm>
        <a:prstGeom prst="rect">
          <a:avLst/>
        </a:prstGeom>
      </xdr:spPr>
    </xdr:pic>
    <xdr:clientData/>
  </xdr:twoCellAnchor>
  <xdr:twoCellAnchor editAs="oneCell">
    <xdr:from>
      <xdr:col>0</xdr:col>
      <xdr:colOff>508747</xdr:colOff>
      <xdr:row>12</xdr:row>
      <xdr:rowOff>95251</xdr:rowOff>
    </xdr:from>
    <xdr:to>
      <xdr:col>0</xdr:col>
      <xdr:colOff>914400</xdr:colOff>
      <xdr:row>13</xdr:row>
      <xdr:rowOff>866776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FF9580DA-FB06-4086-83CA-95D381CEA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-145676" y="11312899"/>
          <a:ext cx="1714500" cy="4056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</xdr:row>
      <xdr:rowOff>22347</xdr:rowOff>
    </xdr:from>
    <xdr:to>
      <xdr:col>0</xdr:col>
      <xdr:colOff>1400175</xdr:colOff>
      <xdr:row>15</xdr:row>
      <xdr:rowOff>101478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B056A05A-88B8-4D93-A0E8-D40070FB1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594722"/>
          <a:ext cx="1371600" cy="1022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44824</xdr:rowOff>
    </xdr:from>
    <xdr:to>
      <xdr:col>0</xdr:col>
      <xdr:colOff>1400175</xdr:colOff>
      <xdr:row>15</xdr:row>
      <xdr:rowOff>145677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F1106DB6-23C2-4CE5-89BD-D44AFCCE61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683999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</xdr:row>
      <xdr:rowOff>22396</xdr:rowOff>
    </xdr:from>
    <xdr:to>
      <xdr:col>0</xdr:col>
      <xdr:colOff>1400175</xdr:colOff>
      <xdr:row>19</xdr:row>
      <xdr:rowOff>6178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6F0A690C-4E69-472A-9169-72B304A6F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233071"/>
          <a:ext cx="1371600" cy="9267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</xdr:row>
      <xdr:rowOff>27124</xdr:rowOff>
    </xdr:from>
    <xdr:to>
      <xdr:col>0</xdr:col>
      <xdr:colOff>1400175</xdr:colOff>
      <xdr:row>19</xdr:row>
      <xdr:rowOff>163376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3BEDE368-2986-45B1-AA5A-E4A7B6F6F2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2093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</xdr:row>
      <xdr:rowOff>21336</xdr:rowOff>
    </xdr:from>
    <xdr:to>
      <xdr:col>0</xdr:col>
      <xdr:colOff>1400175</xdr:colOff>
      <xdr:row>21</xdr:row>
      <xdr:rowOff>893064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A7AF82DB-4289-46E3-9AE3-B848301D39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584561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</xdr:row>
      <xdr:rowOff>22175</xdr:rowOff>
    </xdr:from>
    <xdr:to>
      <xdr:col>0</xdr:col>
      <xdr:colOff>1400175</xdr:colOff>
      <xdr:row>23</xdr:row>
      <xdr:rowOff>34976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335FEA8F-C99E-4FCD-B555-00B07FF36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99800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</xdr:row>
      <xdr:rowOff>44824</xdr:rowOff>
    </xdr:from>
    <xdr:to>
      <xdr:col>0</xdr:col>
      <xdr:colOff>1400175</xdr:colOff>
      <xdr:row>23</xdr:row>
      <xdr:rowOff>145677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A2B2E825-F06B-4097-BD67-4E7F3F5405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522574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</xdr:row>
      <xdr:rowOff>23619</xdr:rowOff>
    </xdr:from>
    <xdr:to>
      <xdr:col>0</xdr:col>
      <xdr:colOff>1400175</xdr:colOff>
      <xdr:row>27</xdr:row>
      <xdr:rowOff>24007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AF856E6C-26A3-42C0-B05E-BA21732F9E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072869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</xdr:row>
      <xdr:rowOff>54908</xdr:rowOff>
    </xdr:from>
    <xdr:to>
      <xdr:col>0</xdr:col>
      <xdr:colOff>1400175</xdr:colOff>
      <xdr:row>27</xdr:row>
      <xdr:rowOff>135590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5636DD2-9E83-41BD-BD9C-670879E359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094758"/>
          <a:ext cx="1371600" cy="8068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31</xdr:row>
      <xdr:rowOff>21399</xdr:rowOff>
    </xdr:from>
    <xdr:to>
      <xdr:col>0</xdr:col>
      <xdr:colOff>1400175</xdr:colOff>
      <xdr:row>32</xdr:row>
      <xdr:rowOff>7176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FCEF7E97-27F2-48F6-8C8A-5FE69BAEF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823249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32</xdr:row>
      <xdr:rowOff>28014</xdr:rowOff>
    </xdr:from>
    <xdr:to>
      <xdr:col>0</xdr:col>
      <xdr:colOff>1400175</xdr:colOff>
      <xdr:row>32</xdr:row>
      <xdr:rowOff>162485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B49357FA-4117-4F4B-9AF9-4626643635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801414"/>
          <a:ext cx="1371600" cy="1344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34</xdr:row>
      <xdr:rowOff>21698</xdr:rowOff>
    </xdr:from>
    <xdr:to>
      <xdr:col>0</xdr:col>
      <xdr:colOff>1400175</xdr:colOff>
      <xdr:row>35</xdr:row>
      <xdr:rowOff>25927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E30C43D-4C34-4701-A831-5CEA08412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176098"/>
          <a:ext cx="1371600" cy="9472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35</xdr:row>
      <xdr:rowOff>27124</xdr:rowOff>
    </xdr:from>
    <xdr:to>
      <xdr:col>0</xdr:col>
      <xdr:colOff>1400175</xdr:colOff>
      <xdr:row>35</xdr:row>
      <xdr:rowOff>163376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F5A115B1-6E34-495F-839E-2EAA6D0948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1721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37</xdr:row>
      <xdr:rowOff>24474</xdr:rowOff>
    </xdr:from>
    <xdr:to>
      <xdr:col>0</xdr:col>
      <xdr:colOff>1400175</xdr:colOff>
      <xdr:row>38</xdr:row>
      <xdr:rowOff>4100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A6A4E7B1-97FC-4DCE-8F47-639203F54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550474"/>
          <a:ext cx="1371600" cy="92260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38</xdr:row>
      <xdr:rowOff>27124</xdr:rowOff>
    </xdr:from>
    <xdr:to>
      <xdr:col>0</xdr:col>
      <xdr:colOff>1400175</xdr:colOff>
      <xdr:row>38</xdr:row>
      <xdr:rowOff>163376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1D7B5F95-7897-4C57-BE55-135F81B1CA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5246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40</xdr:row>
      <xdr:rowOff>24416</xdr:rowOff>
    </xdr:from>
    <xdr:to>
      <xdr:col>0</xdr:col>
      <xdr:colOff>1400175</xdr:colOff>
      <xdr:row>40</xdr:row>
      <xdr:rowOff>899509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17660233-0E39-4E6C-B7E0-632C0A19D6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902966"/>
          <a:ext cx="1371600" cy="8750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41</xdr:row>
      <xdr:rowOff>27124</xdr:rowOff>
    </xdr:from>
    <xdr:to>
      <xdr:col>0</xdr:col>
      <xdr:colOff>1400175</xdr:colOff>
      <xdr:row>41</xdr:row>
      <xdr:rowOff>163376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F4E98FAF-3796-4A74-88A6-3FB650CF68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8295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43</xdr:row>
      <xdr:rowOff>24842</xdr:rowOff>
    </xdr:from>
    <xdr:to>
      <xdr:col>0</xdr:col>
      <xdr:colOff>1400175</xdr:colOff>
      <xdr:row>44</xdr:row>
      <xdr:rowOff>70408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3F5E9926-1974-48A6-99EE-50DBE7D99E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20831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44</xdr:row>
      <xdr:rowOff>27124</xdr:rowOff>
    </xdr:from>
    <xdr:to>
      <xdr:col>0</xdr:col>
      <xdr:colOff>1400175</xdr:colOff>
      <xdr:row>44</xdr:row>
      <xdr:rowOff>163376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985F2847-2B76-4F2F-B19A-E87804CD94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2488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46</xdr:row>
      <xdr:rowOff>22489</xdr:rowOff>
    </xdr:from>
    <xdr:to>
      <xdr:col>0</xdr:col>
      <xdr:colOff>1400175</xdr:colOff>
      <xdr:row>46</xdr:row>
      <xdr:rowOff>920487</xdr:rowOff>
    </xdr:to>
    <xdr:pic>
      <xdr:nvPicPr>
        <xdr:cNvPr id="65" name="Рисунок 64">
          <a:extLst>
            <a:ext uri="{FF2B5EF4-FFF2-40B4-BE49-F238E27FC236}">
              <a16:creationId xmlns:a16="http://schemas.microsoft.com/office/drawing/2014/main" id="{91B273E8-C933-4126-A7A3-0FF81582CB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625189"/>
          <a:ext cx="1371600" cy="8979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47</xdr:row>
      <xdr:rowOff>27124</xdr:rowOff>
    </xdr:from>
    <xdr:to>
      <xdr:col>0</xdr:col>
      <xdr:colOff>1400175</xdr:colOff>
      <xdr:row>47</xdr:row>
      <xdr:rowOff>163376</xdr:rowOff>
    </xdr:to>
    <xdr:pic>
      <xdr:nvPicPr>
        <xdr:cNvPr id="67" name="Рисунок 66">
          <a:extLst>
            <a:ext uri="{FF2B5EF4-FFF2-40B4-BE49-F238E27FC236}">
              <a16:creationId xmlns:a16="http://schemas.microsoft.com/office/drawing/2014/main" id="{040787B9-8594-4EC3-83CB-36B4D09B68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5727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49</xdr:row>
      <xdr:rowOff>21527</xdr:rowOff>
    </xdr:from>
    <xdr:to>
      <xdr:col>0</xdr:col>
      <xdr:colOff>1400175</xdr:colOff>
      <xdr:row>49</xdr:row>
      <xdr:rowOff>921446</xdr:rowOff>
    </xdr:to>
    <xdr:pic>
      <xdr:nvPicPr>
        <xdr:cNvPr id="69" name="Рисунок 68">
          <a:extLst>
            <a:ext uri="{FF2B5EF4-FFF2-40B4-BE49-F238E27FC236}">
              <a16:creationId xmlns:a16="http://schemas.microsoft.com/office/drawing/2014/main" id="{3F496767-0AEE-4B45-99B4-3E9B46229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948202"/>
          <a:ext cx="1371600" cy="89991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50</xdr:row>
      <xdr:rowOff>27124</xdr:rowOff>
    </xdr:from>
    <xdr:to>
      <xdr:col>0</xdr:col>
      <xdr:colOff>1400175</xdr:colOff>
      <xdr:row>50</xdr:row>
      <xdr:rowOff>163376</xdr:rowOff>
    </xdr:to>
    <xdr:pic>
      <xdr:nvPicPr>
        <xdr:cNvPr id="71" name="Рисунок 70">
          <a:extLst>
            <a:ext uri="{FF2B5EF4-FFF2-40B4-BE49-F238E27FC236}">
              <a16:creationId xmlns:a16="http://schemas.microsoft.com/office/drawing/2014/main" id="{87352E38-C170-4234-A272-D8D29B765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38967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56</xdr:row>
      <xdr:rowOff>23619</xdr:rowOff>
    </xdr:from>
    <xdr:to>
      <xdr:col>0</xdr:col>
      <xdr:colOff>1400175</xdr:colOff>
      <xdr:row>57</xdr:row>
      <xdr:rowOff>24007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C5FC4C0B-6867-4933-8DB4-99E19BB010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036269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57</xdr:row>
      <xdr:rowOff>27124</xdr:rowOff>
    </xdr:from>
    <xdr:to>
      <xdr:col>0</xdr:col>
      <xdr:colOff>1400175</xdr:colOff>
      <xdr:row>57</xdr:row>
      <xdr:rowOff>163376</xdr:rowOff>
    </xdr:to>
    <xdr:pic>
      <xdr:nvPicPr>
        <xdr:cNvPr id="75" name="Рисунок 74">
          <a:extLst>
            <a:ext uri="{FF2B5EF4-FFF2-40B4-BE49-F238E27FC236}">
              <a16:creationId xmlns:a16="http://schemas.microsoft.com/office/drawing/2014/main" id="{D661B3B0-8EED-4477-BA3A-C03DFDBFE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0303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63</xdr:row>
      <xdr:rowOff>25564</xdr:rowOff>
    </xdr:from>
    <xdr:to>
      <xdr:col>0</xdr:col>
      <xdr:colOff>1400175</xdr:colOff>
      <xdr:row>63</xdr:row>
      <xdr:rowOff>917412</xdr:rowOff>
    </xdr:to>
    <xdr:pic>
      <xdr:nvPicPr>
        <xdr:cNvPr id="77" name="Рисунок 76">
          <a:extLst>
            <a:ext uri="{FF2B5EF4-FFF2-40B4-BE49-F238E27FC236}">
              <a16:creationId xmlns:a16="http://schemas.microsoft.com/office/drawing/2014/main" id="{9C29CE3A-41C5-4D40-BAFE-F2F25B414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171814"/>
          <a:ext cx="1371600" cy="8918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64</xdr:row>
      <xdr:rowOff>21974</xdr:rowOff>
    </xdr:from>
    <xdr:to>
      <xdr:col>0</xdr:col>
      <xdr:colOff>1400175</xdr:colOff>
      <xdr:row>64</xdr:row>
      <xdr:rowOff>225677</xdr:rowOff>
    </xdr:to>
    <xdr:pic>
      <xdr:nvPicPr>
        <xdr:cNvPr id="79" name="Рисунок 78">
          <a:extLst>
            <a:ext uri="{FF2B5EF4-FFF2-40B4-BE49-F238E27FC236}">
              <a16:creationId xmlns:a16="http://schemas.microsoft.com/office/drawing/2014/main" id="{1DBB6D57-F465-4663-84FD-9B6466CEE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111199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65</xdr:row>
      <xdr:rowOff>23983</xdr:rowOff>
    </xdr:from>
    <xdr:to>
      <xdr:col>0</xdr:col>
      <xdr:colOff>1400175</xdr:colOff>
      <xdr:row>66</xdr:row>
      <xdr:rowOff>71266</xdr:rowOff>
    </xdr:to>
    <xdr:pic>
      <xdr:nvPicPr>
        <xdr:cNvPr id="81" name="Рисунок 80">
          <a:extLst>
            <a:ext uri="{FF2B5EF4-FFF2-40B4-BE49-F238E27FC236}">
              <a16:creationId xmlns:a16="http://schemas.microsoft.com/office/drawing/2014/main" id="{C1B367B2-0C7F-4252-A43F-2CD100697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360858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66</xdr:row>
      <xdr:rowOff>44822</xdr:rowOff>
    </xdr:from>
    <xdr:to>
      <xdr:col>0</xdr:col>
      <xdr:colOff>1400175</xdr:colOff>
      <xdr:row>66</xdr:row>
      <xdr:rowOff>145675</xdr:rowOff>
    </xdr:to>
    <xdr:pic>
      <xdr:nvPicPr>
        <xdr:cNvPr id="83" name="Рисунок 82">
          <a:extLst>
            <a:ext uri="{FF2B5EF4-FFF2-40B4-BE49-F238E27FC236}">
              <a16:creationId xmlns:a16="http://schemas.microsoft.com/office/drawing/2014/main" id="{3ADD29AC-E658-44D3-856A-924B3BBA39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419922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69</xdr:row>
      <xdr:rowOff>24200</xdr:rowOff>
    </xdr:from>
    <xdr:to>
      <xdr:col>0</xdr:col>
      <xdr:colOff>1400175</xdr:colOff>
      <xdr:row>69</xdr:row>
      <xdr:rowOff>880674</xdr:rowOff>
    </xdr:to>
    <xdr:pic>
      <xdr:nvPicPr>
        <xdr:cNvPr id="85" name="Рисунок 84">
          <a:extLst>
            <a:ext uri="{FF2B5EF4-FFF2-40B4-BE49-F238E27FC236}">
              <a16:creationId xmlns:a16="http://schemas.microsoft.com/office/drawing/2014/main" id="{7A6A9452-26DB-49DC-9692-02BD33903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970800"/>
          <a:ext cx="1371600" cy="8564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70</xdr:row>
      <xdr:rowOff>27124</xdr:rowOff>
    </xdr:from>
    <xdr:to>
      <xdr:col>0</xdr:col>
      <xdr:colOff>1400175</xdr:colOff>
      <xdr:row>70</xdr:row>
      <xdr:rowOff>163376</xdr:rowOff>
    </xdr:to>
    <xdr:pic>
      <xdr:nvPicPr>
        <xdr:cNvPr id="87" name="Рисунок 86">
          <a:extLst>
            <a:ext uri="{FF2B5EF4-FFF2-40B4-BE49-F238E27FC236}">
              <a16:creationId xmlns:a16="http://schemas.microsoft.com/office/drawing/2014/main" id="{D2BE3159-FBCF-48A8-BBB8-861F7CE4D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8785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72</xdr:row>
      <xdr:rowOff>23279</xdr:rowOff>
    </xdr:from>
    <xdr:to>
      <xdr:col>0</xdr:col>
      <xdr:colOff>1400175</xdr:colOff>
      <xdr:row>72</xdr:row>
      <xdr:rowOff>872072</xdr:rowOff>
    </xdr:to>
    <xdr:pic>
      <xdr:nvPicPr>
        <xdr:cNvPr id="89" name="Рисунок 88">
          <a:extLst>
            <a:ext uri="{FF2B5EF4-FFF2-40B4-BE49-F238E27FC236}">
              <a16:creationId xmlns:a16="http://schemas.microsoft.com/office/drawing/2014/main" id="{B964CF41-AD64-4DEB-AB44-B3F073D84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255754"/>
          <a:ext cx="1371600" cy="8487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73</xdr:row>
      <xdr:rowOff>21974</xdr:rowOff>
    </xdr:from>
    <xdr:to>
      <xdr:col>0</xdr:col>
      <xdr:colOff>1400175</xdr:colOff>
      <xdr:row>73</xdr:row>
      <xdr:rowOff>225677</xdr:rowOff>
    </xdr:to>
    <xdr:pic>
      <xdr:nvPicPr>
        <xdr:cNvPr id="91" name="Рисунок 90">
          <a:extLst>
            <a:ext uri="{FF2B5EF4-FFF2-40B4-BE49-F238E27FC236}">
              <a16:creationId xmlns:a16="http://schemas.microsoft.com/office/drawing/2014/main" id="{81EEDDA5-7A65-4033-8137-EF0CC5D49B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149799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74</xdr:row>
      <xdr:rowOff>22755</xdr:rowOff>
    </xdr:from>
    <xdr:to>
      <xdr:col>0</xdr:col>
      <xdr:colOff>1400175</xdr:colOff>
      <xdr:row>74</xdr:row>
      <xdr:rowOff>891642</xdr:rowOff>
    </xdr:to>
    <xdr:pic>
      <xdr:nvPicPr>
        <xdr:cNvPr id="93" name="Рисунок 92">
          <a:extLst>
            <a:ext uri="{FF2B5EF4-FFF2-40B4-BE49-F238E27FC236}">
              <a16:creationId xmlns:a16="http://schemas.microsoft.com/office/drawing/2014/main" id="{C5B9650D-2623-406E-8273-37C8C88A5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398230"/>
          <a:ext cx="1371600" cy="86888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75</xdr:row>
      <xdr:rowOff>27124</xdr:rowOff>
    </xdr:from>
    <xdr:to>
      <xdr:col>0</xdr:col>
      <xdr:colOff>1400175</xdr:colOff>
      <xdr:row>75</xdr:row>
      <xdr:rowOff>163376</xdr:rowOff>
    </xdr:to>
    <xdr:pic>
      <xdr:nvPicPr>
        <xdr:cNvPr id="95" name="Рисунок 94">
          <a:extLst>
            <a:ext uri="{FF2B5EF4-FFF2-40B4-BE49-F238E27FC236}">
              <a16:creationId xmlns:a16="http://schemas.microsoft.com/office/drawing/2014/main" id="{EF16E0BF-41F7-476A-A528-CFB895113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3169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77</xdr:row>
      <xdr:rowOff>21744</xdr:rowOff>
    </xdr:from>
    <xdr:to>
      <xdr:col>0</xdr:col>
      <xdr:colOff>1400175</xdr:colOff>
      <xdr:row>77</xdr:row>
      <xdr:rowOff>940282</xdr:rowOff>
    </xdr:to>
    <xdr:pic>
      <xdr:nvPicPr>
        <xdr:cNvPr id="97" name="Рисунок 96">
          <a:extLst>
            <a:ext uri="{FF2B5EF4-FFF2-40B4-BE49-F238E27FC236}">
              <a16:creationId xmlns:a16="http://schemas.microsoft.com/office/drawing/2014/main" id="{57EFCD7E-5F51-4053-9C88-CA84F4DA68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692619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78</xdr:row>
      <xdr:rowOff>27124</xdr:rowOff>
    </xdr:from>
    <xdr:to>
      <xdr:col>0</xdr:col>
      <xdr:colOff>1400175</xdr:colOff>
      <xdr:row>78</xdr:row>
      <xdr:rowOff>163376</xdr:rowOff>
    </xdr:to>
    <xdr:pic>
      <xdr:nvPicPr>
        <xdr:cNvPr id="99" name="Рисунок 98">
          <a:extLst>
            <a:ext uri="{FF2B5EF4-FFF2-40B4-BE49-F238E27FC236}">
              <a16:creationId xmlns:a16="http://schemas.microsoft.com/office/drawing/2014/main" id="{610E6148-1AFE-4A60-AABD-F6C1D611B7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6600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80</xdr:row>
      <xdr:rowOff>21307</xdr:rowOff>
    </xdr:from>
    <xdr:to>
      <xdr:col>0</xdr:col>
      <xdr:colOff>1400175</xdr:colOff>
      <xdr:row>81</xdr:row>
      <xdr:rowOff>16795</xdr:rowOff>
    </xdr:to>
    <xdr:pic>
      <xdr:nvPicPr>
        <xdr:cNvPr id="101" name="Рисунок 100">
          <a:extLst>
            <a:ext uri="{FF2B5EF4-FFF2-40B4-BE49-F238E27FC236}">
              <a16:creationId xmlns:a16="http://schemas.microsoft.com/office/drawing/2014/main" id="{C4DFE24F-8295-4C13-A823-4641ED1A3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5035207"/>
          <a:ext cx="1371600" cy="9384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81</xdr:row>
      <xdr:rowOff>25772</xdr:rowOff>
    </xdr:from>
    <xdr:to>
      <xdr:col>0</xdr:col>
      <xdr:colOff>1400175</xdr:colOff>
      <xdr:row>81</xdr:row>
      <xdr:rowOff>240925</xdr:rowOff>
    </xdr:to>
    <xdr:pic>
      <xdr:nvPicPr>
        <xdr:cNvPr id="103" name="Рисунок 102">
          <a:extLst>
            <a:ext uri="{FF2B5EF4-FFF2-40B4-BE49-F238E27FC236}">
              <a16:creationId xmlns:a16="http://schemas.microsoft.com/office/drawing/2014/main" id="{FBAAE1D1-A7A6-4C49-A8B5-B70E14B44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6020747"/>
          <a:ext cx="1371600" cy="2151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82</xdr:row>
      <xdr:rowOff>22861</xdr:rowOff>
    </xdr:from>
    <xdr:to>
      <xdr:col>0</xdr:col>
      <xdr:colOff>1400175</xdr:colOff>
      <xdr:row>83</xdr:row>
      <xdr:rowOff>24766</xdr:rowOff>
    </xdr:to>
    <xdr:pic>
      <xdr:nvPicPr>
        <xdr:cNvPr id="105" name="Рисунок 104">
          <a:extLst>
            <a:ext uri="{FF2B5EF4-FFF2-40B4-BE49-F238E27FC236}">
              <a16:creationId xmlns:a16="http://schemas.microsoft.com/office/drawing/2014/main" id="{B9493472-38D2-432F-BB0E-470146B25C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6284536"/>
          <a:ext cx="1371600" cy="9448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83</xdr:row>
      <xdr:rowOff>44072</xdr:rowOff>
    </xdr:from>
    <xdr:to>
      <xdr:col>0</xdr:col>
      <xdr:colOff>1400175</xdr:colOff>
      <xdr:row>83</xdr:row>
      <xdr:rowOff>146430</xdr:rowOff>
    </xdr:to>
    <xdr:pic>
      <xdr:nvPicPr>
        <xdr:cNvPr id="107" name="Рисунок 106">
          <a:extLst>
            <a:ext uri="{FF2B5EF4-FFF2-40B4-BE49-F238E27FC236}">
              <a16:creationId xmlns:a16="http://schemas.microsoft.com/office/drawing/2014/main" id="{A65AC3AF-ABA0-434D-AF95-2038EA871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7296347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90</xdr:row>
      <xdr:rowOff>25059</xdr:rowOff>
    </xdr:from>
    <xdr:to>
      <xdr:col>0</xdr:col>
      <xdr:colOff>1400175</xdr:colOff>
      <xdr:row>91</xdr:row>
      <xdr:rowOff>184492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3EEAEECE-D337-4FAD-9221-59877994E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610834"/>
          <a:ext cx="1371600" cy="110240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91</xdr:row>
      <xdr:rowOff>27124</xdr:rowOff>
    </xdr:from>
    <xdr:to>
      <xdr:col>0</xdr:col>
      <xdr:colOff>1400175</xdr:colOff>
      <xdr:row>91</xdr:row>
      <xdr:rowOff>163376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97BA1C45-44C3-41C6-85EA-8325F40E4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97654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97</xdr:row>
      <xdr:rowOff>22287</xdr:rowOff>
    </xdr:from>
    <xdr:to>
      <xdr:col>0</xdr:col>
      <xdr:colOff>1400175</xdr:colOff>
      <xdr:row>98</xdr:row>
      <xdr:rowOff>225360</xdr:rowOff>
    </xdr:to>
    <xdr:pic>
      <xdr:nvPicPr>
        <xdr:cNvPr id="113" name="Рисунок 112">
          <a:extLst>
            <a:ext uri="{FF2B5EF4-FFF2-40B4-BE49-F238E27FC236}">
              <a16:creationId xmlns:a16="http://schemas.microsoft.com/office/drawing/2014/main" id="{4968175C-D809-4561-8DB2-16890BD76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0903587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98</xdr:row>
      <xdr:rowOff>27124</xdr:rowOff>
    </xdr:from>
    <xdr:to>
      <xdr:col>0</xdr:col>
      <xdr:colOff>1400175</xdr:colOff>
      <xdr:row>98</xdr:row>
      <xdr:rowOff>163376</xdr:rowOff>
    </xdr:to>
    <xdr:pic>
      <xdr:nvPicPr>
        <xdr:cNvPr id="115" name="Рисунок 114">
          <a:extLst>
            <a:ext uri="{FF2B5EF4-FFF2-40B4-BE49-F238E27FC236}">
              <a16:creationId xmlns:a16="http://schemas.microsoft.com/office/drawing/2014/main" id="{59F1A076-67FE-47A7-8670-56F74E630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20990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510794</xdr:colOff>
      <xdr:row>100</xdr:row>
      <xdr:rowOff>85726</xdr:rowOff>
    </xdr:from>
    <xdr:to>
      <xdr:col>0</xdr:col>
      <xdr:colOff>952500</xdr:colOff>
      <xdr:row>103</xdr:row>
      <xdr:rowOff>916311</xdr:rowOff>
    </xdr:to>
    <xdr:pic>
      <xdr:nvPicPr>
        <xdr:cNvPr id="119" name="Рисунок 118">
          <a:extLst>
            <a:ext uri="{FF2B5EF4-FFF2-40B4-BE49-F238E27FC236}">
              <a16:creationId xmlns:a16="http://schemas.microsoft.com/office/drawing/2014/main" id="{E928345D-0DE7-45FA-AD99-EFE5166137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-1098108" y="95239653"/>
          <a:ext cx="3659510" cy="4417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104</xdr:row>
      <xdr:rowOff>24842</xdr:rowOff>
    </xdr:from>
    <xdr:to>
      <xdr:col>0</xdr:col>
      <xdr:colOff>1400175</xdr:colOff>
      <xdr:row>105</xdr:row>
      <xdr:rowOff>70408</xdr:rowOff>
    </xdr:to>
    <xdr:pic>
      <xdr:nvPicPr>
        <xdr:cNvPr id="121" name="Рисунок 120">
          <a:extLst>
            <a:ext uri="{FF2B5EF4-FFF2-40B4-BE49-F238E27FC236}">
              <a16:creationId xmlns:a16="http://schemas.microsoft.com/office/drawing/2014/main" id="{B42DE9A9-19F6-41A3-9D4E-3BFFA4F28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400176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105</xdr:row>
      <xdr:rowOff>21974</xdr:rowOff>
    </xdr:from>
    <xdr:to>
      <xdr:col>0</xdr:col>
      <xdr:colOff>1400175</xdr:colOff>
      <xdr:row>105</xdr:row>
      <xdr:rowOff>225677</xdr:rowOff>
    </xdr:to>
    <xdr:pic>
      <xdr:nvPicPr>
        <xdr:cNvPr id="123" name="Рисунок 122">
          <a:extLst>
            <a:ext uri="{FF2B5EF4-FFF2-40B4-BE49-F238E27FC236}">
              <a16:creationId xmlns:a16="http://schemas.microsoft.com/office/drawing/2014/main" id="{9E824212-E90E-4E2A-8A5F-39FFA5063C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5037124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106</xdr:row>
      <xdr:rowOff>25372</xdr:rowOff>
    </xdr:from>
    <xdr:to>
      <xdr:col>0</xdr:col>
      <xdr:colOff>1400175</xdr:colOff>
      <xdr:row>107</xdr:row>
      <xdr:rowOff>60354</xdr:rowOff>
    </xdr:to>
    <xdr:pic>
      <xdr:nvPicPr>
        <xdr:cNvPr id="125" name="Рисунок 124">
          <a:extLst>
            <a:ext uri="{FF2B5EF4-FFF2-40B4-BE49-F238E27FC236}">
              <a16:creationId xmlns:a16="http://schemas.microsoft.com/office/drawing/2014/main" id="{BF799426-9916-4F52-9A04-7D5815A24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5288172"/>
          <a:ext cx="1371600" cy="9779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107</xdr:row>
      <xdr:rowOff>21974</xdr:rowOff>
    </xdr:from>
    <xdr:to>
      <xdr:col>0</xdr:col>
      <xdr:colOff>1400175</xdr:colOff>
      <xdr:row>107</xdr:row>
      <xdr:rowOff>225677</xdr:rowOff>
    </xdr:to>
    <xdr:pic>
      <xdr:nvPicPr>
        <xdr:cNvPr id="127" name="Рисунок 126">
          <a:extLst>
            <a:ext uri="{FF2B5EF4-FFF2-40B4-BE49-F238E27FC236}">
              <a16:creationId xmlns:a16="http://schemas.microsoft.com/office/drawing/2014/main" id="{ADDCF994-35AA-479C-B851-C1D7BD17C0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6313474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108</xdr:row>
      <xdr:rowOff>23983</xdr:rowOff>
    </xdr:from>
    <xdr:to>
      <xdr:col>0</xdr:col>
      <xdr:colOff>1400175</xdr:colOff>
      <xdr:row>109</xdr:row>
      <xdr:rowOff>71266</xdr:rowOff>
    </xdr:to>
    <xdr:pic>
      <xdr:nvPicPr>
        <xdr:cNvPr id="129" name="Рисунок 128">
          <a:extLst>
            <a:ext uri="{FF2B5EF4-FFF2-40B4-BE49-F238E27FC236}">
              <a16:creationId xmlns:a16="http://schemas.microsoft.com/office/drawing/2014/main" id="{6DAD3641-2904-4F81-B6B0-E2E01299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6563133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109</xdr:row>
      <xdr:rowOff>27124</xdr:rowOff>
    </xdr:from>
    <xdr:to>
      <xdr:col>0</xdr:col>
      <xdr:colOff>1400175</xdr:colOff>
      <xdr:row>109</xdr:row>
      <xdr:rowOff>163376</xdr:rowOff>
    </xdr:to>
    <xdr:pic>
      <xdr:nvPicPr>
        <xdr:cNvPr id="131" name="Рисунок 130">
          <a:extLst>
            <a:ext uri="{FF2B5EF4-FFF2-40B4-BE49-F238E27FC236}">
              <a16:creationId xmlns:a16="http://schemas.microsoft.com/office/drawing/2014/main" id="{4E9673B4-A97C-4D54-8442-5C56F0775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76044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111</xdr:row>
      <xdr:rowOff>22823</xdr:rowOff>
    </xdr:from>
    <xdr:to>
      <xdr:col>0</xdr:col>
      <xdr:colOff>1400175</xdr:colOff>
      <xdr:row>112</xdr:row>
      <xdr:rowOff>43850</xdr:rowOff>
    </xdr:to>
    <xdr:pic>
      <xdr:nvPicPr>
        <xdr:cNvPr id="133" name="Рисунок 132">
          <a:extLst>
            <a:ext uri="{FF2B5EF4-FFF2-40B4-BE49-F238E27FC236}">
              <a16:creationId xmlns:a16="http://schemas.microsoft.com/office/drawing/2014/main" id="{E0F590F4-EB60-47E9-B564-5607A229A6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7981198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112</xdr:row>
      <xdr:rowOff>44072</xdr:rowOff>
    </xdr:from>
    <xdr:to>
      <xdr:col>0</xdr:col>
      <xdr:colOff>1400175</xdr:colOff>
      <xdr:row>112</xdr:row>
      <xdr:rowOff>146430</xdr:rowOff>
    </xdr:to>
    <xdr:pic>
      <xdr:nvPicPr>
        <xdr:cNvPr id="135" name="Рисунок 134">
          <a:extLst>
            <a:ext uri="{FF2B5EF4-FFF2-40B4-BE49-F238E27FC236}">
              <a16:creationId xmlns:a16="http://schemas.microsoft.com/office/drawing/2014/main" id="{E0FD6A56-B11D-47F6-B2D2-C17DB8C1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9012097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115</xdr:row>
      <xdr:rowOff>23385</xdr:rowOff>
    </xdr:from>
    <xdr:to>
      <xdr:col>0</xdr:col>
      <xdr:colOff>1400175</xdr:colOff>
      <xdr:row>116</xdr:row>
      <xdr:rowOff>33764</xdr:rowOff>
    </xdr:to>
    <xdr:pic>
      <xdr:nvPicPr>
        <xdr:cNvPr id="137" name="Рисунок 136">
          <a:extLst>
            <a:ext uri="{FF2B5EF4-FFF2-40B4-BE49-F238E27FC236}">
              <a16:creationId xmlns:a16="http://schemas.microsoft.com/office/drawing/2014/main" id="{79DC1E3E-D738-4176-8E80-E715639B34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9562910"/>
          <a:ext cx="1371600" cy="9533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116</xdr:row>
      <xdr:rowOff>27124</xdr:rowOff>
    </xdr:from>
    <xdr:to>
      <xdr:col>0</xdr:col>
      <xdr:colOff>1400175</xdr:colOff>
      <xdr:row>116</xdr:row>
      <xdr:rowOff>163376</xdr:rowOff>
    </xdr:to>
    <xdr:pic>
      <xdr:nvPicPr>
        <xdr:cNvPr id="139" name="Рисунок 138">
          <a:extLst>
            <a:ext uri="{FF2B5EF4-FFF2-40B4-BE49-F238E27FC236}">
              <a16:creationId xmlns:a16="http://schemas.microsoft.com/office/drawing/2014/main" id="{17CE85A2-943E-400F-90A5-A1DEB4D766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5667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118</xdr:row>
      <xdr:rowOff>22436</xdr:rowOff>
    </xdr:from>
    <xdr:to>
      <xdr:col>0</xdr:col>
      <xdr:colOff>1400175</xdr:colOff>
      <xdr:row>119</xdr:row>
      <xdr:rowOff>158540</xdr:rowOff>
    </xdr:to>
    <xdr:pic>
      <xdr:nvPicPr>
        <xdr:cNvPr id="141" name="Рисунок 140">
          <a:extLst>
            <a:ext uri="{FF2B5EF4-FFF2-40B4-BE49-F238E27FC236}">
              <a16:creationId xmlns:a16="http://schemas.microsoft.com/office/drawing/2014/main" id="{8F0675C7-2CB4-4009-8838-C872F0C0B5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943086"/>
          <a:ext cx="1371600" cy="107907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119</xdr:row>
      <xdr:rowOff>21971</xdr:rowOff>
    </xdr:from>
    <xdr:to>
      <xdr:col>0</xdr:col>
      <xdr:colOff>1400175</xdr:colOff>
      <xdr:row>119</xdr:row>
      <xdr:rowOff>225674</xdr:rowOff>
    </xdr:to>
    <xdr:pic>
      <xdr:nvPicPr>
        <xdr:cNvPr id="143" name="Рисунок 142">
          <a:extLst>
            <a:ext uri="{FF2B5EF4-FFF2-40B4-BE49-F238E27FC236}">
              <a16:creationId xmlns:a16="http://schemas.microsoft.com/office/drawing/2014/main" id="{294D3567-CFCB-4860-B09F-AE2092916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066571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120</xdr:row>
      <xdr:rowOff>22175</xdr:rowOff>
    </xdr:from>
    <xdr:to>
      <xdr:col>0</xdr:col>
      <xdr:colOff>1400175</xdr:colOff>
      <xdr:row>121</xdr:row>
      <xdr:rowOff>34976</xdr:rowOff>
    </xdr:to>
    <xdr:pic>
      <xdr:nvPicPr>
        <xdr:cNvPr id="145" name="Рисунок 144">
          <a:extLst>
            <a:ext uri="{FF2B5EF4-FFF2-40B4-BE49-F238E27FC236}">
              <a16:creationId xmlns:a16="http://schemas.microsoft.com/office/drawing/2014/main" id="{7A7FB3F2-55DF-46B0-B8B0-4BC931E37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314425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121</xdr:row>
      <xdr:rowOff>27124</xdr:rowOff>
    </xdr:from>
    <xdr:to>
      <xdr:col>0</xdr:col>
      <xdr:colOff>1400175</xdr:colOff>
      <xdr:row>121</xdr:row>
      <xdr:rowOff>163376</xdr:rowOff>
    </xdr:to>
    <xdr:pic>
      <xdr:nvPicPr>
        <xdr:cNvPr id="147" name="Рисунок 146">
          <a:extLst>
            <a:ext uri="{FF2B5EF4-FFF2-40B4-BE49-F238E27FC236}">
              <a16:creationId xmlns:a16="http://schemas.microsoft.com/office/drawing/2014/main" id="{A48F5AD8-20DB-48F7-8382-5479E8C6CD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33194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123</xdr:row>
      <xdr:rowOff>25034</xdr:rowOff>
    </xdr:from>
    <xdr:to>
      <xdr:col>0</xdr:col>
      <xdr:colOff>1400175</xdr:colOff>
      <xdr:row>124</xdr:row>
      <xdr:rowOff>22585</xdr:rowOff>
    </xdr:to>
    <xdr:pic>
      <xdr:nvPicPr>
        <xdr:cNvPr id="149" name="Рисунок 148">
          <a:extLst>
            <a:ext uri="{FF2B5EF4-FFF2-40B4-BE49-F238E27FC236}">
              <a16:creationId xmlns:a16="http://schemas.microsoft.com/office/drawing/2014/main" id="{8DF26AEB-4FBF-477D-BA99-C8C316C5DE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3698409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124</xdr:row>
      <xdr:rowOff>54911</xdr:rowOff>
    </xdr:from>
    <xdr:to>
      <xdr:col>0</xdr:col>
      <xdr:colOff>1400175</xdr:colOff>
      <xdr:row>124</xdr:row>
      <xdr:rowOff>135593</xdr:rowOff>
    </xdr:to>
    <xdr:pic>
      <xdr:nvPicPr>
        <xdr:cNvPr id="151" name="Рисунок 150">
          <a:extLst>
            <a:ext uri="{FF2B5EF4-FFF2-40B4-BE49-F238E27FC236}">
              <a16:creationId xmlns:a16="http://schemas.microsoft.com/office/drawing/2014/main" id="{56CE1417-863A-49D4-B52C-DC1EBDC00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4718886"/>
          <a:ext cx="1371600" cy="8068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134</xdr:row>
      <xdr:rowOff>24445</xdr:rowOff>
    </xdr:from>
    <xdr:to>
      <xdr:col>0</xdr:col>
      <xdr:colOff>1400175</xdr:colOff>
      <xdr:row>135</xdr:row>
      <xdr:rowOff>137481</xdr:rowOff>
    </xdr:to>
    <xdr:pic>
      <xdr:nvPicPr>
        <xdr:cNvPr id="153" name="Рисунок 152">
          <a:extLst>
            <a:ext uri="{FF2B5EF4-FFF2-40B4-BE49-F238E27FC236}">
              <a16:creationId xmlns:a16="http://schemas.microsoft.com/office/drawing/2014/main" id="{AD2BCA07-7EBA-4A13-AC9B-9DCEDFE936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6593420"/>
          <a:ext cx="1371600" cy="105601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135</xdr:row>
      <xdr:rowOff>27124</xdr:rowOff>
    </xdr:from>
    <xdr:to>
      <xdr:col>0</xdr:col>
      <xdr:colOff>1400175</xdr:colOff>
      <xdr:row>135</xdr:row>
      <xdr:rowOff>163376</xdr:rowOff>
    </xdr:to>
    <xdr:pic>
      <xdr:nvPicPr>
        <xdr:cNvPr id="155" name="Рисунок 154">
          <a:extLst>
            <a:ext uri="{FF2B5EF4-FFF2-40B4-BE49-F238E27FC236}">
              <a16:creationId xmlns:a16="http://schemas.microsoft.com/office/drawing/2014/main" id="{429F8C72-EB3B-478C-9349-1F97E114D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77009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137</xdr:row>
      <xdr:rowOff>22597</xdr:rowOff>
    </xdr:from>
    <xdr:to>
      <xdr:col>0</xdr:col>
      <xdr:colOff>1400175</xdr:colOff>
      <xdr:row>138</xdr:row>
      <xdr:rowOff>82182</xdr:rowOff>
    </xdr:to>
    <xdr:pic>
      <xdr:nvPicPr>
        <xdr:cNvPr id="157" name="Рисунок 156">
          <a:extLst>
            <a:ext uri="{FF2B5EF4-FFF2-40B4-BE49-F238E27FC236}">
              <a16:creationId xmlns:a16="http://schemas.microsoft.com/office/drawing/2014/main" id="{E7BB0677-93E7-4140-8779-6D6D479BF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8077472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138</xdr:row>
      <xdr:rowOff>54911</xdr:rowOff>
    </xdr:from>
    <xdr:to>
      <xdr:col>0</xdr:col>
      <xdr:colOff>1400175</xdr:colOff>
      <xdr:row>138</xdr:row>
      <xdr:rowOff>135593</xdr:rowOff>
    </xdr:to>
    <xdr:pic>
      <xdr:nvPicPr>
        <xdr:cNvPr id="159" name="Рисунок 158">
          <a:extLst>
            <a:ext uri="{FF2B5EF4-FFF2-40B4-BE49-F238E27FC236}">
              <a16:creationId xmlns:a16="http://schemas.microsoft.com/office/drawing/2014/main" id="{2A52D899-C19D-4DBA-8288-1102755BF6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9157536"/>
          <a:ext cx="1371600" cy="8068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147</xdr:row>
      <xdr:rowOff>24712</xdr:rowOff>
    </xdr:from>
    <xdr:to>
      <xdr:col>0</xdr:col>
      <xdr:colOff>1400175</xdr:colOff>
      <xdr:row>148</xdr:row>
      <xdr:rowOff>13390</xdr:rowOff>
    </xdr:to>
    <xdr:pic>
      <xdr:nvPicPr>
        <xdr:cNvPr id="161" name="Рисунок 160">
          <a:extLst>
            <a:ext uri="{FF2B5EF4-FFF2-40B4-BE49-F238E27FC236}">
              <a16:creationId xmlns:a16="http://schemas.microsoft.com/office/drawing/2014/main" id="{210C4BCC-27A1-426C-8381-75A299FAE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0841837"/>
          <a:ext cx="1371600" cy="9316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148</xdr:row>
      <xdr:rowOff>54266</xdr:rowOff>
    </xdr:from>
    <xdr:to>
      <xdr:col>0</xdr:col>
      <xdr:colOff>1400175</xdr:colOff>
      <xdr:row>148</xdr:row>
      <xdr:rowOff>136234</xdr:rowOff>
    </xdr:to>
    <xdr:pic>
      <xdr:nvPicPr>
        <xdr:cNvPr id="163" name="Рисунок 162">
          <a:extLst>
            <a:ext uri="{FF2B5EF4-FFF2-40B4-BE49-F238E27FC236}">
              <a16:creationId xmlns:a16="http://schemas.microsoft.com/office/drawing/2014/main" id="{33DD79BB-9D79-4FF7-9D2B-CC57C30B49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1852466"/>
          <a:ext cx="1371600" cy="819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152</xdr:row>
      <xdr:rowOff>23298</xdr:rowOff>
    </xdr:from>
    <xdr:to>
      <xdr:col>0</xdr:col>
      <xdr:colOff>1400175</xdr:colOff>
      <xdr:row>152</xdr:row>
      <xdr:rowOff>900628</xdr:rowOff>
    </xdr:to>
    <xdr:pic>
      <xdr:nvPicPr>
        <xdr:cNvPr id="165" name="Рисунок 164">
          <a:extLst>
            <a:ext uri="{FF2B5EF4-FFF2-40B4-BE49-F238E27FC236}">
              <a16:creationId xmlns:a16="http://schemas.microsoft.com/office/drawing/2014/main" id="{B034B6E5-5566-4EA5-8EBD-C5733FA7A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2583498"/>
          <a:ext cx="1371600" cy="87733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153</xdr:row>
      <xdr:rowOff>21971</xdr:rowOff>
    </xdr:from>
    <xdr:to>
      <xdr:col>0</xdr:col>
      <xdr:colOff>1400175</xdr:colOff>
      <xdr:row>153</xdr:row>
      <xdr:rowOff>225674</xdr:rowOff>
    </xdr:to>
    <xdr:pic>
      <xdr:nvPicPr>
        <xdr:cNvPr id="167" name="Рисунок 166">
          <a:extLst>
            <a:ext uri="{FF2B5EF4-FFF2-40B4-BE49-F238E27FC236}">
              <a16:creationId xmlns:a16="http://schemas.microsoft.com/office/drawing/2014/main" id="{AEF5D542-1811-4C0B-84F6-5B75B9B24E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3506096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154</xdr:row>
      <xdr:rowOff>22138</xdr:rowOff>
    </xdr:from>
    <xdr:to>
      <xdr:col>0</xdr:col>
      <xdr:colOff>1400175</xdr:colOff>
      <xdr:row>154</xdr:row>
      <xdr:rowOff>930360</xdr:rowOff>
    </xdr:to>
    <xdr:pic>
      <xdr:nvPicPr>
        <xdr:cNvPr id="169" name="Рисунок 168">
          <a:extLst>
            <a:ext uri="{FF2B5EF4-FFF2-40B4-BE49-F238E27FC236}">
              <a16:creationId xmlns:a16="http://schemas.microsoft.com/office/drawing/2014/main" id="{DAE0D6C3-A78F-41CD-88CD-CA99AB68C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3753913"/>
          <a:ext cx="1371600" cy="9082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155</xdr:row>
      <xdr:rowOff>44072</xdr:rowOff>
    </xdr:from>
    <xdr:to>
      <xdr:col>0</xdr:col>
      <xdr:colOff>1400175</xdr:colOff>
      <xdr:row>155</xdr:row>
      <xdr:rowOff>146430</xdr:rowOff>
    </xdr:to>
    <xdr:pic>
      <xdr:nvPicPr>
        <xdr:cNvPr id="171" name="Рисунок 170">
          <a:extLst>
            <a:ext uri="{FF2B5EF4-FFF2-40B4-BE49-F238E27FC236}">
              <a16:creationId xmlns:a16="http://schemas.microsoft.com/office/drawing/2014/main" id="{8E3C0AF3-4E1C-4320-83C4-7DBA768895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4728347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158</xdr:row>
      <xdr:rowOff>23875</xdr:rowOff>
    </xdr:from>
    <xdr:to>
      <xdr:col>0</xdr:col>
      <xdr:colOff>1400175</xdr:colOff>
      <xdr:row>158</xdr:row>
      <xdr:rowOff>909572</xdr:rowOff>
    </xdr:to>
    <xdr:pic>
      <xdr:nvPicPr>
        <xdr:cNvPr id="173" name="Рисунок 172">
          <a:extLst>
            <a:ext uri="{FF2B5EF4-FFF2-40B4-BE49-F238E27FC236}">
              <a16:creationId xmlns:a16="http://schemas.microsoft.com/office/drawing/2014/main" id="{DC985A6D-FC1D-4653-AAF5-58B0BF47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5279650"/>
          <a:ext cx="1371600" cy="88569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159</xdr:row>
      <xdr:rowOff>28017</xdr:rowOff>
    </xdr:from>
    <xdr:to>
      <xdr:col>0</xdr:col>
      <xdr:colOff>1400175</xdr:colOff>
      <xdr:row>159</xdr:row>
      <xdr:rowOff>162488</xdr:rowOff>
    </xdr:to>
    <xdr:pic>
      <xdr:nvPicPr>
        <xdr:cNvPr id="175" name="Рисунок 174">
          <a:extLst>
            <a:ext uri="{FF2B5EF4-FFF2-40B4-BE49-F238E27FC236}">
              <a16:creationId xmlns:a16="http://schemas.microsoft.com/office/drawing/2014/main" id="{344A98DE-C31D-47E3-AFD9-2B2AF5C780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6217242"/>
          <a:ext cx="1371600" cy="1344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161</xdr:row>
      <xdr:rowOff>24767</xdr:rowOff>
    </xdr:from>
    <xdr:to>
      <xdr:col>0</xdr:col>
      <xdr:colOff>1400175</xdr:colOff>
      <xdr:row>162</xdr:row>
      <xdr:rowOff>41912</xdr:rowOff>
    </xdr:to>
    <xdr:pic>
      <xdr:nvPicPr>
        <xdr:cNvPr id="177" name="Рисунок 176">
          <a:extLst>
            <a:ext uri="{FF2B5EF4-FFF2-40B4-BE49-F238E27FC236}">
              <a16:creationId xmlns:a16="http://schemas.microsoft.com/office/drawing/2014/main" id="{4A34CAE7-5654-41C4-9A4C-AA992B9B7C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6594992"/>
          <a:ext cx="1371600" cy="9601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162</xdr:row>
      <xdr:rowOff>44822</xdr:rowOff>
    </xdr:from>
    <xdr:to>
      <xdr:col>0</xdr:col>
      <xdr:colOff>1400175</xdr:colOff>
      <xdr:row>162</xdr:row>
      <xdr:rowOff>145675</xdr:rowOff>
    </xdr:to>
    <xdr:pic>
      <xdr:nvPicPr>
        <xdr:cNvPr id="179" name="Рисунок 178">
          <a:extLst>
            <a:ext uri="{FF2B5EF4-FFF2-40B4-BE49-F238E27FC236}">
              <a16:creationId xmlns:a16="http://schemas.microsoft.com/office/drawing/2014/main" id="{5FA9D2A3-2C8C-448D-9ED8-6276302DDD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7624697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165</xdr:row>
      <xdr:rowOff>21915</xdr:rowOff>
    </xdr:from>
    <xdr:to>
      <xdr:col>0</xdr:col>
      <xdr:colOff>1400175</xdr:colOff>
      <xdr:row>166</xdr:row>
      <xdr:rowOff>25708</xdr:rowOff>
    </xdr:to>
    <xdr:pic>
      <xdr:nvPicPr>
        <xdr:cNvPr id="181" name="Рисунок 180">
          <a:extLst>
            <a:ext uri="{FF2B5EF4-FFF2-40B4-BE49-F238E27FC236}">
              <a16:creationId xmlns:a16="http://schemas.microsoft.com/office/drawing/2014/main" id="{407AA67D-34B5-46F6-9066-D496EF833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8173290"/>
          <a:ext cx="1371600" cy="9467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166</xdr:row>
      <xdr:rowOff>22969</xdr:rowOff>
    </xdr:from>
    <xdr:to>
      <xdr:col>0</xdr:col>
      <xdr:colOff>1400175</xdr:colOff>
      <xdr:row>166</xdr:row>
      <xdr:rowOff>224675</xdr:rowOff>
    </xdr:to>
    <xdr:pic>
      <xdr:nvPicPr>
        <xdr:cNvPr id="183" name="Рисунок 182">
          <a:extLst>
            <a:ext uri="{FF2B5EF4-FFF2-40B4-BE49-F238E27FC236}">
              <a16:creationId xmlns:a16="http://schemas.microsoft.com/office/drawing/2014/main" id="{FCEC48B6-ACA4-4584-9003-3C083CF95F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9164944"/>
          <a:ext cx="1371600" cy="2017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167</xdr:row>
      <xdr:rowOff>25685</xdr:rowOff>
    </xdr:from>
    <xdr:to>
      <xdr:col>0</xdr:col>
      <xdr:colOff>1400175</xdr:colOff>
      <xdr:row>168</xdr:row>
      <xdr:rowOff>155288</xdr:rowOff>
    </xdr:to>
    <xdr:pic>
      <xdr:nvPicPr>
        <xdr:cNvPr id="185" name="Рисунок 184">
          <a:extLst>
            <a:ext uri="{FF2B5EF4-FFF2-40B4-BE49-F238E27FC236}">
              <a16:creationId xmlns:a16="http://schemas.microsoft.com/office/drawing/2014/main" id="{F80900E7-99C2-4998-ADA6-8993BCCCD5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9415310"/>
          <a:ext cx="1371600" cy="107257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168</xdr:row>
      <xdr:rowOff>28017</xdr:rowOff>
    </xdr:from>
    <xdr:to>
      <xdr:col>0</xdr:col>
      <xdr:colOff>1400175</xdr:colOff>
      <xdr:row>168</xdr:row>
      <xdr:rowOff>162488</xdr:rowOff>
    </xdr:to>
    <xdr:pic>
      <xdr:nvPicPr>
        <xdr:cNvPr id="187" name="Рисунок 186">
          <a:extLst>
            <a:ext uri="{FF2B5EF4-FFF2-40B4-BE49-F238E27FC236}">
              <a16:creationId xmlns:a16="http://schemas.microsoft.com/office/drawing/2014/main" id="{2B973A44-04EE-418A-92F7-7BB4AE1B0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0541592"/>
          <a:ext cx="1371600" cy="1344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174</xdr:row>
      <xdr:rowOff>23813</xdr:rowOff>
    </xdr:from>
    <xdr:to>
      <xdr:col>0</xdr:col>
      <xdr:colOff>1400175</xdr:colOff>
      <xdr:row>174</xdr:row>
      <xdr:rowOff>938213</xdr:rowOff>
    </xdr:to>
    <xdr:pic>
      <xdr:nvPicPr>
        <xdr:cNvPr id="189" name="Рисунок 188">
          <a:extLst>
            <a:ext uri="{FF2B5EF4-FFF2-40B4-BE49-F238E27FC236}">
              <a16:creationId xmlns:a16="http://schemas.microsoft.com/office/drawing/2014/main" id="{4FD29062-716C-47FE-8E65-C0898BD0CD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1680388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175</xdr:row>
      <xdr:rowOff>23254</xdr:rowOff>
    </xdr:from>
    <xdr:to>
      <xdr:col>0</xdr:col>
      <xdr:colOff>1400175</xdr:colOff>
      <xdr:row>176</xdr:row>
      <xdr:rowOff>243450</xdr:rowOff>
    </xdr:to>
    <xdr:pic>
      <xdr:nvPicPr>
        <xdr:cNvPr id="191" name="Рисунок 190">
          <a:extLst>
            <a:ext uri="{FF2B5EF4-FFF2-40B4-BE49-F238E27FC236}">
              <a16:creationId xmlns:a16="http://schemas.microsoft.com/office/drawing/2014/main" id="{2E823668-E1F3-496E-93C2-38DCFB0158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2641854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176</xdr:row>
      <xdr:rowOff>44822</xdr:rowOff>
    </xdr:from>
    <xdr:to>
      <xdr:col>0</xdr:col>
      <xdr:colOff>1400175</xdr:colOff>
      <xdr:row>176</xdr:row>
      <xdr:rowOff>145675</xdr:rowOff>
    </xdr:to>
    <xdr:pic>
      <xdr:nvPicPr>
        <xdr:cNvPr id="193" name="Рисунок 192">
          <a:extLst>
            <a:ext uri="{FF2B5EF4-FFF2-40B4-BE49-F238E27FC236}">
              <a16:creationId xmlns:a16="http://schemas.microsoft.com/office/drawing/2014/main" id="{C4F54ACE-4C0C-461B-B18B-C1842B64ED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3873097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189</xdr:row>
      <xdr:rowOff>21313</xdr:rowOff>
    </xdr:from>
    <xdr:to>
      <xdr:col>0</xdr:col>
      <xdr:colOff>1400175</xdr:colOff>
      <xdr:row>189</xdr:row>
      <xdr:rowOff>902613</xdr:rowOff>
    </xdr:to>
    <xdr:pic>
      <xdr:nvPicPr>
        <xdr:cNvPr id="195" name="Рисунок 194">
          <a:extLst>
            <a:ext uri="{FF2B5EF4-FFF2-40B4-BE49-F238E27FC236}">
              <a16:creationId xmlns:a16="http://schemas.microsoft.com/office/drawing/2014/main" id="{145BDF14-72E2-44C0-B49C-5C28989A3E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6326088"/>
          <a:ext cx="1371600" cy="8813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190</xdr:row>
      <xdr:rowOff>27124</xdr:rowOff>
    </xdr:from>
    <xdr:to>
      <xdr:col>0</xdr:col>
      <xdr:colOff>1400175</xdr:colOff>
      <xdr:row>190</xdr:row>
      <xdr:rowOff>163376</xdr:rowOff>
    </xdr:to>
    <xdr:pic>
      <xdr:nvPicPr>
        <xdr:cNvPr id="197" name="Рисунок 196">
          <a:extLst>
            <a:ext uri="{FF2B5EF4-FFF2-40B4-BE49-F238E27FC236}">
              <a16:creationId xmlns:a16="http://schemas.microsoft.com/office/drawing/2014/main" id="{97764B20-7789-4E01-A697-FC96B8C54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72558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192</xdr:row>
      <xdr:rowOff>25171</xdr:rowOff>
    </xdr:from>
    <xdr:to>
      <xdr:col>0</xdr:col>
      <xdr:colOff>1400175</xdr:colOff>
      <xdr:row>193</xdr:row>
      <xdr:rowOff>12925</xdr:rowOff>
    </xdr:to>
    <xdr:pic>
      <xdr:nvPicPr>
        <xdr:cNvPr id="199" name="Рисунок 198">
          <a:extLst>
            <a:ext uri="{FF2B5EF4-FFF2-40B4-BE49-F238E27FC236}">
              <a16:creationId xmlns:a16="http://schemas.microsoft.com/office/drawing/2014/main" id="{130498CF-2B12-482C-BB3F-515E0D17A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7634871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193</xdr:row>
      <xdr:rowOff>21971</xdr:rowOff>
    </xdr:from>
    <xdr:to>
      <xdr:col>0</xdr:col>
      <xdr:colOff>1400175</xdr:colOff>
      <xdr:row>193</xdr:row>
      <xdr:rowOff>225674</xdr:rowOff>
    </xdr:to>
    <xdr:pic>
      <xdr:nvPicPr>
        <xdr:cNvPr id="201" name="Рисунок 200">
          <a:extLst>
            <a:ext uri="{FF2B5EF4-FFF2-40B4-BE49-F238E27FC236}">
              <a16:creationId xmlns:a16="http://schemas.microsoft.com/office/drawing/2014/main" id="{99E701FD-A675-4A28-B1AF-7F69F87E5F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8612746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194</xdr:row>
      <xdr:rowOff>25493</xdr:rowOff>
    </xdr:from>
    <xdr:to>
      <xdr:col>0</xdr:col>
      <xdr:colOff>1400175</xdr:colOff>
      <xdr:row>195</xdr:row>
      <xdr:rowOff>50706</xdr:rowOff>
    </xdr:to>
    <xdr:pic>
      <xdr:nvPicPr>
        <xdr:cNvPr id="203" name="Рисунок 202">
          <a:extLst>
            <a:ext uri="{FF2B5EF4-FFF2-40B4-BE49-F238E27FC236}">
              <a16:creationId xmlns:a16="http://schemas.microsoft.com/office/drawing/2014/main" id="{0B46873A-A221-40EF-8F3C-6FEE48487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8863918"/>
          <a:ext cx="1371600" cy="968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195</xdr:row>
      <xdr:rowOff>27124</xdr:rowOff>
    </xdr:from>
    <xdr:to>
      <xdr:col>0</xdr:col>
      <xdr:colOff>1400175</xdr:colOff>
      <xdr:row>195</xdr:row>
      <xdr:rowOff>163376</xdr:rowOff>
    </xdr:to>
    <xdr:pic>
      <xdr:nvPicPr>
        <xdr:cNvPr id="205" name="Рисунок 204">
          <a:extLst>
            <a:ext uri="{FF2B5EF4-FFF2-40B4-BE49-F238E27FC236}">
              <a16:creationId xmlns:a16="http://schemas.microsoft.com/office/drawing/2014/main" id="{5E5F5D1B-0E73-4642-9298-DC1A25C5BE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98847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197</xdr:row>
      <xdr:rowOff>25171</xdr:rowOff>
    </xdr:from>
    <xdr:to>
      <xdr:col>0</xdr:col>
      <xdr:colOff>1400175</xdr:colOff>
      <xdr:row>198</xdr:row>
      <xdr:rowOff>12925</xdr:rowOff>
    </xdr:to>
    <xdr:pic>
      <xdr:nvPicPr>
        <xdr:cNvPr id="207" name="Рисунок 206">
          <a:extLst>
            <a:ext uri="{FF2B5EF4-FFF2-40B4-BE49-F238E27FC236}">
              <a16:creationId xmlns:a16="http://schemas.microsoft.com/office/drawing/2014/main" id="{56F23FB6-B052-435C-B479-1A068F627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0263771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198</xdr:row>
      <xdr:rowOff>27124</xdr:rowOff>
    </xdr:from>
    <xdr:to>
      <xdr:col>0</xdr:col>
      <xdr:colOff>1400175</xdr:colOff>
      <xdr:row>198</xdr:row>
      <xdr:rowOff>163376</xdr:rowOff>
    </xdr:to>
    <xdr:pic>
      <xdr:nvPicPr>
        <xdr:cNvPr id="209" name="Рисунок 208">
          <a:extLst>
            <a:ext uri="{FF2B5EF4-FFF2-40B4-BE49-F238E27FC236}">
              <a16:creationId xmlns:a16="http://schemas.microsoft.com/office/drawing/2014/main" id="{73BD2B33-7916-4A63-ACF0-D3ACF2AF3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12467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200</xdr:row>
      <xdr:rowOff>23031</xdr:rowOff>
    </xdr:from>
    <xdr:to>
      <xdr:col>0</xdr:col>
      <xdr:colOff>1400175</xdr:colOff>
      <xdr:row>201</xdr:row>
      <xdr:rowOff>62695</xdr:rowOff>
    </xdr:to>
    <xdr:pic>
      <xdr:nvPicPr>
        <xdr:cNvPr id="211" name="Рисунок 210">
          <a:extLst>
            <a:ext uri="{FF2B5EF4-FFF2-40B4-BE49-F238E27FC236}">
              <a16:creationId xmlns:a16="http://schemas.microsoft.com/office/drawing/2014/main" id="{63E9918B-2407-4F28-9B1A-8ABC39465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1623706"/>
          <a:ext cx="1371600" cy="9826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201</xdr:row>
      <xdr:rowOff>44072</xdr:rowOff>
    </xdr:from>
    <xdr:to>
      <xdr:col>0</xdr:col>
      <xdr:colOff>1400175</xdr:colOff>
      <xdr:row>201</xdr:row>
      <xdr:rowOff>146430</xdr:rowOff>
    </xdr:to>
    <xdr:pic>
      <xdr:nvPicPr>
        <xdr:cNvPr id="213" name="Рисунок 212">
          <a:extLst>
            <a:ext uri="{FF2B5EF4-FFF2-40B4-BE49-F238E27FC236}">
              <a16:creationId xmlns:a16="http://schemas.microsoft.com/office/drawing/2014/main" id="{C05EFF01-20CC-4BFE-8C11-15A28BF62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2673447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204</xdr:row>
      <xdr:rowOff>24383</xdr:rowOff>
    </xdr:from>
    <xdr:to>
      <xdr:col>0</xdr:col>
      <xdr:colOff>1400175</xdr:colOff>
      <xdr:row>205</xdr:row>
      <xdr:rowOff>99440</xdr:rowOff>
    </xdr:to>
    <xdr:pic>
      <xdr:nvPicPr>
        <xdr:cNvPr id="215" name="Рисунок 214">
          <a:extLst>
            <a:ext uri="{FF2B5EF4-FFF2-40B4-BE49-F238E27FC236}">
              <a16:creationId xmlns:a16="http://schemas.microsoft.com/office/drawing/2014/main" id="{56533155-A76B-4B3D-9BE2-A4126D9DB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3225258"/>
          <a:ext cx="1371600" cy="10180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205</xdr:row>
      <xdr:rowOff>24581</xdr:rowOff>
    </xdr:from>
    <xdr:to>
      <xdr:col>0</xdr:col>
      <xdr:colOff>1400175</xdr:colOff>
      <xdr:row>206</xdr:row>
      <xdr:rowOff>108768</xdr:rowOff>
    </xdr:to>
    <xdr:pic>
      <xdr:nvPicPr>
        <xdr:cNvPr id="217" name="Рисунок 216">
          <a:extLst>
            <a:ext uri="{FF2B5EF4-FFF2-40B4-BE49-F238E27FC236}">
              <a16:creationId xmlns:a16="http://schemas.microsoft.com/office/drawing/2014/main" id="{68167C91-B56B-47A0-934E-87904E0F1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4292256"/>
          <a:ext cx="1371600" cy="102716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206</xdr:row>
      <xdr:rowOff>44072</xdr:rowOff>
    </xdr:from>
    <xdr:to>
      <xdr:col>0</xdr:col>
      <xdr:colOff>1400175</xdr:colOff>
      <xdr:row>206</xdr:row>
      <xdr:rowOff>146430</xdr:rowOff>
    </xdr:to>
    <xdr:pic>
      <xdr:nvPicPr>
        <xdr:cNvPr id="219" name="Рисунок 218">
          <a:extLst>
            <a:ext uri="{FF2B5EF4-FFF2-40B4-BE49-F238E27FC236}">
              <a16:creationId xmlns:a16="http://schemas.microsoft.com/office/drawing/2014/main" id="{6ECC9E82-4153-41FE-8FE2-C06E76910F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5388072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209</xdr:row>
      <xdr:rowOff>25121</xdr:rowOff>
    </xdr:from>
    <xdr:to>
      <xdr:col>0</xdr:col>
      <xdr:colOff>1400175</xdr:colOff>
      <xdr:row>210</xdr:row>
      <xdr:rowOff>51074</xdr:rowOff>
    </xdr:to>
    <xdr:pic>
      <xdr:nvPicPr>
        <xdr:cNvPr id="221" name="Рисунок 220">
          <a:extLst>
            <a:ext uri="{FF2B5EF4-FFF2-40B4-BE49-F238E27FC236}">
              <a16:creationId xmlns:a16="http://schemas.microsoft.com/office/drawing/2014/main" id="{4A66286A-1B85-4223-8B91-F9A85EF4B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5940621"/>
          <a:ext cx="1371600" cy="9689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210</xdr:row>
      <xdr:rowOff>25716</xdr:rowOff>
    </xdr:from>
    <xdr:to>
      <xdr:col>0</xdr:col>
      <xdr:colOff>1400175</xdr:colOff>
      <xdr:row>211</xdr:row>
      <xdr:rowOff>88581</xdr:rowOff>
    </xdr:to>
    <xdr:pic>
      <xdr:nvPicPr>
        <xdr:cNvPr id="223" name="Рисунок 222">
          <a:extLst>
            <a:ext uri="{FF2B5EF4-FFF2-40B4-BE49-F238E27FC236}">
              <a16:creationId xmlns:a16="http://schemas.microsoft.com/office/drawing/2014/main" id="{9110732D-9167-42F5-AE38-4F8161CAF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6960391"/>
          <a:ext cx="1371600" cy="100584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211</xdr:row>
      <xdr:rowOff>54911</xdr:rowOff>
    </xdr:from>
    <xdr:to>
      <xdr:col>0</xdr:col>
      <xdr:colOff>1400175</xdr:colOff>
      <xdr:row>211</xdr:row>
      <xdr:rowOff>135593</xdr:rowOff>
    </xdr:to>
    <xdr:pic>
      <xdr:nvPicPr>
        <xdr:cNvPr id="225" name="Рисунок 224">
          <a:extLst>
            <a:ext uri="{FF2B5EF4-FFF2-40B4-BE49-F238E27FC236}">
              <a16:creationId xmlns:a16="http://schemas.microsoft.com/office/drawing/2014/main" id="{07B57005-81BA-4EAB-AEAF-3E9D4830EA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8046861"/>
          <a:ext cx="1371600" cy="8068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215</xdr:row>
      <xdr:rowOff>25431</xdr:rowOff>
    </xdr:from>
    <xdr:to>
      <xdr:col>0</xdr:col>
      <xdr:colOff>1400175</xdr:colOff>
      <xdr:row>215</xdr:row>
      <xdr:rowOff>850874</xdr:rowOff>
    </xdr:to>
    <xdr:pic>
      <xdr:nvPicPr>
        <xdr:cNvPr id="227" name="Рисунок 226">
          <a:extLst>
            <a:ext uri="{FF2B5EF4-FFF2-40B4-BE49-F238E27FC236}">
              <a16:creationId xmlns:a16="http://schemas.microsoft.com/office/drawing/2014/main" id="{31104738-81EF-43CA-B768-E0C148B192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8779381"/>
          <a:ext cx="1371600" cy="82544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216</xdr:row>
      <xdr:rowOff>22969</xdr:rowOff>
    </xdr:from>
    <xdr:to>
      <xdr:col>0</xdr:col>
      <xdr:colOff>1400175</xdr:colOff>
      <xdr:row>216</xdr:row>
      <xdr:rowOff>224675</xdr:rowOff>
    </xdr:to>
    <xdr:pic>
      <xdr:nvPicPr>
        <xdr:cNvPr id="229" name="Рисунок 228">
          <a:extLst>
            <a:ext uri="{FF2B5EF4-FFF2-40B4-BE49-F238E27FC236}">
              <a16:creationId xmlns:a16="http://schemas.microsoft.com/office/drawing/2014/main" id="{48D0BC8F-12B0-4228-9989-453BA11E15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9653219"/>
          <a:ext cx="1371600" cy="2017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217</xdr:row>
      <xdr:rowOff>24972</xdr:rowOff>
    </xdr:from>
    <xdr:to>
      <xdr:col>0</xdr:col>
      <xdr:colOff>1400175</xdr:colOff>
      <xdr:row>217</xdr:row>
      <xdr:rowOff>908480</xdr:rowOff>
    </xdr:to>
    <xdr:pic>
      <xdr:nvPicPr>
        <xdr:cNvPr id="231" name="Рисунок 230">
          <a:extLst>
            <a:ext uri="{FF2B5EF4-FFF2-40B4-BE49-F238E27FC236}">
              <a16:creationId xmlns:a16="http://schemas.microsoft.com/office/drawing/2014/main" id="{E0DB6D2C-3002-4A34-B8C4-159D24873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9902872"/>
          <a:ext cx="1371600" cy="88350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218</xdr:row>
      <xdr:rowOff>44822</xdr:rowOff>
    </xdr:from>
    <xdr:to>
      <xdr:col>0</xdr:col>
      <xdr:colOff>1400175</xdr:colOff>
      <xdr:row>218</xdr:row>
      <xdr:rowOff>145675</xdr:rowOff>
    </xdr:to>
    <xdr:pic>
      <xdr:nvPicPr>
        <xdr:cNvPr id="233" name="Рисунок 232">
          <a:extLst>
            <a:ext uri="{FF2B5EF4-FFF2-40B4-BE49-F238E27FC236}">
              <a16:creationId xmlns:a16="http://schemas.microsoft.com/office/drawing/2014/main" id="{2BF191DB-B524-4E40-AEF5-083A3503A2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0856172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221</xdr:row>
      <xdr:rowOff>22126</xdr:rowOff>
    </xdr:from>
    <xdr:to>
      <xdr:col>0</xdr:col>
      <xdr:colOff>1400175</xdr:colOff>
      <xdr:row>221</xdr:row>
      <xdr:rowOff>806553</xdr:rowOff>
    </xdr:to>
    <xdr:pic>
      <xdr:nvPicPr>
        <xdr:cNvPr id="235" name="Рисунок 234">
          <a:extLst>
            <a:ext uri="{FF2B5EF4-FFF2-40B4-BE49-F238E27FC236}">
              <a16:creationId xmlns:a16="http://schemas.microsoft.com/office/drawing/2014/main" id="{EA734E7A-E639-4F20-9ECF-A1CCFDF30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1404976"/>
          <a:ext cx="1371600" cy="78442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222</xdr:row>
      <xdr:rowOff>28017</xdr:rowOff>
    </xdr:from>
    <xdr:to>
      <xdr:col>0</xdr:col>
      <xdr:colOff>1400175</xdr:colOff>
      <xdr:row>222</xdr:row>
      <xdr:rowOff>162488</xdr:rowOff>
    </xdr:to>
    <xdr:pic>
      <xdr:nvPicPr>
        <xdr:cNvPr id="237" name="Рисунок 236">
          <a:extLst>
            <a:ext uri="{FF2B5EF4-FFF2-40B4-BE49-F238E27FC236}">
              <a16:creationId xmlns:a16="http://schemas.microsoft.com/office/drawing/2014/main" id="{0D6C5EBB-1D35-43DA-8BF1-DF4839812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2239542"/>
          <a:ext cx="1371600" cy="1344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224</xdr:row>
      <xdr:rowOff>21741</xdr:rowOff>
    </xdr:from>
    <xdr:to>
      <xdr:col>0</xdr:col>
      <xdr:colOff>1400175</xdr:colOff>
      <xdr:row>224</xdr:row>
      <xdr:rowOff>940279</xdr:rowOff>
    </xdr:to>
    <xdr:pic>
      <xdr:nvPicPr>
        <xdr:cNvPr id="239" name="Рисунок 238">
          <a:extLst>
            <a:ext uri="{FF2B5EF4-FFF2-40B4-BE49-F238E27FC236}">
              <a16:creationId xmlns:a16="http://schemas.microsoft.com/office/drawing/2014/main" id="{8DAE2E0F-8436-4757-B465-0D130DFE5A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2614266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225</xdr:row>
      <xdr:rowOff>21971</xdr:rowOff>
    </xdr:from>
    <xdr:to>
      <xdr:col>0</xdr:col>
      <xdr:colOff>1400175</xdr:colOff>
      <xdr:row>225</xdr:row>
      <xdr:rowOff>225674</xdr:rowOff>
    </xdr:to>
    <xdr:pic>
      <xdr:nvPicPr>
        <xdr:cNvPr id="241" name="Рисунок 240">
          <a:extLst>
            <a:ext uri="{FF2B5EF4-FFF2-40B4-BE49-F238E27FC236}">
              <a16:creationId xmlns:a16="http://schemas.microsoft.com/office/drawing/2014/main" id="{41F64B9E-BA4E-4782-B34B-EF793B91C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3576521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226</xdr:row>
      <xdr:rowOff>23813</xdr:rowOff>
    </xdr:from>
    <xdr:to>
      <xdr:col>0</xdr:col>
      <xdr:colOff>1400175</xdr:colOff>
      <xdr:row>226</xdr:row>
      <xdr:rowOff>938213</xdr:rowOff>
    </xdr:to>
    <xdr:pic>
      <xdr:nvPicPr>
        <xdr:cNvPr id="243" name="Рисунок 242">
          <a:extLst>
            <a:ext uri="{FF2B5EF4-FFF2-40B4-BE49-F238E27FC236}">
              <a16:creationId xmlns:a16="http://schemas.microsoft.com/office/drawing/2014/main" id="{14BC3E54-1F2D-43A6-893F-0FE3B04D4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3826013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227</xdr:row>
      <xdr:rowOff>21971</xdr:rowOff>
    </xdr:from>
    <xdr:to>
      <xdr:col>0</xdr:col>
      <xdr:colOff>1400175</xdr:colOff>
      <xdr:row>227</xdr:row>
      <xdr:rowOff>225674</xdr:rowOff>
    </xdr:to>
    <xdr:pic>
      <xdr:nvPicPr>
        <xdr:cNvPr id="245" name="Рисунок 244">
          <a:extLst>
            <a:ext uri="{FF2B5EF4-FFF2-40B4-BE49-F238E27FC236}">
              <a16:creationId xmlns:a16="http://schemas.microsoft.com/office/drawing/2014/main" id="{CF3C0992-9477-4A5D-84AF-BF18EDE3AE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4786196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228</xdr:row>
      <xdr:rowOff>23434</xdr:rowOff>
    </xdr:from>
    <xdr:to>
      <xdr:col>0</xdr:col>
      <xdr:colOff>1400175</xdr:colOff>
      <xdr:row>228</xdr:row>
      <xdr:rowOff>881439</xdr:rowOff>
    </xdr:to>
    <xdr:pic>
      <xdr:nvPicPr>
        <xdr:cNvPr id="247" name="Рисунок 246">
          <a:extLst>
            <a:ext uri="{FF2B5EF4-FFF2-40B4-BE49-F238E27FC236}">
              <a16:creationId xmlns:a16="http://schemas.microsoft.com/office/drawing/2014/main" id="{F4701B86-A352-4A79-8623-88E4B917B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5035309"/>
          <a:ext cx="1371600" cy="85800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229</xdr:row>
      <xdr:rowOff>23949</xdr:rowOff>
    </xdr:from>
    <xdr:to>
      <xdr:col>0</xdr:col>
      <xdr:colOff>1400175</xdr:colOff>
      <xdr:row>230</xdr:row>
      <xdr:rowOff>99877</xdr:rowOff>
    </xdr:to>
    <xdr:pic>
      <xdr:nvPicPr>
        <xdr:cNvPr id="249" name="Рисунок 248">
          <a:extLst>
            <a:ext uri="{FF2B5EF4-FFF2-40B4-BE49-F238E27FC236}">
              <a16:creationId xmlns:a16="http://schemas.microsoft.com/office/drawing/2014/main" id="{DA257848-AE9D-40C8-9E98-A03524509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5940699"/>
          <a:ext cx="1371600" cy="10189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230</xdr:row>
      <xdr:rowOff>27124</xdr:rowOff>
    </xdr:from>
    <xdr:to>
      <xdr:col>0</xdr:col>
      <xdr:colOff>1400175</xdr:colOff>
      <xdr:row>230</xdr:row>
      <xdr:rowOff>163376</xdr:rowOff>
    </xdr:to>
    <xdr:pic>
      <xdr:nvPicPr>
        <xdr:cNvPr id="251" name="Рисунок 250">
          <a:extLst>
            <a:ext uri="{FF2B5EF4-FFF2-40B4-BE49-F238E27FC236}">
              <a16:creationId xmlns:a16="http://schemas.microsoft.com/office/drawing/2014/main" id="{C0FE7ECE-59CB-44CC-99D7-079B7BEEB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70106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232</xdr:row>
      <xdr:rowOff>23608</xdr:rowOff>
    </xdr:from>
    <xdr:to>
      <xdr:col>0</xdr:col>
      <xdr:colOff>1400175</xdr:colOff>
      <xdr:row>233</xdr:row>
      <xdr:rowOff>81172</xdr:rowOff>
    </xdr:to>
    <xdr:pic>
      <xdr:nvPicPr>
        <xdr:cNvPr id="253" name="Рисунок 252">
          <a:extLst>
            <a:ext uri="{FF2B5EF4-FFF2-40B4-BE49-F238E27FC236}">
              <a16:creationId xmlns:a16="http://schemas.microsoft.com/office/drawing/2014/main" id="{822B525D-1D25-48B9-9D80-5FD59FD19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7388158"/>
          <a:ext cx="1371600" cy="10005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233</xdr:row>
      <xdr:rowOff>21971</xdr:rowOff>
    </xdr:from>
    <xdr:to>
      <xdr:col>0</xdr:col>
      <xdr:colOff>1400175</xdr:colOff>
      <xdr:row>233</xdr:row>
      <xdr:rowOff>225674</xdr:rowOff>
    </xdr:to>
    <xdr:pic>
      <xdr:nvPicPr>
        <xdr:cNvPr id="255" name="Рисунок 254">
          <a:extLst>
            <a:ext uri="{FF2B5EF4-FFF2-40B4-BE49-F238E27FC236}">
              <a16:creationId xmlns:a16="http://schemas.microsoft.com/office/drawing/2014/main" id="{7AEE6940-44AC-4FB1-A794-E1AD7381B7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8434271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234</xdr:row>
      <xdr:rowOff>22969</xdr:rowOff>
    </xdr:from>
    <xdr:to>
      <xdr:col>0</xdr:col>
      <xdr:colOff>1400175</xdr:colOff>
      <xdr:row>235</xdr:row>
      <xdr:rowOff>196100</xdr:rowOff>
    </xdr:to>
    <xdr:pic>
      <xdr:nvPicPr>
        <xdr:cNvPr id="257" name="Рисунок 256">
          <a:extLst>
            <a:ext uri="{FF2B5EF4-FFF2-40B4-BE49-F238E27FC236}">
              <a16:creationId xmlns:a16="http://schemas.microsoft.com/office/drawing/2014/main" id="{DF73D0EB-2413-480F-96C1-BA487758B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8682919"/>
          <a:ext cx="1371600" cy="1116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235</xdr:row>
      <xdr:rowOff>22982</xdr:rowOff>
    </xdr:from>
    <xdr:to>
      <xdr:col>0</xdr:col>
      <xdr:colOff>1400175</xdr:colOff>
      <xdr:row>236</xdr:row>
      <xdr:rowOff>34163</xdr:rowOff>
    </xdr:to>
    <xdr:pic>
      <xdr:nvPicPr>
        <xdr:cNvPr id="259" name="Рисунок 258">
          <a:extLst>
            <a:ext uri="{FF2B5EF4-FFF2-40B4-BE49-F238E27FC236}">
              <a16:creationId xmlns:a16="http://schemas.microsoft.com/office/drawing/2014/main" id="{7110D19D-C9AC-4E10-9A92-56F29BAEF6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9844982"/>
          <a:ext cx="1371600" cy="9541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236</xdr:row>
      <xdr:rowOff>54428</xdr:rowOff>
    </xdr:from>
    <xdr:to>
      <xdr:col>0</xdr:col>
      <xdr:colOff>1400175</xdr:colOff>
      <xdr:row>236</xdr:row>
      <xdr:rowOff>136071</xdr:rowOff>
    </xdr:to>
    <xdr:pic>
      <xdr:nvPicPr>
        <xdr:cNvPr id="261" name="Рисунок 260">
          <a:extLst>
            <a:ext uri="{FF2B5EF4-FFF2-40B4-BE49-F238E27FC236}">
              <a16:creationId xmlns:a16="http://schemas.microsoft.com/office/drawing/2014/main" id="{E86D65B5-CC56-4F52-B1B3-8DCD1CEB7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0876553"/>
          <a:ext cx="1371600" cy="8164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245</xdr:row>
      <xdr:rowOff>24154</xdr:rowOff>
    </xdr:from>
    <xdr:to>
      <xdr:col>0</xdr:col>
      <xdr:colOff>1400175</xdr:colOff>
      <xdr:row>246</xdr:row>
      <xdr:rowOff>42524</xdr:rowOff>
    </xdr:to>
    <xdr:pic>
      <xdr:nvPicPr>
        <xdr:cNvPr id="263" name="Рисунок 262">
          <a:extLst>
            <a:ext uri="{FF2B5EF4-FFF2-40B4-BE49-F238E27FC236}">
              <a16:creationId xmlns:a16="http://schemas.microsoft.com/office/drawing/2014/main" id="{608DFCCD-C7BB-47D1-857F-9CD58B2CF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2560779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246</xdr:row>
      <xdr:rowOff>21289</xdr:rowOff>
    </xdr:from>
    <xdr:to>
      <xdr:col>0</xdr:col>
      <xdr:colOff>1400175</xdr:colOff>
      <xdr:row>246</xdr:row>
      <xdr:rowOff>397807</xdr:rowOff>
    </xdr:to>
    <xdr:pic>
      <xdr:nvPicPr>
        <xdr:cNvPr id="265" name="Рисунок 264">
          <a:extLst>
            <a:ext uri="{FF2B5EF4-FFF2-40B4-BE49-F238E27FC236}">
              <a16:creationId xmlns:a16="http://schemas.microsoft.com/office/drawing/2014/main" id="{C381D871-8631-4386-86E4-B29FDABB8E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3567564"/>
          <a:ext cx="1371600" cy="37651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257</xdr:row>
      <xdr:rowOff>24383</xdr:rowOff>
    </xdr:from>
    <xdr:to>
      <xdr:col>0</xdr:col>
      <xdr:colOff>1400175</xdr:colOff>
      <xdr:row>257</xdr:row>
      <xdr:rowOff>890015</xdr:rowOff>
    </xdr:to>
    <xdr:pic>
      <xdr:nvPicPr>
        <xdr:cNvPr id="267" name="Рисунок 266">
          <a:extLst>
            <a:ext uri="{FF2B5EF4-FFF2-40B4-BE49-F238E27FC236}">
              <a16:creationId xmlns:a16="http://schemas.microsoft.com/office/drawing/2014/main" id="{8097B5C9-FAD5-41AE-AC14-778A62245E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5894758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258</xdr:row>
      <xdr:rowOff>27124</xdr:rowOff>
    </xdr:from>
    <xdr:to>
      <xdr:col>0</xdr:col>
      <xdr:colOff>1400175</xdr:colOff>
      <xdr:row>258</xdr:row>
      <xdr:rowOff>163376</xdr:rowOff>
    </xdr:to>
    <xdr:pic>
      <xdr:nvPicPr>
        <xdr:cNvPr id="269" name="Рисунок 268">
          <a:extLst>
            <a:ext uri="{FF2B5EF4-FFF2-40B4-BE49-F238E27FC236}">
              <a16:creationId xmlns:a16="http://schemas.microsoft.com/office/drawing/2014/main" id="{3E91ECDD-2075-4C77-8CEB-D1EFDC6744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68118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260</xdr:row>
      <xdr:rowOff>24495</xdr:rowOff>
    </xdr:from>
    <xdr:to>
      <xdr:col>0</xdr:col>
      <xdr:colOff>1400175</xdr:colOff>
      <xdr:row>260</xdr:row>
      <xdr:rowOff>918484</xdr:rowOff>
    </xdr:to>
    <xdr:pic>
      <xdr:nvPicPr>
        <xdr:cNvPr id="271" name="Рисунок 270">
          <a:extLst>
            <a:ext uri="{FF2B5EF4-FFF2-40B4-BE49-F238E27FC236}">
              <a16:creationId xmlns:a16="http://schemas.microsoft.com/office/drawing/2014/main" id="{6134E7F2-F7C4-4D9F-BE42-3B06C9983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7190270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261</xdr:row>
      <xdr:rowOff>27124</xdr:rowOff>
    </xdr:from>
    <xdr:to>
      <xdr:col>0</xdr:col>
      <xdr:colOff>1400175</xdr:colOff>
      <xdr:row>261</xdr:row>
      <xdr:rowOff>163376</xdr:rowOff>
    </xdr:to>
    <xdr:pic>
      <xdr:nvPicPr>
        <xdr:cNvPr id="273" name="Рисунок 272">
          <a:extLst>
            <a:ext uri="{FF2B5EF4-FFF2-40B4-BE49-F238E27FC236}">
              <a16:creationId xmlns:a16="http://schemas.microsoft.com/office/drawing/2014/main" id="{0391A7F0-C1B1-4CA9-8928-4E5950AFD3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81358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263</xdr:row>
      <xdr:rowOff>24495</xdr:rowOff>
    </xdr:from>
    <xdr:to>
      <xdr:col>0</xdr:col>
      <xdr:colOff>1400175</xdr:colOff>
      <xdr:row>263</xdr:row>
      <xdr:rowOff>918484</xdr:rowOff>
    </xdr:to>
    <xdr:pic>
      <xdr:nvPicPr>
        <xdr:cNvPr id="275" name="Рисунок 274">
          <a:extLst>
            <a:ext uri="{FF2B5EF4-FFF2-40B4-BE49-F238E27FC236}">
              <a16:creationId xmlns:a16="http://schemas.microsoft.com/office/drawing/2014/main" id="{70CF38AB-323A-4C59-BD4A-824F06883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8514245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264</xdr:row>
      <xdr:rowOff>27124</xdr:rowOff>
    </xdr:from>
    <xdr:to>
      <xdr:col>0</xdr:col>
      <xdr:colOff>1400175</xdr:colOff>
      <xdr:row>264</xdr:row>
      <xdr:rowOff>163376</xdr:rowOff>
    </xdr:to>
    <xdr:pic>
      <xdr:nvPicPr>
        <xdr:cNvPr id="277" name="Рисунок 276">
          <a:extLst>
            <a:ext uri="{FF2B5EF4-FFF2-40B4-BE49-F238E27FC236}">
              <a16:creationId xmlns:a16="http://schemas.microsoft.com/office/drawing/2014/main" id="{9C129BB4-C5B7-4DD5-A680-8063CB5AEC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94598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266</xdr:row>
      <xdr:rowOff>25264</xdr:rowOff>
    </xdr:from>
    <xdr:to>
      <xdr:col>0</xdr:col>
      <xdr:colOff>1400175</xdr:colOff>
      <xdr:row>266</xdr:row>
      <xdr:rowOff>898660</xdr:rowOff>
    </xdr:to>
    <xdr:pic>
      <xdr:nvPicPr>
        <xdr:cNvPr id="279" name="Рисунок 278">
          <a:extLst>
            <a:ext uri="{FF2B5EF4-FFF2-40B4-BE49-F238E27FC236}">
              <a16:creationId xmlns:a16="http://schemas.microsoft.com/office/drawing/2014/main" id="{AB544717-19DF-4DCD-BFDD-46EEFF08C8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9838989"/>
          <a:ext cx="1371600" cy="87339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267</xdr:row>
      <xdr:rowOff>21431</xdr:rowOff>
    </xdr:from>
    <xdr:to>
      <xdr:col>0</xdr:col>
      <xdr:colOff>1400175</xdr:colOff>
      <xdr:row>267</xdr:row>
      <xdr:rowOff>921544</xdr:rowOff>
    </xdr:to>
    <xdr:pic>
      <xdr:nvPicPr>
        <xdr:cNvPr id="281" name="Рисунок 280">
          <a:extLst>
            <a:ext uri="{FF2B5EF4-FFF2-40B4-BE49-F238E27FC236}">
              <a16:creationId xmlns:a16="http://schemas.microsoft.com/office/drawing/2014/main" id="{5371B2E2-0B36-4F08-90EF-05CF80F25E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0759081"/>
          <a:ext cx="1371600" cy="90011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268</xdr:row>
      <xdr:rowOff>27124</xdr:rowOff>
    </xdr:from>
    <xdr:to>
      <xdr:col>0</xdr:col>
      <xdr:colOff>1400175</xdr:colOff>
      <xdr:row>268</xdr:row>
      <xdr:rowOff>163376</xdr:rowOff>
    </xdr:to>
    <xdr:pic>
      <xdr:nvPicPr>
        <xdr:cNvPr id="283" name="Рисунок 282">
          <a:extLst>
            <a:ext uri="{FF2B5EF4-FFF2-40B4-BE49-F238E27FC236}">
              <a16:creationId xmlns:a16="http://schemas.microsoft.com/office/drawing/2014/main" id="{B173C0E8-6AD7-4BC0-9728-B5DB22B6E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17077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270</xdr:row>
      <xdr:rowOff>24147</xdr:rowOff>
    </xdr:from>
    <xdr:to>
      <xdr:col>0</xdr:col>
      <xdr:colOff>1400175</xdr:colOff>
      <xdr:row>270</xdr:row>
      <xdr:rowOff>718796</xdr:rowOff>
    </xdr:to>
    <xdr:pic>
      <xdr:nvPicPr>
        <xdr:cNvPr id="285" name="Рисунок 284">
          <a:extLst>
            <a:ext uri="{FF2B5EF4-FFF2-40B4-BE49-F238E27FC236}">
              <a16:creationId xmlns:a16="http://schemas.microsoft.com/office/drawing/2014/main" id="{9760F5D6-D18B-4795-BC05-CFCC746D0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2085772"/>
          <a:ext cx="1371600" cy="69464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271</xdr:row>
      <xdr:rowOff>27124</xdr:rowOff>
    </xdr:from>
    <xdr:to>
      <xdr:col>0</xdr:col>
      <xdr:colOff>1400175</xdr:colOff>
      <xdr:row>271</xdr:row>
      <xdr:rowOff>163376</xdr:rowOff>
    </xdr:to>
    <xdr:pic>
      <xdr:nvPicPr>
        <xdr:cNvPr id="287" name="Рисунок 286">
          <a:extLst>
            <a:ext uri="{FF2B5EF4-FFF2-40B4-BE49-F238E27FC236}">
              <a16:creationId xmlns:a16="http://schemas.microsoft.com/office/drawing/2014/main" id="{2BD0A682-D3F4-4DBC-985C-807FB7C924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28316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273</xdr:row>
      <xdr:rowOff>24147</xdr:rowOff>
    </xdr:from>
    <xdr:to>
      <xdr:col>0</xdr:col>
      <xdr:colOff>1400175</xdr:colOff>
      <xdr:row>273</xdr:row>
      <xdr:rowOff>899767</xdr:rowOff>
    </xdr:to>
    <xdr:pic>
      <xdr:nvPicPr>
        <xdr:cNvPr id="289" name="Рисунок 288">
          <a:extLst>
            <a:ext uri="{FF2B5EF4-FFF2-40B4-BE49-F238E27FC236}">
              <a16:creationId xmlns:a16="http://schemas.microsoft.com/office/drawing/2014/main" id="{8E6B5CB5-8AE7-4E54-935D-535ABC9A1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3209722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274</xdr:row>
      <xdr:rowOff>27124</xdr:rowOff>
    </xdr:from>
    <xdr:to>
      <xdr:col>0</xdr:col>
      <xdr:colOff>1400175</xdr:colOff>
      <xdr:row>274</xdr:row>
      <xdr:rowOff>163376</xdr:rowOff>
    </xdr:to>
    <xdr:pic>
      <xdr:nvPicPr>
        <xdr:cNvPr id="291" name="Рисунок 290">
          <a:extLst>
            <a:ext uri="{FF2B5EF4-FFF2-40B4-BE49-F238E27FC236}">
              <a16:creationId xmlns:a16="http://schemas.microsoft.com/office/drawing/2014/main" id="{5149773E-9F84-446C-9325-6769758577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1366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277</xdr:row>
      <xdr:rowOff>24718</xdr:rowOff>
    </xdr:from>
    <xdr:to>
      <xdr:col>0</xdr:col>
      <xdr:colOff>1400175</xdr:colOff>
      <xdr:row>277</xdr:row>
      <xdr:rowOff>889691</xdr:rowOff>
    </xdr:to>
    <xdr:pic>
      <xdr:nvPicPr>
        <xdr:cNvPr id="293" name="Рисунок 292">
          <a:extLst>
            <a:ext uri="{FF2B5EF4-FFF2-40B4-BE49-F238E27FC236}">
              <a16:creationId xmlns:a16="http://schemas.microsoft.com/office/drawing/2014/main" id="{DF23CFC1-3F55-42BE-B4E6-18768810A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705718"/>
          <a:ext cx="1371600" cy="86497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278</xdr:row>
      <xdr:rowOff>21977</xdr:rowOff>
    </xdr:from>
    <xdr:to>
      <xdr:col>0</xdr:col>
      <xdr:colOff>1400175</xdr:colOff>
      <xdr:row>278</xdr:row>
      <xdr:rowOff>225680</xdr:rowOff>
    </xdr:to>
    <xdr:pic>
      <xdr:nvPicPr>
        <xdr:cNvPr id="295" name="Рисунок 294">
          <a:extLst>
            <a:ext uri="{FF2B5EF4-FFF2-40B4-BE49-F238E27FC236}">
              <a16:creationId xmlns:a16="http://schemas.microsoft.com/office/drawing/2014/main" id="{FECCF53C-9BF0-40A0-A876-08827441CF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5617377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279</xdr:row>
      <xdr:rowOff>21890</xdr:rowOff>
    </xdr:from>
    <xdr:to>
      <xdr:col>0</xdr:col>
      <xdr:colOff>1400175</xdr:colOff>
      <xdr:row>279</xdr:row>
      <xdr:rowOff>882984</xdr:rowOff>
    </xdr:to>
    <xdr:pic>
      <xdr:nvPicPr>
        <xdr:cNvPr id="297" name="Рисунок 296">
          <a:extLst>
            <a:ext uri="{FF2B5EF4-FFF2-40B4-BE49-F238E27FC236}">
              <a16:creationId xmlns:a16="http://schemas.microsoft.com/office/drawing/2014/main" id="{0DA31A02-6F9D-4E2F-B748-6B5F464FC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5864940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280</xdr:row>
      <xdr:rowOff>27124</xdr:rowOff>
    </xdr:from>
    <xdr:to>
      <xdr:col>0</xdr:col>
      <xdr:colOff>1400175</xdr:colOff>
      <xdr:row>280</xdr:row>
      <xdr:rowOff>163376</xdr:rowOff>
    </xdr:to>
    <xdr:pic>
      <xdr:nvPicPr>
        <xdr:cNvPr id="299" name="Рисунок 298">
          <a:extLst>
            <a:ext uri="{FF2B5EF4-FFF2-40B4-BE49-F238E27FC236}">
              <a16:creationId xmlns:a16="http://schemas.microsoft.com/office/drawing/2014/main" id="{968CF697-5300-4FE8-8426-B0C365247B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67750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283</xdr:row>
      <xdr:rowOff>21592</xdr:rowOff>
    </xdr:from>
    <xdr:to>
      <xdr:col>0</xdr:col>
      <xdr:colOff>1400175</xdr:colOff>
      <xdr:row>283</xdr:row>
      <xdr:rowOff>864234</xdr:rowOff>
    </xdr:to>
    <xdr:pic>
      <xdr:nvPicPr>
        <xdr:cNvPr id="301" name="Рисунок 300">
          <a:extLst>
            <a:ext uri="{FF2B5EF4-FFF2-40B4-BE49-F238E27FC236}">
              <a16:creationId xmlns:a16="http://schemas.microsoft.com/office/drawing/2014/main" id="{3C4709D6-B57E-48DC-A37C-9B1F95CB39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7341017"/>
          <a:ext cx="1371600" cy="84264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284</xdr:row>
      <xdr:rowOff>21977</xdr:rowOff>
    </xdr:from>
    <xdr:to>
      <xdr:col>0</xdr:col>
      <xdr:colOff>1400175</xdr:colOff>
      <xdr:row>284</xdr:row>
      <xdr:rowOff>225680</xdr:rowOff>
    </xdr:to>
    <xdr:pic>
      <xdr:nvPicPr>
        <xdr:cNvPr id="303" name="Рисунок 302">
          <a:extLst>
            <a:ext uri="{FF2B5EF4-FFF2-40B4-BE49-F238E27FC236}">
              <a16:creationId xmlns:a16="http://schemas.microsoft.com/office/drawing/2014/main" id="{D698E8E9-FA14-4F75-8676-10700852A3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8227227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285</xdr:row>
      <xdr:rowOff>24371</xdr:rowOff>
    </xdr:from>
    <xdr:to>
      <xdr:col>0</xdr:col>
      <xdr:colOff>1400175</xdr:colOff>
      <xdr:row>285</xdr:row>
      <xdr:rowOff>842410</xdr:rowOff>
    </xdr:to>
    <xdr:pic>
      <xdr:nvPicPr>
        <xdr:cNvPr id="305" name="Рисунок 304">
          <a:extLst>
            <a:ext uri="{FF2B5EF4-FFF2-40B4-BE49-F238E27FC236}">
              <a16:creationId xmlns:a16="http://schemas.microsoft.com/office/drawing/2014/main" id="{8AABDA4F-7B60-4014-8433-F57A80E4C8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8477271"/>
          <a:ext cx="1371600" cy="8180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286</xdr:row>
      <xdr:rowOff>21977</xdr:rowOff>
    </xdr:from>
    <xdr:to>
      <xdr:col>0</xdr:col>
      <xdr:colOff>1400175</xdr:colOff>
      <xdr:row>286</xdr:row>
      <xdr:rowOff>225680</xdr:rowOff>
    </xdr:to>
    <xdr:pic>
      <xdr:nvPicPr>
        <xdr:cNvPr id="307" name="Рисунок 306">
          <a:extLst>
            <a:ext uri="{FF2B5EF4-FFF2-40B4-BE49-F238E27FC236}">
              <a16:creationId xmlns:a16="http://schemas.microsoft.com/office/drawing/2014/main" id="{30C634F5-2C84-4EEA-A944-FE938D9D7F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9341652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287</xdr:row>
      <xdr:rowOff>21791</xdr:rowOff>
    </xdr:from>
    <xdr:to>
      <xdr:col>0</xdr:col>
      <xdr:colOff>1400175</xdr:colOff>
      <xdr:row>287</xdr:row>
      <xdr:rowOff>873561</xdr:rowOff>
    </xdr:to>
    <xdr:pic>
      <xdr:nvPicPr>
        <xdr:cNvPr id="309" name="Рисунок 308">
          <a:extLst>
            <a:ext uri="{FF2B5EF4-FFF2-40B4-BE49-F238E27FC236}">
              <a16:creationId xmlns:a16="http://schemas.microsoft.com/office/drawing/2014/main" id="{107C8BD8-ECD3-42CB-B93F-2B8A52A02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9589116"/>
          <a:ext cx="1371600" cy="85177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288</xdr:row>
      <xdr:rowOff>44066</xdr:rowOff>
    </xdr:from>
    <xdr:to>
      <xdr:col>0</xdr:col>
      <xdr:colOff>1400175</xdr:colOff>
      <xdr:row>288</xdr:row>
      <xdr:rowOff>146424</xdr:rowOff>
    </xdr:to>
    <xdr:pic>
      <xdr:nvPicPr>
        <xdr:cNvPr id="311" name="Рисунок 310">
          <a:extLst>
            <a:ext uri="{FF2B5EF4-FFF2-40B4-BE49-F238E27FC236}">
              <a16:creationId xmlns:a16="http://schemas.microsoft.com/office/drawing/2014/main" id="{F46B28C1-3934-425F-AD9D-F86F866CB2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0506741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291</xdr:row>
      <xdr:rowOff>21332</xdr:rowOff>
    </xdr:from>
    <xdr:to>
      <xdr:col>0</xdr:col>
      <xdr:colOff>1400175</xdr:colOff>
      <xdr:row>291</xdr:row>
      <xdr:rowOff>893060</xdr:rowOff>
    </xdr:to>
    <xdr:pic>
      <xdr:nvPicPr>
        <xdr:cNvPr id="313" name="Рисунок 312">
          <a:extLst>
            <a:ext uri="{FF2B5EF4-FFF2-40B4-BE49-F238E27FC236}">
              <a16:creationId xmlns:a16="http://schemas.microsoft.com/office/drawing/2014/main" id="{D7165393-D28D-443E-A27B-1F76D941F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1055507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292</xdr:row>
      <xdr:rowOff>21977</xdr:rowOff>
    </xdr:from>
    <xdr:to>
      <xdr:col>0</xdr:col>
      <xdr:colOff>1400175</xdr:colOff>
      <xdr:row>292</xdr:row>
      <xdr:rowOff>225680</xdr:rowOff>
    </xdr:to>
    <xdr:pic>
      <xdr:nvPicPr>
        <xdr:cNvPr id="315" name="Рисунок 314">
          <a:extLst>
            <a:ext uri="{FF2B5EF4-FFF2-40B4-BE49-F238E27FC236}">
              <a16:creationId xmlns:a16="http://schemas.microsoft.com/office/drawing/2014/main" id="{52E54DAF-DEBC-4E02-AAF3-535A04635B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1970552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293</xdr:row>
      <xdr:rowOff>23937</xdr:rowOff>
    </xdr:from>
    <xdr:to>
      <xdr:col>0</xdr:col>
      <xdr:colOff>1400175</xdr:colOff>
      <xdr:row>293</xdr:row>
      <xdr:rowOff>833305</xdr:rowOff>
    </xdr:to>
    <xdr:pic>
      <xdr:nvPicPr>
        <xdr:cNvPr id="317" name="Рисунок 316">
          <a:extLst>
            <a:ext uri="{FF2B5EF4-FFF2-40B4-BE49-F238E27FC236}">
              <a16:creationId xmlns:a16="http://schemas.microsoft.com/office/drawing/2014/main" id="{43F87299-E1BA-4400-9277-3A5AD2702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2220162"/>
          <a:ext cx="1371600" cy="8093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294</xdr:row>
      <xdr:rowOff>24495</xdr:rowOff>
    </xdr:from>
    <xdr:to>
      <xdr:col>0</xdr:col>
      <xdr:colOff>1400175</xdr:colOff>
      <xdr:row>294</xdr:row>
      <xdr:rowOff>918484</xdr:rowOff>
    </xdr:to>
    <xdr:pic>
      <xdr:nvPicPr>
        <xdr:cNvPr id="319" name="Рисунок 318">
          <a:extLst>
            <a:ext uri="{FF2B5EF4-FFF2-40B4-BE49-F238E27FC236}">
              <a16:creationId xmlns:a16="http://schemas.microsoft.com/office/drawing/2014/main" id="{E56D9E6B-B53E-4EB2-8A6A-08A118C978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3077970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295</xdr:row>
      <xdr:rowOff>22523</xdr:rowOff>
    </xdr:from>
    <xdr:to>
      <xdr:col>0</xdr:col>
      <xdr:colOff>1400175</xdr:colOff>
      <xdr:row>295</xdr:row>
      <xdr:rowOff>844247</xdr:rowOff>
    </xdr:to>
    <xdr:pic>
      <xdr:nvPicPr>
        <xdr:cNvPr id="321" name="Рисунок 320">
          <a:extLst>
            <a:ext uri="{FF2B5EF4-FFF2-40B4-BE49-F238E27FC236}">
              <a16:creationId xmlns:a16="http://schemas.microsoft.com/office/drawing/2014/main" id="{8616A55B-11EC-4C49-BB08-1455458C14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4018973"/>
          <a:ext cx="1371600" cy="82172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296</xdr:row>
      <xdr:rowOff>24147</xdr:rowOff>
    </xdr:from>
    <xdr:to>
      <xdr:col>0</xdr:col>
      <xdr:colOff>1400175</xdr:colOff>
      <xdr:row>296</xdr:row>
      <xdr:rowOff>861673</xdr:rowOff>
    </xdr:to>
    <xdr:pic>
      <xdr:nvPicPr>
        <xdr:cNvPr id="323" name="Рисунок 322">
          <a:extLst>
            <a:ext uri="{FF2B5EF4-FFF2-40B4-BE49-F238E27FC236}">
              <a16:creationId xmlns:a16="http://schemas.microsoft.com/office/drawing/2014/main" id="{39153C16-A6B9-4AAC-9015-372848C8F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4887372"/>
          <a:ext cx="1371600" cy="837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297</xdr:row>
      <xdr:rowOff>23006</xdr:rowOff>
    </xdr:from>
    <xdr:to>
      <xdr:col>0</xdr:col>
      <xdr:colOff>1400175</xdr:colOff>
      <xdr:row>297</xdr:row>
      <xdr:rowOff>815184</xdr:rowOff>
    </xdr:to>
    <xdr:pic>
      <xdr:nvPicPr>
        <xdr:cNvPr id="325" name="Рисунок 324">
          <a:extLst>
            <a:ext uri="{FF2B5EF4-FFF2-40B4-BE49-F238E27FC236}">
              <a16:creationId xmlns:a16="http://schemas.microsoft.com/office/drawing/2014/main" id="{F5273996-0A46-4A90-82D6-7E3BA10CA0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5772056"/>
          <a:ext cx="1371600" cy="79217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298</xdr:row>
      <xdr:rowOff>21977</xdr:rowOff>
    </xdr:from>
    <xdr:to>
      <xdr:col>0</xdr:col>
      <xdr:colOff>1400175</xdr:colOff>
      <xdr:row>298</xdr:row>
      <xdr:rowOff>225680</xdr:rowOff>
    </xdr:to>
    <xdr:pic>
      <xdr:nvPicPr>
        <xdr:cNvPr id="327" name="Рисунок 326">
          <a:extLst>
            <a:ext uri="{FF2B5EF4-FFF2-40B4-BE49-F238E27FC236}">
              <a16:creationId xmlns:a16="http://schemas.microsoft.com/office/drawing/2014/main" id="{2DD9C27E-506D-4C2E-B0F8-BF8BC586C3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6609227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299</xdr:row>
      <xdr:rowOff>23403</xdr:rowOff>
    </xdr:from>
    <xdr:to>
      <xdr:col>0</xdr:col>
      <xdr:colOff>1400175</xdr:colOff>
      <xdr:row>299</xdr:row>
      <xdr:rowOff>805260</xdr:rowOff>
    </xdr:to>
    <xdr:pic>
      <xdr:nvPicPr>
        <xdr:cNvPr id="329" name="Рисунок 328">
          <a:extLst>
            <a:ext uri="{FF2B5EF4-FFF2-40B4-BE49-F238E27FC236}">
              <a16:creationId xmlns:a16="http://schemas.microsoft.com/office/drawing/2014/main" id="{2F2F1A69-70A6-4B35-9475-FD62C34A7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6858303"/>
          <a:ext cx="1371600" cy="7818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300</xdr:row>
      <xdr:rowOff>21977</xdr:rowOff>
    </xdr:from>
    <xdr:to>
      <xdr:col>0</xdr:col>
      <xdr:colOff>1400175</xdr:colOff>
      <xdr:row>300</xdr:row>
      <xdr:rowOff>225680</xdr:rowOff>
    </xdr:to>
    <xdr:pic>
      <xdr:nvPicPr>
        <xdr:cNvPr id="331" name="Рисунок 330">
          <a:extLst>
            <a:ext uri="{FF2B5EF4-FFF2-40B4-BE49-F238E27FC236}">
              <a16:creationId xmlns:a16="http://schemas.microsoft.com/office/drawing/2014/main" id="{D30D420D-CF9D-40F2-8610-260F1C371A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7685552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301</xdr:row>
      <xdr:rowOff>22138</xdr:rowOff>
    </xdr:from>
    <xdr:to>
      <xdr:col>0</xdr:col>
      <xdr:colOff>1400175</xdr:colOff>
      <xdr:row>301</xdr:row>
      <xdr:rowOff>835106</xdr:rowOff>
    </xdr:to>
    <xdr:pic>
      <xdr:nvPicPr>
        <xdr:cNvPr id="333" name="Рисунок 332">
          <a:extLst>
            <a:ext uri="{FF2B5EF4-FFF2-40B4-BE49-F238E27FC236}">
              <a16:creationId xmlns:a16="http://schemas.microsoft.com/office/drawing/2014/main" id="{22D6CDBA-1484-4243-AB46-52F169A61B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7933363"/>
          <a:ext cx="1371600" cy="8129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302</xdr:row>
      <xdr:rowOff>21642</xdr:rowOff>
    </xdr:from>
    <xdr:to>
      <xdr:col>0</xdr:col>
      <xdr:colOff>1400175</xdr:colOff>
      <xdr:row>303</xdr:row>
      <xdr:rowOff>45022</xdr:rowOff>
    </xdr:to>
    <xdr:pic>
      <xdr:nvPicPr>
        <xdr:cNvPr id="335" name="Рисунок 334">
          <a:extLst>
            <a:ext uri="{FF2B5EF4-FFF2-40B4-BE49-F238E27FC236}">
              <a16:creationId xmlns:a16="http://schemas.microsoft.com/office/drawing/2014/main" id="{EF9E1FA8-FD61-42D6-B6D4-E20DCF625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8790117"/>
          <a:ext cx="1371600" cy="96635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303</xdr:row>
      <xdr:rowOff>22969</xdr:rowOff>
    </xdr:from>
    <xdr:to>
      <xdr:col>0</xdr:col>
      <xdr:colOff>1400175</xdr:colOff>
      <xdr:row>303</xdr:row>
      <xdr:rowOff>224675</xdr:rowOff>
    </xdr:to>
    <xdr:pic>
      <xdr:nvPicPr>
        <xdr:cNvPr id="337" name="Рисунок 336">
          <a:extLst>
            <a:ext uri="{FF2B5EF4-FFF2-40B4-BE49-F238E27FC236}">
              <a16:creationId xmlns:a16="http://schemas.microsoft.com/office/drawing/2014/main" id="{A2C179B6-15B6-4C45-A0DD-5F9F53260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9801094"/>
          <a:ext cx="1371600" cy="2017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307</xdr:row>
      <xdr:rowOff>21766</xdr:rowOff>
    </xdr:from>
    <xdr:to>
      <xdr:col>0</xdr:col>
      <xdr:colOff>1400175</xdr:colOff>
      <xdr:row>308</xdr:row>
      <xdr:rowOff>82998</xdr:rowOff>
    </xdr:to>
    <xdr:pic>
      <xdr:nvPicPr>
        <xdr:cNvPr id="339" name="Рисунок 338">
          <a:extLst>
            <a:ext uri="{FF2B5EF4-FFF2-40B4-BE49-F238E27FC236}">
              <a16:creationId xmlns:a16="http://schemas.microsoft.com/office/drawing/2014/main" id="{7A80316D-0BA7-4A11-8FE5-A1DBB0EEB4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0619041"/>
          <a:ext cx="1371600" cy="100420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308</xdr:row>
      <xdr:rowOff>43817</xdr:rowOff>
    </xdr:from>
    <xdr:to>
      <xdr:col>0</xdr:col>
      <xdr:colOff>1400175</xdr:colOff>
      <xdr:row>308</xdr:row>
      <xdr:rowOff>146687</xdr:rowOff>
    </xdr:to>
    <xdr:pic>
      <xdr:nvPicPr>
        <xdr:cNvPr id="341" name="Рисунок 340">
          <a:extLst>
            <a:ext uri="{FF2B5EF4-FFF2-40B4-BE49-F238E27FC236}">
              <a16:creationId xmlns:a16="http://schemas.microsoft.com/office/drawing/2014/main" id="{01DEEAF6-B2CE-42BD-82B8-68A1D56452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1688842"/>
          <a:ext cx="1371600" cy="10287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100</xdr:row>
      <xdr:rowOff>22058</xdr:rowOff>
    </xdr:from>
    <xdr:to>
      <xdr:col>0</xdr:col>
      <xdr:colOff>1400175</xdr:colOff>
      <xdr:row>100</xdr:row>
      <xdr:rowOff>930442</xdr:rowOff>
    </xdr:to>
    <xdr:pic>
      <xdr:nvPicPr>
        <xdr:cNvPr id="117" name="Рисунок 116">
          <a:extLst>
            <a:ext uri="{FF2B5EF4-FFF2-40B4-BE49-F238E27FC236}">
              <a16:creationId xmlns:a16="http://schemas.microsoft.com/office/drawing/2014/main" id="{D28C25C2-7B57-45FC-AD13-3C596E14A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2474983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</xdr:row>
      <xdr:rowOff>24631</xdr:rowOff>
    </xdr:from>
    <xdr:to>
      <xdr:col>0</xdr:col>
      <xdr:colOff>1400175</xdr:colOff>
      <xdr:row>1</xdr:row>
      <xdr:rowOff>918343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A41767E3-8940-4A44-BD74-AFBA21EBF6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5131"/>
          <a:ext cx="1371600" cy="8937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</xdr:row>
      <xdr:rowOff>21907</xdr:rowOff>
    </xdr:from>
    <xdr:to>
      <xdr:col>0</xdr:col>
      <xdr:colOff>1400175</xdr:colOff>
      <xdr:row>4</xdr:row>
      <xdr:rowOff>844867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D606452-190E-4824-B550-E446A130A3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36382"/>
          <a:ext cx="1371600" cy="8229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</xdr:row>
      <xdr:rowOff>21825</xdr:rowOff>
    </xdr:from>
    <xdr:to>
      <xdr:col>0</xdr:col>
      <xdr:colOff>1400175</xdr:colOff>
      <xdr:row>8</xdr:row>
      <xdr:rowOff>940201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1D6B527B-526C-4F28-8F76-8CBB51699F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917550"/>
          <a:ext cx="1371600" cy="9183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</xdr:row>
      <xdr:rowOff>23685</xdr:rowOff>
    </xdr:from>
    <xdr:to>
      <xdr:col>0</xdr:col>
      <xdr:colOff>1400175</xdr:colOff>
      <xdr:row>7</xdr:row>
      <xdr:rowOff>52516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5C1384D7-874C-4A7D-A7CB-6839334275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52585"/>
          <a:ext cx="1371600" cy="9718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</xdr:row>
      <xdr:rowOff>25036</xdr:rowOff>
    </xdr:from>
    <xdr:to>
      <xdr:col>0</xdr:col>
      <xdr:colOff>1400175</xdr:colOff>
      <xdr:row>11</xdr:row>
      <xdr:rowOff>32114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3A0C5A55-99A3-43C6-BA42-781333C9D8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130436"/>
          <a:ext cx="1371600" cy="9500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</xdr:row>
      <xdr:rowOff>21399</xdr:rowOff>
    </xdr:from>
    <xdr:to>
      <xdr:col>0</xdr:col>
      <xdr:colOff>1400175</xdr:colOff>
      <xdr:row>13</xdr:row>
      <xdr:rowOff>7176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87EA7D0D-6285-4313-836A-2A121148F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374574"/>
          <a:ext cx="1371600" cy="9287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1</xdr:row>
      <xdr:rowOff>24631</xdr:rowOff>
    </xdr:from>
    <xdr:to>
      <xdr:col>0</xdr:col>
      <xdr:colOff>1400175</xdr:colOff>
      <xdr:row>1</xdr:row>
      <xdr:rowOff>918343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AAE0A73-8188-476A-861E-49A58F1B5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5131"/>
          <a:ext cx="1371600" cy="8937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</xdr:row>
      <xdr:rowOff>21907</xdr:rowOff>
    </xdr:from>
    <xdr:to>
      <xdr:col>0</xdr:col>
      <xdr:colOff>1400175</xdr:colOff>
      <xdr:row>2</xdr:row>
      <xdr:rowOff>844867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2E63F4FC-ACDA-48DB-A436-71177FCE7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55382"/>
          <a:ext cx="1371600" cy="8229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</xdr:row>
      <xdr:rowOff>23685</xdr:rowOff>
    </xdr:from>
    <xdr:to>
      <xdr:col>0</xdr:col>
      <xdr:colOff>1400175</xdr:colOff>
      <xdr:row>3</xdr:row>
      <xdr:rowOff>995491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C8520D3C-3C4A-4FA9-BB92-2BD854A49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23935"/>
          <a:ext cx="1371600" cy="9718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</xdr:row>
      <xdr:rowOff>21824</xdr:rowOff>
    </xdr:from>
    <xdr:to>
      <xdr:col>0</xdr:col>
      <xdr:colOff>1400175</xdr:colOff>
      <xdr:row>4</xdr:row>
      <xdr:rowOff>940200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33334A24-D3C0-4D1E-B501-7224E6827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41249"/>
          <a:ext cx="1371600" cy="9183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</xdr:row>
      <xdr:rowOff>25036</xdr:rowOff>
    </xdr:from>
    <xdr:to>
      <xdr:col>0</xdr:col>
      <xdr:colOff>1400175</xdr:colOff>
      <xdr:row>5</xdr:row>
      <xdr:rowOff>975089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96F59858-31DF-47D4-BC7E-635573A9A4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006486"/>
          <a:ext cx="1371600" cy="9500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</xdr:row>
      <xdr:rowOff>21399</xdr:rowOff>
    </xdr:from>
    <xdr:to>
      <xdr:col>0</xdr:col>
      <xdr:colOff>1400175</xdr:colOff>
      <xdr:row>6</xdr:row>
      <xdr:rowOff>950151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AAE1380-0383-45FF-B85C-86774054F1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02974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</xdr:row>
      <xdr:rowOff>22347</xdr:rowOff>
    </xdr:from>
    <xdr:to>
      <xdr:col>0</xdr:col>
      <xdr:colOff>1400175</xdr:colOff>
      <xdr:row>7</xdr:row>
      <xdr:rowOff>1044453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BD9102FF-E959-4D0C-B2CB-514D5CD243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975472"/>
          <a:ext cx="1371600" cy="1022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</xdr:row>
      <xdr:rowOff>22396</xdr:rowOff>
    </xdr:from>
    <xdr:to>
      <xdr:col>0</xdr:col>
      <xdr:colOff>1400175</xdr:colOff>
      <xdr:row>8</xdr:row>
      <xdr:rowOff>949153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7B3F6475-9D43-46BB-AC9F-BE33382CAB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042321"/>
          <a:ext cx="1371600" cy="9267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</xdr:row>
      <xdr:rowOff>21336</xdr:rowOff>
    </xdr:from>
    <xdr:to>
      <xdr:col>0</xdr:col>
      <xdr:colOff>1400175</xdr:colOff>
      <xdr:row>9</xdr:row>
      <xdr:rowOff>893064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31FABE26-6252-4E98-A5D0-B535300967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012811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</xdr:row>
      <xdr:rowOff>22175</xdr:rowOff>
    </xdr:from>
    <xdr:to>
      <xdr:col>0</xdr:col>
      <xdr:colOff>1400175</xdr:colOff>
      <xdr:row>10</xdr:row>
      <xdr:rowOff>977951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E6E00056-D44F-493E-81C7-CF283CE1E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928050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</xdr:row>
      <xdr:rowOff>23619</xdr:rowOff>
    </xdr:from>
    <xdr:to>
      <xdr:col>0</xdr:col>
      <xdr:colOff>1400175</xdr:colOff>
      <xdr:row>11</xdr:row>
      <xdr:rowOff>966982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5B2F0584-88ED-4DF8-BE70-58491738DA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929619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</xdr:row>
      <xdr:rowOff>21399</xdr:rowOff>
    </xdr:from>
    <xdr:to>
      <xdr:col>0</xdr:col>
      <xdr:colOff>1400175</xdr:colOff>
      <xdr:row>12</xdr:row>
      <xdr:rowOff>950151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5D1C6EC7-837C-437B-A216-BC863BED31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917999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</xdr:row>
      <xdr:rowOff>21698</xdr:rowOff>
    </xdr:from>
    <xdr:to>
      <xdr:col>0</xdr:col>
      <xdr:colOff>1400175</xdr:colOff>
      <xdr:row>13</xdr:row>
      <xdr:rowOff>968902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E0F212D3-FC31-45FB-8418-DE4BFE9FA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889848"/>
          <a:ext cx="1371600" cy="9472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</xdr:row>
      <xdr:rowOff>24474</xdr:rowOff>
    </xdr:from>
    <xdr:to>
      <xdr:col>0</xdr:col>
      <xdr:colOff>1400175</xdr:colOff>
      <xdr:row>14</xdr:row>
      <xdr:rowOff>947075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81252858-C979-4016-8695-831A1BFF7B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883224"/>
          <a:ext cx="1371600" cy="92260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24416</xdr:rowOff>
    </xdr:from>
    <xdr:to>
      <xdr:col>0</xdr:col>
      <xdr:colOff>1400175</xdr:colOff>
      <xdr:row>15</xdr:row>
      <xdr:rowOff>899509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67CFC5E-0E40-457F-907E-BA2B4E1AA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854716"/>
          <a:ext cx="1371600" cy="8750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</xdr:row>
      <xdr:rowOff>24842</xdr:rowOff>
    </xdr:from>
    <xdr:to>
      <xdr:col>0</xdr:col>
      <xdr:colOff>1400175</xdr:colOff>
      <xdr:row>16</xdr:row>
      <xdr:rowOff>1013383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D2533F11-8B60-4E55-A8C2-15679DEF6A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77906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</xdr:row>
      <xdr:rowOff>22489</xdr:rowOff>
    </xdr:from>
    <xdr:to>
      <xdr:col>0</xdr:col>
      <xdr:colOff>1400175</xdr:colOff>
      <xdr:row>17</xdr:row>
      <xdr:rowOff>920487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3EF1C3FB-AF29-4FA6-8CEC-5DAAE8C4D4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814939"/>
          <a:ext cx="1371600" cy="8979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</xdr:row>
      <xdr:rowOff>21527</xdr:rowOff>
    </xdr:from>
    <xdr:to>
      <xdr:col>0</xdr:col>
      <xdr:colOff>1400175</xdr:colOff>
      <xdr:row>18</xdr:row>
      <xdr:rowOff>921446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92622EAD-13D2-4024-A01C-4FA14CA6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756952"/>
          <a:ext cx="1371600" cy="89991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</xdr:row>
      <xdr:rowOff>23619</xdr:rowOff>
    </xdr:from>
    <xdr:to>
      <xdr:col>0</xdr:col>
      <xdr:colOff>1400175</xdr:colOff>
      <xdr:row>19</xdr:row>
      <xdr:rowOff>966982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C5C1833-9514-4A62-95C1-CE0E2DEC65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702019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</xdr:row>
      <xdr:rowOff>25563</xdr:rowOff>
    </xdr:from>
    <xdr:to>
      <xdr:col>0</xdr:col>
      <xdr:colOff>1400175</xdr:colOff>
      <xdr:row>20</xdr:row>
      <xdr:rowOff>917411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FA6B24AF-2C69-404A-8084-DDFE329E28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694563"/>
          <a:ext cx="1371600" cy="8918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</xdr:row>
      <xdr:rowOff>23983</xdr:rowOff>
    </xdr:from>
    <xdr:to>
      <xdr:col>0</xdr:col>
      <xdr:colOff>1400175</xdr:colOff>
      <xdr:row>21</xdr:row>
      <xdr:rowOff>1014241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2582AA00-7E64-4FCF-9EE2-0EEBE83E74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635958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</xdr:row>
      <xdr:rowOff>24200</xdr:rowOff>
    </xdr:from>
    <xdr:to>
      <xdr:col>0</xdr:col>
      <xdr:colOff>1400175</xdr:colOff>
      <xdr:row>22</xdr:row>
      <xdr:rowOff>880674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EEDB5240-D320-4CB0-AA5D-6F31527ED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674400"/>
          <a:ext cx="1371600" cy="8564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</xdr:row>
      <xdr:rowOff>23279</xdr:rowOff>
    </xdr:from>
    <xdr:to>
      <xdr:col>0</xdr:col>
      <xdr:colOff>1400175</xdr:colOff>
      <xdr:row>23</xdr:row>
      <xdr:rowOff>872072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FBAA657E-61DB-4F27-B07D-7C61873B1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578354"/>
          <a:ext cx="1371600" cy="8487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</xdr:row>
      <xdr:rowOff>22757</xdr:rowOff>
    </xdr:from>
    <xdr:to>
      <xdr:col>0</xdr:col>
      <xdr:colOff>1400175</xdr:colOff>
      <xdr:row>24</xdr:row>
      <xdr:rowOff>891644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79D2EB03-9F74-439A-9559-F71808836E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473182"/>
          <a:ext cx="1371600" cy="86888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</xdr:row>
      <xdr:rowOff>21743</xdr:rowOff>
    </xdr:from>
    <xdr:to>
      <xdr:col>0</xdr:col>
      <xdr:colOff>1400175</xdr:colOff>
      <xdr:row>25</xdr:row>
      <xdr:rowOff>940281</xdr:rowOff>
    </xdr:to>
    <xdr:pic>
      <xdr:nvPicPr>
        <xdr:cNvPr id="26" name="Рисунок 25">
          <a:extLst>
            <a:ext uri="{FF2B5EF4-FFF2-40B4-BE49-F238E27FC236}">
              <a16:creationId xmlns:a16="http://schemas.microsoft.com/office/drawing/2014/main" id="{BE9C2F55-CAF6-490C-A6F1-4C0B643C22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3386568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</xdr:row>
      <xdr:rowOff>21306</xdr:rowOff>
    </xdr:from>
    <xdr:to>
      <xdr:col>0</xdr:col>
      <xdr:colOff>1400175</xdr:colOff>
      <xdr:row>26</xdr:row>
      <xdr:rowOff>959769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B3AEAA6E-9443-48C1-8997-E6B2B8880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348156"/>
          <a:ext cx="1371600" cy="9384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</xdr:row>
      <xdr:rowOff>22861</xdr:rowOff>
    </xdr:from>
    <xdr:to>
      <xdr:col>0</xdr:col>
      <xdr:colOff>1400175</xdr:colOff>
      <xdr:row>27</xdr:row>
      <xdr:rowOff>967741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798F1A27-1133-4798-8D98-AE617CEF66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330786"/>
          <a:ext cx="1371600" cy="9448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</xdr:row>
      <xdr:rowOff>25059</xdr:rowOff>
    </xdr:from>
    <xdr:to>
      <xdr:col>0</xdr:col>
      <xdr:colOff>1400175</xdr:colOff>
      <xdr:row>28</xdr:row>
      <xdr:rowOff>1127467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B5C595DC-3D31-49BA-BEF4-3D026BEC79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323584"/>
          <a:ext cx="1371600" cy="110240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</xdr:row>
      <xdr:rowOff>22287</xdr:rowOff>
    </xdr:from>
    <xdr:to>
      <xdr:col>0</xdr:col>
      <xdr:colOff>1400175</xdr:colOff>
      <xdr:row>29</xdr:row>
      <xdr:rowOff>1168335</xdr:rowOff>
    </xdr:to>
    <xdr:pic>
      <xdr:nvPicPr>
        <xdr:cNvPr id="30" name="Рисунок 29">
          <a:extLst>
            <a:ext uri="{FF2B5EF4-FFF2-40B4-BE49-F238E27FC236}">
              <a16:creationId xmlns:a16="http://schemas.microsoft.com/office/drawing/2014/main" id="{9D1718E7-6F68-41A4-BE30-B58E3E33DE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473337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</xdr:row>
      <xdr:rowOff>22058</xdr:rowOff>
    </xdr:from>
    <xdr:to>
      <xdr:col>0</xdr:col>
      <xdr:colOff>1400175</xdr:colOff>
      <xdr:row>30</xdr:row>
      <xdr:rowOff>930442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9A0A1630-FC44-476E-93B2-2CDFEC39E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663733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31</xdr:row>
      <xdr:rowOff>24842</xdr:rowOff>
    </xdr:from>
    <xdr:to>
      <xdr:col>0</xdr:col>
      <xdr:colOff>1400175</xdr:colOff>
      <xdr:row>31</xdr:row>
      <xdr:rowOff>1013383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17A84FC7-FF10-4F02-9A1B-A09514D71D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61901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32</xdr:row>
      <xdr:rowOff>25372</xdr:rowOff>
    </xdr:from>
    <xdr:to>
      <xdr:col>0</xdr:col>
      <xdr:colOff>1400175</xdr:colOff>
      <xdr:row>32</xdr:row>
      <xdr:rowOff>1003329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98F9BE53-D266-4D82-80C1-651D9EB612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657772"/>
          <a:ext cx="1371600" cy="9779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33</xdr:row>
      <xdr:rowOff>23983</xdr:rowOff>
    </xdr:from>
    <xdr:to>
      <xdr:col>0</xdr:col>
      <xdr:colOff>1400175</xdr:colOff>
      <xdr:row>33</xdr:row>
      <xdr:rowOff>1014241</xdr:rowOff>
    </xdr:to>
    <xdr:pic>
      <xdr:nvPicPr>
        <xdr:cNvPr id="34" name="Рисунок 33">
          <a:extLst>
            <a:ext uri="{FF2B5EF4-FFF2-40B4-BE49-F238E27FC236}">
              <a16:creationId xmlns:a16="http://schemas.microsoft.com/office/drawing/2014/main" id="{E6A6E730-5D40-435F-83BA-AFE99A67BB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685083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34</xdr:row>
      <xdr:rowOff>22823</xdr:rowOff>
    </xdr:from>
    <xdr:to>
      <xdr:col>0</xdr:col>
      <xdr:colOff>1400175</xdr:colOff>
      <xdr:row>34</xdr:row>
      <xdr:rowOff>986825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A37797F8-1C93-407C-AE2B-2E3EE9AF21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722148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35</xdr:row>
      <xdr:rowOff>23385</xdr:rowOff>
    </xdr:from>
    <xdr:to>
      <xdr:col>0</xdr:col>
      <xdr:colOff>1400175</xdr:colOff>
      <xdr:row>35</xdr:row>
      <xdr:rowOff>976739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0D56E2D7-391A-4273-9F7C-81FBA15F56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732360"/>
          <a:ext cx="1371600" cy="9533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36</xdr:row>
      <xdr:rowOff>22436</xdr:rowOff>
    </xdr:from>
    <xdr:to>
      <xdr:col>0</xdr:col>
      <xdr:colOff>1400175</xdr:colOff>
      <xdr:row>36</xdr:row>
      <xdr:rowOff>1101515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4AE8B98A-AEA1-47F3-8270-77DE20DE3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731536"/>
          <a:ext cx="1371600" cy="107907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37</xdr:row>
      <xdr:rowOff>22175</xdr:rowOff>
    </xdr:from>
    <xdr:to>
      <xdr:col>0</xdr:col>
      <xdr:colOff>1400175</xdr:colOff>
      <xdr:row>37</xdr:row>
      <xdr:rowOff>977951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DCB2874F-3FAE-4359-BCF2-24E0158754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5855225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38</xdr:row>
      <xdr:rowOff>25037</xdr:rowOff>
    </xdr:from>
    <xdr:to>
      <xdr:col>0</xdr:col>
      <xdr:colOff>1400175</xdr:colOff>
      <xdr:row>38</xdr:row>
      <xdr:rowOff>965563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75DF0BE8-D57F-4796-8F33-7143018395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6858212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39</xdr:row>
      <xdr:rowOff>24445</xdr:rowOff>
    </xdr:from>
    <xdr:to>
      <xdr:col>0</xdr:col>
      <xdr:colOff>1400175</xdr:colOff>
      <xdr:row>39</xdr:row>
      <xdr:rowOff>1080456</xdr:rowOff>
    </xdr:to>
    <xdr:pic>
      <xdr:nvPicPr>
        <xdr:cNvPr id="40" name="Рисунок 39">
          <a:extLst>
            <a:ext uri="{FF2B5EF4-FFF2-40B4-BE49-F238E27FC236}">
              <a16:creationId xmlns:a16="http://schemas.microsoft.com/office/drawing/2014/main" id="{3CD363B9-A54B-4F9E-902F-E9B10FA5A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7848220"/>
          <a:ext cx="1371600" cy="105601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40</xdr:row>
      <xdr:rowOff>22594</xdr:rowOff>
    </xdr:from>
    <xdr:to>
      <xdr:col>0</xdr:col>
      <xdr:colOff>1400175</xdr:colOff>
      <xdr:row>40</xdr:row>
      <xdr:rowOff>1025154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924FE844-34BF-4CF0-BA7D-4FECD155F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951269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41</xdr:row>
      <xdr:rowOff>24712</xdr:rowOff>
    </xdr:from>
    <xdr:to>
      <xdr:col>0</xdr:col>
      <xdr:colOff>1400175</xdr:colOff>
      <xdr:row>41</xdr:row>
      <xdr:rowOff>956365</xdr:rowOff>
    </xdr:to>
    <xdr:pic>
      <xdr:nvPicPr>
        <xdr:cNvPr id="42" name="Рисунок 41">
          <a:extLst>
            <a:ext uri="{FF2B5EF4-FFF2-40B4-BE49-F238E27FC236}">
              <a16:creationId xmlns:a16="http://schemas.microsoft.com/office/drawing/2014/main" id="{5EC3E176-96D7-42E6-BA3C-CAD00EA50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0001137"/>
          <a:ext cx="1371600" cy="9316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42</xdr:row>
      <xdr:rowOff>23298</xdr:rowOff>
    </xdr:from>
    <xdr:to>
      <xdr:col>0</xdr:col>
      <xdr:colOff>1400175</xdr:colOff>
      <xdr:row>42</xdr:row>
      <xdr:rowOff>900628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C0900723-CACA-4BBC-B942-36F8014E53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0980798"/>
          <a:ext cx="1371600" cy="87733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43</xdr:row>
      <xdr:rowOff>22138</xdr:rowOff>
    </xdr:from>
    <xdr:to>
      <xdr:col>0</xdr:col>
      <xdr:colOff>1400175</xdr:colOff>
      <xdr:row>43</xdr:row>
      <xdr:rowOff>930360</xdr:rowOff>
    </xdr:to>
    <xdr:pic>
      <xdr:nvPicPr>
        <xdr:cNvPr id="44" name="Рисунок 43">
          <a:extLst>
            <a:ext uri="{FF2B5EF4-FFF2-40B4-BE49-F238E27FC236}">
              <a16:creationId xmlns:a16="http://schemas.microsoft.com/office/drawing/2014/main" id="{AA33596B-D767-43EE-9696-A6801BF8C9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1903563"/>
          <a:ext cx="1371600" cy="9082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44</xdr:row>
      <xdr:rowOff>23878</xdr:rowOff>
    </xdr:from>
    <xdr:to>
      <xdr:col>0</xdr:col>
      <xdr:colOff>1400175</xdr:colOff>
      <xdr:row>44</xdr:row>
      <xdr:rowOff>909575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F5D237B4-EDAF-4424-A4E2-132EC0175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2857803"/>
          <a:ext cx="1371600" cy="88569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45</xdr:row>
      <xdr:rowOff>24764</xdr:rowOff>
    </xdr:from>
    <xdr:to>
      <xdr:col>0</xdr:col>
      <xdr:colOff>1400175</xdr:colOff>
      <xdr:row>45</xdr:row>
      <xdr:rowOff>984884</xdr:rowOff>
    </xdr:to>
    <xdr:pic>
      <xdr:nvPicPr>
        <xdr:cNvPr id="46" name="Рисунок 45">
          <a:extLst>
            <a:ext uri="{FF2B5EF4-FFF2-40B4-BE49-F238E27FC236}">
              <a16:creationId xmlns:a16="http://schemas.microsoft.com/office/drawing/2014/main" id="{8BF0A752-06FA-4A23-AD36-DFA6A5D909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3792139"/>
          <a:ext cx="1371600" cy="9601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46</xdr:row>
      <xdr:rowOff>21915</xdr:rowOff>
    </xdr:from>
    <xdr:to>
      <xdr:col>0</xdr:col>
      <xdr:colOff>1400175</xdr:colOff>
      <xdr:row>46</xdr:row>
      <xdr:rowOff>968683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33D4FE9A-5060-4231-85B5-7274FBFC8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4798940"/>
          <a:ext cx="1371600" cy="9467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47</xdr:row>
      <xdr:rowOff>25685</xdr:rowOff>
    </xdr:from>
    <xdr:to>
      <xdr:col>0</xdr:col>
      <xdr:colOff>1400175</xdr:colOff>
      <xdr:row>47</xdr:row>
      <xdr:rowOff>1098263</xdr:rowOff>
    </xdr:to>
    <xdr:pic>
      <xdr:nvPicPr>
        <xdr:cNvPr id="48" name="Рисунок 47">
          <a:extLst>
            <a:ext uri="{FF2B5EF4-FFF2-40B4-BE49-F238E27FC236}">
              <a16:creationId xmlns:a16="http://schemas.microsoft.com/office/drawing/2014/main" id="{948325AB-437D-4C5A-9C7E-E508331DC9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5793310"/>
          <a:ext cx="1371600" cy="107257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48</xdr:row>
      <xdr:rowOff>23813</xdr:rowOff>
    </xdr:from>
    <xdr:to>
      <xdr:col>0</xdr:col>
      <xdr:colOff>1400175</xdr:colOff>
      <xdr:row>48</xdr:row>
      <xdr:rowOff>938213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A713FA0B-7C7C-494E-98C5-B4324B9D9E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6915388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49</xdr:row>
      <xdr:rowOff>23251</xdr:rowOff>
    </xdr:from>
    <xdr:to>
      <xdr:col>0</xdr:col>
      <xdr:colOff>1400175</xdr:colOff>
      <xdr:row>49</xdr:row>
      <xdr:rowOff>1186422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51C588CF-7AC6-491D-82C8-E6BDCDA9A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7876851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50</xdr:row>
      <xdr:rowOff>21313</xdr:rowOff>
    </xdr:from>
    <xdr:to>
      <xdr:col>0</xdr:col>
      <xdr:colOff>1400175</xdr:colOff>
      <xdr:row>50</xdr:row>
      <xdr:rowOff>902613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96CB6C81-316C-4173-8881-3EE78857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9084588"/>
          <a:ext cx="1371600" cy="8813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51</xdr:row>
      <xdr:rowOff>25174</xdr:rowOff>
    </xdr:from>
    <xdr:to>
      <xdr:col>0</xdr:col>
      <xdr:colOff>1400175</xdr:colOff>
      <xdr:row>51</xdr:row>
      <xdr:rowOff>955903</xdr:rowOff>
    </xdr:to>
    <xdr:pic>
      <xdr:nvPicPr>
        <xdr:cNvPr id="52" name="Рисунок 51">
          <a:extLst>
            <a:ext uri="{FF2B5EF4-FFF2-40B4-BE49-F238E27FC236}">
              <a16:creationId xmlns:a16="http://schemas.microsoft.com/office/drawing/2014/main" id="{F95DCF33-A631-492B-ACD3-5F080D68B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012374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52</xdr:row>
      <xdr:rowOff>25493</xdr:rowOff>
    </xdr:from>
    <xdr:to>
      <xdr:col>0</xdr:col>
      <xdr:colOff>1400175</xdr:colOff>
      <xdr:row>52</xdr:row>
      <xdr:rowOff>993681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D959BDC-969E-4575-85A8-B4DAF2BB69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993768"/>
          <a:ext cx="1371600" cy="968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53</xdr:row>
      <xdr:rowOff>25174</xdr:rowOff>
    </xdr:from>
    <xdr:to>
      <xdr:col>0</xdr:col>
      <xdr:colOff>1400175</xdr:colOff>
      <xdr:row>53</xdr:row>
      <xdr:rowOff>955903</xdr:rowOff>
    </xdr:to>
    <xdr:pic>
      <xdr:nvPicPr>
        <xdr:cNvPr id="54" name="Рисунок 53">
          <a:extLst>
            <a:ext uri="{FF2B5EF4-FFF2-40B4-BE49-F238E27FC236}">
              <a16:creationId xmlns:a16="http://schemas.microsoft.com/office/drawing/2014/main" id="{536E4EB1-CE7E-4AD1-8C92-DE09A7278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012624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54</xdr:row>
      <xdr:rowOff>23031</xdr:rowOff>
    </xdr:from>
    <xdr:to>
      <xdr:col>0</xdr:col>
      <xdr:colOff>1400175</xdr:colOff>
      <xdr:row>54</xdr:row>
      <xdr:rowOff>1005670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8C7406A-C23C-409F-89C4-A777DC84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991556"/>
          <a:ext cx="1371600" cy="9826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55</xdr:row>
      <xdr:rowOff>24383</xdr:rowOff>
    </xdr:from>
    <xdr:to>
      <xdr:col>0</xdr:col>
      <xdr:colOff>1400175</xdr:colOff>
      <xdr:row>55</xdr:row>
      <xdr:rowOff>1042415</xdr:rowOff>
    </xdr:to>
    <xdr:pic>
      <xdr:nvPicPr>
        <xdr:cNvPr id="56" name="Рисунок 55">
          <a:extLst>
            <a:ext uri="{FF2B5EF4-FFF2-40B4-BE49-F238E27FC236}">
              <a16:creationId xmlns:a16="http://schemas.microsoft.com/office/drawing/2014/main" id="{3743C74D-BCC9-41D0-84A3-CDB354DD1D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4021608"/>
          <a:ext cx="1371600" cy="10180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56</xdr:row>
      <xdr:rowOff>24581</xdr:rowOff>
    </xdr:from>
    <xdr:to>
      <xdr:col>0</xdr:col>
      <xdr:colOff>1400175</xdr:colOff>
      <xdr:row>56</xdr:row>
      <xdr:rowOff>1051743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34D8458-E19B-477D-865E-EADB7F8B2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5088606"/>
          <a:ext cx="1371600" cy="102716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57</xdr:row>
      <xdr:rowOff>25121</xdr:rowOff>
    </xdr:from>
    <xdr:to>
      <xdr:col>0</xdr:col>
      <xdr:colOff>1400175</xdr:colOff>
      <xdr:row>57</xdr:row>
      <xdr:rowOff>994049</xdr:rowOff>
    </xdr:to>
    <xdr:pic>
      <xdr:nvPicPr>
        <xdr:cNvPr id="58" name="Рисунок 57">
          <a:extLst>
            <a:ext uri="{FF2B5EF4-FFF2-40B4-BE49-F238E27FC236}">
              <a16:creationId xmlns:a16="http://schemas.microsoft.com/office/drawing/2014/main" id="{B5A1873E-B474-408B-8E76-84A11B1BB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6165471"/>
          <a:ext cx="1371600" cy="9689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58</xdr:row>
      <xdr:rowOff>25716</xdr:rowOff>
    </xdr:from>
    <xdr:to>
      <xdr:col>0</xdr:col>
      <xdr:colOff>1400175</xdr:colOff>
      <xdr:row>58</xdr:row>
      <xdr:rowOff>1031556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4BE862DB-3DDB-45CE-8869-119FD6C50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7185241"/>
          <a:ext cx="1371600" cy="100584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59</xdr:row>
      <xdr:rowOff>25431</xdr:rowOff>
    </xdr:from>
    <xdr:to>
      <xdr:col>0</xdr:col>
      <xdr:colOff>1400175</xdr:colOff>
      <xdr:row>59</xdr:row>
      <xdr:rowOff>850874</xdr:rowOff>
    </xdr:to>
    <xdr:pic>
      <xdr:nvPicPr>
        <xdr:cNvPr id="60" name="Рисунок 59">
          <a:extLst>
            <a:ext uri="{FF2B5EF4-FFF2-40B4-BE49-F238E27FC236}">
              <a16:creationId xmlns:a16="http://schemas.microsoft.com/office/drawing/2014/main" id="{F440CDBD-3407-4CF4-B96F-0EFA95153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8242231"/>
          <a:ext cx="1371600" cy="82544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60</xdr:row>
      <xdr:rowOff>24972</xdr:rowOff>
    </xdr:from>
    <xdr:to>
      <xdr:col>0</xdr:col>
      <xdr:colOff>1400175</xdr:colOff>
      <xdr:row>60</xdr:row>
      <xdr:rowOff>908480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325348F4-400B-4C40-8102-585D09B10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9118072"/>
          <a:ext cx="1371600" cy="88350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61</xdr:row>
      <xdr:rowOff>22126</xdr:rowOff>
    </xdr:from>
    <xdr:to>
      <xdr:col>0</xdr:col>
      <xdr:colOff>1400175</xdr:colOff>
      <xdr:row>61</xdr:row>
      <xdr:rowOff>806553</xdr:rowOff>
    </xdr:to>
    <xdr:pic>
      <xdr:nvPicPr>
        <xdr:cNvPr id="62" name="Рисунок 61">
          <a:extLst>
            <a:ext uri="{FF2B5EF4-FFF2-40B4-BE49-F238E27FC236}">
              <a16:creationId xmlns:a16="http://schemas.microsoft.com/office/drawing/2014/main" id="{F2A535F6-6CFE-4383-85C8-8B24F87478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0048676"/>
          <a:ext cx="1371600" cy="78442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62</xdr:row>
      <xdr:rowOff>21741</xdr:rowOff>
    </xdr:from>
    <xdr:to>
      <xdr:col>0</xdr:col>
      <xdr:colOff>1400175</xdr:colOff>
      <xdr:row>62</xdr:row>
      <xdr:rowOff>940279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98F5F832-DE0A-4584-A3E8-878C068EBE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0876966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63</xdr:row>
      <xdr:rowOff>23813</xdr:rowOff>
    </xdr:from>
    <xdr:to>
      <xdr:col>0</xdr:col>
      <xdr:colOff>1400175</xdr:colOff>
      <xdr:row>63</xdr:row>
      <xdr:rowOff>938213</xdr:rowOff>
    </xdr:to>
    <xdr:pic>
      <xdr:nvPicPr>
        <xdr:cNvPr id="64" name="Рисунок 63">
          <a:extLst>
            <a:ext uri="{FF2B5EF4-FFF2-40B4-BE49-F238E27FC236}">
              <a16:creationId xmlns:a16="http://schemas.microsoft.com/office/drawing/2014/main" id="{12266E30-70B1-42DE-BD42-B270F9E734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1841063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64</xdr:row>
      <xdr:rowOff>23434</xdr:rowOff>
    </xdr:from>
    <xdr:to>
      <xdr:col>0</xdr:col>
      <xdr:colOff>1400175</xdr:colOff>
      <xdr:row>64</xdr:row>
      <xdr:rowOff>881439</xdr:rowOff>
    </xdr:to>
    <xdr:pic>
      <xdr:nvPicPr>
        <xdr:cNvPr id="65" name="Рисунок 64">
          <a:extLst>
            <a:ext uri="{FF2B5EF4-FFF2-40B4-BE49-F238E27FC236}">
              <a16:creationId xmlns:a16="http://schemas.microsoft.com/office/drawing/2014/main" id="{E28C0C35-055F-4BB9-9941-3F102B7AD5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2802709"/>
          <a:ext cx="1371600" cy="85800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65</xdr:row>
      <xdr:rowOff>23949</xdr:rowOff>
    </xdr:from>
    <xdr:to>
      <xdr:col>0</xdr:col>
      <xdr:colOff>1400175</xdr:colOff>
      <xdr:row>65</xdr:row>
      <xdr:rowOff>1042852</xdr:rowOff>
    </xdr:to>
    <xdr:pic>
      <xdr:nvPicPr>
        <xdr:cNvPr id="66" name="Рисунок 65">
          <a:extLst>
            <a:ext uri="{FF2B5EF4-FFF2-40B4-BE49-F238E27FC236}">
              <a16:creationId xmlns:a16="http://schemas.microsoft.com/office/drawing/2014/main" id="{C1B1C44B-A538-4613-B466-1CEAF9021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3708099"/>
          <a:ext cx="1371600" cy="10189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66</xdr:row>
      <xdr:rowOff>23608</xdr:rowOff>
    </xdr:from>
    <xdr:to>
      <xdr:col>0</xdr:col>
      <xdr:colOff>1400175</xdr:colOff>
      <xdr:row>66</xdr:row>
      <xdr:rowOff>1024147</xdr:rowOff>
    </xdr:to>
    <xdr:pic>
      <xdr:nvPicPr>
        <xdr:cNvPr id="67" name="Рисунок 66">
          <a:extLst>
            <a:ext uri="{FF2B5EF4-FFF2-40B4-BE49-F238E27FC236}">
              <a16:creationId xmlns:a16="http://schemas.microsoft.com/office/drawing/2014/main" id="{9E49CED2-B410-484D-ACAF-8FDE55BD39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4774558"/>
          <a:ext cx="1371600" cy="10005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67</xdr:row>
      <xdr:rowOff>22969</xdr:rowOff>
    </xdr:from>
    <xdr:to>
      <xdr:col>0</xdr:col>
      <xdr:colOff>1400175</xdr:colOff>
      <xdr:row>67</xdr:row>
      <xdr:rowOff>1139075</xdr:rowOff>
    </xdr:to>
    <xdr:pic>
      <xdr:nvPicPr>
        <xdr:cNvPr id="68" name="Рисунок 67">
          <a:extLst>
            <a:ext uri="{FF2B5EF4-FFF2-40B4-BE49-F238E27FC236}">
              <a16:creationId xmlns:a16="http://schemas.microsoft.com/office/drawing/2014/main" id="{76A23AE4-C0C4-41EF-9BA5-CD96E65A5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5821669"/>
          <a:ext cx="1371600" cy="1116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68</xdr:row>
      <xdr:rowOff>22982</xdr:rowOff>
    </xdr:from>
    <xdr:to>
      <xdr:col>0</xdr:col>
      <xdr:colOff>1400175</xdr:colOff>
      <xdr:row>68</xdr:row>
      <xdr:rowOff>977138</xdr:rowOff>
    </xdr:to>
    <xdr:pic>
      <xdr:nvPicPr>
        <xdr:cNvPr id="69" name="Рисунок 68">
          <a:extLst>
            <a:ext uri="{FF2B5EF4-FFF2-40B4-BE49-F238E27FC236}">
              <a16:creationId xmlns:a16="http://schemas.microsoft.com/office/drawing/2014/main" id="{4FC9BE3D-26F9-45A8-8D5F-57678CE04B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6983732"/>
          <a:ext cx="1371600" cy="9541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69</xdr:row>
      <xdr:rowOff>24154</xdr:rowOff>
    </xdr:from>
    <xdr:to>
      <xdr:col>0</xdr:col>
      <xdr:colOff>1400175</xdr:colOff>
      <xdr:row>69</xdr:row>
      <xdr:rowOff>985499</xdr:rowOff>
    </xdr:to>
    <xdr:pic>
      <xdr:nvPicPr>
        <xdr:cNvPr id="70" name="Рисунок 69">
          <a:extLst>
            <a:ext uri="{FF2B5EF4-FFF2-40B4-BE49-F238E27FC236}">
              <a16:creationId xmlns:a16="http://schemas.microsoft.com/office/drawing/2014/main" id="{2E3754E0-6424-4B6E-A8B7-CA33FE8813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7985029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70</xdr:row>
      <xdr:rowOff>24383</xdr:rowOff>
    </xdr:from>
    <xdr:to>
      <xdr:col>0</xdr:col>
      <xdr:colOff>1400175</xdr:colOff>
      <xdr:row>70</xdr:row>
      <xdr:rowOff>890015</xdr:rowOff>
    </xdr:to>
    <xdr:pic>
      <xdr:nvPicPr>
        <xdr:cNvPr id="71" name="Рисунок 70">
          <a:extLst>
            <a:ext uri="{FF2B5EF4-FFF2-40B4-BE49-F238E27FC236}">
              <a16:creationId xmlns:a16="http://schemas.microsoft.com/office/drawing/2014/main" id="{F70CFDDC-E248-4159-8446-E741645264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8994908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71</xdr:row>
      <xdr:rowOff>24495</xdr:rowOff>
    </xdr:from>
    <xdr:to>
      <xdr:col>0</xdr:col>
      <xdr:colOff>1400175</xdr:colOff>
      <xdr:row>71</xdr:row>
      <xdr:rowOff>918484</xdr:rowOff>
    </xdr:to>
    <xdr:pic>
      <xdr:nvPicPr>
        <xdr:cNvPr id="72" name="Рисунок 71">
          <a:extLst>
            <a:ext uri="{FF2B5EF4-FFF2-40B4-BE49-F238E27FC236}">
              <a16:creationId xmlns:a16="http://schemas.microsoft.com/office/drawing/2014/main" id="{63FA1393-B22E-4AC4-A238-95E898F76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9909420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72</xdr:row>
      <xdr:rowOff>24495</xdr:rowOff>
    </xdr:from>
    <xdr:to>
      <xdr:col>0</xdr:col>
      <xdr:colOff>1400175</xdr:colOff>
      <xdr:row>72</xdr:row>
      <xdr:rowOff>918484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B1BF2E2E-0C1B-4B5F-90A1-63B27E58A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0852395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73</xdr:row>
      <xdr:rowOff>25264</xdr:rowOff>
    </xdr:from>
    <xdr:to>
      <xdr:col>0</xdr:col>
      <xdr:colOff>1400175</xdr:colOff>
      <xdr:row>73</xdr:row>
      <xdr:rowOff>898660</xdr:rowOff>
    </xdr:to>
    <xdr:pic>
      <xdr:nvPicPr>
        <xdr:cNvPr id="74" name="Рисунок 73">
          <a:extLst>
            <a:ext uri="{FF2B5EF4-FFF2-40B4-BE49-F238E27FC236}">
              <a16:creationId xmlns:a16="http://schemas.microsoft.com/office/drawing/2014/main" id="{56A49D43-2185-4C52-BB5E-B49D5C7A1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1796139"/>
          <a:ext cx="1371600" cy="87339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74</xdr:row>
      <xdr:rowOff>21431</xdr:rowOff>
    </xdr:from>
    <xdr:to>
      <xdr:col>0</xdr:col>
      <xdr:colOff>1400175</xdr:colOff>
      <xdr:row>74</xdr:row>
      <xdr:rowOff>921544</xdr:rowOff>
    </xdr:to>
    <xdr:pic>
      <xdr:nvPicPr>
        <xdr:cNvPr id="75" name="Рисунок 74">
          <a:extLst>
            <a:ext uri="{FF2B5EF4-FFF2-40B4-BE49-F238E27FC236}">
              <a16:creationId xmlns:a16="http://schemas.microsoft.com/office/drawing/2014/main" id="{EAA4292A-35B2-4CB1-BF68-0CE5281E26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2716231"/>
          <a:ext cx="1371600" cy="90011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75</xdr:row>
      <xdr:rowOff>24154</xdr:rowOff>
    </xdr:from>
    <xdr:to>
      <xdr:col>0</xdr:col>
      <xdr:colOff>1400175</xdr:colOff>
      <xdr:row>75</xdr:row>
      <xdr:rowOff>718803</xdr:rowOff>
    </xdr:to>
    <xdr:pic>
      <xdr:nvPicPr>
        <xdr:cNvPr id="76" name="Рисунок 75">
          <a:extLst>
            <a:ext uri="{FF2B5EF4-FFF2-40B4-BE49-F238E27FC236}">
              <a16:creationId xmlns:a16="http://schemas.microsoft.com/office/drawing/2014/main" id="{B92EF4DB-251B-4270-8F27-8B1BE6629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3661929"/>
          <a:ext cx="1371600" cy="69464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76</xdr:row>
      <xdr:rowOff>24154</xdr:rowOff>
    </xdr:from>
    <xdr:to>
      <xdr:col>0</xdr:col>
      <xdr:colOff>1400175</xdr:colOff>
      <xdr:row>76</xdr:row>
      <xdr:rowOff>899774</xdr:rowOff>
    </xdr:to>
    <xdr:pic>
      <xdr:nvPicPr>
        <xdr:cNvPr id="77" name="Рисунок 76">
          <a:extLst>
            <a:ext uri="{FF2B5EF4-FFF2-40B4-BE49-F238E27FC236}">
              <a16:creationId xmlns:a16="http://schemas.microsoft.com/office/drawing/2014/main" id="{969EC5CB-8E48-4EE0-8C94-2565220A77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4404879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77</xdr:row>
      <xdr:rowOff>24712</xdr:rowOff>
    </xdr:from>
    <xdr:to>
      <xdr:col>0</xdr:col>
      <xdr:colOff>1400175</xdr:colOff>
      <xdr:row>77</xdr:row>
      <xdr:rowOff>889685</xdr:rowOff>
    </xdr:to>
    <xdr:pic>
      <xdr:nvPicPr>
        <xdr:cNvPr id="78" name="Рисунок 77">
          <a:extLst>
            <a:ext uri="{FF2B5EF4-FFF2-40B4-BE49-F238E27FC236}">
              <a16:creationId xmlns:a16="http://schemas.microsoft.com/office/drawing/2014/main" id="{81449968-DF7C-47FC-8118-0F9BD5C259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5329362"/>
          <a:ext cx="1371600" cy="86497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78</xdr:row>
      <xdr:rowOff>21890</xdr:rowOff>
    </xdr:from>
    <xdr:to>
      <xdr:col>0</xdr:col>
      <xdr:colOff>1400175</xdr:colOff>
      <xdr:row>78</xdr:row>
      <xdr:rowOff>882984</xdr:rowOff>
    </xdr:to>
    <xdr:pic>
      <xdr:nvPicPr>
        <xdr:cNvPr id="79" name="Рисунок 78">
          <a:extLst>
            <a:ext uri="{FF2B5EF4-FFF2-40B4-BE49-F238E27FC236}">
              <a16:creationId xmlns:a16="http://schemas.microsoft.com/office/drawing/2014/main" id="{394E546C-4577-47A2-8431-E331C693A0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6240940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79</xdr:row>
      <xdr:rowOff>21592</xdr:rowOff>
    </xdr:from>
    <xdr:to>
      <xdr:col>0</xdr:col>
      <xdr:colOff>1400175</xdr:colOff>
      <xdr:row>79</xdr:row>
      <xdr:rowOff>864234</xdr:rowOff>
    </xdr:to>
    <xdr:pic>
      <xdr:nvPicPr>
        <xdr:cNvPr id="80" name="Рисунок 79">
          <a:extLst>
            <a:ext uri="{FF2B5EF4-FFF2-40B4-BE49-F238E27FC236}">
              <a16:creationId xmlns:a16="http://schemas.microsoft.com/office/drawing/2014/main" id="{89156D55-11A0-47BE-B490-8A104DD6C7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7145517"/>
          <a:ext cx="1371600" cy="84264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80</xdr:row>
      <xdr:rowOff>24371</xdr:rowOff>
    </xdr:from>
    <xdr:to>
      <xdr:col>0</xdr:col>
      <xdr:colOff>1400175</xdr:colOff>
      <xdr:row>80</xdr:row>
      <xdr:rowOff>842410</xdr:rowOff>
    </xdr:to>
    <xdr:pic>
      <xdr:nvPicPr>
        <xdr:cNvPr id="81" name="Рисунок 80">
          <a:extLst>
            <a:ext uri="{FF2B5EF4-FFF2-40B4-BE49-F238E27FC236}">
              <a16:creationId xmlns:a16="http://schemas.microsoft.com/office/drawing/2014/main" id="{0C7E3987-0E8A-4863-BC46-A10F062D7B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8034121"/>
          <a:ext cx="1371600" cy="8180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81</xdr:row>
      <xdr:rowOff>21791</xdr:rowOff>
    </xdr:from>
    <xdr:to>
      <xdr:col>0</xdr:col>
      <xdr:colOff>1400175</xdr:colOff>
      <xdr:row>81</xdr:row>
      <xdr:rowOff>873561</xdr:rowOff>
    </xdr:to>
    <xdr:pic>
      <xdr:nvPicPr>
        <xdr:cNvPr id="82" name="Рисунок 81">
          <a:extLst>
            <a:ext uri="{FF2B5EF4-FFF2-40B4-BE49-F238E27FC236}">
              <a16:creationId xmlns:a16="http://schemas.microsoft.com/office/drawing/2014/main" id="{C6EC484E-6407-4FB3-8F00-555CB0451E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8898316"/>
          <a:ext cx="1371600" cy="85177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82</xdr:row>
      <xdr:rowOff>21338</xdr:rowOff>
    </xdr:from>
    <xdr:to>
      <xdr:col>0</xdr:col>
      <xdr:colOff>1400175</xdr:colOff>
      <xdr:row>82</xdr:row>
      <xdr:rowOff>893066</xdr:rowOff>
    </xdr:to>
    <xdr:pic>
      <xdr:nvPicPr>
        <xdr:cNvPr id="83" name="Рисунок 82">
          <a:extLst>
            <a:ext uri="{FF2B5EF4-FFF2-40B4-BE49-F238E27FC236}">
              <a16:creationId xmlns:a16="http://schemas.microsoft.com/office/drawing/2014/main" id="{3C48A807-7328-43EF-AE3D-709FB8953C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9793213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83</xdr:row>
      <xdr:rowOff>23943</xdr:rowOff>
    </xdr:from>
    <xdr:to>
      <xdr:col>0</xdr:col>
      <xdr:colOff>1400175</xdr:colOff>
      <xdr:row>83</xdr:row>
      <xdr:rowOff>833311</xdr:rowOff>
    </xdr:to>
    <xdr:pic>
      <xdr:nvPicPr>
        <xdr:cNvPr id="84" name="Рисунок 83">
          <a:extLst>
            <a:ext uri="{FF2B5EF4-FFF2-40B4-BE49-F238E27FC236}">
              <a16:creationId xmlns:a16="http://schemas.microsoft.com/office/drawing/2014/main" id="{84A36DF0-D877-4126-B678-8B387057BE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0710218"/>
          <a:ext cx="1371600" cy="8093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84</xdr:row>
      <xdr:rowOff>24495</xdr:rowOff>
    </xdr:from>
    <xdr:to>
      <xdr:col>0</xdr:col>
      <xdr:colOff>1400175</xdr:colOff>
      <xdr:row>84</xdr:row>
      <xdr:rowOff>918484</xdr:rowOff>
    </xdr:to>
    <xdr:pic>
      <xdr:nvPicPr>
        <xdr:cNvPr id="85" name="Рисунок 84">
          <a:extLst>
            <a:ext uri="{FF2B5EF4-FFF2-40B4-BE49-F238E27FC236}">
              <a16:creationId xmlns:a16="http://schemas.microsoft.com/office/drawing/2014/main" id="{69866795-E9D6-4C4D-B5D7-85344B531B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1568020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85</xdr:row>
      <xdr:rowOff>22523</xdr:rowOff>
    </xdr:from>
    <xdr:to>
      <xdr:col>0</xdr:col>
      <xdr:colOff>1400175</xdr:colOff>
      <xdr:row>85</xdr:row>
      <xdr:rowOff>844247</xdr:rowOff>
    </xdr:to>
    <xdr:pic>
      <xdr:nvPicPr>
        <xdr:cNvPr id="86" name="Рисунок 85">
          <a:extLst>
            <a:ext uri="{FF2B5EF4-FFF2-40B4-BE49-F238E27FC236}">
              <a16:creationId xmlns:a16="http://schemas.microsoft.com/office/drawing/2014/main" id="{5193AB08-C076-4AAF-9600-FD49E778AF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2509023"/>
          <a:ext cx="1371600" cy="82172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86</xdr:row>
      <xdr:rowOff>24147</xdr:rowOff>
    </xdr:from>
    <xdr:to>
      <xdr:col>0</xdr:col>
      <xdr:colOff>1400175</xdr:colOff>
      <xdr:row>86</xdr:row>
      <xdr:rowOff>861673</xdr:rowOff>
    </xdr:to>
    <xdr:pic>
      <xdr:nvPicPr>
        <xdr:cNvPr id="87" name="Рисунок 86">
          <a:extLst>
            <a:ext uri="{FF2B5EF4-FFF2-40B4-BE49-F238E27FC236}">
              <a16:creationId xmlns:a16="http://schemas.microsoft.com/office/drawing/2014/main" id="{7A855090-7872-4378-AFB2-F313670EC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3377422"/>
          <a:ext cx="1371600" cy="837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87</xdr:row>
      <xdr:rowOff>23013</xdr:rowOff>
    </xdr:from>
    <xdr:to>
      <xdr:col>0</xdr:col>
      <xdr:colOff>1400175</xdr:colOff>
      <xdr:row>87</xdr:row>
      <xdr:rowOff>815191</xdr:rowOff>
    </xdr:to>
    <xdr:pic>
      <xdr:nvPicPr>
        <xdr:cNvPr id="88" name="Рисунок 87">
          <a:extLst>
            <a:ext uri="{FF2B5EF4-FFF2-40B4-BE49-F238E27FC236}">
              <a16:creationId xmlns:a16="http://schemas.microsoft.com/office/drawing/2014/main" id="{82EEF376-639B-4201-81BC-80C13D5A7E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4262113"/>
          <a:ext cx="1371600" cy="79217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88</xdr:row>
      <xdr:rowOff>23409</xdr:rowOff>
    </xdr:from>
    <xdr:to>
      <xdr:col>0</xdr:col>
      <xdr:colOff>1400175</xdr:colOff>
      <xdr:row>88</xdr:row>
      <xdr:rowOff>805266</xdr:rowOff>
    </xdr:to>
    <xdr:pic>
      <xdr:nvPicPr>
        <xdr:cNvPr id="89" name="Рисунок 88">
          <a:extLst>
            <a:ext uri="{FF2B5EF4-FFF2-40B4-BE49-F238E27FC236}">
              <a16:creationId xmlns:a16="http://schemas.microsoft.com/office/drawing/2014/main" id="{3904E2B7-C443-43DC-83B7-B8E957FE1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5100709"/>
          <a:ext cx="1371600" cy="7818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89</xdr:row>
      <xdr:rowOff>22138</xdr:rowOff>
    </xdr:from>
    <xdr:to>
      <xdr:col>0</xdr:col>
      <xdr:colOff>1400175</xdr:colOff>
      <xdr:row>89</xdr:row>
      <xdr:rowOff>835106</xdr:rowOff>
    </xdr:to>
    <xdr:pic>
      <xdr:nvPicPr>
        <xdr:cNvPr id="90" name="Рисунок 89">
          <a:extLst>
            <a:ext uri="{FF2B5EF4-FFF2-40B4-BE49-F238E27FC236}">
              <a16:creationId xmlns:a16="http://schemas.microsoft.com/office/drawing/2014/main" id="{CCA11BF9-D331-40A5-B3AE-D2BA00DE2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5928113"/>
          <a:ext cx="1371600" cy="8129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90</xdr:row>
      <xdr:rowOff>21648</xdr:rowOff>
    </xdr:from>
    <xdr:to>
      <xdr:col>0</xdr:col>
      <xdr:colOff>1400175</xdr:colOff>
      <xdr:row>90</xdr:row>
      <xdr:rowOff>988003</xdr:rowOff>
    </xdr:to>
    <xdr:pic>
      <xdr:nvPicPr>
        <xdr:cNvPr id="91" name="Рисунок 90">
          <a:extLst>
            <a:ext uri="{FF2B5EF4-FFF2-40B4-BE49-F238E27FC236}">
              <a16:creationId xmlns:a16="http://schemas.microsoft.com/office/drawing/2014/main" id="{FF44BA74-5156-44A0-9D4F-0331D78F3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6784873"/>
          <a:ext cx="1371600" cy="96635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91</xdr:row>
      <xdr:rowOff>21772</xdr:rowOff>
    </xdr:from>
    <xdr:to>
      <xdr:col>0</xdr:col>
      <xdr:colOff>1400175</xdr:colOff>
      <xdr:row>91</xdr:row>
      <xdr:rowOff>1025979</xdr:rowOff>
    </xdr:to>
    <xdr:pic>
      <xdr:nvPicPr>
        <xdr:cNvPr id="92" name="Рисунок 91">
          <a:extLst>
            <a:ext uri="{FF2B5EF4-FFF2-40B4-BE49-F238E27FC236}">
              <a16:creationId xmlns:a16="http://schemas.microsoft.com/office/drawing/2014/main" id="{651C523B-8AA8-4CA9-A6D6-EC09E6AF62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7794647"/>
          <a:ext cx="1371600" cy="10042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E8E3E-3115-49F7-8C5E-C7E9DBC90D4A}">
  <sheetPr codeName="Лист5"/>
  <dimension ref="A1:C274"/>
  <sheetViews>
    <sheetView workbookViewId="0">
      <selection activeCell="C2" sqref="C2"/>
    </sheetView>
  </sheetViews>
  <sheetFormatPr defaultRowHeight="15" x14ac:dyDescent="0.25"/>
  <cols>
    <col min="1" max="1" width="131.7109375" bestFit="1" customWidth="1"/>
    <col min="2" max="2" width="14.7109375" bestFit="1" customWidth="1"/>
    <col min="3" max="3" width="49.5703125" customWidth="1"/>
  </cols>
  <sheetData>
    <row r="1" spans="1:3" x14ac:dyDescent="0.25">
      <c r="A1" s="2" t="s">
        <v>439</v>
      </c>
      <c r="B1" s="2" t="s">
        <v>438</v>
      </c>
      <c r="C1" s="2" t="s">
        <v>446</v>
      </c>
    </row>
    <row r="2" spans="1:3" x14ac:dyDescent="0.25">
      <c r="A2" t="s">
        <v>10</v>
      </c>
      <c r="B2" t="b">
        <f>IFERROR(VLOOKUP(A2,#REF!,1,0)&lt;&gt;"",FALSE)</f>
        <v>0</v>
      </c>
      <c r="C2" t="str">
        <f t="shared" ref="C2:C65" si="0">IF(AND(IFERROR(FIND(",",A1)&gt;=1,FALSE),B3&lt;&gt;TRUE),A2&amp;" "&amp;A3,"")</f>
        <v/>
      </c>
    </row>
    <row r="3" spans="1:3" x14ac:dyDescent="0.25">
      <c r="A3" t="s">
        <v>3</v>
      </c>
      <c r="B3" t="b">
        <f>IFERROR(VLOOKUP(A3,#REF!,1,0)&lt;&gt;"",FALSE)</f>
        <v>0</v>
      </c>
      <c r="C3" t="str">
        <f t="shared" si="0"/>
        <v/>
      </c>
    </row>
    <row r="4" spans="1:3" x14ac:dyDescent="0.25">
      <c r="A4" t="s">
        <v>16</v>
      </c>
      <c r="B4" t="b">
        <f>IFERROR(VLOOKUP(A4,#REF!,1,0)&lt;&gt;"",FALSE)</f>
        <v>0</v>
      </c>
      <c r="C4" t="str">
        <f t="shared" si="0"/>
        <v>Black Charcoal Cognac Olive 61433BH CAVALIER</v>
      </c>
    </row>
    <row r="5" spans="1:3" x14ac:dyDescent="0.25">
      <c r="A5" t="s">
        <v>17</v>
      </c>
      <c r="B5" t="b">
        <f>IFERROR(VLOOKUP(A5,#REF!,1,0)&lt;&gt;"",FALSE)</f>
        <v>0</v>
      </c>
      <c r="C5" t="str">
        <f t="shared" si="0"/>
        <v/>
      </c>
    </row>
    <row r="6" spans="1:3" x14ac:dyDescent="0.25">
      <c r="A6" t="s">
        <v>1</v>
      </c>
      <c r="B6" t="b">
        <f>IFERROR(VLOOKUP(A6,#REF!,1,0)&lt;&gt;"",FALSE)</f>
        <v>0</v>
      </c>
      <c r="C6" t="str">
        <f t="shared" si="0"/>
        <v/>
      </c>
    </row>
    <row r="7" spans="1:3" x14ac:dyDescent="0.25">
      <c r="A7" t="s">
        <v>20</v>
      </c>
      <c r="B7" t="b">
        <f>IFERROR(VLOOKUP(A7,#REF!,1,0)&lt;&gt;"",FALSE)</f>
        <v>0</v>
      </c>
      <c r="C7" t="str">
        <f t="shared" si="0"/>
        <v>Black Maple 61424BH RALAT</v>
      </c>
    </row>
    <row r="8" spans="1:3" x14ac:dyDescent="0.25">
      <c r="A8" t="s">
        <v>21</v>
      </c>
      <c r="B8" t="b">
        <f>IFERROR(VLOOKUP(A8,#REF!,1,0)&lt;&gt;"",FALSE)</f>
        <v>0</v>
      </c>
      <c r="C8" t="str">
        <f t="shared" si="0"/>
        <v/>
      </c>
    </row>
    <row r="9" spans="1:3" x14ac:dyDescent="0.25">
      <c r="A9" t="s">
        <v>1</v>
      </c>
      <c r="B9" t="b">
        <f>IFERROR(VLOOKUP(A9,#REF!,1,0)&lt;&gt;"",FALSE)</f>
        <v>0</v>
      </c>
      <c r="C9" t="str">
        <f t="shared" si="0"/>
        <v/>
      </c>
    </row>
    <row r="10" spans="1:3" x14ac:dyDescent="0.25">
      <c r="A10" t="s">
        <v>25</v>
      </c>
      <c r="B10" t="b">
        <f>IFERROR(VLOOKUP(A10,#REF!,1,0)&lt;&gt;"",FALSE)</f>
        <v>0</v>
      </c>
      <c r="C10" t="str">
        <f t="shared" si="0"/>
        <v>Black Charcoal 61432BH THE ARCHITECT</v>
      </c>
    </row>
    <row r="11" spans="1:3" x14ac:dyDescent="0.25">
      <c r="A11" t="s">
        <v>2</v>
      </c>
      <c r="B11" t="b">
        <f>IFERROR(VLOOKUP(A11,#REF!,1,0)&lt;&gt;"",FALSE)</f>
        <v>0</v>
      </c>
      <c r="C11" t="str">
        <f t="shared" si="0"/>
        <v/>
      </c>
    </row>
    <row r="12" spans="1:3" x14ac:dyDescent="0.25">
      <c r="A12" t="s">
        <v>1</v>
      </c>
      <c r="B12" t="b">
        <f>IFERROR(VLOOKUP(A12,#REF!,1,0)&lt;&gt;"",FALSE)</f>
        <v>0</v>
      </c>
      <c r="C12" t="str">
        <f t="shared" si="0"/>
        <v/>
      </c>
    </row>
    <row r="13" spans="1:3" x14ac:dyDescent="0.25">
      <c r="A13" t="s">
        <v>27</v>
      </c>
      <c r="B13" t="b">
        <f>IFERROR(VLOOKUP(A13,#REF!,1,0)&lt;&gt;"",FALSE)</f>
        <v>0</v>
      </c>
      <c r="C13" t="str">
        <f t="shared" si="0"/>
        <v>Black Buckskin 61442BH NILSON</v>
      </c>
    </row>
    <row r="14" spans="1:3" x14ac:dyDescent="0.25">
      <c r="A14" t="s">
        <v>28</v>
      </c>
      <c r="B14" t="b">
        <f>IFERROR(VLOOKUP(A14,#REF!,1,0)&lt;&gt;"",FALSE)</f>
        <v>0</v>
      </c>
      <c r="C14" t="str">
        <f t="shared" si="0"/>
        <v/>
      </c>
    </row>
    <row r="15" spans="1:3" x14ac:dyDescent="0.25">
      <c r="A15" t="s">
        <v>1</v>
      </c>
      <c r="B15" t="b">
        <f>IFERROR(VLOOKUP(A15,#REF!,1,0)&lt;&gt;"",FALSE)</f>
        <v>0</v>
      </c>
      <c r="C15" t="str">
        <f t="shared" si="0"/>
        <v/>
      </c>
    </row>
    <row r="16" spans="1:3" x14ac:dyDescent="0.25">
      <c r="A16" t="s">
        <v>31</v>
      </c>
      <c r="B16" t="b">
        <f>IFERROR(VLOOKUP(A16,#REF!,1,0)&lt;&gt;"",FALSE)</f>
        <v>0</v>
      </c>
      <c r="C16" t="str">
        <f t="shared" si="0"/>
        <v>Copper Slate Uniform Green 61430BH TRINELL</v>
      </c>
    </row>
    <row r="17" spans="1:3" x14ac:dyDescent="0.25">
      <c r="A17" t="s">
        <v>4</v>
      </c>
      <c r="B17" t="b">
        <f>IFERROR(VLOOKUP(A17,#REF!,1,0)&lt;&gt;"",FALSE)</f>
        <v>0</v>
      </c>
      <c r="C17" t="str">
        <f t="shared" si="0"/>
        <v/>
      </c>
    </row>
    <row r="18" spans="1:3" x14ac:dyDescent="0.25">
      <c r="A18" t="s">
        <v>1</v>
      </c>
      <c r="B18" t="b">
        <f>IFERROR(VLOOKUP(A18,#REF!,1,0)&lt;&gt;"",FALSE)</f>
        <v>0</v>
      </c>
      <c r="C18" t="str">
        <f t="shared" si="0"/>
        <v/>
      </c>
    </row>
    <row r="19" spans="1:3" x14ac:dyDescent="0.25">
      <c r="A19" t="s">
        <v>36</v>
      </c>
      <c r="B19" t="b">
        <f>IFERROR(VLOOKUP(A19,#REF!,1,0)&lt;&gt;"",FALSE)</f>
        <v>0</v>
      </c>
      <c r="C19" t="str">
        <f t="shared" si="0"/>
        <v>Black Light Mink 61428BH GIRVIN</v>
      </c>
    </row>
    <row r="20" spans="1:3" x14ac:dyDescent="0.25">
      <c r="A20" t="s">
        <v>37</v>
      </c>
      <c r="B20" t="b">
        <f>IFERROR(VLOOKUP(A20,#REF!,1,0)&lt;&gt;"",FALSE)</f>
        <v>0</v>
      </c>
      <c r="C20" t="str">
        <f t="shared" si="0"/>
        <v/>
      </c>
    </row>
    <row r="21" spans="1:3" x14ac:dyDescent="0.25">
      <c r="A21" t="s">
        <v>1</v>
      </c>
      <c r="B21" t="b">
        <f>IFERROR(VLOOKUP(A21,#REF!,1,0)&lt;&gt;"",FALSE)</f>
        <v>0</v>
      </c>
      <c r="C21" t="str">
        <f t="shared" si="0"/>
        <v/>
      </c>
    </row>
    <row r="22" spans="1:3" x14ac:dyDescent="0.25">
      <c r="A22" t="s">
        <v>40</v>
      </c>
      <c r="B22" t="b">
        <f>IFERROR(VLOOKUP(A22,#REF!,1,0)&lt;&gt;"",FALSE)</f>
        <v>0</v>
      </c>
      <c r="C22" t="str">
        <f t="shared" si="0"/>
        <v>Black Chocolate 47009BH FLUME</v>
      </c>
    </row>
    <row r="23" spans="1:3" x14ac:dyDescent="0.25">
      <c r="A23" t="s">
        <v>41</v>
      </c>
      <c r="B23" t="b">
        <f>IFERROR(VLOOKUP(A23,#REF!,1,0)&lt;&gt;"",FALSE)</f>
        <v>0</v>
      </c>
      <c r="C23" t="str">
        <f t="shared" si="0"/>
        <v/>
      </c>
    </row>
    <row r="24" spans="1:3" x14ac:dyDescent="0.25">
      <c r="A24" t="s">
        <v>1</v>
      </c>
      <c r="B24" t="b">
        <f>IFERROR(VLOOKUP(A24,#REF!,1,0)&lt;&gt;"",FALSE)</f>
        <v>0</v>
      </c>
      <c r="C24" t="str">
        <f t="shared" si="0"/>
        <v/>
      </c>
    </row>
    <row r="25" spans="1:3" x14ac:dyDescent="0.25">
      <c r="A25" t="s">
        <v>44</v>
      </c>
      <c r="B25" t="b">
        <f>IFERROR(VLOOKUP(A25,#REF!,1,0)&lt;&gt;"",FALSE)</f>
        <v>0</v>
      </c>
      <c r="C25" t="str">
        <f t="shared" si="0"/>
        <v>Aubergine Black Mink 61426BH AUMAN</v>
      </c>
    </row>
    <row r="26" spans="1:3" x14ac:dyDescent="0.25">
      <c r="A26" t="s">
        <v>45</v>
      </c>
      <c r="B26" t="b">
        <f>IFERROR(VLOOKUP(A26,#REF!,1,0)&lt;&gt;"",FALSE)</f>
        <v>0</v>
      </c>
      <c r="C26" t="str">
        <f t="shared" si="0"/>
        <v/>
      </c>
    </row>
    <row r="27" spans="1:3" x14ac:dyDescent="0.25">
      <c r="A27" t="s">
        <v>1</v>
      </c>
      <c r="B27" t="b">
        <f>IFERROR(VLOOKUP(A27,#REF!,1,0)&lt;&gt;"",FALSE)</f>
        <v>0</v>
      </c>
      <c r="C27" t="str">
        <f t="shared" si="0"/>
        <v/>
      </c>
    </row>
    <row r="28" spans="1:3" x14ac:dyDescent="0.25">
      <c r="A28" t="s">
        <v>9</v>
      </c>
      <c r="B28" t="b">
        <f>IFERROR(VLOOKUP(A28,#REF!,1,0)&lt;&gt;"",FALSE)</f>
        <v>0</v>
      </c>
      <c r="C28" t="str">
        <f t="shared" si="0"/>
        <v>Black 37188BH COLBY</v>
      </c>
    </row>
    <row r="29" spans="1:3" x14ac:dyDescent="0.25">
      <c r="A29" t="s">
        <v>47</v>
      </c>
      <c r="B29" t="b">
        <f>IFERROR(VLOOKUP(A29,#REF!,1,0)&lt;&gt;"",FALSE)</f>
        <v>0</v>
      </c>
      <c r="C29" t="str">
        <f t="shared" si="0"/>
        <v/>
      </c>
    </row>
    <row r="30" spans="1:3" x14ac:dyDescent="0.25">
      <c r="A30" t="s">
        <v>1</v>
      </c>
      <c r="B30" t="b">
        <f>IFERROR(VLOOKUP(A30,#REF!,1,0)&lt;&gt;"",FALSE)</f>
        <v>0</v>
      </c>
      <c r="C30" t="str">
        <f t="shared" si="0"/>
        <v/>
      </c>
    </row>
    <row r="31" spans="1:3" x14ac:dyDescent="0.25">
      <c r="A31" t="s">
        <v>53</v>
      </c>
      <c r="B31" t="b">
        <f>IFERROR(VLOOKUP(A31,#REF!,1,0)&lt;&gt;"",FALSE)</f>
        <v>0</v>
      </c>
      <c r="C31" t="str">
        <f t="shared" si="0"/>
        <v>Black Nickel Soft Khaki Stucco 37189BH GODWIN</v>
      </c>
    </row>
    <row r="32" spans="1:3" x14ac:dyDescent="0.25">
      <c r="A32" t="s">
        <v>54</v>
      </c>
      <c r="B32" t="b">
        <f>IFERROR(VLOOKUP(A32,#REF!,1,0)&lt;&gt;"",FALSE)</f>
        <v>0</v>
      </c>
      <c r="C32" t="str">
        <f t="shared" si="0"/>
        <v/>
      </c>
    </row>
    <row r="33" spans="1:3" x14ac:dyDescent="0.25">
      <c r="A33" t="s">
        <v>1</v>
      </c>
      <c r="B33" t="b">
        <f>IFERROR(VLOOKUP(A33,#REF!,1,0)&lt;&gt;"",FALSE)</f>
        <v>0</v>
      </c>
      <c r="C33" t="str">
        <f t="shared" si="0"/>
        <v/>
      </c>
    </row>
    <row r="34" spans="1:3" x14ac:dyDescent="0.25">
      <c r="A34" t="s">
        <v>57</v>
      </c>
      <c r="B34" t="b">
        <f>IFERROR(VLOOKUP(A34,#REF!,1,0)&lt;&gt;"",FALSE)</f>
        <v>0</v>
      </c>
      <c r="C34" t="str">
        <f t="shared" si="0"/>
        <v>Black Eggplant Lazuli Blue Oak Taupe 37190BH TREVEL</v>
      </c>
    </row>
    <row r="35" spans="1:3" x14ac:dyDescent="0.25">
      <c r="A35" t="s">
        <v>58</v>
      </c>
      <c r="B35" t="b">
        <f>IFERROR(VLOOKUP(A35,#REF!,1,0)&lt;&gt;"",FALSE)</f>
        <v>0</v>
      </c>
      <c r="C35" t="str">
        <f t="shared" si="0"/>
        <v/>
      </c>
    </row>
    <row r="36" spans="1:3" x14ac:dyDescent="0.25">
      <c r="A36" t="s">
        <v>1</v>
      </c>
      <c r="B36" t="b">
        <f>IFERROR(VLOOKUP(A36,#REF!,1,0)&lt;&gt;"",FALSE)</f>
        <v>0</v>
      </c>
      <c r="C36" t="str">
        <f t="shared" si="0"/>
        <v/>
      </c>
    </row>
    <row r="37" spans="1:3" x14ac:dyDescent="0.25">
      <c r="A37" t="s">
        <v>60</v>
      </c>
      <c r="B37" t="b">
        <f>IFERROR(VLOOKUP(A37,#REF!,1,0)&lt;&gt;"",FALSE)</f>
        <v>0</v>
      </c>
      <c r="C37" t="str">
        <f t="shared" si="0"/>
        <v>Black Copper Nickel 37172BH BOGAN</v>
      </c>
    </row>
    <row r="38" spans="1:3" x14ac:dyDescent="0.25">
      <c r="A38" t="s">
        <v>61</v>
      </c>
      <c r="B38" t="b">
        <f>IFERROR(VLOOKUP(A38,#REF!,1,0)&lt;&gt;"",FALSE)</f>
        <v>0</v>
      </c>
      <c r="C38" t="str">
        <f t="shared" si="0"/>
        <v/>
      </c>
    </row>
    <row r="39" spans="1:3" x14ac:dyDescent="0.25">
      <c r="A39" t="s">
        <v>1</v>
      </c>
      <c r="B39" t="b">
        <f>IFERROR(VLOOKUP(A39,#REF!,1,0)&lt;&gt;"",FALSE)</f>
        <v>0</v>
      </c>
      <c r="C39" t="str">
        <f t="shared" si="0"/>
        <v/>
      </c>
    </row>
    <row r="40" spans="1:3" x14ac:dyDescent="0.25">
      <c r="A40" t="s">
        <v>444</v>
      </c>
      <c r="B40" t="b">
        <f>IFERROR(VLOOKUP(A40,#REF!,1,0)&lt;&gt;"",FALSE)</f>
        <v>0</v>
      </c>
      <c r="C40" t="str">
        <f t="shared" si="0"/>
        <v>Peacoat Plaza Taupe Saddle Steel Almond Black Camel 20007BH CLORINDON</v>
      </c>
    </row>
    <row r="41" spans="1:3" x14ac:dyDescent="0.25">
      <c r="A41" t="s">
        <v>67</v>
      </c>
      <c r="B41" t="b">
        <f>IFERROR(VLOOKUP(A41,#REF!,1,0)&lt;&gt;"",FALSE)</f>
        <v>0</v>
      </c>
      <c r="C41" t="str">
        <f t="shared" si="0"/>
        <v/>
      </c>
    </row>
    <row r="42" spans="1:3" x14ac:dyDescent="0.25">
      <c r="A42" t="s">
        <v>1</v>
      </c>
      <c r="B42" t="b">
        <f>IFERROR(VLOOKUP(A42,#REF!,1,0)&lt;&gt;"",FALSE)</f>
        <v>0</v>
      </c>
      <c r="C42" t="str">
        <f t="shared" si="0"/>
        <v/>
      </c>
    </row>
    <row r="43" spans="1:3" x14ac:dyDescent="0.25">
      <c r="A43" t="s">
        <v>73</v>
      </c>
      <c r="B43" t="b">
        <f>IFERROR(VLOOKUP(A43,#REF!,1,0)&lt;&gt;"",FALSE)</f>
        <v>0</v>
      </c>
      <c r="C43" t="str">
        <f t="shared" si="0"/>
        <v>Black Unbleached 37193BH CONLON</v>
      </c>
    </row>
    <row r="44" spans="1:3" x14ac:dyDescent="0.25">
      <c r="A44" t="s">
        <v>74</v>
      </c>
      <c r="B44" t="b">
        <f>IFERROR(VLOOKUP(A44,#REF!,1,0)&lt;&gt;"",FALSE)</f>
        <v>0</v>
      </c>
      <c r="C44" t="str">
        <f t="shared" si="0"/>
        <v/>
      </c>
    </row>
    <row r="45" spans="1:3" x14ac:dyDescent="0.25">
      <c r="A45" t="s">
        <v>1</v>
      </c>
      <c r="B45" t="b">
        <f>IFERROR(VLOOKUP(A45,#REF!,1,0)&lt;&gt;"",FALSE)</f>
        <v>0</v>
      </c>
      <c r="C45" t="str">
        <f t="shared" si="0"/>
        <v/>
      </c>
    </row>
    <row r="46" spans="1:3" x14ac:dyDescent="0.25">
      <c r="A46" t="s">
        <v>78</v>
      </c>
      <c r="B46" t="b">
        <f>IFERROR(VLOOKUP(A46,#REF!,1,0)&lt;&gt;"",FALSE)</f>
        <v>0</v>
      </c>
      <c r="C46" t="str">
        <f t="shared" si="0"/>
        <v>Black Lazuli Blue Uniform Green 37192BH CROFT</v>
      </c>
    </row>
    <row r="47" spans="1:3" x14ac:dyDescent="0.25">
      <c r="A47" t="s">
        <v>79</v>
      </c>
      <c r="B47" t="b">
        <f>IFERROR(VLOOKUP(A47,#REF!,1,0)&lt;&gt;"",FALSE)</f>
        <v>0</v>
      </c>
      <c r="C47" t="str">
        <f t="shared" si="0"/>
        <v/>
      </c>
    </row>
    <row r="48" spans="1:3" x14ac:dyDescent="0.25">
      <c r="A48" t="s">
        <v>1</v>
      </c>
      <c r="B48" t="b">
        <f>IFERROR(VLOOKUP(A48,#REF!,1,0)&lt;&gt;"",FALSE)</f>
        <v>0</v>
      </c>
      <c r="C48" t="str">
        <f t="shared" si="0"/>
        <v/>
      </c>
    </row>
    <row r="49" spans="1:3" x14ac:dyDescent="0.25">
      <c r="A49" t="s">
        <v>82</v>
      </c>
      <c r="B49" t="b">
        <f>IFERROR(VLOOKUP(A49,#REF!,1,0)&lt;&gt;"",FALSE)</f>
        <v>0</v>
      </c>
      <c r="C49" t="str">
        <f t="shared" si="0"/>
        <v>Black Copper Taupe 20001BH COLVER</v>
      </c>
    </row>
    <row r="50" spans="1:3" x14ac:dyDescent="0.25">
      <c r="A50" t="s">
        <v>83</v>
      </c>
      <c r="B50" t="b">
        <f>IFERROR(VLOOKUP(A50,#REF!,1,0)&lt;&gt;"",FALSE)</f>
        <v>0</v>
      </c>
      <c r="C50" t="str">
        <f t="shared" si="0"/>
        <v/>
      </c>
    </row>
    <row r="51" spans="1:3" x14ac:dyDescent="0.25">
      <c r="A51" t="s">
        <v>1</v>
      </c>
      <c r="B51" t="b">
        <f>IFERROR(VLOOKUP(A51,#REF!,1,0)&lt;&gt;"",FALSE)</f>
        <v>0</v>
      </c>
      <c r="C51" t="str">
        <f t="shared" si="0"/>
        <v/>
      </c>
    </row>
    <row r="52" spans="1:3" x14ac:dyDescent="0.25">
      <c r="A52" t="s">
        <v>445</v>
      </c>
      <c r="B52" t="b">
        <f>IFERROR(VLOOKUP(A52,#REF!,1,0)&lt;&gt;"",FALSE)</f>
        <v>0</v>
      </c>
      <c r="C52" t="str">
        <f t="shared" si="0"/>
        <v>Greige Honey Ochre Silver Lining Avion Black Chestnut 20009BH COLTER</v>
      </c>
    </row>
    <row r="53" spans="1:3" x14ac:dyDescent="0.25">
      <c r="A53" t="s">
        <v>88</v>
      </c>
      <c r="B53" t="b">
        <f>IFERROR(VLOOKUP(A53,#REF!,1,0)&lt;&gt;"",FALSE)</f>
        <v>0</v>
      </c>
      <c r="C53" t="str">
        <f t="shared" si="0"/>
        <v/>
      </c>
    </row>
    <row r="54" spans="1:3" x14ac:dyDescent="0.25">
      <c r="A54" t="s">
        <v>1</v>
      </c>
      <c r="B54" t="b">
        <f>IFERROR(VLOOKUP(A54,#REF!,1,0)&lt;&gt;"",FALSE)</f>
        <v>0</v>
      </c>
      <c r="C54" t="str">
        <f t="shared" si="0"/>
        <v/>
      </c>
    </row>
    <row r="55" spans="1:3" x14ac:dyDescent="0.25">
      <c r="A55" t="s">
        <v>92</v>
      </c>
      <c r="B55" t="b">
        <f>IFERROR(VLOOKUP(A55,#REF!,1,0)&lt;&gt;"",FALSE)</f>
        <v>0</v>
      </c>
      <c r="C55" t="str">
        <f t="shared" si="0"/>
        <v>Black Nickel Oak 30003BH LANG</v>
      </c>
    </row>
    <row r="56" spans="1:3" x14ac:dyDescent="0.25">
      <c r="A56" t="s">
        <v>93</v>
      </c>
      <c r="B56" t="b">
        <f>IFERROR(VLOOKUP(A56,#REF!,1,0)&lt;&gt;"",FALSE)</f>
        <v>0</v>
      </c>
      <c r="C56" t="str">
        <f t="shared" si="0"/>
        <v/>
      </c>
    </row>
    <row r="57" spans="1:3" x14ac:dyDescent="0.25">
      <c r="A57" t="s">
        <v>1</v>
      </c>
      <c r="B57" t="b">
        <f>IFERROR(VLOOKUP(A57,#REF!,1,0)&lt;&gt;"",FALSE)</f>
        <v>0</v>
      </c>
      <c r="C57" t="str">
        <f t="shared" si="0"/>
        <v/>
      </c>
    </row>
    <row r="58" spans="1:3" x14ac:dyDescent="0.25">
      <c r="A58" t="s">
        <v>97</v>
      </c>
      <c r="B58" t="b">
        <f>IFERROR(VLOOKUP(A58,#REF!,1,0)&lt;&gt;"",FALSE)</f>
        <v>0</v>
      </c>
      <c r="C58" t="str">
        <f t="shared" si="0"/>
        <v>Avion Black Uniform Green 37191BH LEVON</v>
      </c>
    </row>
    <row r="59" spans="1:3" x14ac:dyDescent="0.25">
      <c r="A59" t="s">
        <v>98</v>
      </c>
      <c r="B59" t="b">
        <f>IFERROR(VLOOKUP(A59,#REF!,1,0)&lt;&gt;"",FALSE)</f>
        <v>0</v>
      </c>
      <c r="C59" t="str">
        <f t="shared" si="0"/>
        <v/>
      </c>
    </row>
    <row r="60" spans="1:3" x14ac:dyDescent="0.25">
      <c r="A60" t="s">
        <v>1</v>
      </c>
      <c r="B60" t="b">
        <f>IFERROR(VLOOKUP(A60,#REF!,1,0)&lt;&gt;"",FALSE)</f>
        <v>0</v>
      </c>
      <c r="C60" t="str">
        <f t="shared" si="0"/>
        <v/>
      </c>
    </row>
    <row r="61" spans="1:3" x14ac:dyDescent="0.25">
      <c r="A61" t="s">
        <v>102</v>
      </c>
      <c r="B61" t="b">
        <f>IFERROR(VLOOKUP(A61,#REF!,1,0)&lt;&gt;"",FALSE)</f>
        <v>0</v>
      </c>
      <c r="C61" t="str">
        <f t="shared" si="0"/>
        <v>Black Lazuli Blue Oak 37180BH STEDMAN</v>
      </c>
    </row>
    <row r="62" spans="1:3" x14ac:dyDescent="0.25">
      <c r="A62" t="s">
        <v>103</v>
      </c>
      <c r="B62" t="b">
        <f>IFERROR(VLOOKUP(A62,#REF!,1,0)&lt;&gt;"",FALSE)</f>
        <v>0</v>
      </c>
      <c r="C62" t="str">
        <f t="shared" si="0"/>
        <v/>
      </c>
    </row>
    <row r="63" spans="1:3" x14ac:dyDescent="0.25">
      <c r="A63" t="s">
        <v>105</v>
      </c>
      <c r="B63" t="b">
        <f>IFERROR(VLOOKUP(A63,#REF!,1,0)&lt;&gt;"",FALSE)</f>
        <v>0</v>
      </c>
      <c r="C63" t="str">
        <f t="shared" si="0"/>
        <v/>
      </c>
    </row>
    <row r="64" spans="1:3" x14ac:dyDescent="0.25">
      <c r="A64" t="s">
        <v>106</v>
      </c>
      <c r="B64" t="b">
        <f>IFERROR(VLOOKUP(A64,#REF!,1,0)&lt;&gt;"",FALSE)</f>
        <v>0</v>
      </c>
      <c r="C64" t="str">
        <f t="shared" si="0"/>
        <v>Black Camel Oak Stucco 30001BH WALSH</v>
      </c>
    </row>
    <row r="65" spans="1:3" x14ac:dyDescent="0.25">
      <c r="A65" t="s">
        <v>7</v>
      </c>
      <c r="B65" t="b">
        <f>IFERROR(VLOOKUP(A65,#REF!,1,0)&lt;&gt;"",FALSE)</f>
        <v>0</v>
      </c>
      <c r="C65" t="str">
        <f t="shared" si="0"/>
        <v/>
      </c>
    </row>
    <row r="66" spans="1:3" x14ac:dyDescent="0.25">
      <c r="A66" t="s">
        <v>1</v>
      </c>
      <c r="B66" t="b">
        <f>IFERROR(VLOOKUP(A66,#REF!,1,0)&lt;&gt;"",FALSE)</f>
        <v>0</v>
      </c>
      <c r="C66" t="str">
        <f t="shared" ref="C66:C129" si="1">IF(AND(IFERROR(FIND(",",A65)&gt;=1,FALSE),B67&lt;&gt;TRUE),A66&amp;" "&amp;A67,"")</f>
        <v/>
      </c>
    </row>
    <row r="67" spans="1:3" x14ac:dyDescent="0.25">
      <c r="A67" t="s">
        <v>109</v>
      </c>
      <c r="B67" t="b">
        <f>IFERROR(VLOOKUP(A67,#REF!,1,0)&lt;&gt;"",FALSE)</f>
        <v>0</v>
      </c>
      <c r="C67" t="str">
        <f t="shared" si="1"/>
        <v>Black Plaza Taupe 37185BH ELLETT</v>
      </c>
    </row>
    <row r="68" spans="1:3" x14ac:dyDescent="0.25">
      <c r="A68" t="s">
        <v>110</v>
      </c>
      <c r="B68" t="b">
        <f>IFERROR(VLOOKUP(A68,#REF!,1,0)&lt;&gt;"",FALSE)</f>
        <v>0</v>
      </c>
      <c r="C68" t="str">
        <f t="shared" si="1"/>
        <v/>
      </c>
    </row>
    <row r="69" spans="1:3" x14ac:dyDescent="0.25">
      <c r="A69" t="s">
        <v>1</v>
      </c>
      <c r="B69" t="b">
        <f>IFERROR(VLOOKUP(A69,#REF!,1,0)&lt;&gt;"",FALSE)</f>
        <v>0</v>
      </c>
      <c r="C69" t="str">
        <f t="shared" si="1"/>
        <v/>
      </c>
    </row>
    <row r="70" spans="1:3" x14ac:dyDescent="0.25">
      <c r="A70" t="s">
        <v>114</v>
      </c>
      <c r="B70" t="b">
        <f>IFERROR(VLOOKUP(A70,#REF!,1,0)&lt;&gt;"",FALSE)</f>
        <v>0</v>
      </c>
      <c r="C70" t="str">
        <f t="shared" si="1"/>
        <v>Avion Black Soft Khaki 37171BH WINTERS</v>
      </c>
    </row>
    <row r="71" spans="1:3" x14ac:dyDescent="0.25">
      <c r="A71" t="s">
        <v>8</v>
      </c>
      <c r="B71" t="b">
        <f>IFERROR(VLOOKUP(A71,#REF!,1,0)&lt;&gt;"",FALSE)</f>
        <v>0</v>
      </c>
      <c r="C71" t="str">
        <f t="shared" si="1"/>
        <v/>
      </c>
    </row>
    <row r="72" spans="1:3" x14ac:dyDescent="0.25">
      <c r="A72" t="s">
        <v>1</v>
      </c>
      <c r="B72" t="b">
        <f>IFERROR(VLOOKUP(A72,#REF!,1,0)&lt;&gt;"",FALSE)</f>
        <v>0</v>
      </c>
      <c r="C72" t="str">
        <f t="shared" si="1"/>
        <v/>
      </c>
    </row>
    <row r="73" spans="1:3" x14ac:dyDescent="0.25">
      <c r="A73" t="s">
        <v>444</v>
      </c>
      <c r="B73" t="b">
        <f>IFERROR(VLOOKUP(A73,#REF!,1,0)&lt;&gt;"",FALSE)</f>
        <v>0</v>
      </c>
      <c r="C73" t="str">
        <f t="shared" si="1"/>
        <v>Peacoat Plaza Taupe Saddle Steel Almond Black Camel 37186BH ERNEST</v>
      </c>
    </row>
    <row r="74" spans="1:3" x14ac:dyDescent="0.25">
      <c r="A74" t="s">
        <v>115</v>
      </c>
      <c r="B74" t="b">
        <f>IFERROR(VLOOKUP(A74,#REF!,1,0)&lt;&gt;"",FALSE)</f>
        <v>0</v>
      </c>
      <c r="C74" t="str">
        <f t="shared" si="1"/>
        <v/>
      </c>
    </row>
    <row r="75" spans="1:3" x14ac:dyDescent="0.25">
      <c r="A75" t="s">
        <v>1</v>
      </c>
      <c r="B75" t="b">
        <f>IFERROR(VLOOKUP(A75,#REF!,1,0)&lt;&gt;"",FALSE)</f>
        <v>0</v>
      </c>
      <c r="C75" t="str">
        <f t="shared" si="1"/>
        <v/>
      </c>
    </row>
    <row r="76" spans="1:3" x14ac:dyDescent="0.25">
      <c r="A76" t="s">
        <v>119</v>
      </c>
      <c r="B76" t="b">
        <f>IFERROR(VLOOKUP(A76,#REF!,1,0)&lt;&gt;"",FALSE)</f>
        <v>0</v>
      </c>
      <c r="C76" t="str">
        <f t="shared" si="1"/>
        <v>Black Midnight Brown Unbleached 37173BH AMMON</v>
      </c>
    </row>
    <row r="77" spans="1:3" x14ac:dyDescent="0.25">
      <c r="A77" t="s">
        <v>6</v>
      </c>
      <c r="B77" t="b">
        <f>IFERROR(VLOOKUP(A77,#REF!,1,0)&lt;&gt;"",FALSE)</f>
        <v>0</v>
      </c>
      <c r="C77" t="str">
        <f t="shared" si="1"/>
        <v/>
      </c>
    </row>
    <row r="78" spans="1:3" x14ac:dyDescent="0.25">
      <c r="A78" t="s">
        <v>1</v>
      </c>
      <c r="B78" t="b">
        <f>IFERROR(VLOOKUP(A78,#REF!,1,0)&lt;&gt;"",FALSE)</f>
        <v>0</v>
      </c>
      <c r="C78" t="str">
        <f t="shared" si="1"/>
        <v/>
      </c>
    </row>
    <row r="79" spans="1:3" x14ac:dyDescent="0.25">
      <c r="A79" t="s">
        <v>447</v>
      </c>
      <c r="B79" t="b">
        <f>IFERROR(VLOOKUP(A79,#REF!,1,0)&lt;&gt;"",FALSE)</f>
        <v>0</v>
      </c>
      <c r="C79" t="str">
        <f t="shared" si="1"/>
        <v>Peacoat Plaza Taupe Saddle Steel Almond Black Camel Henna 30002BH BARKSDALE</v>
      </c>
    </row>
    <row r="80" spans="1:3" x14ac:dyDescent="0.25">
      <c r="A80" t="s">
        <v>123</v>
      </c>
      <c r="B80" t="b">
        <f>IFERROR(VLOOKUP(A80,#REF!,1,0)&lt;&gt;"",FALSE)</f>
        <v>0</v>
      </c>
      <c r="C80" t="str">
        <f t="shared" si="1"/>
        <v/>
      </c>
    </row>
    <row r="81" spans="1:3" x14ac:dyDescent="0.25">
      <c r="A81" t="s">
        <v>1</v>
      </c>
      <c r="B81" t="b">
        <f>IFERROR(VLOOKUP(A81,#REF!,1,0)&lt;&gt;"",FALSE)</f>
        <v>0</v>
      </c>
      <c r="C81" t="str">
        <f t="shared" si="1"/>
        <v/>
      </c>
    </row>
    <row r="82" spans="1:3" x14ac:dyDescent="0.25">
      <c r="A82" t="s">
        <v>126</v>
      </c>
      <c r="B82" t="b">
        <f>IFERROR(VLOOKUP(A82,#REF!,1,0)&lt;&gt;"",FALSE)</f>
        <v>0</v>
      </c>
      <c r="C82" t="str">
        <f t="shared" si="1"/>
        <v>Beech Black Whiskey 20006BH DEVERS</v>
      </c>
    </row>
    <row r="83" spans="1:3" x14ac:dyDescent="0.25">
      <c r="A83" t="s">
        <v>127</v>
      </c>
      <c r="B83" t="b">
        <f>IFERROR(VLOOKUP(A83,#REF!,1,0)&lt;&gt;"",FALSE)</f>
        <v>0</v>
      </c>
      <c r="C83" t="str">
        <f t="shared" si="1"/>
        <v/>
      </c>
    </row>
    <row r="84" spans="1:3" x14ac:dyDescent="0.25">
      <c r="A84" t="s">
        <v>1</v>
      </c>
      <c r="B84" t="b">
        <f>IFERROR(VLOOKUP(A84,#REF!,1,0)&lt;&gt;"",FALSE)</f>
        <v>0</v>
      </c>
      <c r="C84" t="str">
        <f t="shared" si="1"/>
        <v/>
      </c>
    </row>
    <row r="85" spans="1:3" x14ac:dyDescent="0.25">
      <c r="A85" t="s">
        <v>129</v>
      </c>
      <c r="B85" t="b">
        <f>IFERROR(VLOOKUP(A85,#REF!,1,0)&lt;&gt;"",FALSE)</f>
        <v>0</v>
      </c>
      <c r="C85" t="str">
        <f t="shared" si="1"/>
        <v>Ink Blue Plaza Taupe 37158BH BRANDT</v>
      </c>
    </row>
    <row r="86" spans="1:3" x14ac:dyDescent="0.25">
      <c r="A86" t="s">
        <v>130</v>
      </c>
      <c r="B86" t="b">
        <f>IFERROR(VLOOKUP(A86,#REF!,1,0)&lt;&gt;"",FALSE)</f>
        <v>0</v>
      </c>
      <c r="C86" t="str">
        <f t="shared" si="1"/>
        <v/>
      </c>
    </row>
    <row r="87" spans="1:3" x14ac:dyDescent="0.25">
      <c r="A87" t="s">
        <v>134</v>
      </c>
      <c r="B87" t="b">
        <f>IFERROR(VLOOKUP(A87,#REF!,1,0)&lt;&gt;"",FALSE)</f>
        <v>0</v>
      </c>
      <c r="C87" t="str">
        <f t="shared" si="1"/>
        <v/>
      </c>
    </row>
    <row r="88" spans="1:3" x14ac:dyDescent="0.25">
      <c r="A88" t="s">
        <v>135</v>
      </c>
      <c r="B88" t="b">
        <f>IFERROR(VLOOKUP(A88,#REF!,1,0)&lt;&gt;"",FALSE)</f>
        <v>0</v>
      </c>
      <c r="C88" t="str">
        <f t="shared" si="1"/>
        <v>Black Black Mix Bluestone Walnut 37161BH PERRY</v>
      </c>
    </row>
    <row r="89" spans="1:3" x14ac:dyDescent="0.25">
      <c r="A89" t="s">
        <v>136</v>
      </c>
      <c r="B89" t="b">
        <f>IFERROR(VLOOKUP(A89,#REF!,1,0)&lt;&gt;"",FALSE)</f>
        <v>0</v>
      </c>
      <c r="C89" t="str">
        <f t="shared" si="1"/>
        <v/>
      </c>
    </row>
    <row r="90" spans="1:3" x14ac:dyDescent="0.25">
      <c r="A90" t="s">
        <v>1</v>
      </c>
      <c r="B90" t="b">
        <f>IFERROR(VLOOKUP(A90,#REF!,1,0)&lt;&gt;"",FALSE)</f>
        <v>0</v>
      </c>
      <c r="C90" t="str">
        <f t="shared" si="1"/>
        <v/>
      </c>
    </row>
    <row r="91" spans="1:3" x14ac:dyDescent="0.25">
      <c r="A91" t="s">
        <v>137</v>
      </c>
      <c r="B91" t="b">
        <f>IFERROR(VLOOKUP(A91,#REF!,1,0)&lt;&gt;"",FALSE)</f>
        <v>0</v>
      </c>
      <c r="C91" t="str">
        <f t="shared" si="1"/>
        <v>Navy Serpent Walnut 70656BH ACKER</v>
      </c>
    </row>
    <row r="92" spans="1:3" x14ac:dyDescent="0.25">
      <c r="A92" t="s">
        <v>138</v>
      </c>
      <c r="B92" t="b">
        <f>IFERROR(VLOOKUP(A92,#REF!,1,0)&lt;&gt;"",FALSE)</f>
        <v>0</v>
      </c>
      <c r="C92" t="str">
        <f t="shared" si="1"/>
        <v/>
      </c>
    </row>
    <row r="93" spans="1:3" x14ac:dyDescent="0.25">
      <c r="A93" t="s">
        <v>1</v>
      </c>
      <c r="B93" t="b">
        <f>IFERROR(VLOOKUP(A93,#REF!,1,0)&lt;&gt;"",FALSE)</f>
        <v>0</v>
      </c>
      <c r="C93" t="str">
        <f t="shared" si="1"/>
        <v/>
      </c>
    </row>
    <row r="94" spans="1:3" x14ac:dyDescent="0.25">
      <c r="A94" t="s">
        <v>119</v>
      </c>
      <c r="B94" t="b">
        <f>IFERROR(VLOOKUP(A94,#REF!,1,0)&lt;&gt;"",FALSE)</f>
        <v>0</v>
      </c>
      <c r="C94" t="str">
        <f t="shared" si="1"/>
        <v>Black Midnight Brown Unbleached 7034 BLIXEN</v>
      </c>
    </row>
    <row r="95" spans="1:3" x14ac:dyDescent="0.25">
      <c r="A95" t="s">
        <v>144</v>
      </c>
      <c r="B95" t="b">
        <f>IFERROR(VLOOKUP(A95,#REF!,1,0)&lt;&gt;"",FALSE)</f>
        <v>0</v>
      </c>
      <c r="C95" t="str">
        <f t="shared" si="1"/>
        <v/>
      </c>
    </row>
    <row r="96" spans="1:3" x14ac:dyDescent="0.25">
      <c r="A96" t="s">
        <v>105</v>
      </c>
      <c r="B96" t="b">
        <f>IFERROR(VLOOKUP(A96,#REF!,1,0)&lt;&gt;"",FALSE)</f>
        <v>0</v>
      </c>
      <c r="C96" t="str">
        <f t="shared" si="1"/>
        <v/>
      </c>
    </row>
    <row r="97" spans="1:3" x14ac:dyDescent="0.25">
      <c r="A97" t="s">
        <v>448</v>
      </c>
      <c r="B97" t="b">
        <f>IFERROR(VLOOKUP(A97,#REF!,1,0)&lt;&gt;"",FALSE)</f>
        <v>0</v>
      </c>
      <c r="C97" t="str">
        <f t="shared" si="1"/>
        <v>Navy Nickel Satin Brass Silverbelly Vintage Blue Black Cognac Copper Medium Brown Mix Basalt Avion 7006 BRIAR</v>
      </c>
    </row>
    <row r="98" spans="1:3" x14ac:dyDescent="0.25">
      <c r="A98" t="s">
        <v>146</v>
      </c>
      <c r="B98" t="b">
        <f>IFERROR(VLOOKUP(A98,#REF!,1,0)&lt;&gt;"",FALSE)</f>
        <v>0</v>
      </c>
      <c r="C98" t="str">
        <f t="shared" si="1"/>
        <v/>
      </c>
    </row>
    <row r="99" spans="1:3" x14ac:dyDescent="0.25">
      <c r="A99" t="s">
        <v>1</v>
      </c>
      <c r="B99" t="b">
        <f>IFERROR(VLOOKUP(A99,#REF!,1,0)&lt;&gt;"",FALSE)</f>
        <v>0</v>
      </c>
      <c r="C99" t="str">
        <f t="shared" si="1"/>
        <v/>
      </c>
    </row>
    <row r="100" spans="1:3" x14ac:dyDescent="0.25">
      <c r="A100" t="s">
        <v>148</v>
      </c>
      <c r="B100" t="b">
        <f>IFERROR(VLOOKUP(A100,#REF!,1,0)&lt;&gt;"",FALSE)</f>
        <v>0</v>
      </c>
      <c r="C100" t="str">
        <f t="shared" si="1"/>
        <v>Black Unbleached Woodland Mix 70655BH LUND</v>
      </c>
    </row>
    <row r="101" spans="1:3" x14ac:dyDescent="0.25">
      <c r="A101" t="s">
        <v>149</v>
      </c>
      <c r="B101" t="b">
        <f>IFERROR(VLOOKUP(A101,#REF!,1,0)&lt;&gt;"",FALSE)</f>
        <v>0</v>
      </c>
      <c r="C101" t="str">
        <f t="shared" si="1"/>
        <v/>
      </c>
    </row>
    <row r="102" spans="1:3" x14ac:dyDescent="0.25">
      <c r="A102" t="s">
        <v>1</v>
      </c>
      <c r="B102" t="b">
        <f>IFERROR(VLOOKUP(A102,#REF!,1,0)&lt;&gt;"",FALSE)</f>
        <v>0</v>
      </c>
      <c r="C102" t="str">
        <f t="shared" si="1"/>
        <v/>
      </c>
    </row>
    <row r="103" spans="1:3" x14ac:dyDescent="0.25">
      <c r="A103" t="s">
        <v>151</v>
      </c>
      <c r="B103" t="b">
        <f>IFERROR(VLOOKUP(A103,#REF!,1,0)&lt;&gt;"",FALSE)</f>
        <v>0</v>
      </c>
      <c r="C103" t="str">
        <f t="shared" si="1"/>
        <v>Black Ochre 70658BH MOLIN</v>
      </c>
    </row>
    <row r="104" spans="1:3" x14ac:dyDescent="0.25">
      <c r="A104" t="s">
        <v>152</v>
      </c>
      <c r="B104" t="b">
        <f>IFERROR(VLOOKUP(A104,#REF!,1,0)&lt;&gt;"",FALSE)</f>
        <v>0</v>
      </c>
      <c r="C104" t="str">
        <f t="shared" si="1"/>
        <v/>
      </c>
    </row>
    <row r="105" spans="1:3" x14ac:dyDescent="0.25">
      <c r="A105" t="s">
        <v>1</v>
      </c>
      <c r="B105" t="b">
        <f>IFERROR(VLOOKUP(A105,#REF!,1,0)&lt;&gt;"",FALSE)</f>
        <v>0</v>
      </c>
      <c r="C105" t="str">
        <f t="shared" si="1"/>
        <v/>
      </c>
    </row>
    <row r="106" spans="1:3" x14ac:dyDescent="0.25">
      <c r="A106" t="s">
        <v>155</v>
      </c>
      <c r="B106" t="b">
        <f>IFERROR(VLOOKUP(A106,#REF!,1,0)&lt;&gt;"",FALSE)</f>
        <v>0</v>
      </c>
      <c r="C106" t="str">
        <f t="shared" si="1"/>
        <v>Black Oak 70657BH FALCON</v>
      </c>
    </row>
    <row r="107" spans="1:3" x14ac:dyDescent="0.25">
      <c r="A107" t="s">
        <v>156</v>
      </c>
      <c r="B107" t="b">
        <f>IFERROR(VLOOKUP(A107,#REF!,1,0)&lt;&gt;"",FALSE)</f>
        <v>0</v>
      </c>
      <c r="C107" t="str">
        <f t="shared" si="1"/>
        <v/>
      </c>
    </row>
    <row r="108" spans="1:3" x14ac:dyDescent="0.25">
      <c r="A108" t="s">
        <v>1</v>
      </c>
      <c r="B108" t="b">
        <f>IFERROR(VLOOKUP(A108,#REF!,1,0)&lt;&gt;"",FALSE)</f>
        <v>0</v>
      </c>
      <c r="C108" t="str">
        <f t="shared" si="1"/>
        <v/>
      </c>
    </row>
    <row r="109" spans="1:3" x14ac:dyDescent="0.25">
      <c r="A109" t="s">
        <v>159</v>
      </c>
      <c r="B109" t="b">
        <f>IFERROR(VLOOKUP(A109,#REF!,1,0)&lt;&gt;"",FALSE)</f>
        <v>0</v>
      </c>
      <c r="C109" t="str">
        <f t="shared" si="1"/>
        <v>Avion Black 70659BH COLVIN</v>
      </c>
    </row>
    <row r="110" spans="1:3" x14ac:dyDescent="0.25">
      <c r="A110" t="s">
        <v>160</v>
      </c>
      <c r="B110" t="b">
        <f>IFERROR(VLOOKUP(A110,#REF!,1,0)&lt;&gt;"",FALSE)</f>
        <v>0</v>
      </c>
      <c r="C110" t="str">
        <f t="shared" si="1"/>
        <v/>
      </c>
    </row>
    <row r="111" spans="1:3" x14ac:dyDescent="0.25">
      <c r="A111" t="s">
        <v>1</v>
      </c>
      <c r="B111" t="b">
        <f>IFERROR(VLOOKUP(A111,#REF!,1,0)&lt;&gt;"",FALSE)</f>
        <v>0</v>
      </c>
      <c r="C111" t="str">
        <f t="shared" si="1"/>
        <v/>
      </c>
    </row>
    <row r="112" spans="1:3" x14ac:dyDescent="0.25">
      <c r="A112" t="s">
        <v>162</v>
      </c>
      <c r="B112" t="b">
        <f>IFERROR(VLOOKUP(A112,#REF!,1,0)&lt;&gt;"",FALSE)</f>
        <v>0</v>
      </c>
      <c r="C112" t="str">
        <f t="shared" si="1"/>
        <v>Black Honey Uniform Green 70660BH ERLER</v>
      </c>
    </row>
    <row r="113" spans="1:3" x14ac:dyDescent="0.25">
      <c r="A113" t="s">
        <v>163</v>
      </c>
      <c r="B113" t="b">
        <f>IFERROR(VLOOKUP(A113,#REF!,1,0)&lt;&gt;"",FALSE)</f>
        <v>0</v>
      </c>
      <c r="C113" t="str">
        <f t="shared" si="1"/>
        <v/>
      </c>
    </row>
    <row r="114" spans="1:3" x14ac:dyDescent="0.25">
      <c r="A114" t="s">
        <v>1</v>
      </c>
      <c r="B114" t="b">
        <f>IFERROR(VLOOKUP(A114,#REF!,1,0)&lt;&gt;"",FALSE)</f>
        <v>0</v>
      </c>
      <c r="C114" t="str">
        <f t="shared" si="1"/>
        <v/>
      </c>
    </row>
    <row r="115" spans="1:3" x14ac:dyDescent="0.25">
      <c r="A115" t="s">
        <v>167</v>
      </c>
      <c r="B115" t="b">
        <f>IFERROR(VLOOKUP(A115,#REF!,1,0)&lt;&gt;"",FALSE)</f>
        <v>0</v>
      </c>
      <c r="C115" t="str">
        <f t="shared" si="1"/>
        <v>Black Nickel Satin Brass Uniform Green 7021 DARRON</v>
      </c>
    </row>
    <row r="116" spans="1:3" x14ac:dyDescent="0.25">
      <c r="A116" t="s">
        <v>168</v>
      </c>
      <c r="B116" t="b">
        <f>IFERROR(VLOOKUP(A116,#REF!,1,0)&lt;&gt;"",FALSE)</f>
        <v>0</v>
      </c>
      <c r="C116" t="str">
        <f t="shared" si="1"/>
        <v/>
      </c>
    </row>
    <row r="117" spans="1:3" x14ac:dyDescent="0.25">
      <c r="A117" t="s">
        <v>105</v>
      </c>
      <c r="B117" t="b">
        <f>IFERROR(VLOOKUP(A117,#REF!,1,0)&lt;&gt;"",FALSE)</f>
        <v>0</v>
      </c>
      <c r="C117" t="str">
        <f t="shared" si="1"/>
        <v/>
      </c>
    </row>
    <row r="118" spans="1:3" x14ac:dyDescent="0.25">
      <c r="A118" t="s">
        <v>171</v>
      </c>
      <c r="B118" t="b">
        <f>IFERROR(VLOOKUP(A118,#REF!,1,0)&lt;&gt;"",FALSE)</f>
        <v>0</v>
      </c>
      <c r="C118" t="str">
        <f t="shared" si="1"/>
        <v>Black Caramel Gun Metal Satin Brass Soft Khaki 7005 CURTIS</v>
      </c>
    </row>
    <row r="119" spans="1:3" x14ac:dyDescent="0.25">
      <c r="A119" t="s">
        <v>172</v>
      </c>
      <c r="B119" t="b">
        <f>IFERROR(VLOOKUP(A119,#REF!,1,0)&lt;&gt;"",FALSE)</f>
        <v>0</v>
      </c>
      <c r="C119" t="str">
        <f t="shared" si="1"/>
        <v/>
      </c>
    </row>
    <row r="120" spans="1:3" x14ac:dyDescent="0.25">
      <c r="A120" t="s">
        <v>105</v>
      </c>
      <c r="B120" t="b">
        <f>IFERROR(VLOOKUP(A120,#REF!,1,0)&lt;&gt;"",FALSE)</f>
        <v>0</v>
      </c>
      <c r="C120" t="str">
        <f t="shared" si="1"/>
        <v/>
      </c>
    </row>
    <row r="121" spans="1:3" x14ac:dyDescent="0.25">
      <c r="A121" t="s">
        <v>449</v>
      </c>
      <c r="B121" t="b">
        <f>IFERROR(VLOOKUP(A121,#REF!,1,0)&lt;&gt;"",FALSE)</f>
        <v>0</v>
      </c>
      <c r="C121" t="str">
        <f t="shared" si="1"/>
        <v>Sea Breeze Serpent Speckled Egg Mix Uniform Green Vintage Blue Antique Black Contrapposto Grey Navy 70652BH MARACK</v>
      </c>
    </row>
    <row r="122" spans="1:3" x14ac:dyDescent="0.25">
      <c r="A122" t="s">
        <v>177</v>
      </c>
      <c r="B122" t="b">
        <f>IFERROR(VLOOKUP(A122,#REF!,1,0)&lt;&gt;"",FALSE)</f>
        <v>0</v>
      </c>
      <c r="C122" t="str">
        <f t="shared" si="1"/>
        <v/>
      </c>
    </row>
    <row r="123" spans="1:3" x14ac:dyDescent="0.25">
      <c r="A123" t="s">
        <v>1</v>
      </c>
      <c r="B123" t="b">
        <f>IFERROR(VLOOKUP(A123,#REF!,1,0)&lt;&gt;"",FALSE)</f>
        <v>0</v>
      </c>
      <c r="C123" t="str">
        <f t="shared" si="1"/>
        <v/>
      </c>
    </row>
    <row r="124" spans="1:3" x14ac:dyDescent="0.25">
      <c r="A124" t="s">
        <v>179</v>
      </c>
      <c r="B124" t="b">
        <f>IFERROR(VLOOKUP(A124,#REF!,1,0)&lt;&gt;"",FALSE)</f>
        <v>0</v>
      </c>
      <c r="C124" t="str">
        <f t="shared" si="1"/>
        <v>Black Oxford Mix 70646BH NELLES</v>
      </c>
    </row>
    <row r="125" spans="1:3" x14ac:dyDescent="0.25">
      <c r="A125" t="s">
        <v>180</v>
      </c>
      <c r="B125" t="b">
        <f>IFERROR(VLOOKUP(A125,#REF!,1,0)&lt;&gt;"",FALSE)</f>
        <v>0</v>
      </c>
      <c r="C125" t="str">
        <f t="shared" si="1"/>
        <v/>
      </c>
    </row>
    <row r="126" spans="1:3" x14ac:dyDescent="0.25">
      <c r="A126" t="s">
        <v>1</v>
      </c>
      <c r="B126" t="b">
        <f>IFERROR(VLOOKUP(A126,#REF!,1,0)&lt;&gt;"",FALSE)</f>
        <v>0</v>
      </c>
      <c r="C126" t="str">
        <f t="shared" si="1"/>
        <v/>
      </c>
    </row>
    <row r="127" spans="1:3" x14ac:dyDescent="0.25">
      <c r="A127" t="s">
        <v>184</v>
      </c>
      <c r="B127" t="b">
        <f>IFERROR(VLOOKUP(A127,#REF!,1,0)&lt;&gt;"",FALSE)</f>
        <v>0</v>
      </c>
      <c r="C127" t="str">
        <f t="shared" si="1"/>
        <v>Black Camel Pale Olive Whiskey 70654BH TREPORT</v>
      </c>
    </row>
    <row r="128" spans="1:3" x14ac:dyDescent="0.25">
      <c r="A128" t="s">
        <v>185</v>
      </c>
      <c r="B128" t="b">
        <f>IFERROR(VLOOKUP(A128,#REF!,1,0)&lt;&gt;"",FALSE)</f>
        <v>0</v>
      </c>
      <c r="C128" t="str">
        <f t="shared" si="1"/>
        <v/>
      </c>
    </row>
    <row r="129" spans="1:3" x14ac:dyDescent="0.25">
      <c r="A129" t="s">
        <v>1</v>
      </c>
      <c r="B129" t="b">
        <f>IFERROR(VLOOKUP(A129,#REF!,1,0)&lt;&gt;"",FALSE)</f>
        <v>0</v>
      </c>
      <c r="C129" t="str">
        <f t="shared" si="1"/>
        <v/>
      </c>
    </row>
    <row r="130" spans="1:3" x14ac:dyDescent="0.25">
      <c r="A130" t="s">
        <v>187</v>
      </c>
      <c r="B130" t="b">
        <f>IFERROR(VLOOKUP(A130,#REF!,1,0)&lt;&gt;"",FALSE)</f>
        <v>0</v>
      </c>
      <c r="C130" t="str">
        <f t="shared" ref="C130:C193" si="2">IF(AND(IFERROR(FIND(",",A129)&gt;=1,FALSE),B131&lt;&gt;TRUE),A130&amp;" "&amp;A131,"")</f>
        <v>Ink Blue Olive Mix Rust 7002 FEDORA</v>
      </c>
    </row>
    <row r="131" spans="1:3" x14ac:dyDescent="0.25">
      <c r="A131" t="s">
        <v>188</v>
      </c>
      <c r="B131" t="b">
        <f>IFERROR(VLOOKUP(A131,#REF!,1,0)&lt;&gt;"",FALSE)</f>
        <v>0</v>
      </c>
      <c r="C131" t="str">
        <f t="shared" si="2"/>
        <v/>
      </c>
    </row>
    <row r="132" spans="1:3" x14ac:dyDescent="0.25">
      <c r="A132" t="s">
        <v>1</v>
      </c>
      <c r="B132" t="b">
        <f>IFERROR(VLOOKUP(A132,#REF!,1,0)&lt;&gt;"",FALSE)</f>
        <v>0</v>
      </c>
      <c r="C132" t="str">
        <f t="shared" si="2"/>
        <v/>
      </c>
    </row>
    <row r="133" spans="1:3" x14ac:dyDescent="0.25">
      <c r="A133" t="s">
        <v>189</v>
      </c>
      <c r="B133" t="b">
        <f>IFERROR(VLOOKUP(A133,#REF!,1,0)&lt;&gt;"",FALSE)</f>
        <v>0</v>
      </c>
      <c r="C133" t="str">
        <f t="shared" si="2"/>
        <v>Black Graphite Nickel Red 70613BH SPERLING</v>
      </c>
    </row>
    <row r="134" spans="1:3" x14ac:dyDescent="0.25">
      <c r="A134" t="s">
        <v>190</v>
      </c>
      <c r="B134" t="b">
        <f>IFERROR(VLOOKUP(A134,#REF!,1,0)&lt;&gt;"",FALSE)</f>
        <v>0</v>
      </c>
      <c r="C134" t="str">
        <f t="shared" si="2"/>
        <v/>
      </c>
    </row>
    <row r="135" spans="1:3" x14ac:dyDescent="0.25">
      <c r="A135" t="s">
        <v>1</v>
      </c>
      <c r="B135" t="b">
        <f>IFERROR(VLOOKUP(A135,#REF!,1,0)&lt;&gt;"",FALSE)</f>
        <v>0</v>
      </c>
      <c r="C135" t="str">
        <f t="shared" si="2"/>
        <v/>
      </c>
    </row>
    <row r="136" spans="1:3" x14ac:dyDescent="0.25">
      <c r="A136" t="s">
        <v>191</v>
      </c>
      <c r="B136" t="b">
        <f>IFERROR(VLOOKUP(A136,#REF!,1,0)&lt;&gt;"",FALSE)</f>
        <v>0</v>
      </c>
      <c r="C136" t="str">
        <f t="shared" si="2"/>
        <v>Bluestone Serpent Woodland Mix 70653BH BURNELL</v>
      </c>
    </row>
    <row r="137" spans="1:3" x14ac:dyDescent="0.25">
      <c r="A137" t="s">
        <v>192</v>
      </c>
      <c r="B137" t="b">
        <f>IFERROR(VLOOKUP(A137,#REF!,1,0)&lt;&gt;"",FALSE)</f>
        <v>0</v>
      </c>
      <c r="C137" t="str">
        <f t="shared" si="2"/>
        <v/>
      </c>
    </row>
    <row r="138" spans="1:3" x14ac:dyDescent="0.25">
      <c r="A138" t="s">
        <v>1</v>
      </c>
      <c r="B138" t="b">
        <f>IFERROR(VLOOKUP(A138,#REF!,1,0)&lt;&gt;"",FALSE)</f>
        <v>0</v>
      </c>
      <c r="C138" t="str">
        <f t="shared" si="2"/>
        <v/>
      </c>
    </row>
    <row r="139" spans="1:3" x14ac:dyDescent="0.25">
      <c r="A139" t="s">
        <v>195</v>
      </c>
      <c r="B139" t="b">
        <f>IFERROR(VLOOKUP(A139,#REF!,1,0)&lt;&gt;"",FALSE)</f>
        <v>0</v>
      </c>
      <c r="C139" t="str">
        <f t="shared" si="2"/>
        <v>Natural Mix Ochre 7016 WYNN</v>
      </c>
    </row>
    <row r="140" spans="1:3" x14ac:dyDescent="0.25">
      <c r="A140" t="s">
        <v>196</v>
      </c>
      <c r="B140" t="b">
        <f>IFERROR(VLOOKUP(A140,#REF!,1,0)&lt;&gt;"",FALSE)</f>
        <v>0</v>
      </c>
      <c r="C140" t="str">
        <f t="shared" si="2"/>
        <v/>
      </c>
    </row>
    <row r="141" spans="1:3" x14ac:dyDescent="0.25">
      <c r="A141" t="s">
        <v>1</v>
      </c>
      <c r="B141" t="b">
        <f>IFERROR(VLOOKUP(A141,#REF!,1,0)&lt;&gt;"",FALSE)</f>
        <v>0</v>
      </c>
      <c r="C141" t="str">
        <f t="shared" si="2"/>
        <v/>
      </c>
    </row>
    <row r="142" spans="1:3" x14ac:dyDescent="0.25">
      <c r="A142" t="s">
        <v>450</v>
      </c>
      <c r="B142" t="b">
        <f>IFERROR(VLOOKUP(A142,#REF!,1,0)&lt;&gt;"",FALSE)</f>
        <v>0</v>
      </c>
      <c r="C142" t="str">
        <f t="shared" si="2"/>
        <v>Oxblood Pewter Serpent Silverbelly Black Cognac Olive Mix 7055 ATMORE</v>
      </c>
    </row>
    <row r="143" spans="1:3" x14ac:dyDescent="0.25">
      <c r="A143" t="s">
        <v>200</v>
      </c>
      <c r="B143" t="b">
        <f>IFERROR(VLOOKUP(A143,#REF!,1,0)&lt;&gt;"",FALSE)</f>
        <v>0</v>
      </c>
      <c r="C143" t="str">
        <f t="shared" si="2"/>
        <v/>
      </c>
    </row>
    <row r="144" spans="1:3" x14ac:dyDescent="0.25">
      <c r="A144" t="s">
        <v>1</v>
      </c>
      <c r="B144" t="b">
        <f>IFERROR(VLOOKUP(A144,#REF!,1,0)&lt;&gt;"",FALSE)</f>
        <v>0</v>
      </c>
      <c r="C144" t="str">
        <f t="shared" si="2"/>
        <v/>
      </c>
    </row>
    <row r="145" spans="1:3" x14ac:dyDescent="0.25">
      <c r="A145" t="s">
        <v>203</v>
      </c>
      <c r="B145" t="b">
        <f>IFERROR(VLOOKUP(A145,#REF!,1,0)&lt;&gt;"",FALSE)</f>
        <v>0</v>
      </c>
      <c r="C145" t="str">
        <f t="shared" si="2"/>
        <v>Medium Brown Mix 7001 TINO</v>
      </c>
    </row>
    <row r="146" spans="1:3" x14ac:dyDescent="0.25">
      <c r="A146" t="s">
        <v>204</v>
      </c>
      <c r="B146" t="b">
        <f>IFERROR(VLOOKUP(A146,#REF!,1,0)&lt;&gt;"",FALSE)</f>
        <v>0</v>
      </c>
      <c r="C146" t="str">
        <f t="shared" si="2"/>
        <v/>
      </c>
    </row>
    <row r="147" spans="1:3" x14ac:dyDescent="0.25">
      <c r="A147" t="s">
        <v>105</v>
      </c>
      <c r="B147" t="b">
        <f>IFERROR(VLOOKUP(A147,#REF!,1,0)&lt;&gt;"",FALSE)</f>
        <v>0</v>
      </c>
      <c r="C147" t="str">
        <f t="shared" si="2"/>
        <v/>
      </c>
    </row>
    <row r="148" spans="1:3" x14ac:dyDescent="0.25">
      <c r="A148" t="s">
        <v>454</v>
      </c>
      <c r="B148" t="b">
        <f>IFERROR(VLOOKUP(A148,#REF!,1,0)&lt;&gt;"",FALSE)</f>
        <v>0</v>
      </c>
      <c r="C148" t="str">
        <f t="shared" si="2"/>
        <v>Contrapposto Copper Natural Mix Navy Port Red Satin Brass Sea Breeze Unbleached Vintage Blue Basalt Black Black Mix Brown 38367BH NIALL</v>
      </c>
    </row>
    <row r="149" spans="1:3" x14ac:dyDescent="0.25">
      <c r="A149" t="s">
        <v>208</v>
      </c>
      <c r="B149" t="b">
        <f>IFERROR(VLOOKUP(A149,#REF!,1,0)&lt;&gt;"",FALSE)</f>
        <v>0</v>
      </c>
      <c r="C149" t="str">
        <f t="shared" si="2"/>
        <v/>
      </c>
    </row>
    <row r="150" spans="1:3" x14ac:dyDescent="0.25">
      <c r="A150" t="s">
        <v>1</v>
      </c>
      <c r="B150" t="b">
        <f>IFERROR(VLOOKUP(A150,#REF!,1,0)&lt;&gt;"",FALSE)</f>
        <v>0</v>
      </c>
      <c r="C150" t="str">
        <f t="shared" si="2"/>
        <v/>
      </c>
    </row>
    <row r="151" spans="1:3" x14ac:dyDescent="0.25">
      <c r="A151" t="s">
        <v>212</v>
      </c>
      <c r="B151" t="b">
        <f>IFERROR(VLOOKUP(A151,#REF!,1,0)&lt;&gt;"",FALSE)</f>
        <v>0</v>
      </c>
      <c r="C151" t="str">
        <f t="shared" si="2"/>
        <v>Black Cognac Fawn 38359BH TROPE</v>
      </c>
    </row>
    <row r="152" spans="1:3" x14ac:dyDescent="0.25">
      <c r="A152" t="s">
        <v>213</v>
      </c>
      <c r="B152" t="b">
        <f>IFERROR(VLOOKUP(A152,#REF!,1,0)&lt;&gt;"",FALSE)</f>
        <v>0</v>
      </c>
      <c r="C152" t="str">
        <f t="shared" si="2"/>
        <v/>
      </c>
    </row>
    <row r="153" spans="1:3" x14ac:dyDescent="0.25">
      <c r="A153" t="s">
        <v>1</v>
      </c>
      <c r="B153" t="b">
        <f>IFERROR(VLOOKUP(A153,#REF!,1,0)&lt;&gt;"",FALSE)</f>
        <v>0</v>
      </c>
      <c r="C153" t="str">
        <f t="shared" si="2"/>
        <v/>
      </c>
    </row>
    <row r="154" spans="1:3" x14ac:dyDescent="0.25">
      <c r="A154" t="s">
        <v>217</v>
      </c>
      <c r="B154" t="b">
        <f>IFERROR(VLOOKUP(A154,#REF!,1,0)&lt;&gt;"",FALSE)</f>
        <v>0</v>
      </c>
      <c r="C154" t="str">
        <f t="shared" si="2"/>
        <v>Black Uniform Green 38368BH CYD</v>
      </c>
    </row>
    <row r="155" spans="1:3" x14ac:dyDescent="0.25">
      <c r="A155" t="s">
        <v>218</v>
      </c>
      <c r="B155" t="b">
        <f>IFERROR(VLOOKUP(A155,#REF!,1,0)&lt;&gt;"",FALSE)</f>
        <v>0</v>
      </c>
      <c r="C155" t="str">
        <f t="shared" si="2"/>
        <v/>
      </c>
    </row>
    <row r="156" spans="1:3" x14ac:dyDescent="0.25">
      <c r="A156" t="s">
        <v>1</v>
      </c>
      <c r="B156" t="b">
        <f>IFERROR(VLOOKUP(A156,#REF!,1,0)&lt;&gt;"",FALSE)</f>
        <v>0</v>
      </c>
      <c r="C156" t="str">
        <f t="shared" si="2"/>
        <v/>
      </c>
    </row>
    <row r="157" spans="1:3" x14ac:dyDescent="0.25">
      <c r="A157" t="s">
        <v>219</v>
      </c>
      <c r="B157" t="b">
        <f>IFERROR(VLOOKUP(A157,#REF!,1,0)&lt;&gt;"",FALSE)</f>
        <v>0</v>
      </c>
      <c r="C157" t="str">
        <f t="shared" si="2"/>
        <v>Avion Black Whiskey 38366BH THALER</v>
      </c>
    </row>
    <row r="158" spans="1:3" x14ac:dyDescent="0.25">
      <c r="A158" t="s">
        <v>220</v>
      </c>
      <c r="B158" t="b">
        <f>IFERROR(VLOOKUP(A158,#REF!,1,0)&lt;&gt;"",FALSE)</f>
        <v>0</v>
      </c>
      <c r="C158" t="str">
        <f t="shared" si="2"/>
        <v/>
      </c>
    </row>
    <row r="159" spans="1:3" x14ac:dyDescent="0.25">
      <c r="A159" t="s">
        <v>1</v>
      </c>
      <c r="B159" t="b">
        <f>IFERROR(VLOOKUP(A159,#REF!,1,0)&lt;&gt;"",FALSE)</f>
        <v>0</v>
      </c>
      <c r="C159" t="str">
        <f t="shared" si="2"/>
        <v/>
      </c>
    </row>
    <row r="160" spans="1:3" x14ac:dyDescent="0.25">
      <c r="A160" t="s">
        <v>222</v>
      </c>
      <c r="B160" t="b">
        <f>IFERROR(VLOOKUP(A160,#REF!,1,0)&lt;&gt;"",FALSE)</f>
        <v>0</v>
      </c>
      <c r="C160" t="str">
        <f t="shared" si="2"/>
        <v>Black Nickel Uniform Green 3817 GODFATHER</v>
      </c>
    </row>
    <row r="161" spans="1:3" x14ac:dyDescent="0.25">
      <c r="A161" t="s">
        <v>223</v>
      </c>
      <c r="B161" t="b">
        <f>IFERROR(VLOOKUP(A161,#REF!,1,0)&lt;&gt;"",FALSE)</f>
        <v>0</v>
      </c>
      <c r="C161" t="str">
        <f t="shared" si="2"/>
        <v/>
      </c>
    </row>
    <row r="162" spans="1:3" x14ac:dyDescent="0.25">
      <c r="A162" t="s">
        <v>105</v>
      </c>
      <c r="B162" t="b">
        <f>IFERROR(VLOOKUP(A162,#REF!,1,0)&lt;&gt;"",FALSE)</f>
        <v>0</v>
      </c>
      <c r="C162" t="str">
        <f t="shared" si="2"/>
        <v/>
      </c>
    </row>
    <row r="163" spans="1:3" x14ac:dyDescent="0.25">
      <c r="A163" t="s">
        <v>9</v>
      </c>
      <c r="B163" t="b">
        <f>IFERROR(VLOOKUP(A163,#REF!,1,0)&lt;&gt;"",FALSE)</f>
        <v>0</v>
      </c>
      <c r="C163" t="str">
        <f t="shared" si="2"/>
        <v>Black 3814 GANGSTER</v>
      </c>
    </row>
    <row r="164" spans="1:3" x14ac:dyDescent="0.25">
      <c r="A164" t="s">
        <v>226</v>
      </c>
      <c r="B164" t="b">
        <f>IFERROR(VLOOKUP(A164,#REF!,1,0)&lt;&gt;"",FALSE)</f>
        <v>0</v>
      </c>
      <c r="C164" t="str">
        <f t="shared" si="2"/>
        <v/>
      </c>
    </row>
    <row r="165" spans="1:3" x14ac:dyDescent="0.25">
      <c r="A165" t="s">
        <v>105</v>
      </c>
      <c r="B165" t="b">
        <f>IFERROR(VLOOKUP(A165,#REF!,1,0)&lt;&gt;"",FALSE)</f>
        <v>0</v>
      </c>
      <c r="C165" t="str">
        <f t="shared" si="2"/>
        <v/>
      </c>
    </row>
    <row r="166" spans="1:3" x14ac:dyDescent="0.25">
      <c r="A166" t="s">
        <v>9</v>
      </c>
      <c r="B166" t="b">
        <f>IFERROR(VLOOKUP(A166,#REF!,1,0)&lt;&gt;"",FALSE)</f>
        <v>0</v>
      </c>
      <c r="C166" t="str">
        <f t="shared" si="2"/>
        <v>Black 38345BH MAGLOR</v>
      </c>
    </row>
    <row r="167" spans="1:3" x14ac:dyDescent="0.25">
      <c r="A167" t="s">
        <v>227</v>
      </c>
      <c r="B167" t="b">
        <f>IFERROR(VLOOKUP(A167,#REF!,1,0)&lt;&gt;"",FALSE)</f>
        <v>0</v>
      </c>
      <c r="C167" t="str">
        <f t="shared" si="2"/>
        <v/>
      </c>
    </row>
    <row r="168" spans="1:3" x14ac:dyDescent="0.25">
      <c r="A168" t="s">
        <v>1</v>
      </c>
      <c r="B168" t="b">
        <f>IFERROR(VLOOKUP(A168,#REF!,1,0)&lt;&gt;"",FALSE)</f>
        <v>0</v>
      </c>
      <c r="C168" t="str">
        <f t="shared" si="2"/>
        <v/>
      </c>
    </row>
    <row r="169" spans="1:3" x14ac:dyDescent="0.25">
      <c r="A169" t="s">
        <v>230</v>
      </c>
      <c r="B169" t="b">
        <f>IFERROR(VLOOKUP(A169,#REF!,1,0)&lt;&gt;"",FALSE)</f>
        <v>0</v>
      </c>
      <c r="C169" t="str">
        <f t="shared" si="2"/>
        <v>Black Chocolate Forest Navy 7100 RIFF</v>
      </c>
    </row>
    <row r="170" spans="1:3" x14ac:dyDescent="0.25">
      <c r="A170" t="s">
        <v>231</v>
      </c>
      <c r="B170" t="b">
        <f>IFERROR(VLOOKUP(A170,#REF!,1,0)&lt;&gt;"",FALSE)</f>
        <v>0</v>
      </c>
      <c r="C170" t="str">
        <f t="shared" si="2"/>
        <v/>
      </c>
    </row>
    <row r="171" spans="1:3" x14ac:dyDescent="0.25">
      <c r="A171" t="s">
        <v>105</v>
      </c>
      <c r="B171" t="b">
        <f>IFERROR(VLOOKUP(A171,#REF!,1,0)&lt;&gt;"",FALSE)</f>
        <v>0</v>
      </c>
      <c r="C171" t="str">
        <f t="shared" si="2"/>
        <v/>
      </c>
    </row>
    <row r="172" spans="1:3" x14ac:dyDescent="0.25">
      <c r="A172" t="s">
        <v>233</v>
      </c>
      <c r="B172" t="b">
        <f>IFERROR(VLOOKUP(A172,#REF!,1,0)&lt;&gt;"",FALSE)</f>
        <v>0</v>
      </c>
      <c r="C172" t="str">
        <f t="shared" si="2"/>
        <v>Black Lazuli Blue Mink Ochre 38350BH PISTON</v>
      </c>
    </row>
    <row r="173" spans="1:3" x14ac:dyDescent="0.25">
      <c r="A173" t="s">
        <v>234</v>
      </c>
      <c r="B173" t="b">
        <f>IFERROR(VLOOKUP(A173,#REF!,1,0)&lt;&gt;"",FALSE)</f>
        <v>0</v>
      </c>
      <c r="C173" t="str">
        <f t="shared" si="2"/>
        <v/>
      </c>
    </row>
    <row r="174" spans="1:3" x14ac:dyDescent="0.25">
      <c r="A174" t="s">
        <v>1</v>
      </c>
      <c r="B174" t="b">
        <f>IFERROR(VLOOKUP(A174,#REF!,1,0)&lt;&gt;"",FALSE)</f>
        <v>0</v>
      </c>
      <c r="C174" t="str">
        <f t="shared" si="2"/>
        <v/>
      </c>
    </row>
    <row r="175" spans="1:3" x14ac:dyDescent="0.25">
      <c r="A175" t="s">
        <v>237</v>
      </c>
      <c r="B175" t="b">
        <f>IFERROR(VLOOKUP(A175,#REF!,1,0)&lt;&gt;"",FALSE)</f>
        <v>0</v>
      </c>
      <c r="C175" t="str">
        <f t="shared" si="2"/>
        <v>Black Caramel Navy Olive 38357BH KISNER</v>
      </c>
    </row>
    <row r="176" spans="1:3" x14ac:dyDescent="0.25">
      <c r="A176" t="s">
        <v>238</v>
      </c>
      <c r="B176" t="b">
        <f>IFERROR(VLOOKUP(A176,#REF!,1,0)&lt;&gt;"",FALSE)</f>
        <v>0</v>
      </c>
      <c r="C176" t="str">
        <f t="shared" si="2"/>
        <v/>
      </c>
    </row>
    <row r="177" spans="1:3" x14ac:dyDescent="0.25">
      <c r="A177" t="s">
        <v>1</v>
      </c>
      <c r="B177" t="b">
        <f>IFERROR(VLOOKUP(A177,#REF!,1,0)&lt;&gt;"",FALSE)</f>
        <v>0</v>
      </c>
      <c r="C177" t="str">
        <f t="shared" si="2"/>
        <v/>
      </c>
    </row>
    <row r="178" spans="1:3" x14ac:dyDescent="0.25">
      <c r="A178" t="s">
        <v>243</v>
      </c>
      <c r="B178" t="b">
        <f>IFERROR(VLOOKUP(A178,#REF!,1,0)&lt;&gt;"",FALSE)</f>
        <v>0</v>
      </c>
      <c r="C178" t="str">
        <f t="shared" si="2"/>
        <v>Black Silver Sand 71001BH CRISS</v>
      </c>
    </row>
    <row r="179" spans="1:3" x14ac:dyDescent="0.25">
      <c r="A179" t="s">
        <v>244</v>
      </c>
      <c r="B179" t="b">
        <f>IFERROR(VLOOKUP(A179,#REF!,1,0)&lt;&gt;"",FALSE)</f>
        <v>0</v>
      </c>
      <c r="C179" t="str">
        <f t="shared" si="2"/>
        <v/>
      </c>
    </row>
    <row r="180" spans="1:3" x14ac:dyDescent="0.25">
      <c r="A180" t="s">
        <v>1</v>
      </c>
      <c r="B180" t="b">
        <f>IFERROR(VLOOKUP(A180,#REF!,1,0)&lt;&gt;"",FALSE)</f>
        <v>0</v>
      </c>
      <c r="C180" t="str">
        <f t="shared" si="2"/>
        <v/>
      </c>
    </row>
    <row r="181" spans="1:3" x14ac:dyDescent="0.25">
      <c r="A181" t="s">
        <v>245</v>
      </c>
      <c r="B181" t="b">
        <f>IFERROR(VLOOKUP(A181,#REF!,1,0)&lt;&gt;"",FALSE)</f>
        <v>0</v>
      </c>
      <c r="C181" t="str">
        <f t="shared" si="2"/>
        <v>Bitter Chocolate Black Mink Night Shade Navy 10001BH BRODNAX</v>
      </c>
    </row>
    <row r="182" spans="1:3" x14ac:dyDescent="0.25">
      <c r="A182" t="s">
        <v>246</v>
      </c>
      <c r="B182" t="b">
        <f>IFERROR(VLOOKUP(A182,#REF!,1,0)&lt;&gt;"",FALSE)</f>
        <v>0</v>
      </c>
      <c r="C182" t="str">
        <f t="shared" si="2"/>
        <v/>
      </c>
    </row>
    <row r="183" spans="1:3" x14ac:dyDescent="0.25">
      <c r="A183" t="s">
        <v>1</v>
      </c>
      <c r="B183" t="b">
        <f>IFERROR(VLOOKUP(A183,#REF!,1,0)&lt;&gt;"",FALSE)</f>
        <v>0</v>
      </c>
      <c r="C183" t="str">
        <f t="shared" si="2"/>
        <v/>
      </c>
    </row>
    <row r="184" spans="1:3" x14ac:dyDescent="0.25">
      <c r="A184" t="s">
        <v>252</v>
      </c>
      <c r="B184" t="b">
        <f>IFERROR(VLOOKUP(A184,#REF!,1,0)&lt;&gt;"",FALSE)</f>
        <v>0</v>
      </c>
      <c r="C184" t="str">
        <f t="shared" si="2"/>
        <v>Black Olive Oil Plaza Taupe 38358BH STERNE</v>
      </c>
    </row>
    <row r="185" spans="1:3" x14ac:dyDescent="0.25">
      <c r="A185" t="s">
        <v>253</v>
      </c>
      <c r="B185" t="b">
        <f>IFERROR(VLOOKUP(A185,#REF!,1,0)&lt;&gt;"",FALSE)</f>
        <v>0</v>
      </c>
      <c r="C185" t="str">
        <f t="shared" si="2"/>
        <v/>
      </c>
    </row>
    <row r="186" spans="1:3" x14ac:dyDescent="0.25">
      <c r="A186" t="s">
        <v>1</v>
      </c>
      <c r="B186" t="b">
        <f>IFERROR(VLOOKUP(A186,#REF!,1,0)&lt;&gt;"",FALSE)</f>
        <v>0</v>
      </c>
      <c r="C186" t="str">
        <f t="shared" si="2"/>
        <v/>
      </c>
    </row>
    <row r="187" spans="1:3" x14ac:dyDescent="0.25">
      <c r="A187" t="s">
        <v>256</v>
      </c>
      <c r="B187" t="b">
        <f>IFERROR(VLOOKUP(A187,#REF!,1,0)&lt;&gt;"",FALSE)</f>
        <v>0</v>
      </c>
      <c r="C187" t="str">
        <f t="shared" si="2"/>
        <v>Ochre Soft Khaki 38349BH KLAXON</v>
      </c>
    </row>
    <row r="188" spans="1:3" x14ac:dyDescent="0.25">
      <c r="A188" t="s">
        <v>257</v>
      </c>
      <c r="B188" t="b">
        <f>IFERROR(VLOOKUP(A188,#REF!,1,0)&lt;&gt;"",FALSE)</f>
        <v>0</v>
      </c>
      <c r="C188" t="str">
        <f t="shared" si="2"/>
        <v/>
      </c>
    </row>
    <row r="189" spans="1:3" x14ac:dyDescent="0.25">
      <c r="A189" t="s">
        <v>1</v>
      </c>
      <c r="B189" t="b">
        <f>IFERROR(VLOOKUP(A189,#REF!,1,0)&lt;&gt;"",FALSE)</f>
        <v>0</v>
      </c>
      <c r="C189" t="str">
        <f t="shared" si="2"/>
        <v/>
      </c>
    </row>
    <row r="190" spans="1:3" x14ac:dyDescent="0.25">
      <c r="A190" t="s">
        <v>259</v>
      </c>
      <c r="B190" t="b">
        <f>IFERROR(VLOOKUP(A190,#REF!,1,0)&lt;&gt;"",FALSE)</f>
        <v>0</v>
      </c>
      <c r="C190" t="str">
        <f t="shared" si="2"/>
        <v>Black Navy 1451 JETT</v>
      </c>
    </row>
    <row r="191" spans="1:3" x14ac:dyDescent="0.25">
      <c r="A191" t="s">
        <v>260</v>
      </c>
      <c r="B191" t="b">
        <f>IFERROR(VLOOKUP(A191,#REF!,1,0)&lt;&gt;"",FALSE)</f>
        <v>0</v>
      </c>
      <c r="C191" t="str">
        <f t="shared" si="2"/>
        <v/>
      </c>
    </row>
    <row r="192" spans="1:3" x14ac:dyDescent="0.25">
      <c r="A192" t="s">
        <v>262</v>
      </c>
      <c r="B192" t="b">
        <f>IFERROR(VLOOKUP(A192,#REF!,1,0)&lt;&gt;"",FALSE)</f>
        <v>0</v>
      </c>
      <c r="C192" t="str">
        <f t="shared" si="2"/>
        <v/>
      </c>
    </row>
    <row r="193" spans="1:3" x14ac:dyDescent="0.25">
      <c r="A193" t="s">
        <v>9</v>
      </c>
      <c r="B193" t="b">
        <f>IFERROR(VLOOKUP(A193,#REF!,1,0)&lt;&gt;"",FALSE)</f>
        <v>0</v>
      </c>
      <c r="C193" t="str">
        <f t="shared" si="2"/>
        <v>Black 1452 HARKER</v>
      </c>
    </row>
    <row r="194" spans="1:3" x14ac:dyDescent="0.25">
      <c r="A194" t="s">
        <v>263</v>
      </c>
      <c r="B194" t="b">
        <f>IFERROR(VLOOKUP(A194,#REF!,1,0)&lt;&gt;"",FALSE)</f>
        <v>0</v>
      </c>
      <c r="C194" t="str">
        <f t="shared" ref="C194:C257" si="3">IF(AND(IFERROR(FIND(",",A193)&gt;=1,FALSE),B195&lt;&gt;TRUE),A194&amp;" "&amp;A195,"")</f>
        <v/>
      </c>
    </row>
    <row r="195" spans="1:3" x14ac:dyDescent="0.25">
      <c r="A195" t="s">
        <v>262</v>
      </c>
      <c r="B195" t="b">
        <f>IFERROR(VLOOKUP(A195,#REF!,1,0)&lt;&gt;"",FALSE)</f>
        <v>0</v>
      </c>
      <c r="C195" t="str">
        <f t="shared" si="3"/>
        <v/>
      </c>
    </row>
    <row r="196" spans="1:3" x14ac:dyDescent="0.25">
      <c r="A196" t="s">
        <v>266</v>
      </c>
      <c r="B196" t="b">
        <f>IFERROR(VLOOKUP(A196,#REF!,1,0)&lt;&gt;"",FALSE)</f>
        <v>0</v>
      </c>
      <c r="C196" t="str">
        <f t="shared" si="3"/>
        <v>Black Hemlock 3813 ICE</v>
      </c>
    </row>
    <row r="197" spans="1:3" x14ac:dyDescent="0.25">
      <c r="A197" t="s">
        <v>267</v>
      </c>
      <c r="B197" t="b">
        <f>IFERROR(VLOOKUP(A197,#REF!,1,0)&lt;&gt;"",FALSE)</f>
        <v>0</v>
      </c>
      <c r="C197" t="str">
        <f t="shared" si="3"/>
        <v/>
      </c>
    </row>
    <row r="198" spans="1:3" x14ac:dyDescent="0.25">
      <c r="A198" t="s">
        <v>1</v>
      </c>
      <c r="B198" t="b">
        <f>IFERROR(VLOOKUP(A198,#REF!,1,0)&lt;&gt;"",FALSE)</f>
        <v>0</v>
      </c>
      <c r="C198" t="str">
        <f t="shared" si="3"/>
        <v/>
      </c>
    </row>
    <row r="199" spans="1:3" x14ac:dyDescent="0.25">
      <c r="A199" t="s">
        <v>9</v>
      </c>
      <c r="B199" t="b">
        <f>IFERROR(VLOOKUP(A199,#REF!,1,0)&lt;&gt;"",FALSE)</f>
        <v>0</v>
      </c>
      <c r="C199" t="str">
        <f t="shared" si="3"/>
        <v>Black 3816 DERBY</v>
      </c>
    </row>
    <row r="200" spans="1:3" x14ac:dyDescent="0.25">
      <c r="A200" t="s">
        <v>270</v>
      </c>
      <c r="B200" t="b">
        <f>IFERROR(VLOOKUP(A200,#REF!,1,0)&lt;&gt;"",FALSE)</f>
        <v>0</v>
      </c>
      <c r="C200" t="str">
        <f t="shared" si="3"/>
        <v/>
      </c>
    </row>
    <row r="201" spans="1:3" x14ac:dyDescent="0.25">
      <c r="A201" t="s">
        <v>105</v>
      </c>
      <c r="B201" t="b">
        <f>IFERROR(VLOOKUP(A201,#REF!,1,0)&lt;&gt;"",FALSE)</f>
        <v>0</v>
      </c>
      <c r="C201" t="str">
        <f t="shared" si="3"/>
        <v/>
      </c>
    </row>
    <row r="202" spans="1:3" x14ac:dyDescent="0.25">
      <c r="A202" t="s">
        <v>271</v>
      </c>
      <c r="B202" t="b">
        <f>IFERROR(VLOOKUP(A202,#REF!,1,0)&lt;&gt;"",FALSE)</f>
        <v>0</v>
      </c>
      <c r="C202" t="str">
        <f t="shared" si="3"/>
        <v>Black Brown White 81670 BILLY</v>
      </c>
    </row>
    <row r="203" spans="1:3" x14ac:dyDescent="0.25">
      <c r="A203" t="s">
        <v>272</v>
      </c>
      <c r="B203" t="b">
        <f>IFERROR(VLOOKUP(A203,#REF!,1,0)&lt;&gt;"",FALSE)</f>
        <v>0</v>
      </c>
      <c r="C203" t="str">
        <f t="shared" si="3"/>
        <v/>
      </c>
    </row>
    <row r="204" spans="1:3" x14ac:dyDescent="0.25">
      <c r="A204" t="s">
        <v>105</v>
      </c>
      <c r="B204" t="b">
        <f>IFERROR(VLOOKUP(A204,#REF!,1,0)&lt;&gt;"",FALSE)</f>
        <v>0</v>
      </c>
      <c r="C204" t="str">
        <f t="shared" si="3"/>
        <v/>
      </c>
    </row>
    <row r="205" spans="1:3" x14ac:dyDescent="0.25">
      <c r="A205" t="s">
        <v>443</v>
      </c>
      <c r="B205" t="b">
        <f>IFERROR(VLOOKUP(A205,#REF!,1,0)&lt;&gt;"",FALSE)</f>
        <v>0</v>
      </c>
      <c r="C205" t="str">
        <f t="shared" si="3"/>
        <v>Fog Latte Navy Static Tan Birch Black Coconut Deep Red Espresso 81690 MANNES</v>
      </c>
    </row>
    <row r="206" spans="1:3" x14ac:dyDescent="0.25">
      <c r="A206" t="s">
        <v>278</v>
      </c>
      <c r="B206" t="b">
        <f>IFERROR(VLOOKUP(A206,#REF!,1,0)&lt;&gt;"",FALSE)</f>
        <v>0</v>
      </c>
      <c r="C206" t="str">
        <f t="shared" si="3"/>
        <v/>
      </c>
    </row>
    <row r="207" spans="1:3" x14ac:dyDescent="0.25">
      <c r="A207" t="s">
        <v>105</v>
      </c>
      <c r="B207" t="b">
        <f>IFERROR(VLOOKUP(A207,#REF!,1,0)&lt;&gt;"",FALSE)</f>
        <v>0</v>
      </c>
      <c r="C207" t="str">
        <f t="shared" si="3"/>
        <v/>
      </c>
    </row>
    <row r="208" spans="1:3" x14ac:dyDescent="0.25">
      <c r="A208" t="s">
        <v>451</v>
      </c>
      <c r="B208" t="b">
        <f>IFERROR(VLOOKUP(A208,#REF!,1,0)&lt;&gt;"",FALSE)</f>
        <v>0</v>
      </c>
      <c r="C208" t="str">
        <f t="shared" si="3"/>
        <v>Navy Multi Nordic Multi Overcast Skydiver Woods Multi Cement Multi Deep Red Multi Light Grey Multi Natural Multi Brown Multi Charcoal Multi 25550BH DERIN</v>
      </c>
    </row>
    <row r="209" spans="1:3" x14ac:dyDescent="0.25">
      <c r="A209" t="s">
        <v>281</v>
      </c>
      <c r="B209" t="b">
        <f>IFERROR(VLOOKUP(A209,#REF!,1,0)&lt;&gt;"",FALSE)</f>
        <v>0</v>
      </c>
      <c r="C209" t="str">
        <f t="shared" si="3"/>
        <v/>
      </c>
    </row>
    <row r="210" spans="1:3" x14ac:dyDescent="0.25">
      <c r="A210" t="s">
        <v>1</v>
      </c>
      <c r="B210" t="b">
        <f>IFERROR(VLOOKUP(A210,#REF!,1,0)&lt;&gt;"",FALSE)</f>
        <v>0</v>
      </c>
      <c r="C210" t="str">
        <f t="shared" si="3"/>
        <v/>
      </c>
    </row>
    <row r="211" spans="1:3" x14ac:dyDescent="0.25">
      <c r="A211" t="s">
        <v>283</v>
      </c>
      <c r="B211" t="b">
        <f>IFERROR(VLOOKUP(A211,#REF!,1,0)&lt;&gt;"",FALSE)</f>
        <v>0</v>
      </c>
      <c r="C211" t="str">
        <f t="shared" si="3"/>
        <v>Black Blue Bronze 25553BH ABEL</v>
      </c>
    </row>
    <row r="212" spans="1:3" x14ac:dyDescent="0.25">
      <c r="A212" t="s">
        <v>284</v>
      </c>
      <c r="B212" t="b">
        <f>IFERROR(VLOOKUP(A212,#REF!,1,0)&lt;&gt;"",FALSE)</f>
        <v>0</v>
      </c>
      <c r="C212" t="str">
        <f t="shared" si="3"/>
        <v/>
      </c>
    </row>
    <row r="213" spans="1:3" x14ac:dyDescent="0.25">
      <c r="A213" t="s">
        <v>1</v>
      </c>
      <c r="B213" t="b">
        <f>IFERROR(VLOOKUP(A213,#REF!,1,0)&lt;&gt;"",FALSE)</f>
        <v>0</v>
      </c>
      <c r="C213" t="str">
        <f t="shared" si="3"/>
        <v/>
      </c>
    </row>
    <row r="214" spans="1:3" x14ac:dyDescent="0.25">
      <c r="A214" t="s">
        <v>288</v>
      </c>
      <c r="B214" t="b">
        <f>IFERROR(VLOOKUP(A214,#REF!,1,0)&lt;&gt;"",FALSE)</f>
        <v>0</v>
      </c>
      <c r="C214" t="str">
        <f t="shared" si="3"/>
        <v>Copper Green Grey 25552BH CLAUD</v>
      </c>
    </row>
    <row r="215" spans="1:3" x14ac:dyDescent="0.25">
      <c r="A215" t="s">
        <v>289</v>
      </c>
      <c r="B215" t="b">
        <f>IFERROR(VLOOKUP(A215,#REF!,1,0)&lt;&gt;"",FALSE)</f>
        <v>0</v>
      </c>
      <c r="C215" t="str">
        <f t="shared" si="3"/>
        <v/>
      </c>
    </row>
    <row r="216" spans="1:3" x14ac:dyDescent="0.25">
      <c r="A216" t="s">
        <v>1</v>
      </c>
      <c r="B216" t="b">
        <f>IFERROR(VLOOKUP(A216,#REF!,1,0)&lt;&gt;"",FALSE)</f>
        <v>0</v>
      </c>
      <c r="C216" t="str">
        <f t="shared" si="3"/>
        <v/>
      </c>
    </row>
    <row r="217" spans="1:3" x14ac:dyDescent="0.25">
      <c r="A217" t="s">
        <v>283</v>
      </c>
      <c r="B217" t="b">
        <f>IFERROR(VLOOKUP(A217,#REF!,1,0)&lt;&gt;"",FALSE)</f>
        <v>0</v>
      </c>
      <c r="C217" t="str">
        <f t="shared" si="3"/>
        <v>Black Blue Bronze 25551BH FOSTER</v>
      </c>
    </row>
    <row r="218" spans="1:3" x14ac:dyDescent="0.25">
      <c r="A218" t="s">
        <v>291</v>
      </c>
      <c r="B218" t="b">
        <f>IFERROR(VLOOKUP(A218,#REF!,1,0)&lt;&gt;"",FALSE)</f>
        <v>0</v>
      </c>
      <c r="C218" t="str">
        <f t="shared" si="3"/>
        <v/>
      </c>
    </row>
    <row r="219" spans="1:3" x14ac:dyDescent="0.25">
      <c r="A219" t="s">
        <v>1</v>
      </c>
      <c r="B219" t="b">
        <f>IFERROR(VLOOKUP(A219,#REF!,1,0)&lt;&gt;"",FALSE)</f>
        <v>0</v>
      </c>
      <c r="C219" t="str">
        <f t="shared" si="3"/>
        <v/>
      </c>
    </row>
    <row r="220" spans="1:3" x14ac:dyDescent="0.25">
      <c r="A220" t="s">
        <v>293</v>
      </c>
      <c r="B220" t="b">
        <f>IFERROR(VLOOKUP(A220,#REF!,1,0)&lt;&gt;"",FALSE)</f>
        <v>0</v>
      </c>
      <c r="C220" t="str">
        <f t="shared" si="3"/>
        <v>Avion Black Oak 25555BH APOSTO</v>
      </c>
    </row>
    <row r="221" spans="1:3" x14ac:dyDescent="0.25">
      <c r="A221" t="s">
        <v>294</v>
      </c>
      <c r="B221" t="b">
        <f>IFERROR(VLOOKUP(A221,#REF!,1,0)&lt;&gt;"",FALSE)</f>
        <v>0</v>
      </c>
      <c r="C221" t="str">
        <f t="shared" si="3"/>
        <v/>
      </c>
    </row>
    <row r="222" spans="1:3" x14ac:dyDescent="0.25">
      <c r="A222" t="s">
        <v>1</v>
      </c>
      <c r="B222" t="b">
        <f>IFERROR(VLOOKUP(A222,#REF!,1,0)&lt;&gt;"",FALSE)</f>
        <v>0</v>
      </c>
      <c r="C222" t="str">
        <f t="shared" si="3"/>
        <v/>
      </c>
    </row>
    <row r="223" spans="1:3" x14ac:dyDescent="0.25">
      <c r="A223" t="s">
        <v>295</v>
      </c>
      <c r="B223" t="b">
        <f>IFERROR(VLOOKUP(A223,#REF!,1,0)&lt;&gt;"",FALSE)</f>
        <v>0</v>
      </c>
      <c r="C223" t="str">
        <f t="shared" si="3"/>
        <v>Beige Stripe Black Stripe Avion Stripe 25554BH LOU</v>
      </c>
    </row>
    <row r="224" spans="1:3" x14ac:dyDescent="0.25">
      <c r="A224" t="s">
        <v>296</v>
      </c>
      <c r="B224" t="b">
        <f>IFERROR(VLOOKUP(A224,#REF!,1,0)&lt;&gt;"",FALSE)</f>
        <v>0</v>
      </c>
      <c r="C224" t="str">
        <f t="shared" si="3"/>
        <v/>
      </c>
    </row>
    <row r="225" spans="1:3" x14ac:dyDescent="0.25">
      <c r="A225" t="s">
        <v>1</v>
      </c>
      <c r="B225" t="b">
        <f>IFERROR(VLOOKUP(A225,#REF!,1,0)&lt;&gt;"",FALSE)</f>
        <v>0</v>
      </c>
      <c r="C225" t="str">
        <f t="shared" si="3"/>
        <v/>
      </c>
    </row>
    <row r="226" spans="1:3" x14ac:dyDescent="0.25">
      <c r="A226" t="s">
        <v>298</v>
      </c>
      <c r="B226" t="b">
        <f>IFERROR(VLOOKUP(A226,#REF!,1,0)&lt;&gt;"",FALSE)</f>
        <v>0</v>
      </c>
      <c r="C226" t="str">
        <f t="shared" si="3"/>
        <v>Oak Plaid 25558BH FURMAN</v>
      </c>
    </row>
    <row r="227" spans="1:3" x14ac:dyDescent="0.25">
      <c r="A227" t="s">
        <v>299</v>
      </c>
      <c r="B227" t="b">
        <f>IFERROR(VLOOKUP(A227,#REF!,1,0)&lt;&gt;"",FALSE)</f>
        <v>0</v>
      </c>
      <c r="C227" t="str">
        <f t="shared" si="3"/>
        <v/>
      </c>
    </row>
    <row r="228" spans="1:3" x14ac:dyDescent="0.25">
      <c r="A228" t="s">
        <v>1</v>
      </c>
      <c r="B228" t="b">
        <f>IFERROR(VLOOKUP(A228,#REF!,1,0)&lt;&gt;"",FALSE)</f>
        <v>0</v>
      </c>
      <c r="C228" t="str">
        <f t="shared" si="3"/>
        <v/>
      </c>
    </row>
    <row r="229" spans="1:3" x14ac:dyDescent="0.25">
      <c r="A229" t="s">
        <v>301</v>
      </c>
      <c r="B229" t="b">
        <f>IFERROR(VLOOKUP(A229,#REF!,1,0)&lt;&gt;"",FALSE)</f>
        <v>0</v>
      </c>
      <c r="C229" t="str">
        <f t="shared" si="3"/>
        <v>Blue Plaid Copper Plaid Uniform Green Plaid 25440 ORMOND</v>
      </c>
    </row>
    <row r="230" spans="1:3" x14ac:dyDescent="0.25">
      <c r="A230" t="s">
        <v>302</v>
      </c>
      <c r="B230" t="b">
        <f>IFERROR(VLOOKUP(A230,#REF!,1,0)&lt;&gt;"",FALSE)</f>
        <v>0</v>
      </c>
      <c r="C230" t="str">
        <f t="shared" si="3"/>
        <v/>
      </c>
    </row>
    <row r="231" spans="1:3" x14ac:dyDescent="0.25">
      <c r="A231" t="s">
        <v>105</v>
      </c>
      <c r="B231" t="b">
        <f>IFERROR(VLOOKUP(A231,#REF!,1,0)&lt;&gt;"",FALSE)</f>
        <v>0</v>
      </c>
      <c r="C231" t="str">
        <f t="shared" si="3"/>
        <v/>
      </c>
    </row>
    <row r="232" spans="1:3" x14ac:dyDescent="0.25">
      <c r="A232" t="s">
        <v>303</v>
      </c>
      <c r="B232" t="b">
        <f>IFERROR(VLOOKUP(A232,#REF!,1,0)&lt;&gt;"",FALSE)</f>
        <v>0</v>
      </c>
      <c r="C232" t="str">
        <f t="shared" si="3"/>
        <v>Black Paid Brown Herringbone 25548BH FINNEGAN</v>
      </c>
    </row>
    <row r="233" spans="1:3" x14ac:dyDescent="0.25">
      <c r="A233" t="s">
        <v>304</v>
      </c>
      <c r="B233" t="b">
        <f>IFERROR(VLOOKUP(A233,#REF!,1,0)&lt;&gt;"",FALSE)</f>
        <v>0</v>
      </c>
      <c r="C233" t="str">
        <f t="shared" si="3"/>
        <v/>
      </c>
    </row>
    <row r="234" spans="1:3" x14ac:dyDescent="0.25">
      <c r="A234" t="s">
        <v>1</v>
      </c>
      <c r="B234" t="b">
        <f>IFERROR(VLOOKUP(A234,#REF!,1,0)&lt;&gt;"",FALSE)</f>
        <v>0</v>
      </c>
      <c r="C234" t="str">
        <f t="shared" si="3"/>
        <v/>
      </c>
    </row>
    <row r="235" spans="1:3" x14ac:dyDescent="0.25">
      <c r="A235" t="s">
        <v>151</v>
      </c>
      <c r="B235" t="b">
        <f>IFERROR(VLOOKUP(A235,#REF!,1,0)&lt;&gt;"",FALSE)</f>
        <v>0</v>
      </c>
      <c r="C235" t="str">
        <f t="shared" si="3"/>
        <v>Black Ochre 25557BH BRUNE</v>
      </c>
    </row>
    <row r="236" spans="1:3" x14ac:dyDescent="0.25">
      <c r="A236" t="s">
        <v>305</v>
      </c>
      <c r="B236" t="b">
        <f>IFERROR(VLOOKUP(A236,#REF!,1,0)&lt;&gt;"",FALSE)</f>
        <v>0</v>
      </c>
      <c r="C236" t="str">
        <f t="shared" si="3"/>
        <v/>
      </c>
    </row>
    <row r="237" spans="1:3" x14ac:dyDescent="0.25">
      <c r="A237" t="s">
        <v>1</v>
      </c>
      <c r="B237" t="b">
        <f>IFERROR(VLOOKUP(A237,#REF!,1,0)&lt;&gt;"",FALSE)</f>
        <v>0</v>
      </c>
      <c r="C237" t="str">
        <f t="shared" si="3"/>
        <v/>
      </c>
    </row>
    <row r="238" spans="1:3" x14ac:dyDescent="0.25">
      <c r="A238" t="s">
        <v>306</v>
      </c>
      <c r="B238" t="b">
        <f>IFERROR(VLOOKUP(A238,#REF!,1,0)&lt;&gt;"",FALSE)</f>
        <v>0</v>
      </c>
      <c r="C238" t="str">
        <f t="shared" si="3"/>
        <v>Avion Grey 25556BH GRIFF</v>
      </c>
    </row>
    <row r="239" spans="1:3" x14ac:dyDescent="0.25">
      <c r="A239" t="s">
        <v>307</v>
      </c>
      <c r="B239" t="b">
        <f>IFERROR(VLOOKUP(A239,#REF!,1,0)&lt;&gt;"",FALSE)</f>
        <v>0</v>
      </c>
      <c r="C239" t="str">
        <f t="shared" si="3"/>
        <v/>
      </c>
    </row>
    <row r="240" spans="1:3" x14ac:dyDescent="0.25">
      <c r="A240" t="s">
        <v>1</v>
      </c>
      <c r="B240" t="b">
        <f>IFERROR(VLOOKUP(A240,#REF!,1,0)&lt;&gt;"",FALSE)</f>
        <v>0</v>
      </c>
      <c r="C240" t="str">
        <f t="shared" si="3"/>
        <v/>
      </c>
    </row>
    <row r="241" spans="1:3" x14ac:dyDescent="0.25">
      <c r="A241" t="s">
        <v>308</v>
      </c>
      <c r="B241" t="b">
        <f>IFERROR(VLOOKUP(A241,#REF!,1,0)&lt;&gt;"",FALSE)</f>
        <v>0</v>
      </c>
      <c r="C241" t="str">
        <f t="shared" si="3"/>
        <v>Avion Plaid Oak Twill Uniform Green Plaid 1365 GRAHAM</v>
      </c>
    </row>
    <row r="242" spans="1:3" x14ac:dyDescent="0.25">
      <c r="A242" t="s">
        <v>309</v>
      </c>
      <c r="B242" t="b">
        <f>IFERROR(VLOOKUP(A242,#REF!,1,0)&lt;&gt;"",FALSE)</f>
        <v>0</v>
      </c>
      <c r="C242" t="str">
        <f t="shared" si="3"/>
        <v/>
      </c>
    </row>
    <row r="243" spans="1:3" x14ac:dyDescent="0.25">
      <c r="A243" t="s">
        <v>105</v>
      </c>
      <c r="B243" t="b">
        <f>IFERROR(VLOOKUP(A243,#REF!,1,0)&lt;&gt;"",FALSE)</f>
        <v>0</v>
      </c>
      <c r="C243" t="str">
        <f t="shared" si="3"/>
        <v/>
      </c>
    </row>
    <row r="244" spans="1:3" x14ac:dyDescent="0.25">
      <c r="A244" t="s">
        <v>311</v>
      </c>
      <c r="B244" t="b">
        <f>IFERROR(VLOOKUP(A244,#REF!,1,0)&lt;&gt;"",FALSE)</f>
        <v>0</v>
      </c>
      <c r="C244" t="str">
        <f t="shared" si="3"/>
        <v>Black Chino Navy Tan 25150BH REFFELL</v>
      </c>
    </row>
    <row r="245" spans="1:3" x14ac:dyDescent="0.25">
      <c r="A245" t="s">
        <v>312</v>
      </c>
      <c r="B245" t="b">
        <f>IFERROR(VLOOKUP(A245,#REF!,1,0)&lt;&gt;"",FALSE)</f>
        <v>0</v>
      </c>
      <c r="C245" t="str">
        <f t="shared" si="3"/>
        <v/>
      </c>
    </row>
    <row r="246" spans="1:3" x14ac:dyDescent="0.25">
      <c r="A246" t="s">
        <v>1</v>
      </c>
      <c r="B246" t="b">
        <f>IFERROR(VLOOKUP(A246,#REF!,1,0)&lt;&gt;"",FALSE)</f>
        <v>0</v>
      </c>
      <c r="C246" t="str">
        <f t="shared" si="3"/>
        <v/>
      </c>
    </row>
    <row r="247" spans="1:3" x14ac:dyDescent="0.25">
      <c r="A247" t="s">
        <v>314</v>
      </c>
      <c r="B247" t="b">
        <f>IFERROR(VLOOKUP(A247,#REF!,1,0)&lt;&gt;"",FALSE)</f>
        <v>0</v>
      </c>
      <c r="C247" t="str">
        <f t="shared" si="3"/>
        <v>Black Copper 25102 TAXTEN</v>
      </c>
    </row>
    <row r="248" spans="1:3" x14ac:dyDescent="0.25">
      <c r="A248" t="s">
        <v>315</v>
      </c>
      <c r="B248" t="b">
        <f>IFERROR(VLOOKUP(A248,#REF!,1,0)&lt;&gt;"",FALSE)</f>
        <v>0</v>
      </c>
      <c r="C248" t="str">
        <f t="shared" si="3"/>
        <v/>
      </c>
    </row>
    <row r="249" spans="1:3" x14ac:dyDescent="0.25">
      <c r="A249" t="s">
        <v>1</v>
      </c>
      <c r="B249" t="b">
        <f>IFERROR(VLOOKUP(A249,#REF!,1,0)&lt;&gt;"",FALSE)</f>
        <v>0</v>
      </c>
      <c r="C249" t="str">
        <f t="shared" si="3"/>
        <v/>
      </c>
    </row>
    <row r="250" spans="1:3" x14ac:dyDescent="0.25">
      <c r="A250" t="s">
        <v>317</v>
      </c>
      <c r="B250" t="b">
        <f>IFERROR(VLOOKUP(A250,#REF!,1,0)&lt;&gt;"",FALSE)</f>
        <v>0</v>
      </c>
      <c r="C250" t="str">
        <f t="shared" si="3"/>
        <v>Brown 25101 STOCKTON</v>
      </c>
    </row>
    <row r="251" spans="1:3" x14ac:dyDescent="0.25">
      <c r="A251" t="s">
        <v>318</v>
      </c>
      <c r="B251" t="b">
        <f>IFERROR(VLOOKUP(A251,#REF!,1,0)&lt;&gt;"",FALSE)</f>
        <v>0</v>
      </c>
      <c r="C251" t="str">
        <f t="shared" si="3"/>
        <v/>
      </c>
    </row>
    <row r="252" spans="1:3" x14ac:dyDescent="0.25">
      <c r="A252" t="s">
        <v>1</v>
      </c>
      <c r="B252" t="b">
        <f>IFERROR(VLOOKUP(A252,#REF!,1,0)&lt;&gt;"",FALSE)</f>
        <v>0</v>
      </c>
      <c r="C252" t="str">
        <f t="shared" si="3"/>
        <v/>
      </c>
    </row>
    <row r="253" spans="1:3" x14ac:dyDescent="0.25">
      <c r="A253" t="s">
        <v>9</v>
      </c>
      <c r="B253" t="b">
        <f>IFERROR(VLOOKUP(A253,#REF!,1,0)&lt;&gt;"",FALSE)</f>
        <v>0</v>
      </c>
      <c r="C253" t="str">
        <f t="shared" si="3"/>
        <v>Black 25111 LAZAR</v>
      </c>
    </row>
    <row r="254" spans="1:3" x14ac:dyDescent="0.25">
      <c r="A254" t="s">
        <v>322</v>
      </c>
      <c r="B254" t="b">
        <f>IFERROR(VLOOKUP(A254,#REF!,1,0)&lt;&gt;"",FALSE)</f>
        <v>0</v>
      </c>
      <c r="C254" t="str">
        <f t="shared" si="3"/>
        <v/>
      </c>
    </row>
    <row r="255" spans="1:3" x14ac:dyDescent="0.25">
      <c r="A255" t="s">
        <v>1</v>
      </c>
      <c r="B255" t="b">
        <f>IFERROR(VLOOKUP(A255,#REF!,1,0)&lt;&gt;"",FALSE)</f>
        <v>0</v>
      </c>
      <c r="C255" t="str">
        <f t="shared" si="3"/>
        <v/>
      </c>
    </row>
    <row r="256" spans="1:3" x14ac:dyDescent="0.25">
      <c r="A256" t="s">
        <v>323</v>
      </c>
      <c r="B256" t="b">
        <f>IFERROR(VLOOKUP(A256,#REF!,1,0)&lt;&gt;"",FALSE)</f>
        <v>0</v>
      </c>
      <c r="C256" t="str">
        <f t="shared" si="3"/>
        <v>Dark Coffee 25100 NOCLIN</v>
      </c>
    </row>
    <row r="257" spans="1:3" x14ac:dyDescent="0.25">
      <c r="A257" t="s">
        <v>324</v>
      </c>
      <c r="B257" t="b">
        <f>IFERROR(VLOOKUP(A257,#REF!,1,0)&lt;&gt;"",FALSE)</f>
        <v>0</v>
      </c>
      <c r="C257" t="str">
        <f t="shared" si="3"/>
        <v/>
      </c>
    </row>
    <row r="258" spans="1:3" x14ac:dyDescent="0.25">
      <c r="A258" t="s">
        <v>1</v>
      </c>
      <c r="B258" t="b">
        <f>IFERROR(VLOOKUP(A258,#REF!,1,0)&lt;&gt;"",FALSE)</f>
        <v>0</v>
      </c>
      <c r="C258" t="str">
        <f t="shared" ref="C258:C273" si="4">IF(AND(IFERROR(FIND(",",A257)&gt;=1,FALSE),B259&lt;&gt;TRUE),A258&amp;" "&amp;A259,"")</f>
        <v/>
      </c>
    </row>
    <row r="259" spans="1:3" x14ac:dyDescent="0.25">
      <c r="A259" t="s">
        <v>9</v>
      </c>
      <c r="B259" t="b">
        <f>IFERROR(VLOOKUP(A259,#REF!,1,0)&lt;&gt;"",FALSE)</f>
        <v>0</v>
      </c>
      <c r="C259" t="str">
        <f t="shared" si="4"/>
        <v>Black 25105 VEGA</v>
      </c>
    </row>
    <row r="260" spans="1:3" x14ac:dyDescent="0.25">
      <c r="A260" t="s">
        <v>325</v>
      </c>
      <c r="B260" t="b">
        <f>IFERROR(VLOOKUP(A260,#REF!,1,0)&lt;&gt;"",FALSE)</f>
        <v>0</v>
      </c>
      <c r="C260" t="str">
        <f t="shared" si="4"/>
        <v/>
      </c>
    </row>
    <row r="261" spans="1:3" x14ac:dyDescent="0.25">
      <c r="A261" t="s">
        <v>1</v>
      </c>
      <c r="B261" t="b">
        <f>IFERROR(VLOOKUP(A261,#REF!,1,0)&lt;&gt;"",FALSE)</f>
        <v>0</v>
      </c>
      <c r="C261" t="str">
        <f t="shared" si="4"/>
        <v/>
      </c>
    </row>
    <row r="262" spans="1:3" x14ac:dyDescent="0.25">
      <c r="A262" t="s">
        <v>9</v>
      </c>
      <c r="B262" t="b">
        <f>IFERROR(VLOOKUP(A262,#REF!,1,0)&lt;&gt;"",FALSE)</f>
        <v>0</v>
      </c>
      <c r="C262" t="str">
        <f t="shared" si="4"/>
        <v>Black 25141BH BRODIE</v>
      </c>
    </row>
    <row r="263" spans="1:3" x14ac:dyDescent="0.25">
      <c r="A263" t="s">
        <v>328</v>
      </c>
      <c r="B263" t="b">
        <f>IFERROR(VLOOKUP(A263,#REF!,1,0)&lt;&gt;"",FALSE)</f>
        <v>0</v>
      </c>
      <c r="C263" t="str">
        <f t="shared" si="4"/>
        <v/>
      </c>
    </row>
    <row r="264" spans="1:3" x14ac:dyDescent="0.25">
      <c r="A264" t="s">
        <v>1</v>
      </c>
      <c r="B264" t="b">
        <f>IFERROR(VLOOKUP(A264,#REF!,1,0)&lt;&gt;"",FALSE)</f>
        <v>0</v>
      </c>
      <c r="C264" t="str">
        <f t="shared" si="4"/>
        <v/>
      </c>
    </row>
    <row r="265" spans="1:3" x14ac:dyDescent="0.25">
      <c r="A265" t="s">
        <v>330</v>
      </c>
      <c r="B265" t="b">
        <f>IFERROR(VLOOKUP(A265,#REF!,1,0)&lt;&gt;"",FALSE)</f>
        <v>0</v>
      </c>
      <c r="C265" t="str">
        <f t="shared" si="4"/>
        <v>Marl Black Navy Plaid 25119 VERNON</v>
      </c>
    </row>
    <row r="266" spans="1:3" x14ac:dyDescent="0.25">
      <c r="A266" t="s">
        <v>331</v>
      </c>
      <c r="B266" t="b">
        <f>IFERROR(VLOOKUP(A266,#REF!,1,0)&lt;&gt;"",FALSE)</f>
        <v>0</v>
      </c>
      <c r="C266" t="str">
        <f t="shared" si="4"/>
        <v/>
      </c>
    </row>
    <row r="267" spans="1:3" x14ac:dyDescent="0.25">
      <c r="A267" t="s">
        <v>1</v>
      </c>
      <c r="B267" t="b">
        <f>IFERROR(VLOOKUP(A267,#REF!,1,0)&lt;&gt;"",FALSE)</f>
        <v>0</v>
      </c>
      <c r="C267" t="str">
        <f t="shared" si="4"/>
        <v/>
      </c>
    </row>
    <row r="268" spans="1:3" x14ac:dyDescent="0.25">
      <c r="A268" t="s">
        <v>334</v>
      </c>
      <c r="B268" t="b">
        <f>IFERROR(VLOOKUP(A268,#REF!,1,0)&lt;&gt;"",FALSE)</f>
        <v>0</v>
      </c>
      <c r="C268" t="str">
        <f t="shared" si="4"/>
        <v>Black Brown 1362 DALTON</v>
      </c>
    </row>
    <row r="269" spans="1:3" x14ac:dyDescent="0.25">
      <c r="A269" t="s">
        <v>335</v>
      </c>
      <c r="B269" t="b">
        <f>IFERROR(VLOOKUP(A269,#REF!,1,0)&lt;&gt;"",FALSE)</f>
        <v>0</v>
      </c>
      <c r="C269" t="str">
        <f t="shared" si="4"/>
        <v/>
      </c>
    </row>
    <row r="270" spans="1:3" x14ac:dyDescent="0.25">
      <c r="A270" t="s">
        <v>105</v>
      </c>
      <c r="B270" t="b">
        <f>IFERROR(VLOOKUP(A270,#REF!,1,0)&lt;&gt;"",FALSE)</f>
        <v>0</v>
      </c>
      <c r="C270" t="str">
        <f t="shared" si="4"/>
        <v/>
      </c>
    </row>
    <row r="271" spans="1:3" x14ac:dyDescent="0.25">
      <c r="A271" t="s">
        <v>311</v>
      </c>
      <c r="B271" t="b">
        <f>IFERROR(VLOOKUP(A271,#REF!,1,0)&lt;&gt;"",FALSE)</f>
        <v>0</v>
      </c>
      <c r="C271" t="str">
        <f t="shared" si="4"/>
        <v>Black Chino Navy Tan 1369 JACKMAN</v>
      </c>
    </row>
    <row r="272" spans="1:3" x14ac:dyDescent="0.25">
      <c r="A272" t="s">
        <v>338</v>
      </c>
      <c r="B272" t="b">
        <f>IFERROR(VLOOKUP(A272,#REF!,1,0)&lt;&gt;"",FALSE)</f>
        <v>0</v>
      </c>
      <c r="C272" t="str">
        <f t="shared" si="4"/>
        <v/>
      </c>
    </row>
    <row r="273" spans="1:3" x14ac:dyDescent="0.25">
      <c r="A273" t="s">
        <v>105</v>
      </c>
      <c r="B273" t="b">
        <f>IFERROR(VLOOKUP(A273,#REF!,1,0)&lt;&gt;"",FALSE)</f>
        <v>0</v>
      </c>
      <c r="C273" t="str">
        <f t="shared" si="4"/>
        <v/>
      </c>
    </row>
    <row r="274" spans="1:3" x14ac:dyDescent="0.25">
      <c r="A274" t="s">
        <v>452</v>
      </c>
      <c r="B274" t="b">
        <f>IFERROR(VLOOKUP(A274,#REF!,1,0)&lt;&gt;"",FALSE)</f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F5F9-EF18-426B-B654-3594952F0BF3}">
  <sheetPr codeName="Лист3"/>
  <dimension ref="A1:B783"/>
  <sheetViews>
    <sheetView workbookViewId="0">
      <selection activeCell="A5" sqref="A5"/>
    </sheetView>
  </sheetViews>
  <sheetFormatPr defaultRowHeight="15" x14ac:dyDescent="0.25"/>
  <cols>
    <col min="1" max="1" width="95.7109375" bestFit="1" customWidth="1"/>
    <col min="2" max="2" width="60.7109375" bestFit="1" customWidth="1"/>
  </cols>
  <sheetData>
    <row r="1" spans="1:2" x14ac:dyDescent="0.25">
      <c r="A1" t="s">
        <v>10</v>
      </c>
      <c r="B1" t="str">
        <f>_xlfn.LET(_xlpm.isSizes,IFERROR(FIND(",",A1)&gt;=1,FALSE),_xlpm.isSizesUp,IFERROR(FIND(",",#REF!)&gt;=1,FALSE),_xlpm.isName,AND(IFERROR(VALUE(MID(A1,1,1)),FALSE),NOT(IFERROR(FIND("” ",A1)&gt;=1,FALSE)),NOT(IFERROR(FIND("/",A1)&gt;=1,FALSE))),IF(_xlpm.isSizes,A1,IF(_xlpm.isSizesUp,A1,IF(_xlpm.isName,A1,""))))</f>
        <v>6140 DRAPER III</v>
      </c>
    </row>
    <row r="2" spans="1:2" x14ac:dyDescent="0.25">
      <c r="A2" t="s">
        <v>11</v>
      </c>
      <c r="B2" t="str">
        <f>_xlfn.LET(_xlpm.isSizes,IFERROR(FIND(",",A2)&gt;=1,FALSE),_xlpm.isSizesUp,IFERROR(FIND(",",A1)&gt;=1,FALSE),_xlpm.isName,AND(IFERROR(VALUE(MID(A2,1,1)),FALSE),NOT(IFERROR(FIND("” ",A2)&gt;=1,FALSE)),NOT(IFERROR(FIND("/",A2)&gt;=1,FALSE))),_xlpm.isNameDown,AND(IFERROR(VALUE(MID(A3,1,1)),FALSE),NOT(IFERROR(FIND("” ",A3)&gt;=1,FALSE)),NOT(IFERROR(FIND("/",A3)&gt;=1,FALSE))),IF(_xlpm.isSizes,A2,IF(_xlpm.isSizesUp,A2,IF(_xlpm.isName,A2,IF(AND(_xlpm.isNameDown&lt;&gt;_xlpm.isName),A2,"")))))</f>
        <v/>
      </c>
    </row>
    <row r="3" spans="1:2" x14ac:dyDescent="0.25">
      <c r="A3" t="s">
        <v>12</v>
      </c>
      <c r="B3" t="str">
        <f t="shared" ref="B3:B66" si="0">_xlfn.LET(_xlpm.isSizes,IFERROR(FIND(",",A3)&gt;=1,FALSE),_xlpm.isSizesUp,IFERROR(FIND(",",A2)&gt;=1,FALSE),_xlpm.isName,AND(IFERROR(VALUE(MID(A3,1,1)),FALSE),NOT(IFERROR(FIND("” ",A3)&gt;=1,FALSE)),NOT(IFERROR(FIND("/",A3)&gt;=1,FALSE))),_xlpm.isNameDown,AND(IFERROR(VALUE(MID(A4,1,1)),FALSE),NOT(IFERROR(FIND("” ",A4)&gt;=1,FALSE)),NOT(IFERROR(FIND("/",A4)&gt;=1,FALSE))),IF(_xlpm.isSizes,A3,IF(_xlpm.isSizesUp,A3,IF(_xlpm.isName,A3,IF(AND(_xlpm.isNameDown&lt;&gt;_xlpm.isName),A3,"")))))</f>
        <v/>
      </c>
    </row>
    <row r="4" spans="1:2" x14ac:dyDescent="0.25">
      <c r="A4" t="s">
        <v>5</v>
      </c>
      <c r="B4" t="str">
        <f t="shared" si="0"/>
        <v/>
      </c>
    </row>
    <row r="5" spans="1:2" x14ac:dyDescent="0.25">
      <c r="A5" t="s">
        <v>13</v>
      </c>
      <c r="B5" t="str">
        <f t="shared" si="0"/>
        <v/>
      </c>
    </row>
    <row r="6" spans="1:2" x14ac:dyDescent="0.25">
      <c r="A6" t="s">
        <v>14</v>
      </c>
      <c r="B6" t="str">
        <f t="shared" si="0"/>
        <v/>
      </c>
    </row>
    <row r="7" spans="1:2" x14ac:dyDescent="0.25">
      <c r="A7" t="s">
        <v>15</v>
      </c>
      <c r="B7" t="str">
        <f t="shared" si="0"/>
        <v/>
      </c>
    </row>
    <row r="8" spans="1:2" x14ac:dyDescent="0.25">
      <c r="A8" t="s">
        <v>3</v>
      </c>
      <c r="B8" t="str">
        <f t="shared" si="0"/>
        <v>6 7/8, 7, 7 1/8, 7 1/4, 7 3/8, 7 1/2, 7 5/8</v>
      </c>
    </row>
    <row r="9" spans="1:2" x14ac:dyDescent="0.25">
      <c r="A9" t="s">
        <v>16</v>
      </c>
      <c r="B9" t="str">
        <f t="shared" si="0"/>
        <v>Black Charcoal Cognac Olive</v>
      </c>
    </row>
    <row r="10" spans="1:2" x14ac:dyDescent="0.25">
      <c r="A10" t="s">
        <v>17</v>
      </c>
      <c r="B10" t="str">
        <f t="shared" si="0"/>
        <v>61433BH CAVALIER</v>
      </c>
    </row>
    <row r="11" spans="1:2" x14ac:dyDescent="0.25">
      <c r="A11" t="s">
        <v>18</v>
      </c>
      <c r="B11" t="str">
        <f t="shared" si="0"/>
        <v/>
      </c>
    </row>
    <row r="12" spans="1:2" x14ac:dyDescent="0.25">
      <c r="A12" t="s">
        <v>19</v>
      </c>
      <c r="B12" t="str">
        <f t="shared" si="0"/>
        <v/>
      </c>
    </row>
    <row r="13" spans="1:2" x14ac:dyDescent="0.25">
      <c r="A13" t="s">
        <v>5</v>
      </c>
      <c r="B13" t="str">
        <f t="shared" si="0"/>
        <v/>
      </c>
    </row>
    <row r="14" spans="1:2" x14ac:dyDescent="0.25">
      <c r="A14" t="s">
        <v>13</v>
      </c>
      <c r="B14" t="str">
        <f t="shared" si="0"/>
        <v/>
      </c>
    </row>
    <row r="15" spans="1:2" x14ac:dyDescent="0.25">
      <c r="A15" t="s">
        <v>14</v>
      </c>
      <c r="B15" t="str">
        <f t="shared" si="0"/>
        <v/>
      </c>
    </row>
    <row r="16" spans="1:2" x14ac:dyDescent="0.25">
      <c r="A16" t="s">
        <v>15</v>
      </c>
      <c r="B16" t="str">
        <f t="shared" si="0"/>
        <v/>
      </c>
    </row>
    <row r="17" spans="1:2" x14ac:dyDescent="0.25">
      <c r="A17" t="s">
        <v>1</v>
      </c>
      <c r="B17" t="str">
        <f t="shared" si="0"/>
        <v>S, M, L, XL</v>
      </c>
    </row>
    <row r="18" spans="1:2" x14ac:dyDescent="0.25">
      <c r="A18" t="s">
        <v>20</v>
      </c>
      <c r="B18" t="str">
        <f t="shared" si="0"/>
        <v>Black Maple</v>
      </c>
    </row>
    <row r="19" spans="1:2" x14ac:dyDescent="0.25">
      <c r="A19" t="s">
        <v>21</v>
      </c>
      <c r="B19" t="str">
        <f t="shared" si="0"/>
        <v>61424BH RALAT</v>
      </c>
    </row>
    <row r="20" spans="1:2" x14ac:dyDescent="0.25">
      <c r="A20" t="s">
        <v>11</v>
      </c>
      <c r="B20" t="str">
        <f t="shared" si="0"/>
        <v/>
      </c>
    </row>
    <row r="21" spans="1:2" x14ac:dyDescent="0.25">
      <c r="A21" t="s">
        <v>22</v>
      </c>
      <c r="B21" t="str">
        <f t="shared" si="0"/>
        <v/>
      </c>
    </row>
    <row r="22" spans="1:2" x14ac:dyDescent="0.25">
      <c r="A22" t="s">
        <v>5</v>
      </c>
      <c r="B22" t="str">
        <f t="shared" si="0"/>
        <v/>
      </c>
    </row>
    <row r="23" spans="1:2" x14ac:dyDescent="0.25">
      <c r="A23" t="s">
        <v>23</v>
      </c>
      <c r="B23" t="str">
        <f t="shared" si="0"/>
        <v/>
      </c>
    </row>
    <row r="24" spans="1:2" x14ac:dyDescent="0.25">
      <c r="A24" t="s">
        <v>13</v>
      </c>
      <c r="B24" t="str">
        <f t="shared" si="0"/>
        <v/>
      </c>
    </row>
    <row r="25" spans="1:2" x14ac:dyDescent="0.25">
      <c r="A25" t="s">
        <v>24</v>
      </c>
      <c r="B25" t="str">
        <f t="shared" si="0"/>
        <v/>
      </c>
    </row>
    <row r="26" spans="1:2" x14ac:dyDescent="0.25">
      <c r="A26" t="s">
        <v>15</v>
      </c>
      <c r="B26" t="str">
        <f t="shared" si="0"/>
        <v/>
      </c>
    </row>
    <row r="27" spans="1:2" x14ac:dyDescent="0.25">
      <c r="A27" t="s">
        <v>1</v>
      </c>
      <c r="B27" t="str">
        <f t="shared" si="0"/>
        <v>S, M, L, XL</v>
      </c>
    </row>
    <row r="28" spans="1:2" x14ac:dyDescent="0.25">
      <c r="A28" t="s">
        <v>25</v>
      </c>
      <c r="B28" t="str">
        <f t="shared" si="0"/>
        <v>Black Charcoal</v>
      </c>
    </row>
    <row r="29" spans="1:2" x14ac:dyDescent="0.25">
      <c r="A29" t="s">
        <v>2</v>
      </c>
      <c r="B29" t="str">
        <f t="shared" si="0"/>
        <v>61432BH THE ARCHITECT</v>
      </c>
    </row>
    <row r="30" spans="1:2" x14ac:dyDescent="0.25">
      <c r="A30" t="s">
        <v>26</v>
      </c>
      <c r="B30" t="str">
        <f t="shared" si="0"/>
        <v/>
      </c>
    </row>
    <row r="31" spans="1:2" x14ac:dyDescent="0.25">
      <c r="A31" t="s">
        <v>19</v>
      </c>
      <c r="B31" t="str">
        <f t="shared" si="0"/>
        <v/>
      </c>
    </row>
    <row r="32" spans="1:2" x14ac:dyDescent="0.25">
      <c r="A32" t="s">
        <v>5</v>
      </c>
      <c r="B32" t="str">
        <f t="shared" si="0"/>
        <v/>
      </c>
    </row>
    <row r="33" spans="1:2" x14ac:dyDescent="0.25">
      <c r="A33" t="s">
        <v>13</v>
      </c>
      <c r="B33" t="str">
        <f t="shared" si="0"/>
        <v/>
      </c>
    </row>
    <row r="34" spans="1:2" x14ac:dyDescent="0.25">
      <c r="A34" t="s">
        <v>14</v>
      </c>
      <c r="B34" t="str">
        <f t="shared" si="0"/>
        <v/>
      </c>
    </row>
    <row r="35" spans="1:2" x14ac:dyDescent="0.25">
      <c r="A35" t="s">
        <v>15</v>
      </c>
      <c r="B35" t="str">
        <f t="shared" si="0"/>
        <v/>
      </c>
    </row>
    <row r="36" spans="1:2" x14ac:dyDescent="0.25">
      <c r="A36" t="s">
        <v>1</v>
      </c>
      <c r="B36" t="str">
        <f t="shared" si="0"/>
        <v>S, M, L, XL</v>
      </c>
    </row>
    <row r="37" spans="1:2" x14ac:dyDescent="0.25">
      <c r="A37" t="s">
        <v>27</v>
      </c>
      <c r="B37" t="str">
        <f t="shared" si="0"/>
        <v>Black Buckskin</v>
      </c>
    </row>
    <row r="38" spans="1:2" x14ac:dyDescent="0.25">
      <c r="A38" t="s">
        <v>28</v>
      </c>
      <c r="B38" t="str">
        <f t="shared" si="0"/>
        <v>61442BH NILSON</v>
      </c>
    </row>
    <row r="39" spans="1:2" x14ac:dyDescent="0.25">
      <c r="A39" t="s">
        <v>0</v>
      </c>
      <c r="B39" t="str">
        <f t="shared" si="0"/>
        <v/>
      </c>
    </row>
    <row r="40" spans="1:2" x14ac:dyDescent="0.25">
      <c r="A40" t="s">
        <v>29</v>
      </c>
      <c r="B40" t="str">
        <f t="shared" si="0"/>
        <v/>
      </c>
    </row>
    <row r="41" spans="1:2" x14ac:dyDescent="0.25">
      <c r="A41" t="s">
        <v>5</v>
      </c>
      <c r="B41" t="str">
        <f t="shared" si="0"/>
        <v/>
      </c>
    </row>
    <row r="42" spans="1:2" x14ac:dyDescent="0.25">
      <c r="A42" t="s">
        <v>30</v>
      </c>
      <c r="B42" t="str">
        <f t="shared" si="0"/>
        <v/>
      </c>
    </row>
    <row r="43" spans="1:2" x14ac:dyDescent="0.25">
      <c r="A43" t="s">
        <v>13</v>
      </c>
      <c r="B43" t="str">
        <f t="shared" si="0"/>
        <v/>
      </c>
    </row>
    <row r="44" spans="1:2" x14ac:dyDescent="0.25">
      <c r="A44" t="s">
        <v>14</v>
      </c>
      <c r="B44" t="str">
        <f t="shared" si="0"/>
        <v/>
      </c>
    </row>
    <row r="45" spans="1:2" x14ac:dyDescent="0.25">
      <c r="A45" t="s">
        <v>15</v>
      </c>
      <c r="B45" t="str">
        <f t="shared" si="0"/>
        <v/>
      </c>
    </row>
    <row r="46" spans="1:2" x14ac:dyDescent="0.25">
      <c r="A46" t="s">
        <v>1</v>
      </c>
      <c r="B46" t="str">
        <f t="shared" si="0"/>
        <v>S, M, L, XL</v>
      </c>
    </row>
    <row r="47" spans="1:2" x14ac:dyDescent="0.25">
      <c r="A47" t="s">
        <v>31</v>
      </c>
      <c r="B47" t="str">
        <f t="shared" si="0"/>
        <v>Copper Slate Uniform Green</v>
      </c>
    </row>
    <row r="48" spans="1:2" x14ac:dyDescent="0.25">
      <c r="A48" t="s">
        <v>4</v>
      </c>
      <c r="B48" t="str">
        <f t="shared" si="0"/>
        <v>61430BH TRINELL</v>
      </c>
    </row>
    <row r="49" spans="1:2" x14ac:dyDescent="0.25">
      <c r="A49" t="s">
        <v>32</v>
      </c>
      <c r="B49" t="str">
        <f t="shared" si="0"/>
        <v/>
      </c>
    </row>
    <row r="50" spans="1:2" x14ac:dyDescent="0.25">
      <c r="A50" t="s">
        <v>33</v>
      </c>
      <c r="B50" t="str">
        <f t="shared" si="0"/>
        <v/>
      </c>
    </row>
    <row r="51" spans="1:2" x14ac:dyDescent="0.25">
      <c r="A51" t="s">
        <v>5</v>
      </c>
      <c r="B51" t="str">
        <f t="shared" si="0"/>
        <v/>
      </c>
    </row>
    <row r="52" spans="1:2" x14ac:dyDescent="0.25">
      <c r="A52" t="s">
        <v>34</v>
      </c>
      <c r="B52" t="str">
        <f t="shared" si="0"/>
        <v/>
      </c>
    </row>
    <row r="53" spans="1:2" x14ac:dyDescent="0.25">
      <c r="A53" t="s">
        <v>14</v>
      </c>
      <c r="B53" t="str">
        <f t="shared" si="0"/>
        <v/>
      </c>
    </row>
    <row r="54" spans="1:2" x14ac:dyDescent="0.25">
      <c r="A54" t="s">
        <v>35</v>
      </c>
      <c r="B54" t="str">
        <f t="shared" si="0"/>
        <v/>
      </c>
    </row>
    <row r="55" spans="1:2" x14ac:dyDescent="0.25">
      <c r="A55" t="s">
        <v>15</v>
      </c>
      <c r="B55" t="str">
        <f t="shared" si="0"/>
        <v/>
      </c>
    </row>
    <row r="56" spans="1:2" x14ac:dyDescent="0.25">
      <c r="A56" t="s">
        <v>1</v>
      </c>
      <c r="B56" t="str">
        <f t="shared" si="0"/>
        <v>S, M, L, XL</v>
      </c>
    </row>
    <row r="57" spans="1:2" x14ac:dyDescent="0.25">
      <c r="A57" t="s">
        <v>36</v>
      </c>
      <c r="B57" t="str">
        <f t="shared" si="0"/>
        <v>Black Light Mink</v>
      </c>
    </row>
    <row r="58" spans="1:2" x14ac:dyDescent="0.25">
      <c r="A58" t="s">
        <v>37</v>
      </c>
      <c r="B58" t="str">
        <f t="shared" si="0"/>
        <v>61428BH GIRVIN</v>
      </c>
    </row>
    <row r="59" spans="1:2" x14ac:dyDescent="0.25">
      <c r="A59" t="s">
        <v>38</v>
      </c>
      <c r="B59" t="str">
        <f t="shared" si="0"/>
        <v/>
      </c>
    </row>
    <row r="60" spans="1:2" x14ac:dyDescent="0.25">
      <c r="A60" t="s">
        <v>39</v>
      </c>
      <c r="B60" t="str">
        <f t="shared" si="0"/>
        <v/>
      </c>
    </row>
    <row r="61" spans="1:2" x14ac:dyDescent="0.25">
      <c r="A61" t="s">
        <v>5</v>
      </c>
      <c r="B61" t="str">
        <f t="shared" si="0"/>
        <v/>
      </c>
    </row>
    <row r="62" spans="1:2" x14ac:dyDescent="0.25">
      <c r="A62" t="s">
        <v>13</v>
      </c>
      <c r="B62" t="str">
        <f t="shared" si="0"/>
        <v/>
      </c>
    </row>
    <row r="63" spans="1:2" x14ac:dyDescent="0.25">
      <c r="A63" t="s">
        <v>14</v>
      </c>
      <c r="B63" t="str">
        <f t="shared" si="0"/>
        <v/>
      </c>
    </row>
    <row r="64" spans="1:2" x14ac:dyDescent="0.25">
      <c r="A64" t="s">
        <v>15</v>
      </c>
      <c r="B64" t="str">
        <f t="shared" si="0"/>
        <v/>
      </c>
    </row>
    <row r="65" spans="1:2" x14ac:dyDescent="0.25">
      <c r="A65" t="s">
        <v>35</v>
      </c>
      <c r="B65" t="str">
        <f t="shared" si="0"/>
        <v/>
      </c>
    </row>
    <row r="66" spans="1:2" x14ac:dyDescent="0.25">
      <c r="A66" t="s">
        <v>1</v>
      </c>
      <c r="B66" t="str">
        <f t="shared" si="0"/>
        <v>S, M, L, XL</v>
      </c>
    </row>
    <row r="67" spans="1:2" x14ac:dyDescent="0.25">
      <c r="A67" t="s">
        <v>40</v>
      </c>
      <c r="B67" t="str">
        <f t="shared" ref="B67:B128" si="1">_xlfn.LET(_xlpm.isSizes,IFERROR(FIND(",",A67)&gt;=1,FALSE),_xlpm.isSizesUp,IFERROR(FIND(",",A66)&gt;=1,FALSE),_xlpm.isName,AND(IFERROR(VALUE(MID(A67,1,1)),FALSE),NOT(IFERROR(FIND("” ",A67)&gt;=1,FALSE)),NOT(IFERROR(FIND("/",A67)&gt;=1,FALSE))),_xlpm.isNameDown,AND(IFERROR(VALUE(MID(A68,1,1)),FALSE),NOT(IFERROR(FIND("” ",A68)&gt;=1,FALSE)),NOT(IFERROR(FIND("/",A68)&gt;=1,FALSE))),IF(_xlpm.isSizes,A67,IF(_xlpm.isSizesUp,A67,IF(_xlpm.isName,A67,IF(AND(_xlpm.isNameDown&lt;&gt;_xlpm.isName),A67,"")))))</f>
        <v>Black Chocolate</v>
      </c>
    </row>
    <row r="68" spans="1:2" x14ac:dyDescent="0.25">
      <c r="A68" t="s">
        <v>41</v>
      </c>
      <c r="B68" t="str">
        <f t="shared" si="1"/>
        <v>47009BH FLUME</v>
      </c>
    </row>
    <row r="69" spans="1:2" x14ac:dyDescent="0.25">
      <c r="A69" t="s">
        <v>11</v>
      </c>
      <c r="B69" t="str">
        <f t="shared" si="1"/>
        <v/>
      </c>
    </row>
    <row r="70" spans="1:2" x14ac:dyDescent="0.25">
      <c r="A70" t="s">
        <v>12</v>
      </c>
      <c r="B70" t="str">
        <f t="shared" si="1"/>
        <v/>
      </c>
    </row>
    <row r="71" spans="1:2" x14ac:dyDescent="0.25">
      <c r="A71" t="s">
        <v>42</v>
      </c>
      <c r="B71" t="str">
        <f t="shared" si="1"/>
        <v/>
      </c>
    </row>
    <row r="72" spans="1:2" x14ac:dyDescent="0.25">
      <c r="A72" t="s">
        <v>43</v>
      </c>
      <c r="B72" t="str">
        <f t="shared" si="1"/>
        <v/>
      </c>
    </row>
    <row r="73" spans="1:2" x14ac:dyDescent="0.25">
      <c r="A73" t="s">
        <v>24</v>
      </c>
      <c r="B73" t="str">
        <f t="shared" si="1"/>
        <v/>
      </c>
    </row>
    <row r="74" spans="1:2" x14ac:dyDescent="0.25">
      <c r="A74" t="s">
        <v>15</v>
      </c>
      <c r="B74" t="str">
        <f t="shared" si="1"/>
        <v/>
      </c>
    </row>
    <row r="75" spans="1:2" x14ac:dyDescent="0.25">
      <c r="A75" t="s">
        <v>1</v>
      </c>
      <c r="B75" t="str">
        <f t="shared" si="1"/>
        <v>S, M, L, XL</v>
      </c>
    </row>
    <row r="76" spans="1:2" x14ac:dyDescent="0.25">
      <c r="A76" t="s">
        <v>44</v>
      </c>
      <c r="B76" t="str">
        <f t="shared" si="1"/>
        <v>Aubergine Black Mink</v>
      </c>
    </row>
    <row r="77" spans="1:2" x14ac:dyDescent="0.25">
      <c r="A77" t="s">
        <v>45</v>
      </c>
      <c r="B77" t="str">
        <f t="shared" si="1"/>
        <v>61426BH AUMAN</v>
      </c>
    </row>
    <row r="78" spans="1:2" x14ac:dyDescent="0.25">
      <c r="A78" t="s">
        <v>32</v>
      </c>
      <c r="B78" t="str">
        <f t="shared" si="1"/>
        <v/>
      </c>
    </row>
    <row r="79" spans="1:2" x14ac:dyDescent="0.25">
      <c r="A79" t="s">
        <v>33</v>
      </c>
      <c r="B79" t="str">
        <f t="shared" si="1"/>
        <v/>
      </c>
    </row>
    <row r="80" spans="1:2" x14ac:dyDescent="0.25">
      <c r="A80" t="s">
        <v>5</v>
      </c>
      <c r="B80" t="str">
        <f t="shared" si="1"/>
        <v/>
      </c>
    </row>
    <row r="81" spans="1:2" x14ac:dyDescent="0.25">
      <c r="A81" t="s">
        <v>46</v>
      </c>
      <c r="B81" t="str">
        <f t="shared" si="1"/>
        <v/>
      </c>
    </row>
    <row r="82" spans="1:2" x14ac:dyDescent="0.25">
      <c r="A82" t="s">
        <v>13</v>
      </c>
      <c r="B82" t="str">
        <f t="shared" si="1"/>
        <v/>
      </c>
    </row>
    <row r="83" spans="1:2" x14ac:dyDescent="0.25">
      <c r="A83" t="s">
        <v>24</v>
      </c>
      <c r="B83" t="str">
        <f t="shared" si="1"/>
        <v/>
      </c>
    </row>
    <row r="84" spans="1:2" x14ac:dyDescent="0.25">
      <c r="A84" t="s">
        <v>15</v>
      </c>
      <c r="B84" t="str">
        <f t="shared" si="1"/>
        <v/>
      </c>
    </row>
    <row r="85" spans="1:2" x14ac:dyDescent="0.25">
      <c r="A85" t="s">
        <v>1</v>
      </c>
      <c r="B85" t="str">
        <f t="shared" si="1"/>
        <v>S, M, L, XL</v>
      </c>
    </row>
    <row r="86" spans="1:2" x14ac:dyDescent="0.25">
      <c r="A86" t="s">
        <v>9</v>
      </c>
      <c r="B86" t="str">
        <f>_xlfn.LET(_xlpm.isSizes,IFERROR(FIND(",",A86)&gt;=1,FALSE),_xlpm.isSizesUp,IFERROR(FIND(",",A85)&gt;=1,FALSE),_xlpm.isName,AND(IFERROR(VALUE(MID(A86,1,1)),FALSE),NOT(IFERROR(FIND("” ",A86)&gt;=1,FALSE)),NOT(IFERROR(FIND("/",A86)&gt;=1,FALSE))),_xlpm.isNameDown,AND(IFERROR(VALUE(MID(#REF!,1,1)),FALSE),NOT(IFERROR(FIND("” ",#REF!)&gt;=1,FALSE)),NOT(IFERROR(FIND("/",#REF!)&gt;=1,FALSE))),IF(_xlpm.isSizes,A86,IF(_xlpm.isSizesUp,A86,IF(_xlpm.isName,A86,IF(AND(_xlpm.isNameDown&lt;&gt;_xlpm.isName),A86,"")))))</f>
        <v>Black</v>
      </c>
    </row>
    <row r="87" spans="1:2" x14ac:dyDescent="0.25">
      <c r="A87" t="s">
        <v>47</v>
      </c>
      <c r="B87" t="str">
        <f>_xlfn.LET(_xlpm.isSizes,IFERROR(FIND(",",A87)&gt;=1,FALSE),_xlpm.isSizesUp,IFERROR(FIND(",",#REF!)&gt;=1,FALSE),_xlpm.isName,AND(IFERROR(VALUE(MID(A87,1,1)),FALSE),NOT(IFERROR(FIND("” ",A87)&gt;=1,FALSE)),NOT(IFERROR(FIND("/",A87)&gt;=1,FALSE))),_xlpm.isNameDown,AND(IFERROR(VALUE(MID(A88,1,1)),FALSE),NOT(IFERROR(FIND("” ",A88)&gt;=1,FALSE)),NOT(IFERROR(FIND("/",A88)&gt;=1,FALSE))),IF(_xlpm.isSizes,A87,IF(_xlpm.isSizesUp,A87,IF(_xlpm.isName,A87,IF(AND(_xlpm.isNameDown&lt;&gt;_xlpm.isName),A87,"")))))</f>
        <v>37188BH COLBY</v>
      </c>
    </row>
    <row r="88" spans="1:2" x14ac:dyDescent="0.25">
      <c r="A88" t="s">
        <v>48</v>
      </c>
      <c r="B88" t="str">
        <f t="shared" si="1"/>
        <v/>
      </c>
    </row>
    <row r="89" spans="1:2" x14ac:dyDescent="0.25">
      <c r="A89" t="s">
        <v>49</v>
      </c>
      <c r="B89" t="str">
        <f t="shared" si="1"/>
        <v/>
      </c>
    </row>
    <row r="90" spans="1:2" x14ac:dyDescent="0.25">
      <c r="A90" t="s">
        <v>50</v>
      </c>
      <c r="B90" t="str">
        <f t="shared" si="1"/>
        <v/>
      </c>
    </row>
    <row r="91" spans="1:2" x14ac:dyDescent="0.25">
      <c r="A91" t="s">
        <v>51</v>
      </c>
      <c r="B91" t="str">
        <f t="shared" si="1"/>
        <v/>
      </c>
    </row>
    <row r="92" spans="1:2" x14ac:dyDescent="0.25">
      <c r="A92" t="s">
        <v>52</v>
      </c>
      <c r="B92" t="str">
        <f t="shared" si="1"/>
        <v/>
      </c>
    </row>
    <row r="93" spans="1:2" x14ac:dyDescent="0.25">
      <c r="A93" t="s">
        <v>14</v>
      </c>
      <c r="B93" t="str">
        <f t="shared" si="1"/>
        <v/>
      </c>
    </row>
    <row r="94" spans="1:2" x14ac:dyDescent="0.25">
      <c r="A94" t="s">
        <v>15</v>
      </c>
      <c r="B94" t="str">
        <f t="shared" si="1"/>
        <v/>
      </c>
    </row>
    <row r="95" spans="1:2" x14ac:dyDescent="0.25">
      <c r="A95" t="s">
        <v>1</v>
      </c>
      <c r="B95" t="str">
        <f t="shared" si="1"/>
        <v>S, M, L, XL</v>
      </c>
    </row>
    <row r="96" spans="1:2" x14ac:dyDescent="0.25">
      <c r="A96" t="s">
        <v>53</v>
      </c>
      <c r="B96" t="str">
        <f t="shared" si="1"/>
        <v>Black Nickel Soft Khaki Stucco</v>
      </c>
    </row>
    <row r="97" spans="1:2" x14ac:dyDescent="0.25">
      <c r="A97" t="s">
        <v>54</v>
      </c>
      <c r="B97" t="str">
        <f t="shared" si="1"/>
        <v>37189BH GODWIN</v>
      </c>
    </row>
    <row r="98" spans="1:2" x14ac:dyDescent="0.25">
      <c r="A98" t="s">
        <v>38</v>
      </c>
      <c r="B98" t="str">
        <f t="shared" si="1"/>
        <v/>
      </c>
    </row>
    <row r="99" spans="1:2" x14ac:dyDescent="0.25">
      <c r="A99" t="s">
        <v>55</v>
      </c>
      <c r="B99" t="str">
        <f t="shared" si="1"/>
        <v/>
      </c>
    </row>
    <row r="100" spans="1:2" x14ac:dyDescent="0.25">
      <c r="A100" t="s">
        <v>50</v>
      </c>
      <c r="B100" t="str">
        <f t="shared" si="1"/>
        <v/>
      </c>
    </row>
    <row r="101" spans="1:2" x14ac:dyDescent="0.25">
      <c r="A101" t="s">
        <v>56</v>
      </c>
      <c r="B101" t="str">
        <f t="shared" si="1"/>
        <v/>
      </c>
    </row>
    <row r="102" spans="1:2" x14ac:dyDescent="0.25">
      <c r="A102" t="s">
        <v>30</v>
      </c>
      <c r="B102" t="str">
        <f t="shared" si="1"/>
        <v/>
      </c>
    </row>
    <row r="103" spans="1:2" x14ac:dyDescent="0.25">
      <c r="A103" t="s">
        <v>24</v>
      </c>
      <c r="B103" t="str">
        <f t="shared" si="1"/>
        <v/>
      </c>
    </row>
    <row r="104" spans="1:2" x14ac:dyDescent="0.25">
      <c r="A104" t="s">
        <v>15</v>
      </c>
      <c r="B104" t="str">
        <f t="shared" si="1"/>
        <v/>
      </c>
    </row>
    <row r="105" spans="1:2" x14ac:dyDescent="0.25">
      <c r="A105" t="s">
        <v>1</v>
      </c>
      <c r="B105" t="str">
        <f t="shared" si="1"/>
        <v>S, M, L, XL</v>
      </c>
    </row>
    <row r="106" spans="1:2" x14ac:dyDescent="0.25">
      <c r="A106" t="s">
        <v>57</v>
      </c>
      <c r="B106" t="str">
        <f t="shared" si="1"/>
        <v>Black Eggplant Lazuli Blue Oak Taupe</v>
      </c>
    </row>
    <row r="107" spans="1:2" x14ac:dyDescent="0.25">
      <c r="A107" t="s">
        <v>58</v>
      </c>
      <c r="B107" t="str">
        <f t="shared" si="1"/>
        <v>37190BH TREVEL</v>
      </c>
    </row>
    <row r="108" spans="1:2" x14ac:dyDescent="0.25">
      <c r="A108" t="s">
        <v>18</v>
      </c>
      <c r="B108" t="str">
        <f t="shared" si="1"/>
        <v/>
      </c>
    </row>
    <row r="109" spans="1:2" x14ac:dyDescent="0.25">
      <c r="A109" t="s">
        <v>55</v>
      </c>
      <c r="B109" t="str">
        <f t="shared" si="1"/>
        <v/>
      </c>
    </row>
    <row r="110" spans="1:2" x14ac:dyDescent="0.25">
      <c r="A110" t="s">
        <v>50</v>
      </c>
      <c r="B110" t="str">
        <f t="shared" si="1"/>
        <v/>
      </c>
    </row>
    <row r="111" spans="1:2" x14ac:dyDescent="0.25">
      <c r="A111" t="s">
        <v>59</v>
      </c>
      <c r="B111" t="str">
        <f t="shared" si="1"/>
        <v/>
      </c>
    </row>
    <row r="112" spans="1:2" x14ac:dyDescent="0.25">
      <c r="A112" t="s">
        <v>30</v>
      </c>
      <c r="B112" t="str">
        <f t="shared" si="1"/>
        <v/>
      </c>
    </row>
    <row r="113" spans="1:2" x14ac:dyDescent="0.25">
      <c r="A113" t="s">
        <v>24</v>
      </c>
      <c r="B113" t="str">
        <f t="shared" si="1"/>
        <v/>
      </c>
    </row>
    <row r="114" spans="1:2" x14ac:dyDescent="0.25">
      <c r="A114" t="s">
        <v>15</v>
      </c>
      <c r="B114" t="str">
        <f t="shared" si="1"/>
        <v/>
      </c>
    </row>
    <row r="115" spans="1:2" x14ac:dyDescent="0.25">
      <c r="A115" t="s">
        <v>1</v>
      </c>
      <c r="B115" t="str">
        <f t="shared" si="1"/>
        <v>S, M, L, XL</v>
      </c>
    </row>
    <row r="116" spans="1:2" x14ac:dyDescent="0.25">
      <c r="A116" t="s">
        <v>60</v>
      </c>
      <c r="B116" t="str">
        <f t="shared" si="1"/>
        <v>Black Copper Nickel</v>
      </c>
    </row>
    <row r="117" spans="1:2" x14ac:dyDescent="0.25">
      <c r="A117" t="s">
        <v>61</v>
      </c>
      <c r="B117" t="str">
        <f t="shared" si="1"/>
        <v>37172BH BOGAN</v>
      </c>
    </row>
    <row r="118" spans="1:2" x14ac:dyDescent="0.25">
      <c r="A118" t="s">
        <v>62</v>
      </c>
      <c r="B118" t="str">
        <f t="shared" si="1"/>
        <v/>
      </c>
    </row>
    <row r="119" spans="1:2" x14ac:dyDescent="0.25">
      <c r="A119" t="s">
        <v>63</v>
      </c>
      <c r="B119" t="str">
        <f t="shared" si="1"/>
        <v/>
      </c>
    </row>
    <row r="120" spans="1:2" x14ac:dyDescent="0.25">
      <c r="A120" t="s">
        <v>64</v>
      </c>
      <c r="B120" t="str">
        <f t="shared" si="1"/>
        <v/>
      </c>
    </row>
    <row r="121" spans="1:2" x14ac:dyDescent="0.25">
      <c r="A121" t="s">
        <v>13</v>
      </c>
      <c r="B121" t="str">
        <f t="shared" si="1"/>
        <v/>
      </c>
    </row>
    <row r="122" spans="1:2" x14ac:dyDescent="0.25">
      <c r="A122" t="s">
        <v>24</v>
      </c>
      <c r="B122" t="str">
        <f t="shared" si="1"/>
        <v/>
      </c>
    </row>
    <row r="123" spans="1:2" x14ac:dyDescent="0.25">
      <c r="A123" t="s">
        <v>15</v>
      </c>
      <c r="B123" t="str">
        <f t="shared" si="1"/>
        <v/>
      </c>
    </row>
    <row r="124" spans="1:2" x14ac:dyDescent="0.25">
      <c r="A124" t="s">
        <v>1</v>
      </c>
      <c r="B124" t="str">
        <f t="shared" si="1"/>
        <v>S, M, L, XL</v>
      </c>
    </row>
    <row r="125" spans="1:2" x14ac:dyDescent="0.25">
      <c r="A125" t="s">
        <v>65</v>
      </c>
      <c r="B125" t="str">
        <f t="shared" si="1"/>
        <v>Peacoat Plaza Taupe Saddle Steel</v>
      </c>
    </row>
    <row r="126" spans="1:2" x14ac:dyDescent="0.25">
      <c r="A126" t="s">
        <v>66</v>
      </c>
      <c r="B126" t="str">
        <f t="shared" si="1"/>
        <v>Almond Black Camel</v>
      </c>
    </row>
    <row r="127" spans="1:2" x14ac:dyDescent="0.25">
      <c r="A127" t="s">
        <v>67</v>
      </c>
      <c r="B127" t="str">
        <f t="shared" si="1"/>
        <v>20007BH CLORINDON</v>
      </c>
    </row>
    <row r="128" spans="1:2" x14ac:dyDescent="0.25">
      <c r="A128" t="s">
        <v>38</v>
      </c>
      <c r="B128" t="str">
        <f t="shared" si="1"/>
        <v/>
      </c>
    </row>
    <row r="129" spans="1:2" x14ac:dyDescent="0.25">
      <c r="A129" t="s">
        <v>68</v>
      </c>
      <c r="B129" t="str">
        <f t="shared" ref="B129:B192" si="2">_xlfn.LET(_xlpm.isSizes,IFERROR(FIND(",",A129)&gt;=1,FALSE),_xlpm.isSizesUp,IFERROR(FIND(",",A128)&gt;=1,FALSE),_xlpm.isName,AND(IFERROR(VALUE(MID(A129,1,1)),FALSE),NOT(IFERROR(FIND("” ",A129)&gt;=1,FALSE)),NOT(IFERROR(FIND("/",A129)&gt;=1,FALSE))),_xlpm.isNameDown,AND(IFERROR(VALUE(MID(A130,1,1)),FALSE),NOT(IFERROR(FIND("” ",A130)&gt;=1,FALSE)),NOT(IFERROR(FIND("/",A130)&gt;=1,FALSE))),IF(_xlpm.isSizes,A129,IF(_xlpm.isSizesUp,A129,IF(_xlpm.isName,A129,IF(AND(_xlpm.isNameDown&lt;&gt;_xlpm.isName),A129,"")))))</f>
        <v/>
      </c>
    </row>
    <row r="130" spans="1:2" x14ac:dyDescent="0.25">
      <c r="A130" t="s">
        <v>69</v>
      </c>
      <c r="B130" t="str">
        <f t="shared" si="2"/>
        <v/>
      </c>
    </row>
    <row r="131" spans="1:2" x14ac:dyDescent="0.25">
      <c r="A131" t="s">
        <v>70</v>
      </c>
      <c r="B131" t="str">
        <f t="shared" si="2"/>
        <v/>
      </c>
    </row>
    <row r="132" spans="1:2" x14ac:dyDescent="0.25">
      <c r="A132" t="s">
        <v>71</v>
      </c>
      <c r="B132" t="str">
        <f t="shared" si="2"/>
        <v/>
      </c>
    </row>
    <row r="133" spans="1:2" x14ac:dyDescent="0.25">
      <c r="A133" t="s">
        <v>72</v>
      </c>
      <c r="B133" t="str">
        <f t="shared" si="2"/>
        <v/>
      </c>
    </row>
    <row r="134" spans="1:2" x14ac:dyDescent="0.25">
      <c r="A134" t="s">
        <v>15</v>
      </c>
      <c r="B134" t="str">
        <f t="shared" si="2"/>
        <v/>
      </c>
    </row>
    <row r="135" spans="1:2" x14ac:dyDescent="0.25">
      <c r="A135" t="s">
        <v>1</v>
      </c>
      <c r="B135" t="str">
        <f t="shared" si="2"/>
        <v>S, M, L, XL</v>
      </c>
    </row>
    <row r="136" spans="1:2" x14ac:dyDescent="0.25">
      <c r="A136" t="s">
        <v>73</v>
      </c>
      <c r="B136" t="str">
        <f t="shared" si="2"/>
        <v>Black Unbleached</v>
      </c>
    </row>
    <row r="137" spans="1:2" x14ac:dyDescent="0.25">
      <c r="A137" t="s">
        <v>74</v>
      </c>
      <c r="B137" t="str">
        <f t="shared" si="2"/>
        <v>37193BH CONLON</v>
      </c>
    </row>
    <row r="138" spans="1:2" x14ac:dyDescent="0.25">
      <c r="A138" t="s">
        <v>32</v>
      </c>
      <c r="B138" t="str">
        <f t="shared" si="2"/>
        <v/>
      </c>
    </row>
    <row r="139" spans="1:2" x14ac:dyDescent="0.25">
      <c r="A139" t="s">
        <v>75</v>
      </c>
      <c r="B139" t="str">
        <f t="shared" si="2"/>
        <v/>
      </c>
    </row>
    <row r="140" spans="1:2" x14ac:dyDescent="0.25">
      <c r="A140" t="s">
        <v>76</v>
      </c>
      <c r="B140" t="str">
        <f t="shared" si="2"/>
        <v/>
      </c>
    </row>
    <row r="141" spans="1:2" x14ac:dyDescent="0.25">
      <c r="A141" t="s">
        <v>77</v>
      </c>
      <c r="B141" t="str">
        <f t="shared" si="2"/>
        <v/>
      </c>
    </row>
    <row r="142" spans="1:2" x14ac:dyDescent="0.25">
      <c r="A142" t="s">
        <v>24</v>
      </c>
      <c r="B142" t="str">
        <f t="shared" si="2"/>
        <v/>
      </c>
    </row>
    <row r="143" spans="1:2" x14ac:dyDescent="0.25">
      <c r="A143" t="s">
        <v>15</v>
      </c>
      <c r="B143" t="str">
        <f t="shared" si="2"/>
        <v/>
      </c>
    </row>
    <row r="144" spans="1:2" x14ac:dyDescent="0.25">
      <c r="A144" t="s">
        <v>1</v>
      </c>
      <c r="B144" t="str">
        <f t="shared" si="2"/>
        <v>S, M, L, XL</v>
      </c>
    </row>
    <row r="145" spans="1:2" x14ac:dyDescent="0.25">
      <c r="A145" t="s">
        <v>78</v>
      </c>
      <c r="B145" t="str">
        <f t="shared" si="2"/>
        <v>Black Lazuli Blue Uniform Green</v>
      </c>
    </row>
    <row r="146" spans="1:2" x14ac:dyDescent="0.25">
      <c r="A146" t="s">
        <v>79</v>
      </c>
      <c r="B146" t="str">
        <f t="shared" si="2"/>
        <v>37192BH CROFT</v>
      </c>
    </row>
    <row r="147" spans="1:2" x14ac:dyDescent="0.25">
      <c r="A147" t="s">
        <v>80</v>
      </c>
      <c r="B147" t="str">
        <f t="shared" si="2"/>
        <v/>
      </c>
    </row>
    <row r="148" spans="1:2" x14ac:dyDescent="0.25">
      <c r="A148" t="s">
        <v>39</v>
      </c>
      <c r="B148" t="str">
        <f t="shared" si="2"/>
        <v/>
      </c>
    </row>
    <row r="149" spans="1:2" x14ac:dyDescent="0.25">
      <c r="A149" t="s">
        <v>76</v>
      </c>
      <c r="B149" t="str">
        <f t="shared" si="2"/>
        <v/>
      </c>
    </row>
    <row r="150" spans="1:2" x14ac:dyDescent="0.25">
      <c r="A150" t="s">
        <v>81</v>
      </c>
      <c r="B150" t="str">
        <f t="shared" si="2"/>
        <v/>
      </c>
    </row>
    <row r="151" spans="1:2" x14ac:dyDescent="0.25">
      <c r="A151" t="s">
        <v>24</v>
      </c>
      <c r="B151" t="str">
        <f t="shared" si="2"/>
        <v/>
      </c>
    </row>
    <row r="152" spans="1:2" x14ac:dyDescent="0.25">
      <c r="A152" t="s">
        <v>15</v>
      </c>
      <c r="B152" t="str">
        <f t="shared" si="2"/>
        <v/>
      </c>
    </row>
    <row r="153" spans="1:2" x14ac:dyDescent="0.25">
      <c r="A153" t="s">
        <v>1</v>
      </c>
      <c r="B153" t="str">
        <f t="shared" si="2"/>
        <v>S, M, L, XL</v>
      </c>
    </row>
    <row r="154" spans="1:2" x14ac:dyDescent="0.25">
      <c r="A154" t="s">
        <v>82</v>
      </c>
      <c r="B154" t="str">
        <f t="shared" si="2"/>
        <v>Black Copper Taupe</v>
      </c>
    </row>
    <row r="155" spans="1:2" x14ac:dyDescent="0.25">
      <c r="A155" t="s">
        <v>83</v>
      </c>
      <c r="B155" t="str">
        <f t="shared" si="2"/>
        <v>20001BH COLVER</v>
      </c>
    </row>
    <row r="156" spans="1:2" x14ac:dyDescent="0.25">
      <c r="A156" t="s">
        <v>18</v>
      </c>
      <c r="B156" t="str">
        <f t="shared" si="2"/>
        <v/>
      </c>
    </row>
    <row r="157" spans="1:2" x14ac:dyDescent="0.25">
      <c r="A157" t="s">
        <v>68</v>
      </c>
      <c r="B157" t="str">
        <f t="shared" si="2"/>
        <v/>
      </c>
    </row>
    <row r="158" spans="1:2" x14ac:dyDescent="0.25">
      <c r="A158" t="s">
        <v>69</v>
      </c>
      <c r="B158" t="str">
        <f t="shared" si="2"/>
        <v/>
      </c>
    </row>
    <row r="159" spans="1:2" x14ac:dyDescent="0.25">
      <c r="A159" t="s">
        <v>84</v>
      </c>
      <c r="B159" t="str">
        <f t="shared" si="2"/>
        <v/>
      </c>
    </row>
    <row r="160" spans="1:2" x14ac:dyDescent="0.25">
      <c r="A160" t="s">
        <v>85</v>
      </c>
      <c r="B160" t="str">
        <f t="shared" si="2"/>
        <v/>
      </c>
    </row>
    <row r="161" spans="1:2" x14ac:dyDescent="0.25">
      <c r="A161" t="s">
        <v>15</v>
      </c>
      <c r="B161" t="str">
        <f t="shared" si="2"/>
        <v/>
      </c>
    </row>
    <row r="162" spans="1:2" x14ac:dyDescent="0.25">
      <c r="A162" t="s">
        <v>1</v>
      </c>
      <c r="B162" t="str">
        <f t="shared" si="2"/>
        <v>S, M, L, XL</v>
      </c>
    </row>
    <row r="163" spans="1:2" x14ac:dyDescent="0.25">
      <c r="A163" t="s">
        <v>86</v>
      </c>
      <c r="B163" t="str">
        <f t="shared" si="2"/>
        <v>Greige Honey Ochre Silver Lining</v>
      </c>
    </row>
    <row r="164" spans="1:2" x14ac:dyDescent="0.25">
      <c r="A164" t="s">
        <v>87</v>
      </c>
      <c r="B164" t="str">
        <f t="shared" si="2"/>
        <v>Avion Black Chestnut</v>
      </c>
    </row>
    <row r="165" spans="1:2" x14ac:dyDescent="0.25">
      <c r="A165" t="s">
        <v>88</v>
      </c>
      <c r="B165" t="str">
        <f t="shared" si="2"/>
        <v>20009BH COLTER</v>
      </c>
    </row>
    <row r="166" spans="1:2" x14ac:dyDescent="0.25">
      <c r="A166" t="s">
        <v>89</v>
      </c>
      <c r="B166" t="str">
        <f t="shared" si="2"/>
        <v/>
      </c>
    </row>
    <row r="167" spans="1:2" x14ac:dyDescent="0.25">
      <c r="A167" t="s">
        <v>90</v>
      </c>
      <c r="B167" t="str">
        <f t="shared" si="2"/>
        <v/>
      </c>
    </row>
    <row r="168" spans="1:2" x14ac:dyDescent="0.25">
      <c r="A168" t="s">
        <v>69</v>
      </c>
      <c r="B168" t="str">
        <f t="shared" si="2"/>
        <v/>
      </c>
    </row>
    <row r="169" spans="1:2" x14ac:dyDescent="0.25">
      <c r="A169" t="s">
        <v>91</v>
      </c>
      <c r="B169" t="str">
        <f t="shared" si="2"/>
        <v/>
      </c>
    </row>
    <row r="170" spans="1:2" x14ac:dyDescent="0.25">
      <c r="A170" t="s">
        <v>24</v>
      </c>
      <c r="B170" t="str">
        <f t="shared" si="2"/>
        <v/>
      </c>
    </row>
    <row r="171" spans="1:2" x14ac:dyDescent="0.25">
      <c r="A171" t="s">
        <v>15</v>
      </c>
      <c r="B171" t="str">
        <f t="shared" si="2"/>
        <v/>
      </c>
    </row>
    <row r="172" spans="1:2" x14ac:dyDescent="0.25">
      <c r="A172" t="s">
        <v>1</v>
      </c>
      <c r="B172" t="str">
        <f t="shared" si="2"/>
        <v>S, M, L, XL</v>
      </c>
    </row>
    <row r="173" spans="1:2" x14ac:dyDescent="0.25">
      <c r="A173" t="s">
        <v>92</v>
      </c>
      <c r="B173" t="str">
        <f t="shared" si="2"/>
        <v>Black Nickel Oak</v>
      </c>
    </row>
    <row r="174" spans="1:2" x14ac:dyDescent="0.25">
      <c r="A174" t="s">
        <v>93</v>
      </c>
      <c r="B174" t="str">
        <f t="shared" si="2"/>
        <v>30003BH LANG</v>
      </c>
    </row>
    <row r="175" spans="1:2" x14ac:dyDescent="0.25">
      <c r="A175" t="s">
        <v>94</v>
      </c>
      <c r="B175" t="str">
        <f t="shared" si="2"/>
        <v/>
      </c>
    </row>
    <row r="176" spans="1:2" x14ac:dyDescent="0.25">
      <c r="A176" t="s">
        <v>95</v>
      </c>
      <c r="B176" t="str">
        <f t="shared" si="2"/>
        <v/>
      </c>
    </row>
    <row r="177" spans="1:2" x14ac:dyDescent="0.25">
      <c r="A177" t="s">
        <v>96</v>
      </c>
      <c r="B177" t="str">
        <f t="shared" si="2"/>
        <v/>
      </c>
    </row>
    <row r="178" spans="1:2" x14ac:dyDescent="0.25">
      <c r="A178" t="s">
        <v>24</v>
      </c>
      <c r="B178" t="str">
        <f t="shared" si="2"/>
        <v/>
      </c>
    </row>
    <row r="179" spans="1:2" x14ac:dyDescent="0.25">
      <c r="A179" t="s">
        <v>15</v>
      </c>
      <c r="B179" t="str">
        <f t="shared" si="2"/>
        <v/>
      </c>
    </row>
    <row r="180" spans="1:2" x14ac:dyDescent="0.25">
      <c r="A180" t="s">
        <v>1</v>
      </c>
      <c r="B180" t="str">
        <f t="shared" si="2"/>
        <v>S, M, L, XL</v>
      </c>
    </row>
    <row r="181" spans="1:2" x14ac:dyDescent="0.25">
      <c r="A181" t="s">
        <v>97</v>
      </c>
      <c r="B181" t="str">
        <f t="shared" si="2"/>
        <v>Avion Black Uniform Green</v>
      </c>
    </row>
    <row r="182" spans="1:2" x14ac:dyDescent="0.25">
      <c r="A182" t="s">
        <v>98</v>
      </c>
      <c r="B182" t="str">
        <f t="shared" si="2"/>
        <v>37191BH LEVON</v>
      </c>
    </row>
    <row r="183" spans="1:2" x14ac:dyDescent="0.25">
      <c r="A183" t="s">
        <v>99</v>
      </c>
      <c r="B183" t="str">
        <f t="shared" si="2"/>
        <v/>
      </c>
    </row>
    <row r="184" spans="1:2" x14ac:dyDescent="0.25">
      <c r="A184" t="s">
        <v>39</v>
      </c>
      <c r="B184" t="str">
        <f t="shared" si="2"/>
        <v/>
      </c>
    </row>
    <row r="185" spans="1:2" x14ac:dyDescent="0.25">
      <c r="A185" t="s">
        <v>100</v>
      </c>
      <c r="B185" t="str">
        <f t="shared" si="2"/>
        <v/>
      </c>
    </row>
    <row r="186" spans="1:2" x14ac:dyDescent="0.25">
      <c r="A186" t="s">
        <v>101</v>
      </c>
      <c r="B186" t="str">
        <f t="shared" si="2"/>
        <v/>
      </c>
    </row>
    <row r="187" spans="1:2" x14ac:dyDescent="0.25">
      <c r="A187" t="s">
        <v>24</v>
      </c>
      <c r="B187" t="str">
        <f t="shared" si="2"/>
        <v/>
      </c>
    </row>
    <row r="188" spans="1:2" x14ac:dyDescent="0.25">
      <c r="A188" t="s">
        <v>1</v>
      </c>
      <c r="B188" t="str">
        <f t="shared" si="2"/>
        <v>S, M, L, XL</v>
      </c>
    </row>
    <row r="189" spans="1:2" x14ac:dyDescent="0.25">
      <c r="A189" t="s">
        <v>102</v>
      </c>
      <c r="B189" t="str">
        <f t="shared" si="2"/>
        <v>Black Lazuli Blue Oak</v>
      </c>
    </row>
    <row r="190" spans="1:2" x14ac:dyDescent="0.25">
      <c r="A190" t="s">
        <v>103</v>
      </c>
      <c r="B190" t="str">
        <f t="shared" si="2"/>
        <v>37180BH STEDMAN</v>
      </c>
    </row>
    <row r="191" spans="1:2" x14ac:dyDescent="0.25">
      <c r="A191" t="s">
        <v>80</v>
      </c>
      <c r="B191" t="str">
        <f t="shared" si="2"/>
        <v/>
      </c>
    </row>
    <row r="192" spans="1:2" x14ac:dyDescent="0.25">
      <c r="A192" t="s">
        <v>39</v>
      </c>
      <c r="B192" t="str">
        <f t="shared" si="2"/>
        <v/>
      </c>
    </row>
    <row r="193" spans="1:2" x14ac:dyDescent="0.25">
      <c r="A193" t="s">
        <v>100</v>
      </c>
      <c r="B193" t="str">
        <f t="shared" ref="B193:B256" si="3">_xlfn.LET(_xlpm.isSizes,IFERROR(FIND(",",A193)&gt;=1,FALSE),_xlpm.isSizesUp,IFERROR(FIND(",",A192)&gt;=1,FALSE),_xlpm.isName,AND(IFERROR(VALUE(MID(A193,1,1)),FALSE),NOT(IFERROR(FIND("” ",A193)&gt;=1,FALSE)),NOT(IFERROR(FIND("/",A193)&gt;=1,FALSE))),_xlpm.isNameDown,AND(IFERROR(VALUE(MID(A194,1,1)),FALSE),NOT(IFERROR(FIND("” ",A194)&gt;=1,FALSE)),NOT(IFERROR(FIND("/",A194)&gt;=1,FALSE))),IF(_xlpm.isSizes,A193,IF(_xlpm.isSizesUp,A193,IF(_xlpm.isName,A193,IF(AND(_xlpm.isNameDown&lt;&gt;_xlpm.isName),A193,"")))))</f>
        <v/>
      </c>
    </row>
    <row r="194" spans="1:2" x14ac:dyDescent="0.25">
      <c r="A194" t="s">
        <v>104</v>
      </c>
      <c r="B194" t="str">
        <f t="shared" si="3"/>
        <v/>
      </c>
    </row>
    <row r="195" spans="1:2" x14ac:dyDescent="0.25">
      <c r="A195" t="s">
        <v>85</v>
      </c>
      <c r="B195" t="str">
        <f t="shared" si="3"/>
        <v/>
      </c>
    </row>
    <row r="196" spans="1:2" x14ac:dyDescent="0.25">
      <c r="A196" t="s">
        <v>105</v>
      </c>
      <c r="B196" t="str">
        <f t="shared" si="3"/>
        <v>S, M, L, XL, XXL</v>
      </c>
    </row>
    <row r="197" spans="1:2" x14ac:dyDescent="0.25">
      <c r="A197" t="s">
        <v>106</v>
      </c>
      <c r="B197" t="str">
        <f t="shared" si="3"/>
        <v>Black Camel Oak Stucco</v>
      </c>
    </row>
    <row r="198" spans="1:2" x14ac:dyDescent="0.25">
      <c r="A198" t="s">
        <v>7</v>
      </c>
      <c r="B198" t="str">
        <f t="shared" si="3"/>
        <v>30001BH WALSH</v>
      </c>
    </row>
    <row r="199" spans="1:2" x14ac:dyDescent="0.25">
      <c r="A199" t="s">
        <v>107</v>
      </c>
      <c r="B199" t="str">
        <f t="shared" si="3"/>
        <v/>
      </c>
    </row>
    <row r="200" spans="1:2" x14ac:dyDescent="0.25">
      <c r="A200" t="s">
        <v>39</v>
      </c>
      <c r="B200" t="str">
        <f t="shared" si="3"/>
        <v/>
      </c>
    </row>
    <row r="201" spans="1:2" x14ac:dyDescent="0.25">
      <c r="A201" t="s">
        <v>96</v>
      </c>
      <c r="B201" t="str">
        <f t="shared" si="3"/>
        <v/>
      </c>
    </row>
    <row r="202" spans="1:2" x14ac:dyDescent="0.25">
      <c r="A202" t="s">
        <v>13</v>
      </c>
      <c r="B202" t="str">
        <f t="shared" si="3"/>
        <v/>
      </c>
    </row>
    <row r="203" spans="1:2" x14ac:dyDescent="0.25">
      <c r="A203" t="s">
        <v>23</v>
      </c>
      <c r="B203" t="str">
        <f t="shared" si="3"/>
        <v/>
      </c>
    </row>
    <row r="204" spans="1:2" x14ac:dyDescent="0.25">
      <c r="A204" t="s">
        <v>108</v>
      </c>
      <c r="B204" t="str">
        <f t="shared" si="3"/>
        <v/>
      </c>
    </row>
    <row r="205" spans="1:2" x14ac:dyDescent="0.25">
      <c r="A205" t="s">
        <v>15</v>
      </c>
      <c r="B205" t="str">
        <f t="shared" si="3"/>
        <v/>
      </c>
    </row>
    <row r="206" spans="1:2" x14ac:dyDescent="0.25">
      <c r="A206" t="s">
        <v>1</v>
      </c>
      <c r="B206" t="str">
        <f t="shared" si="3"/>
        <v>S, M, L, XL</v>
      </c>
    </row>
    <row r="207" spans="1:2" x14ac:dyDescent="0.25">
      <c r="A207" t="s">
        <v>109</v>
      </c>
      <c r="B207" t="str">
        <f t="shared" si="3"/>
        <v>Black Plaza Taupe</v>
      </c>
    </row>
    <row r="208" spans="1:2" x14ac:dyDescent="0.25">
      <c r="A208" t="s">
        <v>110</v>
      </c>
      <c r="B208" t="str">
        <f t="shared" si="3"/>
        <v>37185BH ELLETT</v>
      </c>
    </row>
    <row r="209" spans="1:2" x14ac:dyDescent="0.25">
      <c r="A209" t="s">
        <v>111</v>
      </c>
      <c r="B209" t="str">
        <f t="shared" si="3"/>
        <v/>
      </c>
    </row>
    <row r="210" spans="1:2" x14ac:dyDescent="0.25">
      <c r="A210" t="s">
        <v>112</v>
      </c>
      <c r="B210" t="str">
        <f t="shared" si="3"/>
        <v/>
      </c>
    </row>
    <row r="211" spans="1:2" x14ac:dyDescent="0.25">
      <c r="A211" t="s">
        <v>64</v>
      </c>
      <c r="B211" t="str">
        <f t="shared" si="3"/>
        <v/>
      </c>
    </row>
    <row r="212" spans="1:2" x14ac:dyDescent="0.25">
      <c r="A212" t="s">
        <v>113</v>
      </c>
      <c r="B212" t="str">
        <f t="shared" si="3"/>
        <v/>
      </c>
    </row>
    <row r="213" spans="1:2" x14ac:dyDescent="0.25">
      <c r="A213" t="s">
        <v>30</v>
      </c>
      <c r="B213" t="str">
        <f t="shared" si="3"/>
        <v/>
      </c>
    </row>
    <row r="214" spans="1:2" x14ac:dyDescent="0.25">
      <c r="A214" t="s">
        <v>24</v>
      </c>
      <c r="B214" t="str">
        <f t="shared" si="3"/>
        <v/>
      </c>
    </row>
    <row r="215" spans="1:2" x14ac:dyDescent="0.25">
      <c r="A215" t="s">
        <v>15</v>
      </c>
      <c r="B215" t="str">
        <f t="shared" si="3"/>
        <v/>
      </c>
    </row>
    <row r="216" spans="1:2" x14ac:dyDescent="0.25">
      <c r="A216" t="s">
        <v>1</v>
      </c>
      <c r="B216" t="str">
        <f t="shared" si="3"/>
        <v>S, M, L, XL</v>
      </c>
    </row>
    <row r="217" spans="1:2" x14ac:dyDescent="0.25">
      <c r="A217" t="s">
        <v>114</v>
      </c>
      <c r="B217" t="str">
        <f t="shared" si="3"/>
        <v>Avion Black Soft Khaki</v>
      </c>
    </row>
    <row r="218" spans="1:2" x14ac:dyDescent="0.25">
      <c r="A218" t="s">
        <v>8</v>
      </c>
      <c r="B218" t="str">
        <f t="shared" si="3"/>
        <v>37171BH WINTERS</v>
      </c>
    </row>
    <row r="219" spans="1:2" x14ac:dyDescent="0.25">
      <c r="A219" t="s">
        <v>62</v>
      </c>
      <c r="B219" t="str">
        <f t="shared" si="3"/>
        <v/>
      </c>
    </row>
    <row r="220" spans="1:2" x14ac:dyDescent="0.25">
      <c r="A220" t="s">
        <v>12</v>
      </c>
      <c r="B220" t="str">
        <f t="shared" si="3"/>
        <v/>
      </c>
    </row>
    <row r="221" spans="1:2" x14ac:dyDescent="0.25">
      <c r="A221" t="s">
        <v>64</v>
      </c>
      <c r="B221" t="str">
        <f t="shared" si="3"/>
        <v/>
      </c>
    </row>
    <row r="222" spans="1:2" x14ac:dyDescent="0.25">
      <c r="A222" t="s">
        <v>13</v>
      </c>
      <c r="B222" t="str">
        <f t="shared" si="3"/>
        <v/>
      </c>
    </row>
    <row r="223" spans="1:2" x14ac:dyDescent="0.25">
      <c r="A223" t="s">
        <v>24</v>
      </c>
      <c r="B223" t="str">
        <f t="shared" si="3"/>
        <v/>
      </c>
    </row>
    <row r="224" spans="1:2" x14ac:dyDescent="0.25">
      <c r="A224" t="s">
        <v>15</v>
      </c>
      <c r="B224" t="str">
        <f t="shared" si="3"/>
        <v/>
      </c>
    </row>
    <row r="225" spans="1:2" x14ac:dyDescent="0.25">
      <c r="A225" t="s">
        <v>1</v>
      </c>
      <c r="B225" t="str">
        <f t="shared" si="3"/>
        <v>S, M, L, XL</v>
      </c>
    </row>
    <row r="226" spans="1:2" x14ac:dyDescent="0.25">
      <c r="A226" t="s">
        <v>65</v>
      </c>
      <c r="B226" t="str">
        <f t="shared" si="3"/>
        <v>Peacoat Plaza Taupe Saddle Steel</v>
      </c>
    </row>
    <row r="227" spans="1:2" x14ac:dyDescent="0.25">
      <c r="A227" t="s">
        <v>66</v>
      </c>
      <c r="B227" t="str">
        <f t="shared" si="3"/>
        <v>Almond Black Camel</v>
      </c>
    </row>
    <row r="228" spans="1:2" x14ac:dyDescent="0.25">
      <c r="A228" t="s">
        <v>115</v>
      </c>
      <c r="B228" t="str">
        <f t="shared" si="3"/>
        <v>37186BH ERNEST</v>
      </c>
    </row>
    <row r="229" spans="1:2" x14ac:dyDescent="0.25">
      <c r="A229" t="s">
        <v>38</v>
      </c>
      <c r="B229" t="str">
        <f t="shared" si="3"/>
        <v/>
      </c>
    </row>
    <row r="230" spans="1:2" x14ac:dyDescent="0.25">
      <c r="A230" t="s">
        <v>49</v>
      </c>
      <c r="B230" t="str">
        <f t="shared" si="3"/>
        <v/>
      </c>
    </row>
    <row r="231" spans="1:2" x14ac:dyDescent="0.25">
      <c r="A231" t="s">
        <v>116</v>
      </c>
      <c r="B231" t="str">
        <f t="shared" si="3"/>
        <v/>
      </c>
    </row>
    <row r="232" spans="1:2" x14ac:dyDescent="0.25">
      <c r="A232" t="s">
        <v>117</v>
      </c>
      <c r="B232" t="str">
        <f t="shared" si="3"/>
        <v/>
      </c>
    </row>
    <row r="233" spans="1:2" x14ac:dyDescent="0.25">
      <c r="A233" t="s">
        <v>118</v>
      </c>
      <c r="B233" t="str">
        <f t="shared" si="3"/>
        <v/>
      </c>
    </row>
    <row r="234" spans="1:2" x14ac:dyDescent="0.25">
      <c r="A234" t="s">
        <v>24</v>
      </c>
      <c r="B234" t="str">
        <f t="shared" si="3"/>
        <v/>
      </c>
    </row>
    <row r="235" spans="1:2" x14ac:dyDescent="0.25">
      <c r="A235" t="s">
        <v>15</v>
      </c>
      <c r="B235" t="str">
        <f t="shared" si="3"/>
        <v/>
      </c>
    </row>
    <row r="236" spans="1:2" x14ac:dyDescent="0.25">
      <c r="A236" t="s">
        <v>1</v>
      </c>
      <c r="B236" t="str">
        <f t="shared" si="3"/>
        <v>S, M, L, XL</v>
      </c>
    </row>
    <row r="237" spans="1:2" x14ac:dyDescent="0.25">
      <c r="A237" t="s">
        <v>119</v>
      </c>
      <c r="B237" t="str">
        <f t="shared" si="3"/>
        <v>Black Midnight Brown Unbleached</v>
      </c>
    </row>
    <row r="238" spans="1:2" x14ac:dyDescent="0.25">
      <c r="A238" t="s">
        <v>6</v>
      </c>
      <c r="B238" t="str">
        <f t="shared" si="3"/>
        <v>37173BH AMMON</v>
      </c>
    </row>
    <row r="239" spans="1:2" x14ac:dyDescent="0.25">
      <c r="A239" t="s">
        <v>120</v>
      </c>
      <c r="B239" t="str">
        <f t="shared" si="3"/>
        <v/>
      </c>
    </row>
    <row r="240" spans="1:2" x14ac:dyDescent="0.25">
      <c r="A240" t="s">
        <v>121</v>
      </c>
      <c r="B240" t="str">
        <f t="shared" si="3"/>
        <v/>
      </c>
    </row>
    <row r="241" spans="1:2" x14ac:dyDescent="0.25">
      <c r="A241" t="s">
        <v>64</v>
      </c>
      <c r="B241" t="str">
        <f t="shared" si="3"/>
        <v/>
      </c>
    </row>
    <row r="242" spans="1:2" x14ac:dyDescent="0.25">
      <c r="A242" t="s">
        <v>13</v>
      </c>
      <c r="B242" t="str">
        <f t="shared" si="3"/>
        <v/>
      </c>
    </row>
    <row r="243" spans="1:2" x14ac:dyDescent="0.25">
      <c r="A243" t="s">
        <v>24</v>
      </c>
      <c r="B243" t="str">
        <f t="shared" si="3"/>
        <v/>
      </c>
    </row>
    <row r="244" spans="1:2" x14ac:dyDescent="0.25">
      <c r="A244" t="s">
        <v>15</v>
      </c>
      <c r="B244" t="str">
        <f t="shared" si="3"/>
        <v/>
      </c>
    </row>
    <row r="245" spans="1:2" x14ac:dyDescent="0.25">
      <c r="A245" t="s">
        <v>1</v>
      </c>
      <c r="B245" t="str">
        <f t="shared" si="3"/>
        <v>S, M, L, XL</v>
      </c>
    </row>
    <row r="246" spans="1:2" x14ac:dyDescent="0.25">
      <c r="A246" t="s">
        <v>65</v>
      </c>
      <c r="B246" t="str">
        <f t="shared" si="3"/>
        <v>Peacoat Plaza Taupe Saddle Steel</v>
      </c>
    </row>
    <row r="247" spans="1:2" x14ac:dyDescent="0.25">
      <c r="A247" t="s">
        <v>122</v>
      </c>
      <c r="B247" t="str">
        <f t="shared" si="3"/>
        <v>Almond Black Camel Henna</v>
      </c>
    </row>
    <row r="248" spans="1:2" x14ac:dyDescent="0.25">
      <c r="A248" t="s">
        <v>123</v>
      </c>
      <c r="B248" t="str">
        <f t="shared" si="3"/>
        <v>30002BH BARKSDALE</v>
      </c>
    </row>
    <row r="249" spans="1:2" x14ac:dyDescent="0.25">
      <c r="A249" t="s">
        <v>18</v>
      </c>
      <c r="B249" t="str">
        <f t="shared" si="3"/>
        <v/>
      </c>
    </row>
    <row r="250" spans="1:2" x14ac:dyDescent="0.25">
      <c r="A250" t="s">
        <v>124</v>
      </c>
      <c r="B250" t="str">
        <f t="shared" si="3"/>
        <v/>
      </c>
    </row>
    <row r="251" spans="1:2" x14ac:dyDescent="0.25">
      <c r="A251" t="s">
        <v>96</v>
      </c>
      <c r="B251" t="str">
        <f t="shared" si="3"/>
        <v/>
      </c>
    </row>
    <row r="252" spans="1:2" x14ac:dyDescent="0.25">
      <c r="A252" t="s">
        <v>125</v>
      </c>
      <c r="B252" t="str">
        <f t="shared" si="3"/>
        <v/>
      </c>
    </row>
    <row r="253" spans="1:2" x14ac:dyDescent="0.25">
      <c r="A253" t="s">
        <v>30</v>
      </c>
      <c r="B253" t="str">
        <f t="shared" si="3"/>
        <v/>
      </c>
    </row>
    <row r="254" spans="1:2" x14ac:dyDescent="0.25">
      <c r="A254" t="s">
        <v>24</v>
      </c>
      <c r="B254" t="str">
        <f t="shared" si="3"/>
        <v/>
      </c>
    </row>
    <row r="255" spans="1:2" x14ac:dyDescent="0.25">
      <c r="A255" t="s">
        <v>35</v>
      </c>
      <c r="B255" t="str">
        <f t="shared" si="3"/>
        <v/>
      </c>
    </row>
    <row r="256" spans="1:2" x14ac:dyDescent="0.25">
      <c r="A256" t="s">
        <v>15</v>
      </c>
      <c r="B256" t="str">
        <f t="shared" si="3"/>
        <v/>
      </c>
    </row>
    <row r="257" spans="1:2" x14ac:dyDescent="0.25">
      <c r="A257" t="s">
        <v>1</v>
      </c>
      <c r="B257" t="str">
        <f t="shared" ref="B257:B313" si="4">_xlfn.LET(_xlpm.isSizes,IFERROR(FIND(",",A257)&gt;=1,FALSE),_xlpm.isSizesUp,IFERROR(FIND(",",A256)&gt;=1,FALSE),_xlpm.isName,AND(IFERROR(VALUE(MID(A257,1,1)),FALSE),NOT(IFERROR(FIND("” ",A257)&gt;=1,FALSE)),NOT(IFERROR(FIND("/",A257)&gt;=1,FALSE))),_xlpm.isNameDown,AND(IFERROR(VALUE(MID(A258,1,1)),FALSE),NOT(IFERROR(FIND("” ",A258)&gt;=1,FALSE)),NOT(IFERROR(FIND("/",A258)&gt;=1,FALSE))),IF(_xlpm.isSizes,A257,IF(_xlpm.isSizesUp,A257,IF(_xlpm.isName,A257,IF(AND(_xlpm.isNameDown&lt;&gt;_xlpm.isName),A257,"")))))</f>
        <v>S, M, L, XL</v>
      </c>
    </row>
    <row r="258" spans="1:2" x14ac:dyDescent="0.25">
      <c r="A258" t="s">
        <v>126</v>
      </c>
      <c r="B258" t="str">
        <f t="shared" si="4"/>
        <v>Beech Black Whiskey</v>
      </c>
    </row>
    <row r="259" spans="1:2" x14ac:dyDescent="0.25">
      <c r="A259" t="s">
        <v>127</v>
      </c>
      <c r="B259" t="str">
        <f t="shared" si="4"/>
        <v>20006BH DEVERS</v>
      </c>
    </row>
    <row r="260" spans="1:2" x14ac:dyDescent="0.25">
      <c r="A260" t="s">
        <v>38</v>
      </c>
      <c r="B260" t="str">
        <f t="shared" si="4"/>
        <v/>
      </c>
    </row>
    <row r="261" spans="1:2" x14ac:dyDescent="0.25">
      <c r="A261" t="s">
        <v>39</v>
      </c>
      <c r="B261" t="str">
        <f t="shared" si="4"/>
        <v/>
      </c>
    </row>
    <row r="262" spans="1:2" x14ac:dyDescent="0.25">
      <c r="A262" t="s">
        <v>69</v>
      </c>
      <c r="B262" t="str">
        <f t="shared" si="4"/>
        <v/>
      </c>
    </row>
    <row r="263" spans="1:2" x14ac:dyDescent="0.25">
      <c r="A263" t="s">
        <v>128</v>
      </c>
      <c r="B263" t="str">
        <f t="shared" si="4"/>
        <v/>
      </c>
    </row>
    <row r="264" spans="1:2" x14ac:dyDescent="0.25">
      <c r="A264" t="s">
        <v>24</v>
      </c>
      <c r="B264" t="str">
        <f t="shared" si="4"/>
        <v/>
      </c>
    </row>
    <row r="265" spans="1:2" x14ac:dyDescent="0.25">
      <c r="A265" t="s">
        <v>15</v>
      </c>
      <c r="B265" t="str">
        <f t="shared" si="4"/>
        <v/>
      </c>
    </row>
    <row r="266" spans="1:2" x14ac:dyDescent="0.25">
      <c r="A266" t="s">
        <v>1</v>
      </c>
      <c r="B266" t="str">
        <f t="shared" si="4"/>
        <v>S, M, L, XL</v>
      </c>
    </row>
    <row r="267" spans="1:2" x14ac:dyDescent="0.25">
      <c r="A267" t="s">
        <v>129</v>
      </c>
      <c r="B267" t="str">
        <f>_xlfn.LET(_xlpm.isSizes,IFERROR(FIND(",",A267)&gt;=1,FALSE),_xlpm.isSizesUp,IFERROR(FIND(",",A266)&gt;=1,FALSE),_xlpm.isName,AND(IFERROR(VALUE(MID(A267,1,1)),FALSE),NOT(IFERROR(FIND("” ",A267)&gt;=1,FALSE)),NOT(IFERROR(FIND("/",A267)&gt;=1,FALSE))),_xlpm.isNameDown,AND(IFERROR(VALUE(MID(#REF!,1,1)),FALSE),NOT(IFERROR(FIND("” ",#REF!)&gt;=1,FALSE)),NOT(IFERROR(FIND("/",#REF!)&gt;=1,FALSE))),IF(_xlpm.isSizes,A267,IF(_xlpm.isSizesUp,A267,IF(_xlpm.isName,A267,IF(AND(_xlpm.isNameDown&lt;&gt;_xlpm.isName),A267,"")))))</f>
        <v>Ink Blue Plaza Taupe</v>
      </c>
    </row>
    <row r="268" spans="1:2" x14ac:dyDescent="0.25">
      <c r="A268" t="s">
        <v>130</v>
      </c>
      <c r="B268" t="str">
        <f>_xlfn.LET(_xlpm.isSizes,IFERROR(FIND(",",A268)&gt;=1,FALSE),_xlpm.isSizesUp,IFERROR(FIND(",",#REF!)&gt;=1,FALSE),_xlpm.isName,AND(IFERROR(VALUE(MID(A268,1,1)),FALSE),NOT(IFERROR(FIND("” ",A268)&gt;=1,FALSE)),NOT(IFERROR(FIND("/",A268)&gt;=1,FALSE))),_xlpm.isNameDown,AND(IFERROR(VALUE(MID(A269,1,1)),FALSE),NOT(IFERROR(FIND("” ",A269)&gt;=1,FALSE)),NOT(IFERROR(FIND("/",A269)&gt;=1,FALSE))),IF(_xlpm.isSizes,A268,IF(_xlpm.isSizesUp,A268,IF(_xlpm.isName,A268,IF(AND(_xlpm.isNameDown&lt;&gt;_xlpm.isName),A268,"")))))</f>
        <v>37158BH BRANDT</v>
      </c>
    </row>
    <row r="269" spans="1:2" x14ac:dyDescent="0.25">
      <c r="A269" t="s">
        <v>62</v>
      </c>
      <c r="B269" t="str">
        <f t="shared" si="4"/>
        <v/>
      </c>
    </row>
    <row r="270" spans="1:2" x14ac:dyDescent="0.25">
      <c r="A270" t="s">
        <v>131</v>
      </c>
      <c r="B270" t="str">
        <f t="shared" si="4"/>
        <v/>
      </c>
    </row>
    <row r="271" spans="1:2" x14ac:dyDescent="0.25">
      <c r="A271" t="s">
        <v>132</v>
      </c>
      <c r="B271" t="str">
        <f t="shared" si="4"/>
        <v/>
      </c>
    </row>
    <row r="272" spans="1:2" x14ac:dyDescent="0.25">
      <c r="A272" t="s">
        <v>133</v>
      </c>
      <c r="B272" t="str">
        <f t="shared" si="4"/>
        <v/>
      </c>
    </row>
    <row r="273" spans="1:2" x14ac:dyDescent="0.25">
      <c r="A273" t="s">
        <v>24</v>
      </c>
      <c r="B273" t="str">
        <f t="shared" si="4"/>
        <v/>
      </c>
    </row>
    <row r="274" spans="1:2" x14ac:dyDescent="0.25">
      <c r="A274" t="s">
        <v>15</v>
      </c>
      <c r="B274" t="str">
        <f t="shared" si="4"/>
        <v/>
      </c>
    </row>
    <row r="275" spans="1:2" x14ac:dyDescent="0.25">
      <c r="A275" t="s">
        <v>134</v>
      </c>
      <c r="B275" t="str">
        <f t="shared" si="4"/>
        <v>S, M, L, XL, XXL, XXXL</v>
      </c>
    </row>
    <row r="276" spans="1:2" x14ac:dyDescent="0.25">
      <c r="A276" t="s">
        <v>135</v>
      </c>
      <c r="B276" t="str">
        <f t="shared" si="4"/>
        <v>Black Black Mix Bluestone Walnut</v>
      </c>
    </row>
    <row r="277" spans="1:2" x14ac:dyDescent="0.25">
      <c r="A277" t="s">
        <v>136</v>
      </c>
      <c r="B277" t="str">
        <f t="shared" si="4"/>
        <v>37161BH PERRY</v>
      </c>
    </row>
    <row r="278" spans="1:2" x14ac:dyDescent="0.25">
      <c r="A278" t="s">
        <v>62</v>
      </c>
      <c r="B278" t="str">
        <f t="shared" si="4"/>
        <v/>
      </c>
    </row>
    <row r="279" spans="1:2" x14ac:dyDescent="0.25">
      <c r="A279" t="s">
        <v>63</v>
      </c>
      <c r="B279" t="str">
        <f t="shared" si="4"/>
        <v/>
      </c>
    </row>
    <row r="280" spans="1:2" x14ac:dyDescent="0.25">
      <c r="A280" t="s">
        <v>132</v>
      </c>
      <c r="B280" t="str">
        <f t="shared" si="4"/>
        <v/>
      </c>
    </row>
    <row r="281" spans="1:2" x14ac:dyDescent="0.25">
      <c r="A281" t="s">
        <v>133</v>
      </c>
      <c r="B281" t="str">
        <f t="shared" si="4"/>
        <v/>
      </c>
    </row>
    <row r="282" spans="1:2" x14ac:dyDescent="0.25">
      <c r="A282" t="s">
        <v>24</v>
      </c>
      <c r="B282" t="str">
        <f t="shared" si="4"/>
        <v/>
      </c>
    </row>
    <row r="283" spans="1:2" x14ac:dyDescent="0.25">
      <c r="A283" t="s">
        <v>15</v>
      </c>
      <c r="B283" t="str">
        <f t="shared" si="4"/>
        <v/>
      </c>
    </row>
    <row r="284" spans="1:2" x14ac:dyDescent="0.25">
      <c r="A284" t="s">
        <v>1</v>
      </c>
      <c r="B284" t="str">
        <f t="shared" si="4"/>
        <v>S, M, L, XL</v>
      </c>
    </row>
    <row r="285" spans="1:2" x14ac:dyDescent="0.25">
      <c r="A285" t="s">
        <v>137</v>
      </c>
      <c r="B285" t="str">
        <f t="shared" si="4"/>
        <v>Navy Serpent Walnut</v>
      </c>
    </row>
    <row r="286" spans="1:2" x14ac:dyDescent="0.25">
      <c r="A286" t="s">
        <v>138</v>
      </c>
      <c r="B286" t="str">
        <f t="shared" si="4"/>
        <v>70656BH ACKER</v>
      </c>
    </row>
    <row r="287" spans="1:2" x14ac:dyDescent="0.25">
      <c r="A287" t="s">
        <v>62</v>
      </c>
      <c r="B287" t="str">
        <f t="shared" si="4"/>
        <v/>
      </c>
    </row>
    <row r="288" spans="1:2" x14ac:dyDescent="0.25">
      <c r="A288" t="s">
        <v>139</v>
      </c>
      <c r="B288" t="str">
        <f t="shared" si="4"/>
        <v/>
      </c>
    </row>
    <row r="289" spans="1:2" x14ac:dyDescent="0.25">
      <c r="A289" t="s">
        <v>140</v>
      </c>
      <c r="B289" t="str">
        <f t="shared" si="4"/>
        <v/>
      </c>
    </row>
    <row r="290" spans="1:2" x14ac:dyDescent="0.25">
      <c r="A290" t="s">
        <v>141</v>
      </c>
      <c r="B290" t="str">
        <f t="shared" si="4"/>
        <v/>
      </c>
    </row>
    <row r="291" spans="1:2" x14ac:dyDescent="0.25">
      <c r="A291" t="s">
        <v>142</v>
      </c>
      <c r="B291" t="str">
        <f t="shared" si="4"/>
        <v/>
      </c>
    </row>
    <row r="292" spans="1:2" x14ac:dyDescent="0.25">
      <c r="A292" t="s">
        <v>143</v>
      </c>
      <c r="B292" t="str">
        <f t="shared" si="4"/>
        <v/>
      </c>
    </row>
    <row r="293" spans="1:2" x14ac:dyDescent="0.25">
      <c r="A293" t="s">
        <v>1</v>
      </c>
      <c r="B293" t="str">
        <f t="shared" si="4"/>
        <v>S, M, L, XL</v>
      </c>
    </row>
    <row r="294" spans="1:2" x14ac:dyDescent="0.25">
      <c r="A294" t="s">
        <v>119</v>
      </c>
      <c r="B294" t="str">
        <f t="shared" si="4"/>
        <v>Black Midnight Brown Unbleached</v>
      </c>
    </row>
    <row r="295" spans="1:2" x14ac:dyDescent="0.25">
      <c r="A295" t="s">
        <v>144</v>
      </c>
      <c r="B295" t="str">
        <f t="shared" si="4"/>
        <v>7034 BLIXEN</v>
      </c>
    </row>
    <row r="296" spans="1:2" x14ac:dyDescent="0.25">
      <c r="A296" t="s">
        <v>62</v>
      </c>
      <c r="B296" t="str">
        <f t="shared" si="4"/>
        <v/>
      </c>
    </row>
    <row r="297" spans="1:2" x14ac:dyDescent="0.25">
      <c r="A297" t="s">
        <v>112</v>
      </c>
      <c r="B297" t="str">
        <f t="shared" si="4"/>
        <v/>
      </c>
    </row>
    <row r="298" spans="1:2" x14ac:dyDescent="0.25">
      <c r="A298" t="s">
        <v>140</v>
      </c>
      <c r="B298" t="str">
        <f t="shared" si="4"/>
        <v/>
      </c>
    </row>
    <row r="299" spans="1:2" x14ac:dyDescent="0.25">
      <c r="A299" t="s">
        <v>13</v>
      </c>
      <c r="B299" t="str">
        <f t="shared" si="4"/>
        <v/>
      </c>
    </row>
    <row r="300" spans="1:2" x14ac:dyDescent="0.25">
      <c r="A300" t="s">
        <v>35</v>
      </c>
      <c r="B300" t="str">
        <f t="shared" si="4"/>
        <v/>
      </c>
    </row>
    <row r="301" spans="1:2" x14ac:dyDescent="0.25">
      <c r="A301" t="s">
        <v>143</v>
      </c>
      <c r="B301" t="str">
        <f t="shared" si="4"/>
        <v/>
      </c>
    </row>
    <row r="302" spans="1:2" x14ac:dyDescent="0.25">
      <c r="A302" t="s">
        <v>105</v>
      </c>
      <c r="B302" t="str">
        <f t="shared" si="4"/>
        <v>S, M, L, XL, XXL</v>
      </c>
    </row>
    <row r="303" spans="1:2" x14ac:dyDescent="0.25">
      <c r="A303" t="s">
        <v>145</v>
      </c>
      <c r="B303" t="str">
        <f t="shared" si="4"/>
        <v>Navy Nickel Satin Brass Silverbelly Vintage Blue</v>
      </c>
    </row>
    <row r="304" spans="1:2" x14ac:dyDescent="0.25">
      <c r="A304" t="s">
        <v>344</v>
      </c>
      <c r="B304" t="str">
        <f t="shared" si="4"/>
        <v>Black Cognac Copper Medium Brown Mix Basalt Avion</v>
      </c>
    </row>
    <row r="305" spans="1:2" x14ac:dyDescent="0.25">
      <c r="A305" t="s">
        <v>146</v>
      </c>
      <c r="B305" t="str">
        <f t="shared" si="4"/>
        <v>7006 BRIAR</v>
      </c>
    </row>
    <row r="306" spans="1:2" x14ac:dyDescent="0.25">
      <c r="A306" t="s">
        <v>120</v>
      </c>
      <c r="B306" t="str">
        <f t="shared" si="4"/>
        <v/>
      </c>
    </row>
    <row r="307" spans="1:2" x14ac:dyDescent="0.25">
      <c r="A307" t="s">
        <v>147</v>
      </c>
      <c r="B307" t="str">
        <f t="shared" si="4"/>
        <v/>
      </c>
    </row>
    <row r="308" spans="1:2" x14ac:dyDescent="0.25">
      <c r="A308" t="s">
        <v>140</v>
      </c>
      <c r="B308" t="str">
        <f t="shared" si="4"/>
        <v/>
      </c>
    </row>
    <row r="309" spans="1:2" x14ac:dyDescent="0.25">
      <c r="A309" t="s">
        <v>133</v>
      </c>
      <c r="B309" t="str">
        <f t="shared" si="4"/>
        <v/>
      </c>
    </row>
    <row r="310" spans="1:2" x14ac:dyDescent="0.25">
      <c r="A310" t="s">
        <v>143</v>
      </c>
      <c r="B310" t="str">
        <f t="shared" si="4"/>
        <v/>
      </c>
    </row>
    <row r="311" spans="1:2" x14ac:dyDescent="0.25">
      <c r="A311" t="s">
        <v>1</v>
      </c>
      <c r="B311" t="str">
        <f t="shared" si="4"/>
        <v>S, M, L, XL</v>
      </c>
    </row>
    <row r="312" spans="1:2" x14ac:dyDescent="0.25">
      <c r="A312" t="s">
        <v>148</v>
      </c>
      <c r="B312" t="str">
        <f t="shared" si="4"/>
        <v>Black Unbleached Woodland Mix</v>
      </c>
    </row>
    <row r="313" spans="1:2" x14ac:dyDescent="0.25">
      <c r="A313" t="s">
        <v>149</v>
      </c>
      <c r="B313" t="str">
        <f t="shared" si="4"/>
        <v>70655BH LUND</v>
      </c>
    </row>
    <row r="314" spans="1:2" x14ac:dyDescent="0.25">
      <c r="A314" t="s">
        <v>38</v>
      </c>
      <c r="B314" t="str">
        <f t="shared" ref="B314:B377" si="5">_xlfn.LET(_xlpm.isSizes,IFERROR(FIND(",",A314)&gt;=1,FALSE),_xlpm.isSizesUp,IFERROR(FIND(",",A313)&gt;=1,FALSE),_xlpm.isName,AND(IFERROR(VALUE(MID(A314,1,1)),FALSE),NOT(IFERROR(FIND("” ",A314)&gt;=1,FALSE)),NOT(IFERROR(FIND("/",A314)&gt;=1,FALSE))),_xlpm.isNameDown,AND(IFERROR(VALUE(MID(A315,1,1)),FALSE),NOT(IFERROR(FIND("” ",A315)&gt;=1,FALSE)),NOT(IFERROR(FIND("/",A315)&gt;=1,FALSE))),IF(_xlpm.isSizes,A314,IF(_xlpm.isSizesUp,A314,IF(_xlpm.isName,A314,IF(AND(_xlpm.isNameDown&lt;&gt;_xlpm.isName),A314,"")))))</f>
        <v/>
      </c>
    </row>
    <row r="315" spans="1:2" x14ac:dyDescent="0.25">
      <c r="A315" t="s">
        <v>19</v>
      </c>
      <c r="B315" t="str">
        <f t="shared" si="5"/>
        <v/>
      </c>
    </row>
    <row r="316" spans="1:2" x14ac:dyDescent="0.25">
      <c r="A316" t="s">
        <v>140</v>
      </c>
      <c r="B316" t="str">
        <f t="shared" si="5"/>
        <v/>
      </c>
    </row>
    <row r="317" spans="1:2" x14ac:dyDescent="0.25">
      <c r="A317" t="s">
        <v>150</v>
      </c>
      <c r="B317" t="str">
        <f t="shared" si="5"/>
        <v/>
      </c>
    </row>
    <row r="318" spans="1:2" x14ac:dyDescent="0.25">
      <c r="A318" t="s">
        <v>35</v>
      </c>
      <c r="B318" t="str">
        <f t="shared" si="5"/>
        <v/>
      </c>
    </row>
    <row r="319" spans="1:2" x14ac:dyDescent="0.25">
      <c r="A319" t="s">
        <v>143</v>
      </c>
      <c r="B319" t="str">
        <f t="shared" si="5"/>
        <v/>
      </c>
    </row>
    <row r="320" spans="1:2" x14ac:dyDescent="0.25">
      <c r="A320" t="s">
        <v>1</v>
      </c>
      <c r="B320" t="str">
        <f t="shared" si="5"/>
        <v>S, M, L, XL</v>
      </c>
    </row>
    <row r="321" spans="1:2" x14ac:dyDescent="0.25">
      <c r="A321" t="s">
        <v>151</v>
      </c>
      <c r="B321" t="str">
        <f t="shared" si="5"/>
        <v>Black Ochre</v>
      </c>
    </row>
    <row r="322" spans="1:2" x14ac:dyDescent="0.25">
      <c r="A322" t="s">
        <v>152</v>
      </c>
      <c r="B322" t="str">
        <f t="shared" si="5"/>
        <v>70658BH MOLIN</v>
      </c>
    </row>
    <row r="323" spans="1:2" x14ac:dyDescent="0.25">
      <c r="A323" t="s">
        <v>80</v>
      </c>
      <c r="B323" t="str">
        <f t="shared" si="5"/>
        <v/>
      </c>
    </row>
    <row r="324" spans="1:2" x14ac:dyDescent="0.25">
      <c r="A324" t="s">
        <v>153</v>
      </c>
      <c r="B324" t="str">
        <f t="shared" si="5"/>
        <v/>
      </c>
    </row>
    <row r="325" spans="1:2" x14ac:dyDescent="0.25">
      <c r="A325" t="s">
        <v>140</v>
      </c>
      <c r="B325" t="str">
        <f t="shared" si="5"/>
        <v/>
      </c>
    </row>
    <row r="326" spans="1:2" x14ac:dyDescent="0.25">
      <c r="A326" t="s">
        <v>154</v>
      </c>
      <c r="B326" t="str">
        <f t="shared" si="5"/>
        <v/>
      </c>
    </row>
    <row r="327" spans="1:2" x14ac:dyDescent="0.25">
      <c r="A327" t="s">
        <v>143</v>
      </c>
      <c r="B327" t="str">
        <f t="shared" si="5"/>
        <v/>
      </c>
    </row>
    <row r="328" spans="1:2" x14ac:dyDescent="0.25">
      <c r="A328" t="s">
        <v>1</v>
      </c>
      <c r="B328" t="str">
        <f t="shared" si="5"/>
        <v>S, M, L, XL</v>
      </c>
    </row>
    <row r="329" spans="1:2" x14ac:dyDescent="0.25">
      <c r="A329" t="s">
        <v>155</v>
      </c>
      <c r="B329" t="str">
        <f t="shared" si="5"/>
        <v>Black Oak</v>
      </c>
    </row>
    <row r="330" spans="1:2" x14ac:dyDescent="0.25">
      <c r="A330" t="s">
        <v>156</v>
      </c>
      <c r="B330" t="str">
        <f t="shared" si="5"/>
        <v>70657BH FALCON</v>
      </c>
    </row>
    <row r="331" spans="1:2" x14ac:dyDescent="0.25">
      <c r="A331" t="s">
        <v>157</v>
      </c>
      <c r="B331" t="str">
        <f t="shared" si="5"/>
        <v/>
      </c>
    </row>
    <row r="332" spans="1:2" x14ac:dyDescent="0.25">
      <c r="A332" t="s">
        <v>29</v>
      </c>
      <c r="B332" t="str">
        <f t="shared" si="5"/>
        <v/>
      </c>
    </row>
    <row r="333" spans="1:2" x14ac:dyDescent="0.25">
      <c r="A333" t="s">
        <v>140</v>
      </c>
      <c r="B333" t="str">
        <f t="shared" si="5"/>
        <v/>
      </c>
    </row>
    <row r="334" spans="1:2" x14ac:dyDescent="0.25">
      <c r="A334" t="s">
        <v>158</v>
      </c>
      <c r="B334" t="str">
        <f t="shared" si="5"/>
        <v/>
      </c>
    </row>
    <row r="335" spans="1:2" x14ac:dyDescent="0.25">
      <c r="A335" t="s">
        <v>30</v>
      </c>
      <c r="B335" t="str">
        <f t="shared" si="5"/>
        <v/>
      </c>
    </row>
    <row r="336" spans="1:2" x14ac:dyDescent="0.25">
      <c r="A336" t="s">
        <v>143</v>
      </c>
      <c r="B336" t="str">
        <f t="shared" si="5"/>
        <v/>
      </c>
    </row>
    <row r="337" spans="1:2" x14ac:dyDescent="0.25">
      <c r="A337" t="s">
        <v>1</v>
      </c>
      <c r="B337" t="str">
        <f t="shared" si="5"/>
        <v>S, M, L, XL</v>
      </c>
    </row>
    <row r="338" spans="1:2" x14ac:dyDescent="0.25">
      <c r="A338" t="s">
        <v>159</v>
      </c>
      <c r="B338" t="str">
        <f t="shared" si="5"/>
        <v>Avion Black</v>
      </c>
    </row>
    <row r="339" spans="1:2" x14ac:dyDescent="0.25">
      <c r="A339" t="s">
        <v>160</v>
      </c>
      <c r="B339" t="str">
        <f t="shared" si="5"/>
        <v>70659BH COLVIN</v>
      </c>
    </row>
    <row r="340" spans="1:2" x14ac:dyDescent="0.25">
      <c r="A340" t="s">
        <v>32</v>
      </c>
      <c r="B340" t="str">
        <f t="shared" si="5"/>
        <v/>
      </c>
    </row>
    <row r="341" spans="1:2" x14ac:dyDescent="0.25">
      <c r="A341" t="s">
        <v>75</v>
      </c>
      <c r="B341" t="str">
        <f t="shared" si="5"/>
        <v/>
      </c>
    </row>
    <row r="342" spans="1:2" x14ac:dyDescent="0.25">
      <c r="A342" t="s">
        <v>140</v>
      </c>
      <c r="B342" t="str">
        <f t="shared" si="5"/>
        <v/>
      </c>
    </row>
    <row r="343" spans="1:2" x14ac:dyDescent="0.25">
      <c r="A343" t="s">
        <v>161</v>
      </c>
      <c r="B343" t="str">
        <f t="shared" si="5"/>
        <v/>
      </c>
    </row>
    <row r="344" spans="1:2" x14ac:dyDescent="0.25">
      <c r="A344" t="s">
        <v>143</v>
      </c>
      <c r="B344" t="str">
        <f t="shared" si="5"/>
        <v/>
      </c>
    </row>
    <row r="345" spans="1:2" x14ac:dyDescent="0.25">
      <c r="A345" t="s">
        <v>1</v>
      </c>
      <c r="B345" t="str">
        <f t="shared" si="5"/>
        <v>S, M, L, XL</v>
      </c>
    </row>
    <row r="346" spans="1:2" x14ac:dyDescent="0.25">
      <c r="A346" t="s">
        <v>162</v>
      </c>
      <c r="B346" t="str">
        <f t="shared" si="5"/>
        <v>Black Honey Uniform Green</v>
      </c>
    </row>
    <row r="347" spans="1:2" x14ac:dyDescent="0.25">
      <c r="A347" t="s">
        <v>163</v>
      </c>
      <c r="B347" t="str">
        <f t="shared" si="5"/>
        <v>70660BH ERLER</v>
      </c>
    </row>
    <row r="348" spans="1:2" x14ac:dyDescent="0.25">
      <c r="A348" t="s">
        <v>164</v>
      </c>
      <c r="B348" t="str">
        <f t="shared" si="5"/>
        <v/>
      </c>
    </row>
    <row r="349" spans="1:2" x14ac:dyDescent="0.25">
      <c r="A349" t="s">
        <v>139</v>
      </c>
      <c r="B349" t="str">
        <f t="shared" si="5"/>
        <v/>
      </c>
    </row>
    <row r="350" spans="1:2" x14ac:dyDescent="0.25">
      <c r="A350" t="s">
        <v>140</v>
      </c>
      <c r="B350" t="str">
        <f t="shared" si="5"/>
        <v/>
      </c>
    </row>
    <row r="351" spans="1:2" x14ac:dyDescent="0.25">
      <c r="A351" t="s">
        <v>165</v>
      </c>
      <c r="B351" t="str">
        <f t="shared" si="5"/>
        <v/>
      </c>
    </row>
    <row r="352" spans="1:2" x14ac:dyDescent="0.25">
      <c r="A352" t="s">
        <v>30</v>
      </c>
      <c r="B352" t="str">
        <f t="shared" si="5"/>
        <v/>
      </c>
    </row>
    <row r="353" spans="1:2" x14ac:dyDescent="0.25">
      <c r="A353" t="s">
        <v>166</v>
      </c>
      <c r="B353" t="str">
        <f t="shared" si="5"/>
        <v/>
      </c>
    </row>
    <row r="354" spans="1:2" x14ac:dyDescent="0.25">
      <c r="A354" t="s">
        <v>143</v>
      </c>
      <c r="B354" t="str">
        <f t="shared" si="5"/>
        <v/>
      </c>
    </row>
    <row r="355" spans="1:2" x14ac:dyDescent="0.25">
      <c r="A355" t="s">
        <v>1</v>
      </c>
      <c r="B355" t="str">
        <f t="shared" si="5"/>
        <v>S, M, L, XL</v>
      </c>
    </row>
    <row r="356" spans="1:2" x14ac:dyDescent="0.25">
      <c r="A356" t="s">
        <v>167</v>
      </c>
      <c r="B356" t="str">
        <f t="shared" si="5"/>
        <v>Black Nickel Satin Brass Uniform Green</v>
      </c>
    </row>
    <row r="357" spans="1:2" x14ac:dyDescent="0.25">
      <c r="A357" t="s">
        <v>168</v>
      </c>
      <c r="B357" t="str">
        <f t="shared" si="5"/>
        <v>7021 DARRON</v>
      </c>
    </row>
    <row r="358" spans="1:2" x14ac:dyDescent="0.25">
      <c r="A358" t="s">
        <v>169</v>
      </c>
      <c r="B358" t="str">
        <f t="shared" si="5"/>
        <v/>
      </c>
    </row>
    <row r="359" spans="1:2" x14ac:dyDescent="0.25">
      <c r="A359" t="s">
        <v>170</v>
      </c>
      <c r="B359" t="str">
        <f t="shared" si="5"/>
        <v/>
      </c>
    </row>
    <row r="360" spans="1:2" x14ac:dyDescent="0.25">
      <c r="A360" t="s">
        <v>140</v>
      </c>
      <c r="B360" t="str">
        <f t="shared" si="5"/>
        <v/>
      </c>
    </row>
    <row r="361" spans="1:2" x14ac:dyDescent="0.25">
      <c r="A361" t="s">
        <v>13</v>
      </c>
      <c r="B361" t="str">
        <f t="shared" si="5"/>
        <v/>
      </c>
    </row>
    <row r="362" spans="1:2" x14ac:dyDescent="0.25">
      <c r="A362" t="s">
        <v>143</v>
      </c>
      <c r="B362" t="str">
        <f t="shared" si="5"/>
        <v/>
      </c>
    </row>
    <row r="363" spans="1:2" x14ac:dyDescent="0.25">
      <c r="A363" t="s">
        <v>105</v>
      </c>
      <c r="B363" t="str">
        <f t="shared" si="5"/>
        <v>S, M, L, XL, XXL</v>
      </c>
    </row>
    <row r="364" spans="1:2" x14ac:dyDescent="0.25">
      <c r="A364" t="s">
        <v>171</v>
      </c>
      <c r="B364" t="str">
        <f t="shared" si="5"/>
        <v>Black Caramel Gun Metal Satin Brass Soft Khaki</v>
      </c>
    </row>
    <row r="365" spans="1:2" x14ac:dyDescent="0.25">
      <c r="A365" t="s">
        <v>172</v>
      </c>
      <c r="B365" t="str">
        <f t="shared" si="5"/>
        <v>7005 CURTIS</v>
      </c>
    </row>
    <row r="366" spans="1:2" x14ac:dyDescent="0.25">
      <c r="A366" t="s">
        <v>173</v>
      </c>
      <c r="B366" t="str">
        <f t="shared" si="5"/>
        <v/>
      </c>
    </row>
    <row r="367" spans="1:2" x14ac:dyDescent="0.25">
      <c r="A367" t="s">
        <v>174</v>
      </c>
      <c r="B367" t="str">
        <f t="shared" si="5"/>
        <v/>
      </c>
    </row>
    <row r="368" spans="1:2" x14ac:dyDescent="0.25">
      <c r="A368" t="s">
        <v>140</v>
      </c>
      <c r="B368" t="str">
        <f t="shared" si="5"/>
        <v/>
      </c>
    </row>
    <row r="369" spans="1:2" x14ac:dyDescent="0.25">
      <c r="A369" t="s">
        <v>13</v>
      </c>
      <c r="B369" t="str">
        <f t="shared" si="5"/>
        <v/>
      </c>
    </row>
    <row r="370" spans="1:2" x14ac:dyDescent="0.25">
      <c r="A370" t="s">
        <v>143</v>
      </c>
      <c r="B370" t="str">
        <f t="shared" si="5"/>
        <v/>
      </c>
    </row>
    <row r="371" spans="1:2" x14ac:dyDescent="0.25">
      <c r="A371" t="s">
        <v>105</v>
      </c>
      <c r="B371" t="str">
        <f t="shared" si="5"/>
        <v>S, M, L, XL, XXL</v>
      </c>
    </row>
    <row r="372" spans="1:2" x14ac:dyDescent="0.25">
      <c r="A372" t="s">
        <v>175</v>
      </c>
      <c r="B372" t="str">
        <f t="shared" si="5"/>
        <v>Sea Breeze Serpent Speckled Egg Mix Uniform Green Vintage Blue</v>
      </c>
    </row>
    <row r="373" spans="1:2" x14ac:dyDescent="0.25">
      <c r="A373" t="s">
        <v>176</v>
      </c>
      <c r="B373" t="str">
        <f t="shared" si="5"/>
        <v>Antique Black Contrapposto Grey Navy</v>
      </c>
    </row>
    <row r="374" spans="1:2" x14ac:dyDescent="0.25">
      <c r="A374" t="s">
        <v>177</v>
      </c>
      <c r="B374" t="str">
        <f t="shared" si="5"/>
        <v>70652BH MARACK</v>
      </c>
    </row>
    <row r="375" spans="1:2" x14ac:dyDescent="0.25">
      <c r="A375" t="s">
        <v>38</v>
      </c>
      <c r="B375" t="str">
        <f t="shared" si="5"/>
        <v/>
      </c>
    </row>
    <row r="376" spans="1:2" x14ac:dyDescent="0.25">
      <c r="A376" t="s">
        <v>49</v>
      </c>
      <c r="B376" t="str">
        <f t="shared" si="5"/>
        <v/>
      </c>
    </row>
    <row r="377" spans="1:2" x14ac:dyDescent="0.25">
      <c r="A377" t="s">
        <v>140</v>
      </c>
      <c r="B377" t="str">
        <f t="shared" si="5"/>
        <v/>
      </c>
    </row>
    <row r="378" spans="1:2" x14ac:dyDescent="0.25">
      <c r="A378" t="s">
        <v>178</v>
      </c>
      <c r="B378" t="str">
        <f t="shared" ref="B378:B441" si="6">_xlfn.LET(_xlpm.isSizes,IFERROR(FIND(",",A378)&gt;=1,FALSE),_xlpm.isSizesUp,IFERROR(FIND(",",A377)&gt;=1,FALSE),_xlpm.isName,AND(IFERROR(VALUE(MID(A378,1,1)),FALSE),NOT(IFERROR(FIND("” ",A378)&gt;=1,FALSE)),NOT(IFERROR(FIND("/",A378)&gt;=1,FALSE))),_xlpm.isNameDown,AND(IFERROR(VALUE(MID(A379,1,1)),FALSE),NOT(IFERROR(FIND("” ",A379)&gt;=1,FALSE)),NOT(IFERROR(FIND("/",A379)&gt;=1,FALSE))),IF(_xlpm.isSizes,A378,IF(_xlpm.isSizesUp,A378,IF(_xlpm.isName,A378,IF(AND(_xlpm.isNameDown&lt;&gt;_xlpm.isName),A378,"")))))</f>
        <v/>
      </c>
    </row>
    <row r="379" spans="1:2" x14ac:dyDescent="0.25">
      <c r="A379" t="s">
        <v>35</v>
      </c>
      <c r="B379" t="str">
        <f t="shared" si="6"/>
        <v/>
      </c>
    </row>
    <row r="380" spans="1:2" x14ac:dyDescent="0.25">
      <c r="A380" t="s">
        <v>143</v>
      </c>
      <c r="B380" t="str">
        <f t="shared" si="6"/>
        <v/>
      </c>
    </row>
    <row r="381" spans="1:2" x14ac:dyDescent="0.25">
      <c r="A381" t="s">
        <v>1</v>
      </c>
      <c r="B381" t="str">
        <f t="shared" si="6"/>
        <v>S, M, L, XL</v>
      </c>
    </row>
    <row r="382" spans="1:2" x14ac:dyDescent="0.25">
      <c r="A382" t="s">
        <v>179</v>
      </c>
      <c r="B382" t="str">
        <f t="shared" si="6"/>
        <v>Black Oxford Mix</v>
      </c>
    </row>
    <row r="383" spans="1:2" x14ac:dyDescent="0.25">
      <c r="A383" t="s">
        <v>180</v>
      </c>
      <c r="B383" t="str">
        <f t="shared" si="6"/>
        <v>70646BH NELLES</v>
      </c>
    </row>
    <row r="384" spans="1:2" x14ac:dyDescent="0.25">
      <c r="A384" t="s">
        <v>181</v>
      </c>
      <c r="B384" t="str">
        <f t="shared" si="6"/>
        <v/>
      </c>
    </row>
    <row r="385" spans="1:2" x14ac:dyDescent="0.25">
      <c r="A385" t="s">
        <v>174</v>
      </c>
      <c r="B385" t="str">
        <f t="shared" si="6"/>
        <v/>
      </c>
    </row>
    <row r="386" spans="1:2" x14ac:dyDescent="0.25">
      <c r="A386" t="s">
        <v>140</v>
      </c>
      <c r="B386" t="str">
        <f t="shared" si="6"/>
        <v/>
      </c>
    </row>
    <row r="387" spans="1:2" x14ac:dyDescent="0.25">
      <c r="A387" t="s">
        <v>182</v>
      </c>
      <c r="B387" t="str">
        <f t="shared" si="6"/>
        <v/>
      </c>
    </row>
    <row r="388" spans="1:2" x14ac:dyDescent="0.25">
      <c r="A388" t="s">
        <v>183</v>
      </c>
      <c r="B388" t="str">
        <f t="shared" si="6"/>
        <v/>
      </c>
    </row>
    <row r="389" spans="1:2" x14ac:dyDescent="0.25">
      <c r="A389" t="s">
        <v>1</v>
      </c>
      <c r="B389" t="str">
        <f t="shared" si="6"/>
        <v>S, M, L, XL</v>
      </c>
    </row>
    <row r="390" spans="1:2" x14ac:dyDescent="0.25">
      <c r="A390" t="s">
        <v>184</v>
      </c>
      <c r="B390" t="str">
        <f t="shared" si="6"/>
        <v>Black Camel Pale Olive Whiskey</v>
      </c>
    </row>
    <row r="391" spans="1:2" x14ac:dyDescent="0.25">
      <c r="A391" t="s">
        <v>185</v>
      </c>
      <c r="B391" t="str">
        <f t="shared" si="6"/>
        <v>70654BH TREPORT</v>
      </c>
    </row>
    <row r="392" spans="1:2" x14ac:dyDescent="0.25">
      <c r="A392" t="s">
        <v>48</v>
      </c>
      <c r="B392" t="str">
        <f t="shared" si="6"/>
        <v/>
      </c>
    </row>
    <row r="393" spans="1:2" x14ac:dyDescent="0.25">
      <c r="A393" t="s">
        <v>49</v>
      </c>
      <c r="B393" t="str">
        <f t="shared" si="6"/>
        <v/>
      </c>
    </row>
    <row r="394" spans="1:2" x14ac:dyDescent="0.25">
      <c r="A394" t="s">
        <v>140</v>
      </c>
      <c r="B394" t="str">
        <f t="shared" si="6"/>
        <v/>
      </c>
    </row>
    <row r="395" spans="1:2" x14ac:dyDescent="0.25">
      <c r="A395" t="s">
        <v>186</v>
      </c>
      <c r="B395" t="str">
        <f t="shared" si="6"/>
        <v/>
      </c>
    </row>
    <row r="396" spans="1:2" x14ac:dyDescent="0.25">
      <c r="A396" t="s">
        <v>143</v>
      </c>
      <c r="B396" t="str">
        <f t="shared" si="6"/>
        <v/>
      </c>
    </row>
    <row r="397" spans="1:2" x14ac:dyDescent="0.25">
      <c r="A397" t="s">
        <v>1</v>
      </c>
      <c r="B397" t="str">
        <f t="shared" si="6"/>
        <v>S, M, L, XL</v>
      </c>
    </row>
    <row r="398" spans="1:2" x14ac:dyDescent="0.25">
      <c r="A398" t="s">
        <v>187</v>
      </c>
      <c r="B398" t="str">
        <f t="shared" si="6"/>
        <v>Ink Blue Olive Mix Rust</v>
      </c>
    </row>
    <row r="399" spans="1:2" x14ac:dyDescent="0.25">
      <c r="A399" t="s">
        <v>188</v>
      </c>
      <c r="B399" t="str">
        <f t="shared" si="6"/>
        <v>7002 FEDORA</v>
      </c>
    </row>
    <row r="400" spans="1:2" x14ac:dyDescent="0.25">
      <c r="A400" t="s">
        <v>48</v>
      </c>
      <c r="B400" t="str">
        <f t="shared" si="6"/>
        <v/>
      </c>
    </row>
    <row r="401" spans="1:2" x14ac:dyDescent="0.25">
      <c r="A401" t="s">
        <v>49</v>
      </c>
      <c r="B401" t="str">
        <f t="shared" si="6"/>
        <v/>
      </c>
    </row>
    <row r="402" spans="1:2" x14ac:dyDescent="0.25">
      <c r="A402" t="s">
        <v>140</v>
      </c>
      <c r="B402" t="str">
        <f t="shared" si="6"/>
        <v/>
      </c>
    </row>
    <row r="403" spans="1:2" x14ac:dyDescent="0.25">
      <c r="A403" t="s">
        <v>13</v>
      </c>
      <c r="B403" t="str">
        <f t="shared" si="6"/>
        <v/>
      </c>
    </row>
    <row r="404" spans="1:2" x14ac:dyDescent="0.25">
      <c r="A404" t="s">
        <v>35</v>
      </c>
      <c r="B404" t="str">
        <f t="shared" si="6"/>
        <v/>
      </c>
    </row>
    <row r="405" spans="1:2" x14ac:dyDescent="0.25">
      <c r="A405" t="s">
        <v>143</v>
      </c>
      <c r="B405" t="str">
        <f t="shared" si="6"/>
        <v/>
      </c>
    </row>
    <row r="406" spans="1:2" x14ac:dyDescent="0.25">
      <c r="A406" t="s">
        <v>1</v>
      </c>
      <c r="B406" t="str">
        <f t="shared" si="6"/>
        <v>S, M, L, XL</v>
      </c>
    </row>
    <row r="407" spans="1:2" x14ac:dyDescent="0.25">
      <c r="A407" t="s">
        <v>189</v>
      </c>
      <c r="B407" t="str">
        <f t="shared" si="6"/>
        <v>Black Graphite Nickel Red</v>
      </c>
    </row>
    <row r="408" spans="1:2" x14ac:dyDescent="0.25">
      <c r="A408" t="s">
        <v>190</v>
      </c>
      <c r="B408" t="str">
        <f t="shared" si="6"/>
        <v>70613BH SPERLING</v>
      </c>
    </row>
    <row r="409" spans="1:2" x14ac:dyDescent="0.25">
      <c r="A409" t="s">
        <v>173</v>
      </c>
      <c r="B409" t="str">
        <f t="shared" si="6"/>
        <v/>
      </c>
    </row>
    <row r="410" spans="1:2" x14ac:dyDescent="0.25">
      <c r="A410" t="s">
        <v>174</v>
      </c>
      <c r="B410" t="str">
        <f t="shared" si="6"/>
        <v/>
      </c>
    </row>
    <row r="411" spans="1:2" x14ac:dyDescent="0.25">
      <c r="A411" t="s">
        <v>140</v>
      </c>
      <c r="B411" t="str">
        <f t="shared" si="6"/>
        <v/>
      </c>
    </row>
    <row r="412" spans="1:2" x14ac:dyDescent="0.25">
      <c r="A412" t="s">
        <v>133</v>
      </c>
      <c r="B412" t="str">
        <f t="shared" si="6"/>
        <v/>
      </c>
    </row>
    <row r="413" spans="1:2" x14ac:dyDescent="0.25">
      <c r="A413" t="s">
        <v>183</v>
      </c>
      <c r="B413" t="str">
        <f t="shared" si="6"/>
        <v/>
      </c>
    </row>
    <row r="414" spans="1:2" x14ac:dyDescent="0.25">
      <c r="A414" t="s">
        <v>1</v>
      </c>
      <c r="B414" t="str">
        <f t="shared" si="6"/>
        <v>S, M, L, XL</v>
      </c>
    </row>
    <row r="415" spans="1:2" x14ac:dyDescent="0.25">
      <c r="A415" t="s">
        <v>191</v>
      </c>
      <c r="B415" t="str">
        <f t="shared" si="6"/>
        <v>Bluestone Serpent Woodland Mix</v>
      </c>
    </row>
    <row r="416" spans="1:2" x14ac:dyDescent="0.25">
      <c r="A416" t="s">
        <v>192</v>
      </c>
      <c r="B416" t="str">
        <f t="shared" si="6"/>
        <v>70653BH BURNELL</v>
      </c>
    </row>
    <row r="417" spans="1:2" x14ac:dyDescent="0.25">
      <c r="A417" t="s">
        <v>62</v>
      </c>
      <c r="B417" t="str">
        <f t="shared" si="6"/>
        <v/>
      </c>
    </row>
    <row r="418" spans="1:2" x14ac:dyDescent="0.25">
      <c r="A418" t="s">
        <v>22</v>
      </c>
      <c r="B418" t="str">
        <f t="shared" si="6"/>
        <v/>
      </c>
    </row>
    <row r="419" spans="1:2" x14ac:dyDescent="0.25">
      <c r="A419" t="s">
        <v>140</v>
      </c>
      <c r="B419" t="str">
        <f t="shared" si="6"/>
        <v/>
      </c>
    </row>
    <row r="420" spans="1:2" x14ac:dyDescent="0.25">
      <c r="A420" t="s">
        <v>193</v>
      </c>
      <c r="B420" t="str">
        <f t="shared" si="6"/>
        <v/>
      </c>
    </row>
    <row r="421" spans="1:2" x14ac:dyDescent="0.25">
      <c r="A421" t="s">
        <v>30</v>
      </c>
      <c r="B421" t="str">
        <f t="shared" si="6"/>
        <v/>
      </c>
    </row>
    <row r="422" spans="1:2" x14ac:dyDescent="0.25">
      <c r="A422" t="s">
        <v>194</v>
      </c>
      <c r="B422" t="str">
        <f t="shared" si="6"/>
        <v/>
      </c>
    </row>
    <row r="423" spans="1:2" x14ac:dyDescent="0.25">
      <c r="A423" t="s">
        <v>143</v>
      </c>
      <c r="B423" t="str">
        <f t="shared" si="6"/>
        <v/>
      </c>
    </row>
    <row r="424" spans="1:2" x14ac:dyDescent="0.25">
      <c r="A424" t="s">
        <v>1</v>
      </c>
      <c r="B424" t="str">
        <f t="shared" si="6"/>
        <v>S, M, L, XL</v>
      </c>
    </row>
    <row r="425" spans="1:2" x14ac:dyDescent="0.25">
      <c r="A425" t="s">
        <v>195</v>
      </c>
      <c r="B425" t="str">
        <f t="shared" si="6"/>
        <v>Natural Mix Ochre</v>
      </c>
    </row>
    <row r="426" spans="1:2" x14ac:dyDescent="0.25">
      <c r="A426" t="s">
        <v>196</v>
      </c>
      <c r="B426" t="str">
        <f t="shared" si="6"/>
        <v>7016 WYNN</v>
      </c>
    </row>
    <row r="427" spans="1:2" x14ac:dyDescent="0.25">
      <c r="A427" t="s">
        <v>120</v>
      </c>
      <c r="B427" t="str">
        <f t="shared" si="6"/>
        <v/>
      </c>
    </row>
    <row r="428" spans="1:2" x14ac:dyDescent="0.25">
      <c r="A428" t="s">
        <v>197</v>
      </c>
      <c r="B428" t="str">
        <f t="shared" si="6"/>
        <v/>
      </c>
    </row>
    <row r="429" spans="1:2" x14ac:dyDescent="0.25">
      <c r="A429" t="s">
        <v>140</v>
      </c>
      <c r="B429" t="str">
        <f t="shared" si="6"/>
        <v/>
      </c>
    </row>
    <row r="430" spans="1:2" x14ac:dyDescent="0.25">
      <c r="A430" t="s">
        <v>13</v>
      </c>
      <c r="B430" t="str">
        <f t="shared" si="6"/>
        <v/>
      </c>
    </row>
    <row r="431" spans="1:2" x14ac:dyDescent="0.25">
      <c r="A431" t="s">
        <v>143</v>
      </c>
      <c r="B431" t="str">
        <f t="shared" si="6"/>
        <v/>
      </c>
    </row>
    <row r="432" spans="1:2" x14ac:dyDescent="0.25">
      <c r="A432" t="s">
        <v>1</v>
      </c>
      <c r="B432" t="str">
        <f t="shared" si="6"/>
        <v>S, M, L, XL</v>
      </c>
    </row>
    <row r="433" spans="1:2" x14ac:dyDescent="0.25">
      <c r="A433" t="s">
        <v>198</v>
      </c>
      <c r="B433" t="str">
        <f t="shared" si="6"/>
        <v>Oxblood Pewter Serpent Silverbelly</v>
      </c>
    </row>
    <row r="434" spans="1:2" x14ac:dyDescent="0.25">
      <c r="A434" t="s">
        <v>199</v>
      </c>
      <c r="B434" t="str">
        <f t="shared" si="6"/>
        <v>Black Cognac Olive Mix</v>
      </c>
    </row>
    <row r="435" spans="1:2" x14ac:dyDescent="0.25">
      <c r="A435" t="s">
        <v>200</v>
      </c>
      <c r="B435" t="str">
        <f t="shared" si="6"/>
        <v>7055 ATMORE</v>
      </c>
    </row>
    <row r="436" spans="1:2" x14ac:dyDescent="0.25">
      <c r="A436" t="s">
        <v>38</v>
      </c>
      <c r="B436" t="str">
        <f t="shared" si="6"/>
        <v/>
      </c>
    </row>
    <row r="437" spans="1:2" x14ac:dyDescent="0.25">
      <c r="A437" t="s">
        <v>201</v>
      </c>
      <c r="B437" t="str">
        <f t="shared" si="6"/>
        <v/>
      </c>
    </row>
    <row r="438" spans="1:2" x14ac:dyDescent="0.25">
      <c r="A438" t="s">
        <v>202</v>
      </c>
      <c r="B438" t="str">
        <f t="shared" si="6"/>
        <v/>
      </c>
    </row>
    <row r="439" spans="1:2" x14ac:dyDescent="0.25">
      <c r="A439" t="s">
        <v>23</v>
      </c>
      <c r="B439" t="str">
        <f t="shared" si="6"/>
        <v/>
      </c>
    </row>
    <row r="440" spans="1:2" x14ac:dyDescent="0.25">
      <c r="A440" t="s">
        <v>143</v>
      </c>
      <c r="B440" t="str">
        <f t="shared" si="6"/>
        <v/>
      </c>
    </row>
    <row r="441" spans="1:2" x14ac:dyDescent="0.25">
      <c r="A441" t="s">
        <v>1</v>
      </c>
      <c r="B441" t="str">
        <f t="shared" si="6"/>
        <v>S, M, L, XL</v>
      </c>
    </row>
    <row r="442" spans="1:2" x14ac:dyDescent="0.25">
      <c r="A442" t="s">
        <v>203</v>
      </c>
      <c r="B442" t="str">
        <f t="shared" ref="B442:B503" si="7">_xlfn.LET(_xlpm.isSizes,IFERROR(FIND(",",A442)&gt;=1,FALSE),_xlpm.isSizesUp,IFERROR(FIND(",",A441)&gt;=1,FALSE),_xlpm.isName,AND(IFERROR(VALUE(MID(A442,1,1)),FALSE),NOT(IFERROR(FIND("” ",A442)&gt;=1,FALSE)),NOT(IFERROR(FIND("/",A442)&gt;=1,FALSE))),_xlpm.isNameDown,AND(IFERROR(VALUE(MID(A443,1,1)),FALSE),NOT(IFERROR(FIND("” ",A443)&gt;=1,FALSE)),NOT(IFERROR(FIND("/",A443)&gt;=1,FALSE))),IF(_xlpm.isSizes,A442,IF(_xlpm.isSizesUp,A442,IF(_xlpm.isName,A442,IF(AND(_xlpm.isNameDown&lt;&gt;_xlpm.isName),A442,"")))))</f>
        <v>Medium Brown Mix</v>
      </c>
    </row>
    <row r="443" spans="1:2" x14ac:dyDescent="0.25">
      <c r="A443" t="s">
        <v>204</v>
      </c>
      <c r="B443" t="str">
        <f t="shared" si="7"/>
        <v>7001 TINO</v>
      </c>
    </row>
    <row r="444" spans="1:2" x14ac:dyDescent="0.25">
      <c r="A444" t="s">
        <v>62</v>
      </c>
      <c r="B444" t="str">
        <f t="shared" si="7"/>
        <v/>
      </c>
    </row>
    <row r="445" spans="1:2" x14ac:dyDescent="0.25">
      <c r="A445" t="s">
        <v>63</v>
      </c>
      <c r="B445" t="str">
        <f t="shared" si="7"/>
        <v/>
      </c>
    </row>
    <row r="446" spans="1:2" x14ac:dyDescent="0.25">
      <c r="A446" t="s">
        <v>140</v>
      </c>
      <c r="B446" t="str">
        <f t="shared" si="7"/>
        <v/>
      </c>
    </row>
    <row r="447" spans="1:2" x14ac:dyDescent="0.25">
      <c r="A447" t="s">
        <v>13</v>
      </c>
      <c r="B447" t="str">
        <f t="shared" si="7"/>
        <v/>
      </c>
    </row>
    <row r="448" spans="1:2" x14ac:dyDescent="0.25">
      <c r="A448" t="s">
        <v>35</v>
      </c>
      <c r="B448" t="str">
        <f t="shared" si="7"/>
        <v/>
      </c>
    </row>
    <row r="449" spans="1:2" x14ac:dyDescent="0.25">
      <c r="A449" t="s">
        <v>143</v>
      </c>
      <c r="B449" t="str">
        <f t="shared" si="7"/>
        <v/>
      </c>
    </row>
    <row r="450" spans="1:2" x14ac:dyDescent="0.25">
      <c r="A450" t="s">
        <v>105</v>
      </c>
      <c r="B450" t="str">
        <f t="shared" si="7"/>
        <v>S, M, L, XL, XXL</v>
      </c>
    </row>
    <row r="451" spans="1:2" x14ac:dyDescent="0.25">
      <c r="A451" t="s">
        <v>205</v>
      </c>
      <c r="B451" t="str">
        <f t="shared" si="7"/>
        <v>Contrapposto Copper Natural Mix Navy Port</v>
      </c>
    </row>
    <row r="452" spans="1:2" x14ac:dyDescent="0.25">
      <c r="A452" t="s">
        <v>206</v>
      </c>
      <c r="B452" t="s">
        <v>206</v>
      </c>
    </row>
    <row r="453" spans="1:2" x14ac:dyDescent="0.25">
      <c r="A453" t="s">
        <v>207</v>
      </c>
      <c r="B453" t="str">
        <f t="shared" si="7"/>
        <v>Basalt Black Black Mix Brown</v>
      </c>
    </row>
    <row r="454" spans="1:2" x14ac:dyDescent="0.25">
      <c r="A454" t="s">
        <v>208</v>
      </c>
      <c r="B454" t="str">
        <f t="shared" si="7"/>
        <v>38367BH NIALL</v>
      </c>
    </row>
    <row r="455" spans="1:2" x14ac:dyDescent="0.25">
      <c r="A455" t="s">
        <v>26</v>
      </c>
      <c r="B455" t="str">
        <f t="shared" si="7"/>
        <v/>
      </c>
    </row>
    <row r="456" spans="1:2" x14ac:dyDescent="0.25">
      <c r="A456" t="s">
        <v>209</v>
      </c>
      <c r="B456" t="str">
        <f t="shared" si="7"/>
        <v/>
      </c>
    </row>
    <row r="457" spans="1:2" x14ac:dyDescent="0.25">
      <c r="A457" t="s">
        <v>210</v>
      </c>
      <c r="B457" t="str">
        <f t="shared" si="7"/>
        <v/>
      </c>
    </row>
    <row r="458" spans="1:2" x14ac:dyDescent="0.25">
      <c r="A458" t="s">
        <v>211</v>
      </c>
      <c r="B458" t="str">
        <f t="shared" si="7"/>
        <v/>
      </c>
    </row>
    <row r="459" spans="1:2" x14ac:dyDescent="0.25">
      <c r="A459" t="s">
        <v>24</v>
      </c>
      <c r="B459" t="str">
        <f t="shared" si="7"/>
        <v/>
      </c>
    </row>
    <row r="460" spans="1:2" x14ac:dyDescent="0.25">
      <c r="A460" t="s">
        <v>1</v>
      </c>
      <c r="B460" t="str">
        <f t="shared" si="7"/>
        <v>S, M, L, XL</v>
      </c>
    </row>
    <row r="461" spans="1:2" x14ac:dyDescent="0.25">
      <c r="A461" t="s">
        <v>212</v>
      </c>
      <c r="B461" t="str">
        <f t="shared" si="7"/>
        <v>Black Cognac Fawn</v>
      </c>
    </row>
    <row r="462" spans="1:2" x14ac:dyDescent="0.25">
      <c r="A462" t="s">
        <v>213</v>
      </c>
      <c r="B462" t="str">
        <f t="shared" si="7"/>
        <v>38359BH TROPE</v>
      </c>
    </row>
    <row r="463" spans="1:2" x14ac:dyDescent="0.25">
      <c r="A463" t="s">
        <v>62</v>
      </c>
      <c r="B463" t="str">
        <f t="shared" si="7"/>
        <v/>
      </c>
    </row>
    <row r="464" spans="1:2" x14ac:dyDescent="0.25">
      <c r="A464" t="s">
        <v>214</v>
      </c>
      <c r="B464" t="str">
        <f t="shared" si="7"/>
        <v/>
      </c>
    </row>
    <row r="465" spans="1:2" x14ac:dyDescent="0.25">
      <c r="A465" t="s">
        <v>210</v>
      </c>
      <c r="B465" t="str">
        <f t="shared" si="7"/>
        <v/>
      </c>
    </row>
    <row r="466" spans="1:2" x14ac:dyDescent="0.25">
      <c r="A466" t="s">
        <v>215</v>
      </c>
      <c r="B466" t="str">
        <f t="shared" si="7"/>
        <v/>
      </c>
    </row>
    <row r="467" spans="1:2" x14ac:dyDescent="0.25">
      <c r="A467" t="s">
        <v>216</v>
      </c>
      <c r="B467" t="str">
        <f t="shared" si="7"/>
        <v/>
      </c>
    </row>
    <row r="468" spans="1:2" x14ac:dyDescent="0.25">
      <c r="A468" t="s">
        <v>24</v>
      </c>
      <c r="B468" t="str">
        <f t="shared" si="7"/>
        <v/>
      </c>
    </row>
    <row r="469" spans="1:2" x14ac:dyDescent="0.25">
      <c r="A469" t="s">
        <v>1</v>
      </c>
      <c r="B469" t="str">
        <f t="shared" si="7"/>
        <v>S, M, L, XL</v>
      </c>
    </row>
    <row r="470" spans="1:2" x14ac:dyDescent="0.25">
      <c r="A470" t="s">
        <v>217</v>
      </c>
      <c r="B470" t="str">
        <f t="shared" si="7"/>
        <v>Black Uniform Green</v>
      </c>
    </row>
    <row r="471" spans="1:2" x14ac:dyDescent="0.25">
      <c r="A471" t="s">
        <v>218</v>
      </c>
      <c r="B471" t="str">
        <f t="shared" si="7"/>
        <v>38368BH CYD</v>
      </c>
    </row>
    <row r="472" spans="1:2" x14ac:dyDescent="0.25">
      <c r="A472" t="s">
        <v>32</v>
      </c>
      <c r="B472" t="str">
        <f t="shared" si="7"/>
        <v/>
      </c>
    </row>
    <row r="473" spans="1:2" x14ac:dyDescent="0.25">
      <c r="A473" t="s">
        <v>39</v>
      </c>
      <c r="B473" t="str">
        <f t="shared" si="7"/>
        <v/>
      </c>
    </row>
    <row r="474" spans="1:2" x14ac:dyDescent="0.25">
      <c r="A474" t="s">
        <v>210</v>
      </c>
      <c r="B474" t="str">
        <f t="shared" si="7"/>
        <v/>
      </c>
    </row>
    <row r="475" spans="1:2" x14ac:dyDescent="0.25">
      <c r="A475" t="s">
        <v>13</v>
      </c>
      <c r="B475" t="str">
        <f t="shared" si="7"/>
        <v/>
      </c>
    </row>
    <row r="476" spans="1:2" x14ac:dyDescent="0.25">
      <c r="A476" t="s">
        <v>24</v>
      </c>
      <c r="B476" t="str">
        <f t="shared" si="7"/>
        <v/>
      </c>
    </row>
    <row r="477" spans="1:2" x14ac:dyDescent="0.25">
      <c r="A477" t="s">
        <v>1</v>
      </c>
      <c r="B477" t="str">
        <f t="shared" si="7"/>
        <v>S, M, L, XL</v>
      </c>
    </row>
    <row r="478" spans="1:2" x14ac:dyDescent="0.25">
      <c r="A478" t="s">
        <v>219</v>
      </c>
      <c r="B478" t="str">
        <f t="shared" si="7"/>
        <v>Avion Black Whiskey</v>
      </c>
    </row>
    <row r="479" spans="1:2" x14ac:dyDescent="0.25">
      <c r="A479" t="s">
        <v>220</v>
      </c>
      <c r="B479" t="str">
        <f t="shared" si="7"/>
        <v>38366BH THALER</v>
      </c>
    </row>
    <row r="480" spans="1:2" x14ac:dyDescent="0.25">
      <c r="A480" t="s">
        <v>181</v>
      </c>
      <c r="B480" t="str">
        <f t="shared" si="7"/>
        <v/>
      </c>
    </row>
    <row r="481" spans="1:2" x14ac:dyDescent="0.25">
      <c r="A481" t="s">
        <v>39</v>
      </c>
      <c r="B481" t="str">
        <f t="shared" si="7"/>
        <v/>
      </c>
    </row>
    <row r="482" spans="1:2" x14ac:dyDescent="0.25">
      <c r="A482" t="s">
        <v>210</v>
      </c>
      <c r="B482" t="str">
        <f t="shared" si="7"/>
        <v/>
      </c>
    </row>
    <row r="483" spans="1:2" x14ac:dyDescent="0.25">
      <c r="A483" t="s">
        <v>221</v>
      </c>
      <c r="B483" t="str">
        <f t="shared" si="7"/>
        <v/>
      </c>
    </row>
    <row r="484" spans="1:2" x14ac:dyDescent="0.25">
      <c r="A484" t="s">
        <v>24</v>
      </c>
      <c r="B484" t="str">
        <f t="shared" si="7"/>
        <v/>
      </c>
    </row>
    <row r="485" spans="1:2" x14ac:dyDescent="0.25">
      <c r="A485" t="s">
        <v>1</v>
      </c>
      <c r="B485" t="str">
        <f t="shared" si="7"/>
        <v>S, M, L, XL</v>
      </c>
    </row>
    <row r="486" spans="1:2" x14ac:dyDescent="0.25">
      <c r="A486" t="s">
        <v>222</v>
      </c>
      <c r="B486" t="str">
        <f t="shared" si="7"/>
        <v>Black Nickel Uniform Green</v>
      </c>
    </row>
    <row r="487" spans="1:2" x14ac:dyDescent="0.25">
      <c r="A487" t="s">
        <v>223</v>
      </c>
      <c r="B487" t="str">
        <f t="shared" si="7"/>
        <v>3817 GODFATHER</v>
      </c>
    </row>
    <row r="488" spans="1:2" x14ac:dyDescent="0.25">
      <c r="A488" t="s">
        <v>224</v>
      </c>
      <c r="B488" t="str">
        <f t="shared" si="7"/>
        <v/>
      </c>
    </row>
    <row r="489" spans="1:2" x14ac:dyDescent="0.25">
      <c r="A489" t="s">
        <v>225</v>
      </c>
      <c r="B489" t="str">
        <f t="shared" si="7"/>
        <v/>
      </c>
    </row>
    <row r="490" spans="1:2" x14ac:dyDescent="0.25">
      <c r="A490" t="s">
        <v>210</v>
      </c>
      <c r="B490" t="str">
        <f t="shared" si="7"/>
        <v/>
      </c>
    </row>
    <row r="491" spans="1:2" x14ac:dyDescent="0.25">
      <c r="A491" t="s">
        <v>143</v>
      </c>
      <c r="B491" t="str">
        <f t="shared" si="7"/>
        <v/>
      </c>
    </row>
    <row r="492" spans="1:2" x14ac:dyDescent="0.25">
      <c r="A492" t="s">
        <v>35</v>
      </c>
      <c r="B492" t="str">
        <f t="shared" si="7"/>
        <v/>
      </c>
    </row>
    <row r="493" spans="1:2" x14ac:dyDescent="0.25">
      <c r="A493" t="s">
        <v>15</v>
      </c>
      <c r="B493" t="str">
        <f t="shared" si="7"/>
        <v/>
      </c>
    </row>
    <row r="494" spans="1:2" x14ac:dyDescent="0.25">
      <c r="A494" t="s">
        <v>105</v>
      </c>
      <c r="B494" t="str">
        <f t="shared" si="7"/>
        <v>S, M, L, XL, XXL</v>
      </c>
    </row>
    <row r="495" spans="1:2" x14ac:dyDescent="0.25">
      <c r="A495" t="s">
        <v>9</v>
      </c>
      <c r="B495" t="str">
        <f t="shared" si="7"/>
        <v>Black</v>
      </c>
    </row>
    <row r="496" spans="1:2" x14ac:dyDescent="0.25">
      <c r="A496" t="s">
        <v>226</v>
      </c>
      <c r="B496" t="str">
        <f t="shared" si="7"/>
        <v>3814 GANGSTER</v>
      </c>
    </row>
    <row r="497" spans="1:2" x14ac:dyDescent="0.25">
      <c r="A497" t="s">
        <v>62</v>
      </c>
      <c r="B497" t="str">
        <f t="shared" si="7"/>
        <v/>
      </c>
    </row>
    <row r="498" spans="1:2" x14ac:dyDescent="0.25">
      <c r="A498" t="s">
        <v>139</v>
      </c>
      <c r="B498" t="str">
        <f t="shared" si="7"/>
        <v/>
      </c>
    </row>
    <row r="499" spans="1:2" x14ac:dyDescent="0.25">
      <c r="A499" t="s">
        <v>210</v>
      </c>
      <c r="B499" t="str">
        <f t="shared" si="7"/>
        <v/>
      </c>
    </row>
    <row r="500" spans="1:2" x14ac:dyDescent="0.25">
      <c r="A500" t="s">
        <v>143</v>
      </c>
      <c r="B500" t="str">
        <f t="shared" si="7"/>
        <v/>
      </c>
    </row>
    <row r="501" spans="1:2" x14ac:dyDescent="0.25">
      <c r="A501" t="s">
        <v>35</v>
      </c>
      <c r="B501" t="str">
        <f t="shared" si="7"/>
        <v/>
      </c>
    </row>
    <row r="502" spans="1:2" x14ac:dyDescent="0.25">
      <c r="A502" t="s">
        <v>15</v>
      </c>
      <c r="B502" t="str">
        <f t="shared" si="7"/>
        <v/>
      </c>
    </row>
    <row r="503" spans="1:2" x14ac:dyDescent="0.25">
      <c r="A503" t="s">
        <v>105</v>
      </c>
      <c r="B503" t="str">
        <f t="shared" si="7"/>
        <v>S, M, L, XL, XXL</v>
      </c>
    </row>
    <row r="504" spans="1:2" x14ac:dyDescent="0.25">
      <c r="A504" t="s">
        <v>9</v>
      </c>
      <c r="B504" t="str">
        <f t="shared" ref="B504:B567" si="8">_xlfn.LET(_xlpm.isSizes,IFERROR(FIND(",",A504)&gt;=1,FALSE),_xlpm.isSizesUp,IFERROR(FIND(",",A503)&gt;=1,FALSE),_xlpm.isName,AND(IFERROR(VALUE(MID(A504,1,1)),FALSE),NOT(IFERROR(FIND("” ",A504)&gt;=1,FALSE)),NOT(IFERROR(FIND("/",A504)&gt;=1,FALSE))),_xlpm.isNameDown,AND(IFERROR(VALUE(MID(A505,1,1)),FALSE),NOT(IFERROR(FIND("” ",A505)&gt;=1,FALSE)),NOT(IFERROR(FIND("/",A505)&gt;=1,FALSE))),IF(_xlpm.isSizes,A504,IF(_xlpm.isSizesUp,A504,IF(_xlpm.isName,A504,IF(AND(_xlpm.isNameDown&lt;&gt;_xlpm.isName),A504,"")))))</f>
        <v>Black</v>
      </c>
    </row>
    <row r="505" spans="1:2" x14ac:dyDescent="0.25">
      <c r="A505" t="s">
        <v>227</v>
      </c>
      <c r="B505" t="str">
        <f t="shared" si="8"/>
        <v>38345BH MAGLOR</v>
      </c>
    </row>
    <row r="506" spans="1:2" x14ac:dyDescent="0.25">
      <c r="A506" t="s">
        <v>120</v>
      </c>
      <c r="B506" t="str">
        <f t="shared" si="8"/>
        <v/>
      </c>
    </row>
    <row r="507" spans="1:2" x14ac:dyDescent="0.25">
      <c r="A507" t="s">
        <v>228</v>
      </c>
      <c r="B507" t="str">
        <f t="shared" si="8"/>
        <v/>
      </c>
    </row>
    <row r="508" spans="1:2" x14ac:dyDescent="0.25">
      <c r="A508" t="s">
        <v>210</v>
      </c>
      <c r="B508" t="str">
        <f t="shared" si="8"/>
        <v/>
      </c>
    </row>
    <row r="509" spans="1:2" x14ac:dyDescent="0.25">
      <c r="A509" t="s">
        <v>229</v>
      </c>
      <c r="B509" t="str">
        <f t="shared" si="8"/>
        <v/>
      </c>
    </row>
    <row r="510" spans="1:2" x14ac:dyDescent="0.25">
      <c r="A510" t="s">
        <v>143</v>
      </c>
      <c r="B510" t="str">
        <f t="shared" si="8"/>
        <v/>
      </c>
    </row>
    <row r="511" spans="1:2" x14ac:dyDescent="0.25">
      <c r="A511" t="s">
        <v>15</v>
      </c>
      <c r="B511" t="str">
        <f t="shared" si="8"/>
        <v/>
      </c>
    </row>
    <row r="512" spans="1:2" x14ac:dyDescent="0.25">
      <c r="A512" t="s">
        <v>1</v>
      </c>
      <c r="B512" t="str">
        <f t="shared" si="8"/>
        <v>S, M, L, XL</v>
      </c>
    </row>
    <row r="513" spans="1:2" x14ac:dyDescent="0.25">
      <c r="A513" t="s">
        <v>230</v>
      </c>
      <c r="B513" t="str">
        <f t="shared" si="8"/>
        <v>Black Chocolate Forest Navy</v>
      </c>
    </row>
    <row r="514" spans="1:2" x14ac:dyDescent="0.25">
      <c r="A514" t="s">
        <v>231</v>
      </c>
      <c r="B514" t="str">
        <f t="shared" si="8"/>
        <v>7100 RIFF</v>
      </c>
    </row>
    <row r="515" spans="1:2" x14ac:dyDescent="0.25">
      <c r="A515" t="s">
        <v>62</v>
      </c>
      <c r="B515" t="str">
        <f t="shared" si="8"/>
        <v/>
      </c>
    </row>
    <row r="516" spans="1:2" x14ac:dyDescent="0.25">
      <c r="A516" t="s">
        <v>63</v>
      </c>
      <c r="B516" t="str">
        <f t="shared" si="8"/>
        <v/>
      </c>
    </row>
    <row r="517" spans="1:2" x14ac:dyDescent="0.25">
      <c r="A517" t="s">
        <v>232</v>
      </c>
      <c r="B517" t="str">
        <f t="shared" si="8"/>
        <v/>
      </c>
    </row>
    <row r="518" spans="1:2" x14ac:dyDescent="0.25">
      <c r="A518" t="s">
        <v>13</v>
      </c>
      <c r="B518" t="str">
        <f t="shared" si="8"/>
        <v/>
      </c>
    </row>
    <row r="519" spans="1:2" x14ac:dyDescent="0.25">
      <c r="A519" t="s">
        <v>24</v>
      </c>
      <c r="B519" t="str">
        <f t="shared" si="8"/>
        <v/>
      </c>
    </row>
    <row r="520" spans="1:2" x14ac:dyDescent="0.25">
      <c r="A520" t="s">
        <v>15</v>
      </c>
      <c r="B520" t="str">
        <f t="shared" si="8"/>
        <v/>
      </c>
    </row>
    <row r="521" spans="1:2" x14ac:dyDescent="0.25">
      <c r="A521" t="s">
        <v>105</v>
      </c>
      <c r="B521" t="str">
        <f t="shared" si="8"/>
        <v>S, M, L, XL, XXL</v>
      </c>
    </row>
    <row r="522" spans="1:2" x14ac:dyDescent="0.25">
      <c r="A522" t="s">
        <v>233</v>
      </c>
      <c r="B522" t="str">
        <f t="shared" si="8"/>
        <v>Black Lazuli Blue Mink Ochre</v>
      </c>
    </row>
    <row r="523" spans="1:2" x14ac:dyDescent="0.25">
      <c r="A523" t="s">
        <v>234</v>
      </c>
      <c r="B523" t="str">
        <f t="shared" si="8"/>
        <v>38350BH PISTON</v>
      </c>
    </row>
    <row r="524" spans="1:2" x14ac:dyDescent="0.25">
      <c r="A524" t="s">
        <v>120</v>
      </c>
      <c r="B524" t="str">
        <f t="shared" si="8"/>
        <v/>
      </c>
    </row>
    <row r="525" spans="1:2" x14ac:dyDescent="0.25">
      <c r="A525" t="s">
        <v>235</v>
      </c>
      <c r="B525" t="str">
        <f t="shared" si="8"/>
        <v/>
      </c>
    </row>
    <row r="526" spans="1:2" x14ac:dyDescent="0.25">
      <c r="A526" t="s">
        <v>210</v>
      </c>
      <c r="B526" t="str">
        <f t="shared" si="8"/>
        <v/>
      </c>
    </row>
    <row r="527" spans="1:2" x14ac:dyDescent="0.25">
      <c r="A527" t="s">
        <v>236</v>
      </c>
      <c r="B527" t="str">
        <f t="shared" si="8"/>
        <v/>
      </c>
    </row>
    <row r="528" spans="1:2" x14ac:dyDescent="0.25">
      <c r="A528" t="s">
        <v>143</v>
      </c>
      <c r="B528" t="str">
        <f t="shared" si="8"/>
        <v/>
      </c>
    </row>
    <row r="529" spans="1:2" x14ac:dyDescent="0.25">
      <c r="A529" t="s">
        <v>15</v>
      </c>
      <c r="B529" t="str">
        <f t="shared" si="8"/>
        <v/>
      </c>
    </row>
    <row r="530" spans="1:2" x14ac:dyDescent="0.25">
      <c r="A530" t="s">
        <v>1</v>
      </c>
      <c r="B530" t="str">
        <f t="shared" si="8"/>
        <v>S, M, L, XL</v>
      </c>
    </row>
    <row r="531" spans="1:2" x14ac:dyDescent="0.25">
      <c r="A531" t="s">
        <v>237</v>
      </c>
      <c r="B531" t="str">
        <f t="shared" si="8"/>
        <v>Black Caramel Navy Olive</v>
      </c>
    </row>
    <row r="532" spans="1:2" x14ac:dyDescent="0.25">
      <c r="A532" t="s">
        <v>238</v>
      </c>
      <c r="B532" t="str">
        <f t="shared" si="8"/>
        <v>38357BH KISNER</v>
      </c>
    </row>
    <row r="533" spans="1:2" x14ac:dyDescent="0.25">
      <c r="A533" t="s">
        <v>239</v>
      </c>
      <c r="B533" t="str">
        <f t="shared" si="8"/>
        <v/>
      </c>
    </row>
    <row r="534" spans="1:2" x14ac:dyDescent="0.25">
      <c r="A534" t="s">
        <v>209</v>
      </c>
      <c r="B534" t="str">
        <f t="shared" si="8"/>
        <v/>
      </c>
    </row>
    <row r="535" spans="1:2" x14ac:dyDescent="0.25">
      <c r="A535" t="s">
        <v>240</v>
      </c>
      <c r="B535" t="str">
        <f t="shared" si="8"/>
        <v/>
      </c>
    </row>
    <row r="536" spans="1:2" x14ac:dyDescent="0.25">
      <c r="A536" t="s">
        <v>241</v>
      </c>
      <c r="B536" t="str">
        <f t="shared" si="8"/>
        <v/>
      </c>
    </row>
    <row r="537" spans="1:2" x14ac:dyDescent="0.25">
      <c r="A537" t="s">
        <v>242</v>
      </c>
      <c r="B537" t="str">
        <f t="shared" si="8"/>
        <v/>
      </c>
    </row>
    <row r="538" spans="1:2" x14ac:dyDescent="0.25">
      <c r="A538" t="s">
        <v>24</v>
      </c>
      <c r="B538" t="str">
        <f t="shared" si="8"/>
        <v/>
      </c>
    </row>
    <row r="539" spans="1:2" x14ac:dyDescent="0.25">
      <c r="A539" t="s">
        <v>15</v>
      </c>
      <c r="B539" t="str">
        <f t="shared" si="8"/>
        <v/>
      </c>
    </row>
    <row r="540" spans="1:2" x14ac:dyDescent="0.25">
      <c r="A540" t="s">
        <v>1</v>
      </c>
      <c r="B540" t="str">
        <f t="shared" si="8"/>
        <v>S, M, L, XL</v>
      </c>
    </row>
    <row r="541" spans="1:2" x14ac:dyDescent="0.25">
      <c r="A541" t="s">
        <v>243</v>
      </c>
      <c r="B541" t="str">
        <f t="shared" si="8"/>
        <v>Black Silver Sand</v>
      </c>
    </row>
    <row r="542" spans="1:2" x14ac:dyDescent="0.25">
      <c r="A542" t="s">
        <v>244</v>
      </c>
      <c r="B542" t="str">
        <f t="shared" si="8"/>
        <v>71001BH CRISS</v>
      </c>
    </row>
    <row r="543" spans="1:2" x14ac:dyDescent="0.25">
      <c r="A543" t="s">
        <v>38</v>
      </c>
      <c r="B543" t="str">
        <f t="shared" si="8"/>
        <v/>
      </c>
    </row>
    <row r="544" spans="1:2" x14ac:dyDescent="0.25">
      <c r="A544" t="s">
        <v>49</v>
      </c>
      <c r="B544" t="str">
        <f t="shared" si="8"/>
        <v/>
      </c>
    </row>
    <row r="545" spans="1:2" x14ac:dyDescent="0.25">
      <c r="A545" t="s">
        <v>232</v>
      </c>
      <c r="B545" t="str">
        <f t="shared" si="8"/>
        <v/>
      </c>
    </row>
    <row r="546" spans="1:2" x14ac:dyDescent="0.25">
      <c r="A546" t="s">
        <v>13</v>
      </c>
      <c r="B546" t="str">
        <f t="shared" si="8"/>
        <v/>
      </c>
    </row>
    <row r="547" spans="1:2" x14ac:dyDescent="0.25">
      <c r="A547" t="s">
        <v>24</v>
      </c>
      <c r="B547" t="str">
        <f t="shared" si="8"/>
        <v/>
      </c>
    </row>
    <row r="548" spans="1:2" x14ac:dyDescent="0.25">
      <c r="A548" t="s">
        <v>15</v>
      </c>
      <c r="B548" t="str">
        <f t="shared" si="8"/>
        <v/>
      </c>
    </row>
    <row r="549" spans="1:2" x14ac:dyDescent="0.25">
      <c r="A549" t="s">
        <v>1</v>
      </c>
      <c r="B549" t="str">
        <f t="shared" si="8"/>
        <v>S, M, L, XL</v>
      </c>
    </row>
    <row r="550" spans="1:2" x14ac:dyDescent="0.25">
      <c r="A550" t="s">
        <v>245</v>
      </c>
      <c r="B550" t="str">
        <f t="shared" si="8"/>
        <v>Bitter Chocolate Black Mink Night Shade Navy</v>
      </c>
    </row>
    <row r="551" spans="1:2" x14ac:dyDescent="0.25">
      <c r="A551" t="s">
        <v>246</v>
      </c>
      <c r="B551" t="str">
        <f t="shared" si="8"/>
        <v>10001BH BRODNAX</v>
      </c>
    </row>
    <row r="552" spans="1:2" x14ac:dyDescent="0.25">
      <c r="A552" t="s">
        <v>247</v>
      </c>
      <c r="B552" t="str">
        <f t="shared" si="8"/>
        <v/>
      </c>
    </row>
    <row r="553" spans="1:2" x14ac:dyDescent="0.25">
      <c r="A553" t="s">
        <v>248</v>
      </c>
      <c r="B553" t="str">
        <f t="shared" si="8"/>
        <v/>
      </c>
    </row>
    <row r="554" spans="1:2" x14ac:dyDescent="0.25">
      <c r="A554" t="s">
        <v>249</v>
      </c>
      <c r="B554" t="str">
        <f t="shared" si="8"/>
        <v/>
      </c>
    </row>
    <row r="555" spans="1:2" x14ac:dyDescent="0.25">
      <c r="A555" t="s">
        <v>250</v>
      </c>
      <c r="B555" t="str">
        <f t="shared" si="8"/>
        <v/>
      </c>
    </row>
    <row r="556" spans="1:2" x14ac:dyDescent="0.25">
      <c r="A556" t="s">
        <v>251</v>
      </c>
      <c r="B556" t="str">
        <f t="shared" si="8"/>
        <v/>
      </c>
    </row>
    <row r="557" spans="1:2" x14ac:dyDescent="0.25">
      <c r="A557" t="s">
        <v>30</v>
      </c>
      <c r="B557" t="str">
        <f t="shared" si="8"/>
        <v/>
      </c>
    </row>
    <row r="558" spans="1:2" x14ac:dyDescent="0.25">
      <c r="A558" t="s">
        <v>143</v>
      </c>
      <c r="B558" t="str">
        <f t="shared" si="8"/>
        <v/>
      </c>
    </row>
    <row r="559" spans="1:2" x14ac:dyDescent="0.25">
      <c r="A559" t="s">
        <v>1</v>
      </c>
      <c r="B559" t="str">
        <f t="shared" si="8"/>
        <v>S, M, L, XL</v>
      </c>
    </row>
    <row r="560" spans="1:2" x14ac:dyDescent="0.25">
      <c r="A560" t="s">
        <v>252</v>
      </c>
      <c r="B560" t="str">
        <f t="shared" si="8"/>
        <v>Black Olive Oil Plaza Taupe</v>
      </c>
    </row>
    <row r="561" spans="1:2" x14ac:dyDescent="0.25">
      <c r="A561" t="s">
        <v>253</v>
      </c>
      <c r="B561" t="str">
        <f t="shared" si="8"/>
        <v>38358BH STERNE</v>
      </c>
    </row>
    <row r="562" spans="1:2" x14ac:dyDescent="0.25">
      <c r="A562" t="s">
        <v>11</v>
      </c>
      <c r="B562" t="str">
        <f t="shared" si="8"/>
        <v/>
      </c>
    </row>
    <row r="563" spans="1:2" x14ac:dyDescent="0.25">
      <c r="A563" t="s">
        <v>55</v>
      </c>
      <c r="B563" t="str">
        <f t="shared" si="8"/>
        <v/>
      </c>
    </row>
    <row r="564" spans="1:2" x14ac:dyDescent="0.25">
      <c r="A564" t="s">
        <v>210</v>
      </c>
      <c r="B564" t="str">
        <f t="shared" si="8"/>
        <v/>
      </c>
    </row>
    <row r="565" spans="1:2" x14ac:dyDescent="0.25">
      <c r="A565" t="s">
        <v>254</v>
      </c>
      <c r="B565" t="str">
        <f t="shared" si="8"/>
        <v/>
      </c>
    </row>
    <row r="566" spans="1:2" x14ac:dyDescent="0.25">
      <c r="A566" t="s">
        <v>255</v>
      </c>
      <c r="B566" t="str">
        <f t="shared" si="8"/>
        <v/>
      </c>
    </row>
    <row r="567" spans="1:2" x14ac:dyDescent="0.25">
      <c r="A567" t="s">
        <v>14</v>
      </c>
      <c r="B567" t="str">
        <f t="shared" si="8"/>
        <v/>
      </c>
    </row>
    <row r="568" spans="1:2" x14ac:dyDescent="0.25">
      <c r="A568" t="s">
        <v>15</v>
      </c>
      <c r="B568" t="str">
        <f t="shared" ref="B568:B631" si="9">_xlfn.LET(_xlpm.isSizes,IFERROR(FIND(",",A568)&gt;=1,FALSE),_xlpm.isSizesUp,IFERROR(FIND(",",A567)&gt;=1,FALSE),_xlpm.isName,AND(IFERROR(VALUE(MID(A568,1,1)),FALSE),NOT(IFERROR(FIND("” ",A568)&gt;=1,FALSE)),NOT(IFERROR(FIND("/",A568)&gt;=1,FALSE))),_xlpm.isNameDown,AND(IFERROR(VALUE(MID(A569,1,1)),FALSE),NOT(IFERROR(FIND("” ",A569)&gt;=1,FALSE)),NOT(IFERROR(FIND("/",A569)&gt;=1,FALSE))),IF(_xlpm.isSizes,A568,IF(_xlpm.isSizesUp,A568,IF(_xlpm.isName,A568,IF(AND(_xlpm.isNameDown&lt;&gt;_xlpm.isName),A568,"")))))</f>
        <v/>
      </c>
    </row>
    <row r="569" spans="1:2" x14ac:dyDescent="0.25">
      <c r="A569" t="s">
        <v>1</v>
      </c>
      <c r="B569" t="str">
        <f t="shared" si="9"/>
        <v>S, M, L, XL</v>
      </c>
    </row>
    <row r="570" spans="1:2" x14ac:dyDescent="0.25">
      <c r="A570" t="s">
        <v>256</v>
      </c>
      <c r="B570" t="str">
        <f t="shared" si="9"/>
        <v>Ochre Soft Khaki</v>
      </c>
    </row>
    <row r="571" spans="1:2" x14ac:dyDescent="0.25">
      <c r="A571" t="s">
        <v>257</v>
      </c>
      <c r="B571" t="str">
        <f t="shared" si="9"/>
        <v>38349BH KLAXON</v>
      </c>
    </row>
    <row r="572" spans="1:2" x14ac:dyDescent="0.25">
      <c r="A572" t="s">
        <v>99</v>
      </c>
      <c r="B572" t="str">
        <f t="shared" si="9"/>
        <v/>
      </c>
    </row>
    <row r="573" spans="1:2" x14ac:dyDescent="0.25">
      <c r="A573" t="s">
        <v>258</v>
      </c>
      <c r="B573" t="str">
        <f t="shared" si="9"/>
        <v/>
      </c>
    </row>
    <row r="574" spans="1:2" x14ac:dyDescent="0.25">
      <c r="A574" t="s">
        <v>210</v>
      </c>
      <c r="B574" t="str">
        <f t="shared" si="9"/>
        <v/>
      </c>
    </row>
    <row r="575" spans="1:2" x14ac:dyDescent="0.25">
      <c r="A575" t="s">
        <v>229</v>
      </c>
      <c r="B575" t="str">
        <f t="shared" si="9"/>
        <v/>
      </c>
    </row>
    <row r="576" spans="1:2" x14ac:dyDescent="0.25">
      <c r="A576" t="s">
        <v>143</v>
      </c>
      <c r="B576" t="str">
        <f t="shared" si="9"/>
        <v/>
      </c>
    </row>
    <row r="577" spans="1:2" x14ac:dyDescent="0.25">
      <c r="A577" t="s">
        <v>15</v>
      </c>
      <c r="B577" t="str">
        <f t="shared" si="9"/>
        <v/>
      </c>
    </row>
    <row r="578" spans="1:2" x14ac:dyDescent="0.25">
      <c r="A578" t="s">
        <v>1</v>
      </c>
      <c r="B578" t="str">
        <f t="shared" si="9"/>
        <v>S, M, L, XL</v>
      </c>
    </row>
    <row r="579" spans="1:2" x14ac:dyDescent="0.25">
      <c r="A579" t="s">
        <v>259</v>
      </c>
      <c r="B579" t="str">
        <f t="shared" si="9"/>
        <v>Black Navy</v>
      </c>
    </row>
    <row r="580" spans="1:2" x14ac:dyDescent="0.25">
      <c r="A580" t="s">
        <v>260</v>
      </c>
      <c r="B580" t="str">
        <f t="shared" si="9"/>
        <v>1451 JETT</v>
      </c>
    </row>
    <row r="581" spans="1:2" x14ac:dyDescent="0.25">
      <c r="A581" t="s">
        <v>261</v>
      </c>
      <c r="B581" t="str">
        <f t="shared" si="9"/>
        <v/>
      </c>
    </row>
    <row r="582" spans="1:2" x14ac:dyDescent="0.25">
      <c r="A582" t="s">
        <v>63</v>
      </c>
      <c r="B582" t="str">
        <f t="shared" si="9"/>
        <v/>
      </c>
    </row>
    <row r="583" spans="1:2" x14ac:dyDescent="0.25">
      <c r="A583" t="s">
        <v>232</v>
      </c>
      <c r="B583" t="str">
        <f t="shared" si="9"/>
        <v/>
      </c>
    </row>
    <row r="584" spans="1:2" x14ac:dyDescent="0.25">
      <c r="A584" t="s">
        <v>143</v>
      </c>
      <c r="B584" t="str">
        <f t="shared" si="9"/>
        <v/>
      </c>
    </row>
    <row r="585" spans="1:2" x14ac:dyDescent="0.25">
      <c r="A585" t="s">
        <v>35</v>
      </c>
      <c r="B585" t="str">
        <f t="shared" si="9"/>
        <v/>
      </c>
    </row>
    <row r="586" spans="1:2" x14ac:dyDescent="0.25">
      <c r="A586" t="s">
        <v>15</v>
      </c>
      <c r="B586" t="str">
        <f t="shared" si="9"/>
        <v/>
      </c>
    </row>
    <row r="587" spans="1:2" x14ac:dyDescent="0.25">
      <c r="A587" t="s">
        <v>262</v>
      </c>
      <c r="B587" t="str">
        <f t="shared" si="9"/>
        <v>6 3/4, 6 7/8, 7, 7 1/8, 7 1/4, 7 3/8, 7 1/2, 7 5/8</v>
      </c>
    </row>
    <row r="588" spans="1:2" x14ac:dyDescent="0.25">
      <c r="A588" t="s">
        <v>9</v>
      </c>
      <c r="B588" t="str">
        <f t="shared" si="9"/>
        <v>Black</v>
      </c>
    </row>
    <row r="589" spans="1:2" x14ac:dyDescent="0.25">
      <c r="A589" t="s">
        <v>263</v>
      </c>
      <c r="B589" t="str">
        <f t="shared" si="9"/>
        <v>1452 HARKER</v>
      </c>
    </row>
    <row r="590" spans="1:2" x14ac:dyDescent="0.25">
      <c r="A590" t="s">
        <v>264</v>
      </c>
      <c r="B590" t="str">
        <f t="shared" si="9"/>
        <v/>
      </c>
    </row>
    <row r="591" spans="1:2" x14ac:dyDescent="0.25">
      <c r="A591" t="s">
        <v>265</v>
      </c>
      <c r="B591" t="str">
        <f t="shared" si="9"/>
        <v/>
      </c>
    </row>
    <row r="592" spans="1:2" x14ac:dyDescent="0.25">
      <c r="A592" t="s">
        <v>232</v>
      </c>
      <c r="B592" t="str">
        <f t="shared" si="9"/>
        <v/>
      </c>
    </row>
    <row r="593" spans="1:2" x14ac:dyDescent="0.25">
      <c r="A593" t="s">
        <v>143</v>
      </c>
      <c r="B593" t="str">
        <f t="shared" si="9"/>
        <v/>
      </c>
    </row>
    <row r="594" spans="1:2" x14ac:dyDescent="0.25">
      <c r="A594" t="s">
        <v>35</v>
      </c>
      <c r="B594" t="str">
        <f t="shared" si="9"/>
        <v/>
      </c>
    </row>
    <row r="595" spans="1:2" x14ac:dyDescent="0.25">
      <c r="A595" t="s">
        <v>15</v>
      </c>
      <c r="B595" t="str">
        <f t="shared" si="9"/>
        <v/>
      </c>
    </row>
    <row r="596" spans="1:2" x14ac:dyDescent="0.25">
      <c r="A596" t="s">
        <v>262</v>
      </c>
      <c r="B596" t="str">
        <f t="shared" si="9"/>
        <v>6 3/4, 6 7/8, 7, 7 1/8, 7 1/4, 7 3/8, 7 1/2, 7 5/8</v>
      </c>
    </row>
    <row r="597" spans="1:2" x14ac:dyDescent="0.25">
      <c r="A597" t="s">
        <v>266</v>
      </c>
      <c r="B597" t="str">
        <f t="shared" si="9"/>
        <v>Black Hemlock</v>
      </c>
    </row>
    <row r="598" spans="1:2" x14ac:dyDescent="0.25">
      <c r="A598" t="s">
        <v>267</v>
      </c>
      <c r="B598" t="str">
        <f t="shared" si="9"/>
        <v>3813 ICE</v>
      </c>
    </row>
    <row r="599" spans="1:2" x14ac:dyDescent="0.25">
      <c r="A599" t="s">
        <v>268</v>
      </c>
      <c r="B599" t="str">
        <f t="shared" si="9"/>
        <v/>
      </c>
    </row>
    <row r="600" spans="1:2" x14ac:dyDescent="0.25">
      <c r="A600" t="s">
        <v>269</v>
      </c>
      <c r="B600" t="str">
        <f t="shared" si="9"/>
        <v/>
      </c>
    </row>
    <row r="601" spans="1:2" x14ac:dyDescent="0.25">
      <c r="A601" t="s">
        <v>210</v>
      </c>
      <c r="B601" t="str">
        <f t="shared" si="9"/>
        <v/>
      </c>
    </row>
    <row r="602" spans="1:2" x14ac:dyDescent="0.25">
      <c r="A602" t="s">
        <v>143</v>
      </c>
      <c r="B602" t="str">
        <f t="shared" si="9"/>
        <v/>
      </c>
    </row>
    <row r="603" spans="1:2" x14ac:dyDescent="0.25">
      <c r="A603" t="s">
        <v>35</v>
      </c>
      <c r="B603" t="str">
        <f t="shared" si="9"/>
        <v/>
      </c>
    </row>
    <row r="604" spans="1:2" x14ac:dyDescent="0.25">
      <c r="A604" t="s">
        <v>15</v>
      </c>
      <c r="B604" t="str">
        <f t="shared" si="9"/>
        <v/>
      </c>
    </row>
    <row r="605" spans="1:2" x14ac:dyDescent="0.25">
      <c r="A605" t="s">
        <v>1</v>
      </c>
      <c r="B605" t="str">
        <f t="shared" si="9"/>
        <v>S, M, L, XL</v>
      </c>
    </row>
    <row r="606" spans="1:2" x14ac:dyDescent="0.25">
      <c r="A606" t="s">
        <v>9</v>
      </c>
      <c r="B606" t="str">
        <f t="shared" si="9"/>
        <v>Black</v>
      </c>
    </row>
    <row r="607" spans="1:2" x14ac:dyDescent="0.25">
      <c r="A607" t="s">
        <v>270</v>
      </c>
      <c r="B607" t="str">
        <f t="shared" si="9"/>
        <v>3816 DERBY</v>
      </c>
    </row>
    <row r="608" spans="1:2" x14ac:dyDescent="0.25">
      <c r="A608" t="s">
        <v>264</v>
      </c>
      <c r="B608" t="str">
        <f t="shared" si="9"/>
        <v/>
      </c>
    </row>
    <row r="609" spans="1:2" x14ac:dyDescent="0.25">
      <c r="A609" t="s">
        <v>269</v>
      </c>
      <c r="B609" t="str">
        <f t="shared" si="9"/>
        <v/>
      </c>
    </row>
    <row r="610" spans="1:2" x14ac:dyDescent="0.25">
      <c r="A610" t="s">
        <v>210</v>
      </c>
      <c r="B610" t="str">
        <f t="shared" si="9"/>
        <v/>
      </c>
    </row>
    <row r="611" spans="1:2" x14ac:dyDescent="0.25">
      <c r="A611" t="s">
        <v>143</v>
      </c>
      <c r="B611" t="str">
        <f t="shared" si="9"/>
        <v/>
      </c>
    </row>
    <row r="612" spans="1:2" x14ac:dyDescent="0.25">
      <c r="A612" t="s">
        <v>35</v>
      </c>
      <c r="B612" t="str">
        <f t="shared" si="9"/>
        <v/>
      </c>
    </row>
    <row r="613" spans="1:2" x14ac:dyDescent="0.25">
      <c r="A613" t="s">
        <v>15</v>
      </c>
      <c r="B613" t="str">
        <f t="shared" si="9"/>
        <v/>
      </c>
    </row>
    <row r="614" spans="1:2" x14ac:dyDescent="0.25">
      <c r="A614" t="s">
        <v>105</v>
      </c>
      <c r="B614" t="str">
        <f t="shared" si="9"/>
        <v>S, M, L, XL, XXL</v>
      </c>
    </row>
    <row r="615" spans="1:2" x14ac:dyDescent="0.25">
      <c r="A615" t="s">
        <v>271</v>
      </c>
      <c r="B615" t="str">
        <f t="shared" si="9"/>
        <v>Black Brown White</v>
      </c>
    </row>
    <row r="616" spans="1:2" x14ac:dyDescent="0.25">
      <c r="A616" t="s">
        <v>272</v>
      </c>
      <c r="B616" t="str">
        <f t="shared" si="9"/>
        <v>81670 BILLY</v>
      </c>
    </row>
    <row r="617" spans="1:2" x14ac:dyDescent="0.25">
      <c r="A617" t="s">
        <v>273</v>
      </c>
      <c r="B617" t="str">
        <f t="shared" si="9"/>
        <v/>
      </c>
    </row>
    <row r="618" spans="1:2" x14ac:dyDescent="0.25">
      <c r="A618" t="s">
        <v>274</v>
      </c>
      <c r="B618" t="str">
        <f t="shared" si="9"/>
        <v/>
      </c>
    </row>
    <row r="619" spans="1:2" x14ac:dyDescent="0.25">
      <c r="A619" t="s">
        <v>275</v>
      </c>
      <c r="B619" t="str">
        <f t="shared" si="9"/>
        <v/>
      </c>
    </row>
    <row r="620" spans="1:2" x14ac:dyDescent="0.25">
      <c r="A620" t="s">
        <v>143</v>
      </c>
      <c r="B620" t="str">
        <f t="shared" si="9"/>
        <v/>
      </c>
    </row>
    <row r="621" spans="1:2" x14ac:dyDescent="0.25">
      <c r="A621" t="s">
        <v>105</v>
      </c>
      <c r="B621" t="str">
        <f t="shared" si="9"/>
        <v>S, M, L, XL, XXL</v>
      </c>
    </row>
    <row r="622" spans="1:2" x14ac:dyDescent="0.25">
      <c r="A622" t="s">
        <v>276</v>
      </c>
      <c r="B622" t="str">
        <f t="shared" si="9"/>
        <v>Fog Latte Navy Static Tan</v>
      </c>
    </row>
    <row r="623" spans="1:2" x14ac:dyDescent="0.25">
      <c r="A623" t="s">
        <v>277</v>
      </c>
      <c r="B623" t="str">
        <f t="shared" si="9"/>
        <v>Birch Black Coconut Deep Red Espresso</v>
      </c>
    </row>
    <row r="624" spans="1:2" x14ac:dyDescent="0.25">
      <c r="A624" t="s">
        <v>278</v>
      </c>
      <c r="B624" t="str">
        <f t="shared" si="9"/>
        <v>81690 MANNES</v>
      </c>
    </row>
    <row r="625" spans="1:2" x14ac:dyDescent="0.25">
      <c r="A625" t="s">
        <v>273</v>
      </c>
      <c r="B625" t="str">
        <f t="shared" si="9"/>
        <v/>
      </c>
    </row>
    <row r="626" spans="1:2" x14ac:dyDescent="0.25">
      <c r="A626" t="s">
        <v>274</v>
      </c>
      <c r="B626" t="str">
        <f t="shared" si="9"/>
        <v/>
      </c>
    </row>
    <row r="627" spans="1:2" x14ac:dyDescent="0.25">
      <c r="A627" t="s">
        <v>279</v>
      </c>
      <c r="B627" t="str">
        <f t="shared" si="9"/>
        <v/>
      </c>
    </row>
    <row r="628" spans="1:2" x14ac:dyDescent="0.25">
      <c r="A628" t="s">
        <v>143</v>
      </c>
      <c r="B628" t="str">
        <f t="shared" si="9"/>
        <v/>
      </c>
    </row>
    <row r="629" spans="1:2" x14ac:dyDescent="0.25">
      <c r="A629" t="s">
        <v>105</v>
      </c>
      <c r="B629" t="str">
        <f t="shared" si="9"/>
        <v>S, M, L, XL, XXL</v>
      </c>
    </row>
    <row r="630" spans="1:2" x14ac:dyDescent="0.25">
      <c r="A630" t="s">
        <v>280</v>
      </c>
      <c r="B630" t="str">
        <f t="shared" si="9"/>
        <v>Navy Multi Nordic Multi Overcast Skydiver Woods Multi</v>
      </c>
    </row>
    <row r="631" spans="1:2" x14ac:dyDescent="0.25">
      <c r="A631" t="s">
        <v>345</v>
      </c>
      <c r="B631" t="str">
        <f t="shared" si="9"/>
        <v>Cement Multi Deep Red Multi Light Grey Multi Natural Multi Brown Multi Charcoal Multi</v>
      </c>
    </row>
    <row r="632" spans="1:2" x14ac:dyDescent="0.25">
      <c r="A632" t="s">
        <v>281</v>
      </c>
      <c r="B632" t="str">
        <f t="shared" ref="B632:B644" si="10">_xlfn.LET(_xlpm.isSizes,IFERROR(FIND(",",A632)&gt;=1,FALSE),_xlpm.isSizesUp,IFERROR(FIND(",",A631)&gt;=1,FALSE),_xlpm.isName,AND(IFERROR(VALUE(MID(A632,1,1)),FALSE),NOT(IFERROR(FIND("” ",A632)&gt;=1,FALSE)),NOT(IFERROR(FIND("/",A632)&gt;=1,FALSE))),_xlpm.isNameDown,AND(IFERROR(VALUE(MID(A633,1,1)),FALSE),NOT(IFERROR(FIND("” ",A633)&gt;=1,FALSE)),NOT(IFERROR(FIND("/",A633)&gt;=1,FALSE))),IF(_xlpm.isSizes,A632,IF(_xlpm.isSizesUp,A632,IF(_xlpm.isName,A632,IF(AND(_xlpm.isNameDown&lt;&gt;_xlpm.isName),A632,"")))))</f>
        <v>25550BH DERIN</v>
      </c>
    </row>
    <row r="633" spans="1:2" x14ac:dyDescent="0.25">
      <c r="A633" t="s">
        <v>282</v>
      </c>
      <c r="B633" t="str">
        <f t="shared" si="10"/>
        <v/>
      </c>
    </row>
    <row r="634" spans="1:2" x14ac:dyDescent="0.25">
      <c r="A634" t="s">
        <v>143</v>
      </c>
      <c r="B634" t="str">
        <f t="shared" si="10"/>
        <v/>
      </c>
    </row>
    <row r="635" spans="1:2" x14ac:dyDescent="0.25">
      <c r="A635" t="s">
        <v>15</v>
      </c>
      <c r="B635" t="str">
        <f t="shared" si="10"/>
        <v/>
      </c>
    </row>
    <row r="636" spans="1:2" x14ac:dyDescent="0.25">
      <c r="A636" t="s">
        <v>1</v>
      </c>
      <c r="B636" t="str">
        <f t="shared" si="10"/>
        <v>S, M, L, XL</v>
      </c>
    </row>
    <row r="637" spans="1:2" x14ac:dyDescent="0.25">
      <c r="A637" t="s">
        <v>283</v>
      </c>
      <c r="B637" t="str">
        <f t="shared" si="10"/>
        <v>Black Blue Bronze</v>
      </c>
    </row>
    <row r="638" spans="1:2" x14ac:dyDescent="0.25">
      <c r="A638" t="s">
        <v>284</v>
      </c>
      <c r="B638" t="str">
        <f t="shared" si="10"/>
        <v>25553BH ABEL</v>
      </c>
    </row>
    <row r="639" spans="1:2" x14ac:dyDescent="0.25">
      <c r="A639" t="s">
        <v>285</v>
      </c>
      <c r="B639" t="str">
        <f t="shared" si="10"/>
        <v/>
      </c>
    </row>
    <row r="640" spans="1:2" x14ac:dyDescent="0.25">
      <c r="A640" t="s">
        <v>286</v>
      </c>
      <c r="B640" t="str">
        <f t="shared" si="10"/>
        <v/>
      </c>
    </row>
    <row r="641" spans="1:2" x14ac:dyDescent="0.25">
      <c r="A641" t="s">
        <v>287</v>
      </c>
      <c r="B641" t="str">
        <f t="shared" si="10"/>
        <v/>
      </c>
    </row>
    <row r="642" spans="1:2" x14ac:dyDescent="0.25">
      <c r="A642" t="s">
        <v>143</v>
      </c>
      <c r="B642" t="str">
        <f t="shared" si="10"/>
        <v/>
      </c>
    </row>
    <row r="643" spans="1:2" x14ac:dyDescent="0.25">
      <c r="A643" t="s">
        <v>15</v>
      </c>
      <c r="B643" t="str">
        <f t="shared" si="10"/>
        <v/>
      </c>
    </row>
    <row r="644" spans="1:2" x14ac:dyDescent="0.25">
      <c r="A644" t="s">
        <v>1</v>
      </c>
      <c r="B644" t="str">
        <f t="shared" si="10"/>
        <v>S, M, L, XL</v>
      </c>
    </row>
    <row r="645" spans="1:2" x14ac:dyDescent="0.25">
      <c r="A645" t="s">
        <v>288</v>
      </c>
      <c r="B645" t="str">
        <f t="shared" ref="B645:B690" si="11">_xlfn.LET(_xlpm.isSizes,IFERROR(FIND(",",A645)&gt;=1,FALSE),_xlpm.isSizesUp,IFERROR(FIND(",",A644)&gt;=1,FALSE),_xlpm.isName,AND(IFERROR(VALUE(MID(A645,1,1)),FALSE),NOT(IFERROR(FIND("” ",A645)&gt;=1,FALSE)),NOT(IFERROR(FIND("/",A645)&gt;=1,FALSE))),_xlpm.isNameDown,AND(IFERROR(VALUE(MID(A646,1,1)),FALSE),NOT(IFERROR(FIND("” ",A646)&gt;=1,FALSE)),NOT(IFERROR(FIND("/",A646)&gt;=1,FALSE))),IF(_xlpm.isSizes,A645,IF(_xlpm.isSizesUp,A645,IF(_xlpm.isName,A645,IF(AND(_xlpm.isNameDown&lt;&gt;_xlpm.isName),A645,"")))))</f>
        <v>Copper Green Grey</v>
      </c>
    </row>
    <row r="646" spans="1:2" x14ac:dyDescent="0.25">
      <c r="A646" t="s">
        <v>289</v>
      </c>
      <c r="B646" t="str">
        <f t="shared" si="11"/>
        <v>25552BH CLAUD</v>
      </c>
    </row>
    <row r="647" spans="1:2" x14ac:dyDescent="0.25">
      <c r="A647" t="s">
        <v>290</v>
      </c>
      <c r="B647" t="str">
        <f t="shared" si="11"/>
        <v/>
      </c>
    </row>
    <row r="648" spans="1:2" x14ac:dyDescent="0.25">
      <c r="A648" t="s">
        <v>287</v>
      </c>
      <c r="B648" t="str">
        <f t="shared" si="11"/>
        <v/>
      </c>
    </row>
    <row r="649" spans="1:2" x14ac:dyDescent="0.25">
      <c r="A649" t="s">
        <v>143</v>
      </c>
      <c r="B649" t="str">
        <f t="shared" si="11"/>
        <v/>
      </c>
    </row>
    <row r="650" spans="1:2" x14ac:dyDescent="0.25">
      <c r="A650" t="s">
        <v>15</v>
      </c>
      <c r="B650" t="str">
        <f t="shared" si="11"/>
        <v/>
      </c>
    </row>
    <row r="651" spans="1:2" x14ac:dyDescent="0.25">
      <c r="A651" t="s">
        <v>1</v>
      </c>
      <c r="B651" t="str">
        <f t="shared" si="11"/>
        <v>S, M, L, XL</v>
      </c>
    </row>
    <row r="652" spans="1:2" x14ac:dyDescent="0.25">
      <c r="A652" t="s">
        <v>283</v>
      </c>
      <c r="B652" t="str">
        <f>_xlfn.LET(_xlpm.isSizes,IFERROR(FIND(",",A652)&gt;=1,FALSE),_xlpm.isSizesUp,IFERROR(FIND(",",A651)&gt;=1,FALSE),_xlpm.isName,AND(IFERROR(VALUE(MID(A652,1,1)),FALSE),NOT(IFERROR(FIND("” ",A652)&gt;=1,FALSE)),NOT(IFERROR(FIND("/",A652)&gt;=1,FALSE))),_xlpm.isNameDown,AND(IFERROR(VALUE(MID(#REF!,1,1)),FALSE),NOT(IFERROR(FIND("” ",#REF!)&gt;=1,FALSE)),NOT(IFERROR(FIND("/",#REF!)&gt;=1,FALSE))),IF(_xlpm.isSizes,A652,IF(_xlpm.isSizesUp,A652,IF(_xlpm.isName,A652,IF(AND(_xlpm.isNameDown&lt;&gt;_xlpm.isName),A652,"")))))</f>
        <v>Black Blue Bronze</v>
      </c>
    </row>
    <row r="653" spans="1:2" x14ac:dyDescent="0.25">
      <c r="A653" t="s">
        <v>291</v>
      </c>
      <c r="B653" t="str">
        <f>_xlfn.LET(_xlpm.isSizes,IFERROR(FIND(",",A653)&gt;=1,FALSE),_xlpm.isSizesUp,IFERROR(FIND(",",#REF!)&gt;=1,FALSE),_xlpm.isName,AND(IFERROR(VALUE(MID(A653,1,1)),FALSE),NOT(IFERROR(FIND("” ",A653)&gt;=1,FALSE)),NOT(IFERROR(FIND("/",A653)&gt;=1,FALSE))),_xlpm.isNameDown,AND(IFERROR(VALUE(MID(A654,1,1)),FALSE),NOT(IFERROR(FIND("” ",A654)&gt;=1,FALSE)),NOT(IFERROR(FIND("/",A654)&gt;=1,FALSE))),IF(_xlpm.isSizes,A653,IF(_xlpm.isSizesUp,A653,IF(_xlpm.isName,A653,IF(AND(_xlpm.isNameDown&lt;&gt;_xlpm.isName),A653,"")))))</f>
        <v>25551BH FOSTER</v>
      </c>
    </row>
    <row r="654" spans="1:2" x14ac:dyDescent="0.25">
      <c r="A654" t="s">
        <v>290</v>
      </c>
      <c r="B654" t="str">
        <f t="shared" si="11"/>
        <v/>
      </c>
    </row>
    <row r="655" spans="1:2" x14ac:dyDescent="0.25">
      <c r="A655" t="s">
        <v>287</v>
      </c>
      <c r="B655" t="str">
        <f t="shared" si="11"/>
        <v/>
      </c>
    </row>
    <row r="656" spans="1:2" x14ac:dyDescent="0.25">
      <c r="A656" t="s">
        <v>292</v>
      </c>
      <c r="B656" t="str">
        <f t="shared" si="11"/>
        <v/>
      </c>
    </row>
    <row r="657" spans="1:2" x14ac:dyDescent="0.25">
      <c r="A657" t="s">
        <v>143</v>
      </c>
      <c r="B657" t="str">
        <f t="shared" si="11"/>
        <v/>
      </c>
    </row>
    <row r="658" spans="1:2" x14ac:dyDescent="0.25">
      <c r="A658" t="s">
        <v>15</v>
      </c>
      <c r="B658" t="str">
        <f t="shared" si="11"/>
        <v/>
      </c>
    </row>
    <row r="659" spans="1:2" x14ac:dyDescent="0.25">
      <c r="A659" t="s">
        <v>1</v>
      </c>
      <c r="B659" t="str">
        <f t="shared" si="11"/>
        <v>S, M, L, XL</v>
      </c>
    </row>
    <row r="660" spans="1:2" x14ac:dyDescent="0.25">
      <c r="A660" t="s">
        <v>293</v>
      </c>
      <c r="B660" t="str">
        <f t="shared" si="11"/>
        <v>Avion Black Oak</v>
      </c>
    </row>
    <row r="661" spans="1:2" x14ac:dyDescent="0.25">
      <c r="A661" t="s">
        <v>294</v>
      </c>
      <c r="B661" t="str">
        <f t="shared" si="11"/>
        <v>25555BH APOSTO</v>
      </c>
    </row>
    <row r="662" spans="1:2" x14ac:dyDescent="0.25">
      <c r="A662" t="s">
        <v>285</v>
      </c>
      <c r="B662" t="str">
        <f t="shared" si="11"/>
        <v/>
      </c>
    </row>
    <row r="663" spans="1:2" x14ac:dyDescent="0.25">
      <c r="A663" t="s">
        <v>287</v>
      </c>
      <c r="B663" t="str">
        <f t="shared" si="11"/>
        <v/>
      </c>
    </row>
    <row r="664" spans="1:2" x14ac:dyDescent="0.25">
      <c r="A664" t="s">
        <v>143</v>
      </c>
      <c r="B664" t="str">
        <f t="shared" si="11"/>
        <v/>
      </c>
    </row>
    <row r="665" spans="1:2" x14ac:dyDescent="0.25">
      <c r="A665" t="s">
        <v>15</v>
      </c>
      <c r="B665" t="str">
        <f t="shared" si="11"/>
        <v/>
      </c>
    </row>
    <row r="666" spans="1:2" x14ac:dyDescent="0.25">
      <c r="A666" t="s">
        <v>1</v>
      </c>
      <c r="B666" t="str">
        <f t="shared" si="11"/>
        <v>S, M, L, XL</v>
      </c>
    </row>
    <row r="667" spans="1:2" x14ac:dyDescent="0.25">
      <c r="A667" t="s">
        <v>295</v>
      </c>
      <c r="B667" t="str">
        <f t="shared" si="11"/>
        <v>Beige Stripe Black Stripe Avion Stripe</v>
      </c>
    </row>
    <row r="668" spans="1:2" x14ac:dyDescent="0.25">
      <c r="A668" t="s">
        <v>296</v>
      </c>
      <c r="B668" t="str">
        <f t="shared" si="11"/>
        <v>25554BH LOU</v>
      </c>
    </row>
    <row r="669" spans="1:2" x14ac:dyDescent="0.25">
      <c r="A669" t="s">
        <v>297</v>
      </c>
      <c r="B669" t="str">
        <f t="shared" si="11"/>
        <v/>
      </c>
    </row>
    <row r="670" spans="1:2" x14ac:dyDescent="0.25">
      <c r="A670" t="s">
        <v>287</v>
      </c>
      <c r="B670" t="str">
        <f t="shared" si="11"/>
        <v/>
      </c>
    </row>
    <row r="671" spans="1:2" x14ac:dyDescent="0.25">
      <c r="A671" t="s">
        <v>143</v>
      </c>
      <c r="B671" t="str">
        <f t="shared" si="11"/>
        <v/>
      </c>
    </row>
    <row r="672" spans="1:2" x14ac:dyDescent="0.25">
      <c r="A672" t="s">
        <v>15</v>
      </c>
      <c r="B672" t="str">
        <f t="shared" si="11"/>
        <v/>
      </c>
    </row>
    <row r="673" spans="1:2" x14ac:dyDescent="0.25">
      <c r="A673" t="s">
        <v>1</v>
      </c>
      <c r="B673" t="str">
        <f t="shared" si="11"/>
        <v>S, M, L, XL</v>
      </c>
    </row>
    <row r="674" spans="1:2" x14ac:dyDescent="0.25">
      <c r="A674" t="s">
        <v>298</v>
      </c>
      <c r="B674" t="str">
        <f t="shared" si="11"/>
        <v>Oak Plaid</v>
      </c>
    </row>
    <row r="675" spans="1:2" x14ac:dyDescent="0.25">
      <c r="A675" t="s">
        <v>299</v>
      </c>
      <c r="B675" t="str">
        <f t="shared" si="11"/>
        <v>25558BH FURMAN</v>
      </c>
    </row>
    <row r="676" spans="1:2" x14ac:dyDescent="0.25">
      <c r="A676" t="s">
        <v>300</v>
      </c>
      <c r="B676" t="str">
        <f t="shared" si="11"/>
        <v/>
      </c>
    </row>
    <row r="677" spans="1:2" x14ac:dyDescent="0.25">
      <c r="A677" t="s">
        <v>287</v>
      </c>
      <c r="B677" t="str">
        <f t="shared" si="11"/>
        <v/>
      </c>
    </row>
    <row r="678" spans="1:2" x14ac:dyDescent="0.25">
      <c r="A678" t="s">
        <v>143</v>
      </c>
      <c r="B678" t="str">
        <f t="shared" si="11"/>
        <v/>
      </c>
    </row>
    <row r="679" spans="1:2" x14ac:dyDescent="0.25">
      <c r="A679" t="s">
        <v>15</v>
      </c>
      <c r="B679" t="str">
        <f t="shared" si="11"/>
        <v/>
      </c>
    </row>
    <row r="680" spans="1:2" x14ac:dyDescent="0.25">
      <c r="A680" t="s">
        <v>1</v>
      </c>
      <c r="B680" t="str">
        <f t="shared" si="11"/>
        <v>S, M, L, XL</v>
      </c>
    </row>
    <row r="681" spans="1:2" x14ac:dyDescent="0.25">
      <c r="A681" t="s">
        <v>301</v>
      </c>
      <c r="B681" t="str">
        <f t="shared" si="11"/>
        <v>Blue Plaid Copper Plaid Uniform Green Plaid</v>
      </c>
    </row>
    <row r="682" spans="1:2" x14ac:dyDescent="0.25">
      <c r="A682" t="s">
        <v>302</v>
      </c>
      <c r="B682" t="str">
        <f t="shared" si="11"/>
        <v>25440 ORMOND</v>
      </c>
    </row>
    <row r="683" spans="1:2" x14ac:dyDescent="0.25">
      <c r="A683" t="s">
        <v>297</v>
      </c>
      <c r="B683" t="str">
        <f t="shared" si="11"/>
        <v/>
      </c>
    </row>
    <row r="684" spans="1:2" x14ac:dyDescent="0.25">
      <c r="A684" t="s">
        <v>287</v>
      </c>
      <c r="B684" t="str">
        <f t="shared" si="11"/>
        <v/>
      </c>
    </row>
    <row r="685" spans="1:2" x14ac:dyDescent="0.25">
      <c r="A685" t="s">
        <v>143</v>
      </c>
      <c r="B685" t="str">
        <f t="shared" si="11"/>
        <v/>
      </c>
    </row>
    <row r="686" spans="1:2" x14ac:dyDescent="0.25">
      <c r="A686" t="s">
        <v>15</v>
      </c>
      <c r="B686" t="str">
        <f t="shared" si="11"/>
        <v/>
      </c>
    </row>
    <row r="687" spans="1:2" x14ac:dyDescent="0.25">
      <c r="A687" t="s">
        <v>105</v>
      </c>
      <c r="B687" t="str">
        <f t="shared" si="11"/>
        <v>S, M, L, XL, XXL</v>
      </c>
    </row>
    <row r="688" spans="1:2" x14ac:dyDescent="0.25">
      <c r="A688" t="s">
        <v>303</v>
      </c>
      <c r="B688" t="str">
        <f t="shared" si="11"/>
        <v>Black Paid Brown Herringbone</v>
      </c>
    </row>
    <row r="689" spans="1:2" x14ac:dyDescent="0.25">
      <c r="A689" t="s">
        <v>304</v>
      </c>
      <c r="B689" t="str">
        <f t="shared" si="11"/>
        <v>25548BH FINNEGAN</v>
      </c>
    </row>
    <row r="690" spans="1:2" x14ac:dyDescent="0.25">
      <c r="A690" t="s">
        <v>300</v>
      </c>
      <c r="B690" t="str">
        <f t="shared" si="11"/>
        <v/>
      </c>
    </row>
    <row r="691" spans="1:2" x14ac:dyDescent="0.25">
      <c r="A691" t="s">
        <v>287</v>
      </c>
      <c r="B691" t="str">
        <f t="shared" ref="B691:B752" si="12">_xlfn.LET(_xlpm.isSizes,IFERROR(FIND(",",A691)&gt;=1,FALSE),_xlpm.isSizesUp,IFERROR(FIND(",",A690)&gt;=1,FALSE),_xlpm.isName,AND(IFERROR(VALUE(MID(A691,1,1)),FALSE),NOT(IFERROR(FIND("” ",A691)&gt;=1,FALSE)),NOT(IFERROR(FIND("/",A691)&gt;=1,FALSE))),_xlpm.isNameDown,AND(IFERROR(VALUE(MID(A692,1,1)),FALSE),NOT(IFERROR(FIND("” ",A692)&gt;=1,FALSE)),NOT(IFERROR(FIND("/",A692)&gt;=1,FALSE))),IF(_xlpm.isSizes,A691,IF(_xlpm.isSizesUp,A691,IF(_xlpm.isName,A691,IF(AND(_xlpm.isNameDown&lt;&gt;_xlpm.isName),A691,"")))))</f>
        <v/>
      </c>
    </row>
    <row r="692" spans="1:2" x14ac:dyDescent="0.25">
      <c r="A692" t="s">
        <v>143</v>
      </c>
      <c r="B692" t="str">
        <f t="shared" si="12"/>
        <v/>
      </c>
    </row>
    <row r="693" spans="1:2" x14ac:dyDescent="0.25">
      <c r="A693" t="s">
        <v>15</v>
      </c>
      <c r="B693" t="str">
        <f t="shared" si="12"/>
        <v/>
      </c>
    </row>
    <row r="694" spans="1:2" x14ac:dyDescent="0.25">
      <c r="A694" t="s">
        <v>1</v>
      </c>
      <c r="B694" t="str">
        <f t="shared" si="12"/>
        <v>S, M, L, XL</v>
      </c>
    </row>
    <row r="695" spans="1:2" x14ac:dyDescent="0.25">
      <c r="A695" t="s">
        <v>151</v>
      </c>
      <c r="B695" t="str">
        <f t="shared" si="12"/>
        <v>Black Ochre</v>
      </c>
    </row>
    <row r="696" spans="1:2" x14ac:dyDescent="0.25">
      <c r="A696" t="s">
        <v>305</v>
      </c>
      <c r="B696" t="str">
        <f t="shared" si="12"/>
        <v>25557BH BRUNE</v>
      </c>
    </row>
    <row r="697" spans="1:2" x14ac:dyDescent="0.25">
      <c r="A697" t="s">
        <v>300</v>
      </c>
      <c r="B697" t="str">
        <f t="shared" si="12"/>
        <v/>
      </c>
    </row>
    <row r="698" spans="1:2" x14ac:dyDescent="0.25">
      <c r="A698" t="s">
        <v>287</v>
      </c>
      <c r="B698" t="str">
        <f t="shared" si="12"/>
        <v/>
      </c>
    </row>
    <row r="699" spans="1:2" x14ac:dyDescent="0.25">
      <c r="A699" t="s">
        <v>143</v>
      </c>
      <c r="B699" t="str">
        <f t="shared" si="12"/>
        <v/>
      </c>
    </row>
    <row r="700" spans="1:2" x14ac:dyDescent="0.25">
      <c r="A700" t="s">
        <v>15</v>
      </c>
      <c r="B700" t="str">
        <f t="shared" si="12"/>
        <v/>
      </c>
    </row>
    <row r="701" spans="1:2" x14ac:dyDescent="0.25">
      <c r="A701" t="s">
        <v>1</v>
      </c>
      <c r="B701" t="str">
        <f t="shared" si="12"/>
        <v>S, M, L, XL</v>
      </c>
    </row>
    <row r="702" spans="1:2" x14ac:dyDescent="0.25">
      <c r="A702" t="s">
        <v>306</v>
      </c>
      <c r="B702" t="str">
        <f t="shared" si="12"/>
        <v>Avion Grey</v>
      </c>
    </row>
    <row r="703" spans="1:2" x14ac:dyDescent="0.25">
      <c r="A703" t="s">
        <v>307</v>
      </c>
      <c r="B703" t="str">
        <f t="shared" si="12"/>
        <v>25556BH GRIFF</v>
      </c>
    </row>
    <row r="704" spans="1:2" x14ac:dyDescent="0.25">
      <c r="A704" t="s">
        <v>297</v>
      </c>
      <c r="B704" t="str">
        <f t="shared" si="12"/>
        <v/>
      </c>
    </row>
    <row r="705" spans="1:2" x14ac:dyDescent="0.25">
      <c r="A705" t="s">
        <v>287</v>
      </c>
      <c r="B705" t="str">
        <f t="shared" si="12"/>
        <v/>
      </c>
    </row>
    <row r="706" spans="1:2" x14ac:dyDescent="0.25">
      <c r="A706" t="s">
        <v>143</v>
      </c>
      <c r="B706" t="str">
        <f t="shared" si="12"/>
        <v/>
      </c>
    </row>
    <row r="707" spans="1:2" x14ac:dyDescent="0.25">
      <c r="A707" t="s">
        <v>15</v>
      </c>
      <c r="B707" t="str">
        <f t="shared" si="12"/>
        <v/>
      </c>
    </row>
    <row r="708" spans="1:2" x14ac:dyDescent="0.25">
      <c r="A708" t="s">
        <v>1</v>
      </c>
      <c r="B708" t="str">
        <f t="shared" si="12"/>
        <v>S, M, L, XL</v>
      </c>
    </row>
    <row r="709" spans="1:2" x14ac:dyDescent="0.25">
      <c r="A709" t="s">
        <v>308</v>
      </c>
      <c r="B709" t="str">
        <f t="shared" si="12"/>
        <v>Avion Plaid Oak Twill Uniform Green Plaid</v>
      </c>
    </row>
    <row r="710" spans="1:2" x14ac:dyDescent="0.25">
      <c r="A710" t="s">
        <v>309</v>
      </c>
      <c r="B710" t="str">
        <f t="shared" si="12"/>
        <v>1365 GRAHAM</v>
      </c>
    </row>
    <row r="711" spans="1:2" x14ac:dyDescent="0.25">
      <c r="A711" t="s">
        <v>310</v>
      </c>
      <c r="B711" t="str">
        <f t="shared" si="12"/>
        <v/>
      </c>
    </row>
    <row r="712" spans="1:2" x14ac:dyDescent="0.25">
      <c r="A712" t="s">
        <v>143</v>
      </c>
      <c r="B712" t="str">
        <f t="shared" si="12"/>
        <v/>
      </c>
    </row>
    <row r="713" spans="1:2" x14ac:dyDescent="0.25">
      <c r="A713" t="s">
        <v>15</v>
      </c>
      <c r="B713" t="str">
        <f t="shared" si="12"/>
        <v/>
      </c>
    </row>
    <row r="714" spans="1:2" x14ac:dyDescent="0.25">
      <c r="A714" t="s">
        <v>105</v>
      </c>
      <c r="B714" t="str">
        <f t="shared" si="12"/>
        <v>S, M, L, XL, XXL</v>
      </c>
    </row>
    <row r="715" spans="1:2" x14ac:dyDescent="0.25">
      <c r="A715" t="s">
        <v>311</v>
      </c>
      <c r="B715" t="str">
        <f t="shared" si="12"/>
        <v>Black Chino Navy Tan</v>
      </c>
    </row>
    <row r="716" spans="1:2" x14ac:dyDescent="0.25">
      <c r="A716" t="s">
        <v>312</v>
      </c>
      <c r="B716" t="str">
        <f t="shared" si="12"/>
        <v>25150BH REFFELL</v>
      </c>
    </row>
    <row r="717" spans="1:2" x14ac:dyDescent="0.25">
      <c r="A717" t="s">
        <v>313</v>
      </c>
      <c r="B717" t="str">
        <f t="shared" si="12"/>
        <v/>
      </c>
    </row>
    <row r="718" spans="1:2" x14ac:dyDescent="0.25">
      <c r="A718" t="s">
        <v>143</v>
      </c>
      <c r="B718" t="str">
        <f t="shared" si="12"/>
        <v/>
      </c>
    </row>
    <row r="719" spans="1:2" x14ac:dyDescent="0.25">
      <c r="A719" t="s">
        <v>15</v>
      </c>
      <c r="B719" t="str">
        <f t="shared" si="12"/>
        <v/>
      </c>
    </row>
    <row r="720" spans="1:2" x14ac:dyDescent="0.25">
      <c r="A720" t="s">
        <v>1</v>
      </c>
      <c r="B720" t="str">
        <f t="shared" si="12"/>
        <v>S, M, L, XL</v>
      </c>
    </row>
    <row r="721" spans="1:2" x14ac:dyDescent="0.25">
      <c r="A721" t="s">
        <v>314</v>
      </c>
      <c r="B721" t="str">
        <f t="shared" si="12"/>
        <v>Black Copper</v>
      </c>
    </row>
    <row r="722" spans="1:2" x14ac:dyDescent="0.25">
      <c r="A722" t="s">
        <v>315</v>
      </c>
      <c r="B722" t="str">
        <f t="shared" si="12"/>
        <v>25102 TAXTEN</v>
      </c>
    </row>
    <row r="723" spans="1:2" x14ac:dyDescent="0.25">
      <c r="A723" t="s">
        <v>316</v>
      </c>
      <c r="B723" t="str">
        <f t="shared" si="12"/>
        <v/>
      </c>
    </row>
    <row r="724" spans="1:2" x14ac:dyDescent="0.25">
      <c r="A724" t="s">
        <v>143</v>
      </c>
      <c r="B724" t="str">
        <f t="shared" si="12"/>
        <v/>
      </c>
    </row>
    <row r="725" spans="1:2" x14ac:dyDescent="0.25">
      <c r="A725" t="s">
        <v>15</v>
      </c>
      <c r="B725" t="str">
        <f t="shared" si="12"/>
        <v/>
      </c>
    </row>
    <row r="726" spans="1:2" x14ac:dyDescent="0.25">
      <c r="A726" t="s">
        <v>1</v>
      </c>
      <c r="B726" t="str">
        <f t="shared" si="12"/>
        <v>S, M, L, XL</v>
      </c>
    </row>
    <row r="727" spans="1:2" x14ac:dyDescent="0.25">
      <c r="A727" t="s">
        <v>317</v>
      </c>
      <c r="B727" t="str">
        <f t="shared" si="12"/>
        <v>Brown</v>
      </c>
    </row>
    <row r="728" spans="1:2" x14ac:dyDescent="0.25">
      <c r="A728" t="s">
        <v>318</v>
      </c>
      <c r="B728" t="str">
        <f t="shared" si="12"/>
        <v>25101 STOCKTON</v>
      </c>
    </row>
    <row r="729" spans="1:2" x14ac:dyDescent="0.25">
      <c r="A729" t="s">
        <v>319</v>
      </c>
      <c r="B729" t="str">
        <f t="shared" si="12"/>
        <v/>
      </c>
    </row>
    <row r="730" spans="1:2" x14ac:dyDescent="0.25">
      <c r="A730" t="s">
        <v>320</v>
      </c>
      <c r="B730" t="str">
        <f t="shared" si="12"/>
        <v/>
      </c>
    </row>
    <row r="731" spans="1:2" x14ac:dyDescent="0.25">
      <c r="A731" t="s">
        <v>321</v>
      </c>
      <c r="B731" t="str">
        <f t="shared" si="12"/>
        <v/>
      </c>
    </row>
    <row r="732" spans="1:2" x14ac:dyDescent="0.25">
      <c r="A732" t="s">
        <v>15</v>
      </c>
      <c r="B732" t="str">
        <f t="shared" si="12"/>
        <v/>
      </c>
    </row>
    <row r="733" spans="1:2" x14ac:dyDescent="0.25">
      <c r="A733" t="s">
        <v>1</v>
      </c>
      <c r="B733" t="str">
        <f t="shared" si="12"/>
        <v>S, M, L, XL</v>
      </c>
    </row>
    <row r="734" spans="1:2" x14ac:dyDescent="0.25">
      <c r="A734" t="s">
        <v>9</v>
      </c>
      <c r="B734" t="str">
        <f>_xlfn.LET(_xlpm.isSizes,IFERROR(FIND(",",A734)&gt;=1,FALSE),_xlpm.isSizesUp,IFERROR(FIND(",",A733)&gt;=1,FALSE),_xlpm.isName,AND(IFERROR(VALUE(MID(A734,1,1)),FALSE),NOT(IFERROR(FIND("” ",A734)&gt;=1,FALSE)),NOT(IFERROR(FIND("/",A734)&gt;=1,FALSE))),_xlpm.isNameDown,AND(IFERROR(VALUE(MID(#REF!,1,1)),FALSE),NOT(IFERROR(FIND("” ",#REF!)&gt;=1,FALSE)),NOT(IFERROR(FIND("/",#REF!)&gt;=1,FALSE))),IF(_xlpm.isSizes,A734,IF(_xlpm.isSizesUp,A734,IF(_xlpm.isName,A734,IF(AND(_xlpm.isNameDown&lt;&gt;_xlpm.isName),A734,"")))))</f>
        <v>Black</v>
      </c>
    </row>
    <row r="735" spans="1:2" x14ac:dyDescent="0.25">
      <c r="A735" t="s">
        <v>322</v>
      </c>
      <c r="B735" t="str">
        <f>_xlfn.LET(_xlpm.isSizes,IFERROR(FIND(",",A735)&gt;=1,FALSE),_xlpm.isSizesUp,IFERROR(FIND(",",#REF!)&gt;=1,FALSE),_xlpm.isName,AND(IFERROR(VALUE(MID(A735,1,1)),FALSE),NOT(IFERROR(FIND("” ",A735)&gt;=1,FALSE)),NOT(IFERROR(FIND("/",A735)&gt;=1,FALSE))),_xlpm.isNameDown,AND(IFERROR(VALUE(MID(A736,1,1)),FALSE),NOT(IFERROR(FIND("” ",A736)&gt;=1,FALSE)),NOT(IFERROR(FIND("/",A736)&gt;=1,FALSE))),IF(_xlpm.isSizes,A735,IF(_xlpm.isSizesUp,A735,IF(_xlpm.isName,A735,IF(AND(_xlpm.isNameDown&lt;&gt;_xlpm.isName),A735,"")))))</f>
        <v>25111 LAZAR</v>
      </c>
    </row>
    <row r="736" spans="1:2" x14ac:dyDescent="0.25">
      <c r="A736" t="s">
        <v>316</v>
      </c>
      <c r="B736" t="str">
        <f t="shared" si="12"/>
        <v/>
      </c>
    </row>
    <row r="737" spans="1:2" x14ac:dyDescent="0.25">
      <c r="A737" t="s">
        <v>143</v>
      </c>
      <c r="B737" t="str">
        <f t="shared" si="12"/>
        <v/>
      </c>
    </row>
    <row r="738" spans="1:2" x14ac:dyDescent="0.25">
      <c r="A738" t="s">
        <v>15</v>
      </c>
      <c r="B738" t="str">
        <f t="shared" si="12"/>
        <v/>
      </c>
    </row>
    <row r="739" spans="1:2" x14ac:dyDescent="0.25">
      <c r="A739" t="s">
        <v>1</v>
      </c>
      <c r="B739" t="str">
        <f t="shared" si="12"/>
        <v>S, M, L, XL</v>
      </c>
    </row>
    <row r="740" spans="1:2" x14ac:dyDescent="0.25">
      <c r="A740" t="s">
        <v>323</v>
      </c>
      <c r="B740" t="str">
        <f t="shared" si="12"/>
        <v>Dark Coffee</v>
      </c>
    </row>
    <row r="741" spans="1:2" x14ac:dyDescent="0.25">
      <c r="A741" t="s">
        <v>324</v>
      </c>
      <c r="B741" t="str">
        <f t="shared" si="12"/>
        <v>25100 NOCLIN</v>
      </c>
    </row>
    <row r="742" spans="1:2" x14ac:dyDescent="0.25">
      <c r="A742" t="s">
        <v>290</v>
      </c>
      <c r="B742" t="str">
        <f t="shared" si="12"/>
        <v/>
      </c>
    </row>
    <row r="743" spans="1:2" x14ac:dyDescent="0.25">
      <c r="A743" t="s">
        <v>320</v>
      </c>
      <c r="B743" t="str">
        <f t="shared" si="12"/>
        <v/>
      </c>
    </row>
    <row r="744" spans="1:2" x14ac:dyDescent="0.25">
      <c r="A744" t="s">
        <v>321</v>
      </c>
      <c r="B744" t="str">
        <f t="shared" si="12"/>
        <v/>
      </c>
    </row>
    <row r="745" spans="1:2" x14ac:dyDescent="0.25">
      <c r="A745" t="s">
        <v>15</v>
      </c>
      <c r="B745" t="str">
        <f t="shared" si="12"/>
        <v/>
      </c>
    </row>
    <row r="746" spans="1:2" x14ac:dyDescent="0.25">
      <c r="A746" t="s">
        <v>1</v>
      </c>
      <c r="B746" t="str">
        <f t="shared" si="12"/>
        <v>S, M, L, XL</v>
      </c>
    </row>
    <row r="747" spans="1:2" x14ac:dyDescent="0.25">
      <c r="A747" t="s">
        <v>9</v>
      </c>
      <c r="B747" t="str">
        <f>_xlfn.LET(_xlpm.isSizes,IFERROR(FIND(",",A747)&gt;=1,FALSE),_xlpm.isSizesUp,IFERROR(FIND(",",A746)&gt;=1,FALSE),_xlpm.isName,AND(IFERROR(VALUE(MID(A747,1,1)),FALSE),NOT(IFERROR(FIND("” ",A747)&gt;=1,FALSE)),NOT(IFERROR(FIND("/",A747)&gt;=1,FALSE))),_xlpm.isNameDown,AND(IFERROR(VALUE(MID(#REF!,1,1)),FALSE),NOT(IFERROR(FIND("” ",#REF!)&gt;=1,FALSE)),NOT(IFERROR(FIND("/",#REF!)&gt;=1,FALSE))),IF(_xlpm.isSizes,A747,IF(_xlpm.isSizesUp,A747,IF(_xlpm.isName,A747,IF(AND(_xlpm.isNameDown&lt;&gt;_xlpm.isName),A747,"")))))</f>
        <v>Black</v>
      </c>
    </row>
    <row r="748" spans="1:2" x14ac:dyDescent="0.25">
      <c r="A748" t="s">
        <v>325</v>
      </c>
      <c r="B748" t="str">
        <f>_xlfn.LET(_xlpm.isSizes,IFERROR(FIND(",",A748)&gt;=1,FALSE),_xlpm.isSizesUp,IFERROR(FIND(",",#REF!)&gt;=1,FALSE),_xlpm.isName,AND(IFERROR(VALUE(MID(A748,1,1)),FALSE),NOT(IFERROR(FIND("” ",A748)&gt;=1,FALSE)),NOT(IFERROR(FIND("/",A748)&gt;=1,FALSE))),_xlpm.isNameDown,AND(IFERROR(VALUE(MID(A749,1,1)),FALSE),NOT(IFERROR(FIND("” ",A749)&gt;=1,FALSE)),NOT(IFERROR(FIND("/",A749)&gt;=1,FALSE))),IF(_xlpm.isSizes,A748,IF(_xlpm.isSizesUp,A748,IF(_xlpm.isName,A748,IF(AND(_xlpm.isNameDown&lt;&gt;_xlpm.isName),A748,"")))))</f>
        <v>25105 VEGA</v>
      </c>
    </row>
    <row r="749" spans="1:2" x14ac:dyDescent="0.25">
      <c r="A749" t="s">
        <v>326</v>
      </c>
      <c r="B749" t="str">
        <f t="shared" si="12"/>
        <v/>
      </c>
    </row>
    <row r="750" spans="1:2" x14ac:dyDescent="0.25">
      <c r="A750" t="s">
        <v>327</v>
      </c>
      <c r="B750" t="str">
        <f t="shared" si="12"/>
        <v/>
      </c>
    </row>
    <row r="751" spans="1:2" x14ac:dyDescent="0.25">
      <c r="A751" t="s">
        <v>15</v>
      </c>
      <c r="B751" t="str">
        <f t="shared" si="12"/>
        <v/>
      </c>
    </row>
    <row r="752" spans="1:2" x14ac:dyDescent="0.25">
      <c r="A752" t="s">
        <v>1</v>
      </c>
      <c r="B752" t="str">
        <f t="shared" si="12"/>
        <v>S, M, L, XL</v>
      </c>
    </row>
    <row r="753" spans="1:2" x14ac:dyDescent="0.25">
      <c r="A753" t="s">
        <v>9</v>
      </c>
      <c r="B753" t="str">
        <f t="shared" ref="B753:B783" si="13">_xlfn.LET(_xlpm.isSizes,IFERROR(FIND(",",A753)&gt;=1,FALSE),_xlpm.isSizesUp,IFERROR(FIND(",",A752)&gt;=1,FALSE),_xlpm.isName,AND(IFERROR(VALUE(MID(A753,1,1)),FALSE),NOT(IFERROR(FIND("” ",A753)&gt;=1,FALSE)),NOT(IFERROR(FIND("/",A753)&gt;=1,FALSE))),_xlpm.isNameDown,AND(IFERROR(VALUE(MID(A754,1,1)),FALSE),NOT(IFERROR(FIND("” ",A754)&gt;=1,FALSE)),NOT(IFERROR(FIND("/",A754)&gt;=1,FALSE))),IF(_xlpm.isSizes,A753,IF(_xlpm.isSizesUp,A753,IF(_xlpm.isName,A753,IF(AND(_xlpm.isNameDown&lt;&gt;_xlpm.isName),A753,"")))))</f>
        <v>Black</v>
      </c>
    </row>
    <row r="754" spans="1:2" x14ac:dyDescent="0.25">
      <c r="A754" t="s">
        <v>328</v>
      </c>
      <c r="B754" t="str">
        <f t="shared" si="13"/>
        <v>25141BH BRODIE</v>
      </c>
    </row>
    <row r="755" spans="1:2" x14ac:dyDescent="0.25">
      <c r="A755" t="s">
        <v>326</v>
      </c>
      <c r="B755" t="str">
        <f t="shared" si="13"/>
        <v/>
      </c>
    </row>
    <row r="756" spans="1:2" x14ac:dyDescent="0.25">
      <c r="A756" t="s">
        <v>329</v>
      </c>
      <c r="B756" t="str">
        <f t="shared" si="13"/>
        <v/>
      </c>
    </row>
    <row r="757" spans="1:2" x14ac:dyDescent="0.25">
      <c r="A757" t="s">
        <v>15</v>
      </c>
      <c r="B757" t="str">
        <f t="shared" si="13"/>
        <v/>
      </c>
    </row>
    <row r="758" spans="1:2" x14ac:dyDescent="0.25">
      <c r="A758" t="s">
        <v>1</v>
      </c>
      <c r="B758" t="str">
        <f t="shared" si="13"/>
        <v>S, M, L, XL</v>
      </c>
    </row>
    <row r="759" spans="1:2" x14ac:dyDescent="0.25">
      <c r="A759" t="s">
        <v>330</v>
      </c>
      <c r="B759" t="str">
        <f t="shared" si="13"/>
        <v>Marl Black Navy Plaid</v>
      </c>
    </row>
    <row r="760" spans="1:2" x14ac:dyDescent="0.25">
      <c r="A760" t="s">
        <v>331</v>
      </c>
      <c r="B760" t="str">
        <f t="shared" si="13"/>
        <v>25119 VERNON</v>
      </c>
    </row>
    <row r="761" spans="1:2" x14ac:dyDescent="0.25">
      <c r="A761" t="s">
        <v>326</v>
      </c>
      <c r="B761" t="str">
        <f t="shared" si="13"/>
        <v/>
      </c>
    </row>
    <row r="762" spans="1:2" x14ac:dyDescent="0.25">
      <c r="A762" t="s">
        <v>332</v>
      </c>
      <c r="B762" t="str">
        <f t="shared" si="13"/>
        <v/>
      </c>
    </row>
    <row r="763" spans="1:2" x14ac:dyDescent="0.25">
      <c r="A763" t="s">
        <v>333</v>
      </c>
      <c r="B763" t="str">
        <f t="shared" si="13"/>
        <v/>
      </c>
    </row>
    <row r="764" spans="1:2" x14ac:dyDescent="0.25">
      <c r="A764" t="s">
        <v>15</v>
      </c>
      <c r="B764" t="str">
        <f t="shared" si="13"/>
        <v/>
      </c>
    </row>
    <row r="765" spans="1:2" x14ac:dyDescent="0.25">
      <c r="A765" t="s">
        <v>1</v>
      </c>
      <c r="B765" t="str">
        <f t="shared" si="13"/>
        <v>S, M, L, XL</v>
      </c>
    </row>
    <row r="766" spans="1:2" x14ac:dyDescent="0.25">
      <c r="A766" t="s">
        <v>334</v>
      </c>
      <c r="B766" t="str">
        <f t="shared" si="13"/>
        <v>Black Brown</v>
      </c>
    </row>
    <row r="767" spans="1:2" x14ac:dyDescent="0.25">
      <c r="A767" t="s">
        <v>335</v>
      </c>
      <c r="B767" t="str">
        <f t="shared" si="13"/>
        <v>1362 DALTON</v>
      </c>
    </row>
    <row r="768" spans="1:2" x14ac:dyDescent="0.25">
      <c r="A768" t="s">
        <v>336</v>
      </c>
      <c r="B768" t="str">
        <f t="shared" si="13"/>
        <v/>
      </c>
    </row>
    <row r="769" spans="1:2" x14ac:dyDescent="0.25">
      <c r="A769" t="s">
        <v>337</v>
      </c>
      <c r="B769" t="str">
        <f t="shared" si="13"/>
        <v/>
      </c>
    </row>
    <row r="770" spans="1:2" x14ac:dyDescent="0.25">
      <c r="A770" t="s">
        <v>310</v>
      </c>
      <c r="B770" t="str">
        <f t="shared" si="13"/>
        <v/>
      </c>
    </row>
    <row r="771" spans="1:2" x14ac:dyDescent="0.25">
      <c r="A771" t="s">
        <v>143</v>
      </c>
      <c r="B771" t="str">
        <f t="shared" si="13"/>
        <v/>
      </c>
    </row>
    <row r="772" spans="1:2" x14ac:dyDescent="0.25">
      <c r="A772" t="s">
        <v>105</v>
      </c>
      <c r="B772" t="str">
        <f t="shared" si="13"/>
        <v>S, M, L, XL, XXL</v>
      </c>
    </row>
    <row r="773" spans="1:2" x14ac:dyDescent="0.25">
      <c r="A773" t="s">
        <v>311</v>
      </c>
      <c r="B773" t="str">
        <f t="shared" si="13"/>
        <v>Black Chino Navy Tan</v>
      </c>
    </row>
    <row r="774" spans="1:2" x14ac:dyDescent="0.25">
      <c r="A774" t="s">
        <v>338</v>
      </c>
      <c r="B774" t="str">
        <f t="shared" si="13"/>
        <v>1369 JACKMAN</v>
      </c>
    </row>
    <row r="775" spans="1:2" x14ac:dyDescent="0.25">
      <c r="A775" t="s">
        <v>339</v>
      </c>
      <c r="B775" t="str">
        <f t="shared" si="13"/>
        <v/>
      </c>
    </row>
    <row r="776" spans="1:2" x14ac:dyDescent="0.25">
      <c r="A776" t="s">
        <v>340</v>
      </c>
      <c r="B776" t="str">
        <f t="shared" si="13"/>
        <v/>
      </c>
    </row>
    <row r="777" spans="1:2" x14ac:dyDescent="0.25">
      <c r="A777" t="s">
        <v>341</v>
      </c>
      <c r="B777" t="str">
        <f t="shared" si="13"/>
        <v/>
      </c>
    </row>
    <row r="778" spans="1:2" x14ac:dyDescent="0.25">
      <c r="A778" t="s">
        <v>342</v>
      </c>
      <c r="B778" t="str">
        <f t="shared" si="13"/>
        <v/>
      </c>
    </row>
    <row r="779" spans="1:2" x14ac:dyDescent="0.25">
      <c r="A779" t="s">
        <v>24</v>
      </c>
      <c r="B779" t="str">
        <f t="shared" si="13"/>
        <v/>
      </c>
    </row>
    <row r="780" spans="1:2" x14ac:dyDescent="0.25">
      <c r="A780" t="s">
        <v>343</v>
      </c>
      <c r="B780" t="str">
        <f t="shared" si="13"/>
        <v/>
      </c>
    </row>
    <row r="781" spans="1:2" x14ac:dyDescent="0.25">
      <c r="A781" t="s">
        <v>105</v>
      </c>
      <c r="B781" t="str">
        <f t="shared" si="13"/>
        <v>S, M, L, XL, XXL</v>
      </c>
    </row>
    <row r="782" spans="1:2" x14ac:dyDescent="0.25">
      <c r="A782" t="s">
        <v>346</v>
      </c>
      <c r="B782" t="str">
        <f t="shared" si="13"/>
        <v>Charcoal Dk. Brown Navy Black Burgundy</v>
      </c>
    </row>
    <row r="783" spans="1:2" x14ac:dyDescent="0.25">
      <c r="B783" t="str">
        <f t="shared" si="13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755B1-186C-4591-91C7-658931F7D295}">
  <sheetPr codeName="Лист1"/>
  <dimension ref="A1:C284"/>
  <sheetViews>
    <sheetView topLeftCell="A256" workbookViewId="0">
      <selection activeCell="C281" sqref="C281"/>
    </sheetView>
  </sheetViews>
  <sheetFormatPr defaultRowHeight="15" x14ac:dyDescent="0.25"/>
  <cols>
    <col min="1" max="1" width="80.7109375" bestFit="1" customWidth="1"/>
    <col min="2" max="2" width="14.7109375" bestFit="1" customWidth="1"/>
    <col min="3" max="3" width="49.5703125" customWidth="1"/>
  </cols>
  <sheetData>
    <row r="1" spans="1:3" x14ac:dyDescent="0.25">
      <c r="A1" s="2" t="s">
        <v>439</v>
      </c>
      <c r="B1" s="2" t="s">
        <v>438</v>
      </c>
      <c r="C1" s="2" t="s">
        <v>446</v>
      </c>
    </row>
    <row r="2" spans="1:3" x14ac:dyDescent="0.25">
      <c r="A2" t="s">
        <v>10</v>
      </c>
      <c r="B2" t="b">
        <f>IFERROR(VLOOKUP(A2,#REF!,1,0)&lt;&gt;"",FALSE)</f>
        <v>0</v>
      </c>
      <c r="C2" t="str">
        <f t="shared" ref="C2:C65" si="0">IF(AND(IFERROR(FIND(",",A1)&gt;=1,FALSE),B3&lt;&gt;TRUE),A2&amp;" "&amp;A3,"")</f>
        <v/>
      </c>
    </row>
    <row r="3" spans="1:3" x14ac:dyDescent="0.25">
      <c r="A3" t="s">
        <v>3</v>
      </c>
      <c r="B3" t="b">
        <f>IFERROR(VLOOKUP(A3,#REF!,1,0)&lt;&gt;"",FALSE)</f>
        <v>0</v>
      </c>
      <c r="C3" t="str">
        <f t="shared" si="0"/>
        <v/>
      </c>
    </row>
    <row r="4" spans="1:3" x14ac:dyDescent="0.25">
      <c r="A4" t="s">
        <v>16</v>
      </c>
      <c r="B4" t="b">
        <f>IFERROR(VLOOKUP(A4,#REF!,1,0)&lt;&gt;"",FALSE)</f>
        <v>0</v>
      </c>
      <c r="C4" t="str">
        <f t="shared" si="0"/>
        <v>Black Charcoal Cognac Olive 61433BH CAVALIER</v>
      </c>
    </row>
    <row r="5" spans="1:3" x14ac:dyDescent="0.25">
      <c r="A5" t="s">
        <v>17</v>
      </c>
      <c r="B5" t="b">
        <f>IFERROR(VLOOKUP(A5,#REF!,1,0)&lt;&gt;"",FALSE)</f>
        <v>0</v>
      </c>
      <c r="C5" t="str">
        <f t="shared" si="0"/>
        <v/>
      </c>
    </row>
    <row r="6" spans="1:3" x14ac:dyDescent="0.25">
      <c r="A6" t="s">
        <v>1</v>
      </c>
      <c r="B6" t="b">
        <f>IFERROR(VLOOKUP(A6,#REF!,1,0)&lt;&gt;"",FALSE)</f>
        <v>0</v>
      </c>
      <c r="C6" t="str">
        <f t="shared" si="0"/>
        <v/>
      </c>
    </row>
    <row r="7" spans="1:3" x14ac:dyDescent="0.25">
      <c r="A7" t="s">
        <v>20</v>
      </c>
      <c r="B7" t="b">
        <f>IFERROR(VLOOKUP(A7,#REF!,1,0)&lt;&gt;"",FALSE)</f>
        <v>0</v>
      </c>
      <c r="C7" t="str">
        <f t="shared" si="0"/>
        <v>Black Maple 61424BH RALAT</v>
      </c>
    </row>
    <row r="8" spans="1:3" x14ac:dyDescent="0.25">
      <c r="A8" t="s">
        <v>21</v>
      </c>
      <c r="B8" t="b">
        <f>IFERROR(VLOOKUP(A8,#REF!,1,0)&lt;&gt;"",FALSE)</f>
        <v>0</v>
      </c>
      <c r="C8" t="str">
        <f t="shared" si="0"/>
        <v/>
      </c>
    </row>
    <row r="9" spans="1:3" x14ac:dyDescent="0.25">
      <c r="A9" t="s">
        <v>1</v>
      </c>
      <c r="B9" t="b">
        <f>IFERROR(VLOOKUP(A9,#REF!,1,0)&lt;&gt;"",FALSE)</f>
        <v>0</v>
      </c>
      <c r="C9" t="str">
        <f t="shared" si="0"/>
        <v/>
      </c>
    </row>
    <row r="10" spans="1:3" x14ac:dyDescent="0.25">
      <c r="A10" t="s">
        <v>25</v>
      </c>
      <c r="B10" t="b">
        <f>IFERROR(VLOOKUP(A10,#REF!,1,0)&lt;&gt;"",FALSE)</f>
        <v>0</v>
      </c>
      <c r="C10" t="str">
        <f t="shared" si="0"/>
        <v>Black Charcoal 61432BH THE ARCHITECT</v>
      </c>
    </row>
    <row r="11" spans="1:3" x14ac:dyDescent="0.25">
      <c r="A11" t="s">
        <v>2</v>
      </c>
      <c r="B11" t="b">
        <f>IFERROR(VLOOKUP(A11,#REF!,1,0)&lt;&gt;"",FALSE)</f>
        <v>0</v>
      </c>
      <c r="C11" t="str">
        <f t="shared" si="0"/>
        <v/>
      </c>
    </row>
    <row r="12" spans="1:3" x14ac:dyDescent="0.25">
      <c r="A12" t="s">
        <v>1</v>
      </c>
      <c r="B12" t="b">
        <f>IFERROR(VLOOKUP(A12,#REF!,1,0)&lt;&gt;"",FALSE)</f>
        <v>0</v>
      </c>
      <c r="C12" t="str">
        <f t="shared" si="0"/>
        <v/>
      </c>
    </row>
    <row r="13" spans="1:3" x14ac:dyDescent="0.25">
      <c r="A13" t="s">
        <v>27</v>
      </c>
      <c r="B13" t="b">
        <f>IFERROR(VLOOKUP(A13,#REF!,1,0)&lt;&gt;"",FALSE)</f>
        <v>0</v>
      </c>
      <c r="C13" t="str">
        <f t="shared" si="0"/>
        <v>Black Buckskin 61442BH NILSON</v>
      </c>
    </row>
    <row r="14" spans="1:3" x14ac:dyDescent="0.25">
      <c r="A14" t="s">
        <v>28</v>
      </c>
      <c r="B14" t="b">
        <f>IFERROR(VLOOKUP(A14,#REF!,1,0)&lt;&gt;"",FALSE)</f>
        <v>0</v>
      </c>
      <c r="C14" t="str">
        <f t="shared" si="0"/>
        <v/>
      </c>
    </row>
    <row r="15" spans="1:3" x14ac:dyDescent="0.25">
      <c r="A15" t="s">
        <v>1</v>
      </c>
      <c r="B15" t="b">
        <f>IFERROR(VLOOKUP(A15,#REF!,1,0)&lt;&gt;"",FALSE)</f>
        <v>0</v>
      </c>
      <c r="C15" t="str">
        <f t="shared" si="0"/>
        <v/>
      </c>
    </row>
    <row r="16" spans="1:3" x14ac:dyDescent="0.25">
      <c r="A16" t="s">
        <v>31</v>
      </c>
      <c r="B16" t="b">
        <f>IFERROR(VLOOKUP(A16,#REF!,1,0)&lt;&gt;"",FALSE)</f>
        <v>0</v>
      </c>
      <c r="C16" t="str">
        <f t="shared" si="0"/>
        <v>Copper Slate Uniform Green 61430BH TRINELL</v>
      </c>
    </row>
    <row r="17" spans="1:3" x14ac:dyDescent="0.25">
      <c r="A17" t="s">
        <v>4</v>
      </c>
      <c r="B17" t="b">
        <f>IFERROR(VLOOKUP(A17,#REF!,1,0)&lt;&gt;"",FALSE)</f>
        <v>0</v>
      </c>
      <c r="C17" t="str">
        <f t="shared" si="0"/>
        <v/>
      </c>
    </row>
    <row r="18" spans="1:3" x14ac:dyDescent="0.25">
      <c r="A18" t="s">
        <v>1</v>
      </c>
      <c r="B18" t="b">
        <f>IFERROR(VLOOKUP(A18,#REF!,1,0)&lt;&gt;"",FALSE)</f>
        <v>0</v>
      </c>
      <c r="C18" t="str">
        <f t="shared" si="0"/>
        <v/>
      </c>
    </row>
    <row r="19" spans="1:3" x14ac:dyDescent="0.25">
      <c r="A19" t="s">
        <v>36</v>
      </c>
      <c r="B19" t="b">
        <f>IFERROR(VLOOKUP(A19,#REF!,1,0)&lt;&gt;"",FALSE)</f>
        <v>0</v>
      </c>
      <c r="C19" t="str">
        <f t="shared" si="0"/>
        <v>Black Light Mink 61428BH GIRVIN</v>
      </c>
    </row>
    <row r="20" spans="1:3" x14ac:dyDescent="0.25">
      <c r="A20" t="s">
        <v>37</v>
      </c>
      <c r="B20" t="b">
        <f>IFERROR(VLOOKUP(A20,#REF!,1,0)&lt;&gt;"",FALSE)</f>
        <v>0</v>
      </c>
      <c r="C20" t="str">
        <f t="shared" si="0"/>
        <v/>
      </c>
    </row>
    <row r="21" spans="1:3" x14ac:dyDescent="0.25">
      <c r="A21" t="s">
        <v>1</v>
      </c>
      <c r="B21" t="b">
        <f>IFERROR(VLOOKUP(A21,#REF!,1,0)&lt;&gt;"",FALSE)</f>
        <v>0</v>
      </c>
      <c r="C21" t="str">
        <f t="shared" si="0"/>
        <v/>
      </c>
    </row>
    <row r="22" spans="1:3" x14ac:dyDescent="0.25">
      <c r="A22" t="s">
        <v>40</v>
      </c>
      <c r="B22" t="b">
        <f>IFERROR(VLOOKUP(A22,#REF!,1,0)&lt;&gt;"",FALSE)</f>
        <v>0</v>
      </c>
      <c r="C22" t="str">
        <f t="shared" si="0"/>
        <v>Black Chocolate 47009BH FLUME</v>
      </c>
    </row>
    <row r="23" spans="1:3" x14ac:dyDescent="0.25">
      <c r="A23" t="s">
        <v>41</v>
      </c>
      <c r="B23" t="b">
        <f>IFERROR(VLOOKUP(A23,#REF!,1,0)&lt;&gt;"",FALSE)</f>
        <v>0</v>
      </c>
      <c r="C23" t="str">
        <f t="shared" si="0"/>
        <v/>
      </c>
    </row>
    <row r="24" spans="1:3" x14ac:dyDescent="0.25">
      <c r="A24" t="s">
        <v>1</v>
      </c>
      <c r="B24" t="b">
        <f>IFERROR(VLOOKUP(A24,#REF!,1,0)&lt;&gt;"",FALSE)</f>
        <v>0</v>
      </c>
      <c r="C24" t="str">
        <f t="shared" si="0"/>
        <v/>
      </c>
    </row>
    <row r="25" spans="1:3" x14ac:dyDescent="0.25">
      <c r="A25" t="s">
        <v>44</v>
      </c>
      <c r="B25" t="b">
        <f>IFERROR(VLOOKUP(A25,#REF!,1,0)&lt;&gt;"",FALSE)</f>
        <v>0</v>
      </c>
      <c r="C25" t="str">
        <f t="shared" si="0"/>
        <v>Aubergine Black Mink 61426BH AUMAN</v>
      </c>
    </row>
    <row r="26" spans="1:3" x14ac:dyDescent="0.25">
      <c r="A26" t="s">
        <v>45</v>
      </c>
      <c r="B26" t="b">
        <f>IFERROR(VLOOKUP(A26,#REF!,1,0)&lt;&gt;"",FALSE)</f>
        <v>0</v>
      </c>
      <c r="C26" t="str">
        <f t="shared" si="0"/>
        <v/>
      </c>
    </row>
    <row r="27" spans="1:3" x14ac:dyDescent="0.25">
      <c r="A27" t="s">
        <v>1</v>
      </c>
      <c r="B27" t="b">
        <f>IFERROR(VLOOKUP(A27,#REF!,1,0)&lt;&gt;"",FALSE)</f>
        <v>0</v>
      </c>
      <c r="C27" t="str">
        <f t="shared" si="0"/>
        <v/>
      </c>
    </row>
    <row r="28" spans="1:3" x14ac:dyDescent="0.25">
      <c r="A28" t="s">
        <v>9</v>
      </c>
      <c r="B28" t="b">
        <f>IFERROR(VLOOKUP(A28,#REF!,1,0)&lt;&gt;"",FALSE)</f>
        <v>0</v>
      </c>
      <c r="C28" t="str">
        <f t="shared" si="0"/>
        <v>Black 37188BH COLBY</v>
      </c>
    </row>
    <row r="29" spans="1:3" x14ac:dyDescent="0.25">
      <c r="A29" t="s">
        <v>47</v>
      </c>
      <c r="B29" t="b">
        <f>IFERROR(VLOOKUP(A29,#REF!,1,0)&lt;&gt;"",FALSE)</f>
        <v>0</v>
      </c>
      <c r="C29" t="str">
        <f t="shared" si="0"/>
        <v/>
      </c>
    </row>
    <row r="30" spans="1:3" x14ac:dyDescent="0.25">
      <c r="A30" t="s">
        <v>1</v>
      </c>
      <c r="B30" t="b">
        <f>IFERROR(VLOOKUP(A30,#REF!,1,0)&lt;&gt;"",FALSE)</f>
        <v>0</v>
      </c>
      <c r="C30" t="str">
        <f t="shared" si="0"/>
        <v/>
      </c>
    </row>
    <row r="31" spans="1:3" x14ac:dyDescent="0.25">
      <c r="A31" t="s">
        <v>53</v>
      </c>
      <c r="B31" t="b">
        <f>IFERROR(VLOOKUP(A31,#REF!,1,0)&lt;&gt;"",FALSE)</f>
        <v>0</v>
      </c>
      <c r="C31" t="str">
        <f t="shared" si="0"/>
        <v>Black Nickel Soft Khaki Stucco 37189BH GODWIN</v>
      </c>
    </row>
    <row r="32" spans="1:3" x14ac:dyDescent="0.25">
      <c r="A32" t="s">
        <v>54</v>
      </c>
      <c r="B32" t="b">
        <f>IFERROR(VLOOKUP(A32,#REF!,1,0)&lt;&gt;"",FALSE)</f>
        <v>0</v>
      </c>
      <c r="C32" t="str">
        <f t="shared" si="0"/>
        <v/>
      </c>
    </row>
    <row r="33" spans="1:3" x14ac:dyDescent="0.25">
      <c r="A33" t="s">
        <v>1</v>
      </c>
      <c r="B33" t="b">
        <f>IFERROR(VLOOKUP(A33,#REF!,1,0)&lt;&gt;"",FALSE)</f>
        <v>0</v>
      </c>
      <c r="C33" t="str">
        <f t="shared" si="0"/>
        <v/>
      </c>
    </row>
    <row r="34" spans="1:3" x14ac:dyDescent="0.25">
      <c r="A34" t="s">
        <v>57</v>
      </c>
      <c r="B34" t="b">
        <f>IFERROR(VLOOKUP(A34,#REF!,1,0)&lt;&gt;"",FALSE)</f>
        <v>0</v>
      </c>
      <c r="C34" t="str">
        <f t="shared" si="0"/>
        <v>Black Eggplant Lazuli Blue Oak Taupe 37190BH TREVEL</v>
      </c>
    </row>
    <row r="35" spans="1:3" x14ac:dyDescent="0.25">
      <c r="A35" t="s">
        <v>58</v>
      </c>
      <c r="B35" t="b">
        <f>IFERROR(VLOOKUP(A35,#REF!,1,0)&lt;&gt;"",FALSE)</f>
        <v>0</v>
      </c>
      <c r="C35" t="str">
        <f t="shared" si="0"/>
        <v/>
      </c>
    </row>
    <row r="36" spans="1:3" x14ac:dyDescent="0.25">
      <c r="A36" t="s">
        <v>1</v>
      </c>
      <c r="B36" t="b">
        <f>IFERROR(VLOOKUP(A36,#REF!,1,0)&lt;&gt;"",FALSE)</f>
        <v>0</v>
      </c>
      <c r="C36" t="str">
        <f t="shared" si="0"/>
        <v/>
      </c>
    </row>
    <row r="37" spans="1:3" x14ac:dyDescent="0.25">
      <c r="A37" t="s">
        <v>60</v>
      </c>
      <c r="B37" t="b">
        <f>IFERROR(VLOOKUP(A37,#REF!,1,0)&lt;&gt;"",FALSE)</f>
        <v>0</v>
      </c>
      <c r="C37" t="str">
        <f t="shared" si="0"/>
        <v>Black Copper Nickel 37172BH BOGAN</v>
      </c>
    </row>
    <row r="38" spans="1:3" x14ac:dyDescent="0.25">
      <c r="A38" t="s">
        <v>61</v>
      </c>
      <c r="B38" t="b">
        <f>IFERROR(VLOOKUP(A38,#REF!,1,0)&lt;&gt;"",FALSE)</f>
        <v>0</v>
      </c>
      <c r="C38" t="str">
        <f t="shared" si="0"/>
        <v/>
      </c>
    </row>
    <row r="39" spans="1:3" x14ac:dyDescent="0.25">
      <c r="A39" t="s">
        <v>1</v>
      </c>
      <c r="B39" t="b">
        <f>IFERROR(VLOOKUP(A39,#REF!,1,0)&lt;&gt;"",FALSE)</f>
        <v>0</v>
      </c>
      <c r="C39" t="str">
        <f t="shared" si="0"/>
        <v/>
      </c>
    </row>
    <row r="40" spans="1:3" x14ac:dyDescent="0.25">
      <c r="A40" t="s">
        <v>65</v>
      </c>
      <c r="B40" t="b">
        <f>IFERROR(VLOOKUP(A40,#REF!,1,0)&lt;&gt;"",FALSE)</f>
        <v>0</v>
      </c>
      <c r="C40" t="str">
        <f t="shared" si="0"/>
        <v>Peacoat Plaza Taupe Saddle Steel Almond Black Camel</v>
      </c>
    </row>
    <row r="41" spans="1:3" x14ac:dyDescent="0.25">
      <c r="A41" t="s">
        <v>66</v>
      </c>
      <c r="B41" t="b">
        <f>IFERROR(VLOOKUP(A41,#REF!,1,0)&lt;&gt;"",FALSE)</f>
        <v>0</v>
      </c>
      <c r="C41" t="str">
        <f t="shared" si="0"/>
        <v/>
      </c>
    </row>
    <row r="42" spans="1:3" x14ac:dyDescent="0.25">
      <c r="A42" t="s">
        <v>67</v>
      </c>
      <c r="B42" t="b">
        <f>IFERROR(VLOOKUP(A42,#REF!,1,0)&lt;&gt;"",FALSE)</f>
        <v>0</v>
      </c>
      <c r="C42" t="str">
        <f t="shared" si="0"/>
        <v/>
      </c>
    </row>
    <row r="43" spans="1:3" x14ac:dyDescent="0.25">
      <c r="A43" t="s">
        <v>1</v>
      </c>
      <c r="B43" t="b">
        <f>IFERROR(VLOOKUP(A43,#REF!,1,0)&lt;&gt;"",FALSE)</f>
        <v>0</v>
      </c>
      <c r="C43" t="str">
        <f t="shared" si="0"/>
        <v/>
      </c>
    </row>
    <row r="44" spans="1:3" x14ac:dyDescent="0.25">
      <c r="A44" t="s">
        <v>73</v>
      </c>
      <c r="B44" t="b">
        <f>IFERROR(VLOOKUP(A44,#REF!,1,0)&lt;&gt;"",FALSE)</f>
        <v>0</v>
      </c>
      <c r="C44" t="str">
        <f t="shared" si="0"/>
        <v>Black Unbleached 37193BH CONLON</v>
      </c>
    </row>
    <row r="45" spans="1:3" x14ac:dyDescent="0.25">
      <c r="A45" t="s">
        <v>74</v>
      </c>
      <c r="B45" t="b">
        <f>IFERROR(VLOOKUP(A45,#REF!,1,0)&lt;&gt;"",FALSE)</f>
        <v>0</v>
      </c>
      <c r="C45" t="str">
        <f t="shared" si="0"/>
        <v/>
      </c>
    </row>
    <row r="46" spans="1:3" x14ac:dyDescent="0.25">
      <c r="A46" t="s">
        <v>1</v>
      </c>
      <c r="B46" t="b">
        <f>IFERROR(VLOOKUP(A46,#REF!,1,0)&lt;&gt;"",FALSE)</f>
        <v>0</v>
      </c>
      <c r="C46" t="str">
        <f t="shared" si="0"/>
        <v/>
      </c>
    </row>
    <row r="47" spans="1:3" x14ac:dyDescent="0.25">
      <c r="A47" t="s">
        <v>78</v>
      </c>
      <c r="B47" t="b">
        <f>IFERROR(VLOOKUP(A47,#REF!,1,0)&lt;&gt;"",FALSE)</f>
        <v>0</v>
      </c>
      <c r="C47" t="str">
        <f t="shared" si="0"/>
        <v>Black Lazuli Blue Uniform Green 37192BH CROFT</v>
      </c>
    </row>
    <row r="48" spans="1:3" x14ac:dyDescent="0.25">
      <c r="A48" t="s">
        <v>79</v>
      </c>
      <c r="B48" t="b">
        <f>IFERROR(VLOOKUP(A48,#REF!,1,0)&lt;&gt;"",FALSE)</f>
        <v>0</v>
      </c>
      <c r="C48" t="str">
        <f t="shared" si="0"/>
        <v/>
      </c>
    </row>
    <row r="49" spans="1:3" x14ac:dyDescent="0.25">
      <c r="A49" t="s">
        <v>1</v>
      </c>
      <c r="B49" t="b">
        <f>IFERROR(VLOOKUP(A49,#REF!,1,0)&lt;&gt;"",FALSE)</f>
        <v>0</v>
      </c>
      <c r="C49" t="str">
        <f t="shared" si="0"/>
        <v/>
      </c>
    </row>
    <row r="50" spans="1:3" x14ac:dyDescent="0.25">
      <c r="A50" t="s">
        <v>82</v>
      </c>
      <c r="B50" t="b">
        <f>IFERROR(VLOOKUP(A50,#REF!,1,0)&lt;&gt;"",FALSE)</f>
        <v>0</v>
      </c>
      <c r="C50" t="str">
        <f t="shared" si="0"/>
        <v>Black Copper Taupe 20001BH COLVER</v>
      </c>
    </row>
    <row r="51" spans="1:3" x14ac:dyDescent="0.25">
      <c r="A51" t="s">
        <v>83</v>
      </c>
      <c r="B51" t="b">
        <f>IFERROR(VLOOKUP(A51,#REF!,1,0)&lt;&gt;"",FALSE)</f>
        <v>0</v>
      </c>
      <c r="C51" t="str">
        <f t="shared" si="0"/>
        <v/>
      </c>
    </row>
    <row r="52" spans="1:3" x14ac:dyDescent="0.25">
      <c r="A52" t="s">
        <v>1</v>
      </c>
      <c r="B52" t="b">
        <f>IFERROR(VLOOKUP(A52,#REF!,1,0)&lt;&gt;"",FALSE)</f>
        <v>0</v>
      </c>
      <c r="C52" t="str">
        <f t="shared" si="0"/>
        <v/>
      </c>
    </row>
    <row r="53" spans="1:3" x14ac:dyDescent="0.25">
      <c r="A53" t="s">
        <v>86</v>
      </c>
      <c r="B53" t="b">
        <f>IFERROR(VLOOKUP(A53,#REF!,1,0)&lt;&gt;"",FALSE)</f>
        <v>0</v>
      </c>
      <c r="C53" t="str">
        <f t="shared" si="0"/>
        <v>Greige Honey Ochre Silver Lining Avion Black Chestnut</v>
      </c>
    </row>
    <row r="54" spans="1:3" x14ac:dyDescent="0.25">
      <c r="A54" t="s">
        <v>87</v>
      </c>
      <c r="B54" t="b">
        <f>IFERROR(VLOOKUP(A54,#REF!,1,0)&lt;&gt;"",FALSE)</f>
        <v>0</v>
      </c>
      <c r="C54" t="str">
        <f t="shared" si="0"/>
        <v/>
      </c>
    </row>
    <row r="55" spans="1:3" x14ac:dyDescent="0.25">
      <c r="A55" t="s">
        <v>88</v>
      </c>
      <c r="B55" t="b">
        <f>IFERROR(VLOOKUP(A55,#REF!,1,0)&lt;&gt;"",FALSE)</f>
        <v>0</v>
      </c>
      <c r="C55" t="str">
        <f t="shared" si="0"/>
        <v/>
      </c>
    </row>
    <row r="56" spans="1:3" x14ac:dyDescent="0.25">
      <c r="A56" t="s">
        <v>1</v>
      </c>
      <c r="B56" t="b">
        <f>IFERROR(VLOOKUP(A56,#REF!,1,0)&lt;&gt;"",FALSE)</f>
        <v>0</v>
      </c>
      <c r="C56" t="str">
        <f t="shared" si="0"/>
        <v/>
      </c>
    </row>
    <row r="57" spans="1:3" x14ac:dyDescent="0.25">
      <c r="A57" t="s">
        <v>92</v>
      </c>
      <c r="B57" t="b">
        <f>IFERROR(VLOOKUP(A57,#REF!,1,0)&lt;&gt;"",FALSE)</f>
        <v>0</v>
      </c>
      <c r="C57" t="str">
        <f t="shared" si="0"/>
        <v>Black Nickel Oak 30003BH LANG</v>
      </c>
    </row>
    <row r="58" spans="1:3" x14ac:dyDescent="0.25">
      <c r="A58" t="s">
        <v>93</v>
      </c>
      <c r="B58" t="b">
        <f>IFERROR(VLOOKUP(A58,#REF!,1,0)&lt;&gt;"",FALSE)</f>
        <v>0</v>
      </c>
      <c r="C58" t="str">
        <f t="shared" si="0"/>
        <v/>
      </c>
    </row>
    <row r="59" spans="1:3" x14ac:dyDescent="0.25">
      <c r="A59" t="s">
        <v>1</v>
      </c>
      <c r="B59" t="b">
        <f>IFERROR(VLOOKUP(A59,#REF!,1,0)&lt;&gt;"",FALSE)</f>
        <v>0</v>
      </c>
      <c r="C59" t="str">
        <f t="shared" si="0"/>
        <v/>
      </c>
    </row>
    <row r="60" spans="1:3" x14ac:dyDescent="0.25">
      <c r="A60" t="s">
        <v>97</v>
      </c>
      <c r="B60" t="b">
        <f>IFERROR(VLOOKUP(A60,#REF!,1,0)&lt;&gt;"",FALSE)</f>
        <v>0</v>
      </c>
      <c r="C60" t="str">
        <f t="shared" si="0"/>
        <v>Avion Black Uniform Green 37191BH LEVON</v>
      </c>
    </row>
    <row r="61" spans="1:3" x14ac:dyDescent="0.25">
      <c r="A61" t="s">
        <v>98</v>
      </c>
      <c r="B61" t="b">
        <f>IFERROR(VLOOKUP(A61,#REF!,1,0)&lt;&gt;"",FALSE)</f>
        <v>0</v>
      </c>
      <c r="C61" t="str">
        <f t="shared" si="0"/>
        <v/>
      </c>
    </row>
    <row r="62" spans="1:3" x14ac:dyDescent="0.25">
      <c r="A62" t="s">
        <v>1</v>
      </c>
      <c r="B62" t="b">
        <f>IFERROR(VLOOKUP(A62,#REF!,1,0)&lt;&gt;"",FALSE)</f>
        <v>0</v>
      </c>
      <c r="C62" t="str">
        <f t="shared" si="0"/>
        <v/>
      </c>
    </row>
    <row r="63" spans="1:3" x14ac:dyDescent="0.25">
      <c r="A63" t="s">
        <v>102</v>
      </c>
      <c r="B63" t="b">
        <f>IFERROR(VLOOKUP(A63,#REF!,1,0)&lt;&gt;"",FALSE)</f>
        <v>0</v>
      </c>
      <c r="C63" t="str">
        <f t="shared" si="0"/>
        <v>Black Lazuli Blue Oak 37180BH STEDMAN</v>
      </c>
    </row>
    <row r="64" spans="1:3" x14ac:dyDescent="0.25">
      <c r="A64" t="s">
        <v>103</v>
      </c>
      <c r="B64" t="b">
        <f>IFERROR(VLOOKUP(A64,#REF!,1,0)&lt;&gt;"",FALSE)</f>
        <v>0</v>
      </c>
      <c r="C64" t="str">
        <f t="shared" si="0"/>
        <v/>
      </c>
    </row>
    <row r="65" spans="1:3" x14ac:dyDescent="0.25">
      <c r="A65" t="s">
        <v>105</v>
      </c>
      <c r="B65" t="b">
        <f>IFERROR(VLOOKUP(A65,#REF!,1,0)&lt;&gt;"",FALSE)</f>
        <v>0</v>
      </c>
      <c r="C65" t="str">
        <f t="shared" si="0"/>
        <v/>
      </c>
    </row>
    <row r="66" spans="1:3" x14ac:dyDescent="0.25">
      <c r="A66" t="s">
        <v>106</v>
      </c>
      <c r="B66" t="b">
        <f>IFERROR(VLOOKUP(A66,#REF!,1,0)&lt;&gt;"",FALSE)</f>
        <v>0</v>
      </c>
      <c r="C66" t="str">
        <f t="shared" ref="C66:C129" si="1">IF(AND(IFERROR(FIND(",",A65)&gt;=1,FALSE),B67&lt;&gt;TRUE),A66&amp;" "&amp;A67,"")</f>
        <v>Black Camel Oak Stucco 30001BH WALSH</v>
      </c>
    </row>
    <row r="67" spans="1:3" x14ac:dyDescent="0.25">
      <c r="A67" t="s">
        <v>7</v>
      </c>
      <c r="B67" t="b">
        <f>IFERROR(VLOOKUP(A67,#REF!,1,0)&lt;&gt;"",FALSE)</f>
        <v>0</v>
      </c>
      <c r="C67" t="str">
        <f t="shared" si="1"/>
        <v/>
      </c>
    </row>
    <row r="68" spans="1:3" x14ac:dyDescent="0.25">
      <c r="A68" t="s">
        <v>1</v>
      </c>
      <c r="B68" t="b">
        <f>IFERROR(VLOOKUP(A68,#REF!,1,0)&lt;&gt;"",FALSE)</f>
        <v>0</v>
      </c>
      <c r="C68" t="str">
        <f t="shared" si="1"/>
        <v/>
      </c>
    </row>
    <row r="69" spans="1:3" x14ac:dyDescent="0.25">
      <c r="A69" t="s">
        <v>109</v>
      </c>
      <c r="B69" t="b">
        <f>IFERROR(VLOOKUP(A69,#REF!,1,0)&lt;&gt;"",FALSE)</f>
        <v>0</v>
      </c>
      <c r="C69" t="str">
        <f t="shared" si="1"/>
        <v>Black Plaza Taupe 37185BH ELLETT</v>
      </c>
    </row>
    <row r="70" spans="1:3" x14ac:dyDescent="0.25">
      <c r="A70" t="s">
        <v>110</v>
      </c>
      <c r="B70" t="b">
        <f>IFERROR(VLOOKUP(A70,#REF!,1,0)&lt;&gt;"",FALSE)</f>
        <v>0</v>
      </c>
      <c r="C70" t="str">
        <f t="shared" si="1"/>
        <v/>
      </c>
    </row>
    <row r="71" spans="1:3" x14ac:dyDescent="0.25">
      <c r="A71" t="s">
        <v>1</v>
      </c>
      <c r="B71" t="b">
        <f>IFERROR(VLOOKUP(A71,#REF!,1,0)&lt;&gt;"",FALSE)</f>
        <v>0</v>
      </c>
      <c r="C71" t="str">
        <f t="shared" si="1"/>
        <v/>
      </c>
    </row>
    <row r="72" spans="1:3" x14ac:dyDescent="0.25">
      <c r="A72" t="s">
        <v>114</v>
      </c>
      <c r="B72" t="b">
        <f>IFERROR(VLOOKUP(A72,#REF!,1,0)&lt;&gt;"",FALSE)</f>
        <v>0</v>
      </c>
      <c r="C72" t="str">
        <f t="shared" si="1"/>
        <v>Avion Black Soft Khaki 37171BH WINTERS</v>
      </c>
    </row>
    <row r="73" spans="1:3" x14ac:dyDescent="0.25">
      <c r="A73" t="s">
        <v>8</v>
      </c>
      <c r="B73" t="b">
        <f>IFERROR(VLOOKUP(A73,#REF!,1,0)&lt;&gt;"",FALSE)</f>
        <v>0</v>
      </c>
      <c r="C73" t="str">
        <f t="shared" si="1"/>
        <v/>
      </c>
    </row>
    <row r="74" spans="1:3" x14ac:dyDescent="0.25">
      <c r="A74" t="s">
        <v>1</v>
      </c>
      <c r="B74" t="b">
        <f>IFERROR(VLOOKUP(A74,#REF!,1,0)&lt;&gt;"",FALSE)</f>
        <v>0</v>
      </c>
      <c r="C74" t="str">
        <f t="shared" si="1"/>
        <v/>
      </c>
    </row>
    <row r="75" spans="1:3" x14ac:dyDescent="0.25">
      <c r="A75" t="s">
        <v>65</v>
      </c>
      <c r="B75" t="b">
        <f>IFERROR(VLOOKUP(A75,#REF!,1,0)&lt;&gt;"",FALSE)</f>
        <v>0</v>
      </c>
      <c r="C75" t="str">
        <f t="shared" si="1"/>
        <v>Peacoat Plaza Taupe Saddle Steel Almond Black Camel</v>
      </c>
    </row>
    <row r="76" spans="1:3" x14ac:dyDescent="0.25">
      <c r="A76" t="s">
        <v>66</v>
      </c>
      <c r="B76" t="b">
        <f>IFERROR(VLOOKUP(A76,#REF!,1,0)&lt;&gt;"",FALSE)</f>
        <v>0</v>
      </c>
      <c r="C76" t="str">
        <f t="shared" si="1"/>
        <v/>
      </c>
    </row>
    <row r="77" spans="1:3" x14ac:dyDescent="0.25">
      <c r="A77" t="s">
        <v>115</v>
      </c>
      <c r="B77" t="b">
        <f>IFERROR(VLOOKUP(A77,#REF!,1,0)&lt;&gt;"",FALSE)</f>
        <v>0</v>
      </c>
      <c r="C77" t="str">
        <f t="shared" si="1"/>
        <v/>
      </c>
    </row>
    <row r="78" spans="1:3" x14ac:dyDescent="0.25">
      <c r="A78" t="s">
        <v>1</v>
      </c>
      <c r="B78" t="b">
        <f>IFERROR(VLOOKUP(A78,#REF!,1,0)&lt;&gt;"",FALSE)</f>
        <v>0</v>
      </c>
      <c r="C78" t="str">
        <f t="shared" si="1"/>
        <v/>
      </c>
    </row>
    <row r="79" spans="1:3" x14ac:dyDescent="0.25">
      <c r="A79" t="s">
        <v>119</v>
      </c>
      <c r="B79" t="b">
        <f>IFERROR(VLOOKUP(A79,#REF!,1,0)&lt;&gt;"",FALSE)</f>
        <v>0</v>
      </c>
      <c r="C79" t="str">
        <f t="shared" si="1"/>
        <v>Black Midnight Brown Unbleached 37173BH AMMON</v>
      </c>
    </row>
    <row r="80" spans="1:3" x14ac:dyDescent="0.25">
      <c r="A80" t="s">
        <v>6</v>
      </c>
      <c r="B80" t="b">
        <f>IFERROR(VLOOKUP(A80,#REF!,1,0)&lt;&gt;"",FALSE)</f>
        <v>0</v>
      </c>
      <c r="C80" t="str">
        <f t="shared" si="1"/>
        <v/>
      </c>
    </row>
    <row r="81" spans="1:3" x14ac:dyDescent="0.25">
      <c r="A81" t="s">
        <v>1</v>
      </c>
      <c r="B81" t="b">
        <f>IFERROR(VLOOKUP(A81,#REF!,1,0)&lt;&gt;"",FALSE)</f>
        <v>0</v>
      </c>
      <c r="C81" t="str">
        <f t="shared" si="1"/>
        <v/>
      </c>
    </row>
    <row r="82" spans="1:3" x14ac:dyDescent="0.25">
      <c r="A82" t="s">
        <v>65</v>
      </c>
      <c r="B82" t="b">
        <f>IFERROR(VLOOKUP(A82,#REF!,1,0)&lt;&gt;"",FALSE)</f>
        <v>0</v>
      </c>
      <c r="C82" t="str">
        <f t="shared" si="1"/>
        <v>Peacoat Plaza Taupe Saddle Steel Almond Black Camel Henna</v>
      </c>
    </row>
    <row r="83" spans="1:3" x14ac:dyDescent="0.25">
      <c r="A83" t="s">
        <v>122</v>
      </c>
      <c r="B83" t="b">
        <f>IFERROR(VLOOKUP(A83,#REF!,1,0)&lt;&gt;"",FALSE)</f>
        <v>0</v>
      </c>
      <c r="C83" t="str">
        <f t="shared" si="1"/>
        <v/>
      </c>
    </row>
    <row r="84" spans="1:3" x14ac:dyDescent="0.25">
      <c r="A84" t="s">
        <v>123</v>
      </c>
      <c r="B84" t="b">
        <f>IFERROR(VLOOKUP(A84,#REF!,1,0)&lt;&gt;"",FALSE)</f>
        <v>0</v>
      </c>
      <c r="C84" t="str">
        <f t="shared" si="1"/>
        <v/>
      </c>
    </row>
    <row r="85" spans="1:3" x14ac:dyDescent="0.25">
      <c r="A85" t="s">
        <v>1</v>
      </c>
      <c r="B85" t="b">
        <f>IFERROR(VLOOKUP(A85,#REF!,1,0)&lt;&gt;"",FALSE)</f>
        <v>0</v>
      </c>
      <c r="C85" t="str">
        <f t="shared" si="1"/>
        <v/>
      </c>
    </row>
    <row r="86" spans="1:3" x14ac:dyDescent="0.25">
      <c r="A86" t="s">
        <v>126</v>
      </c>
      <c r="B86" t="b">
        <f>IFERROR(VLOOKUP(A86,#REF!,1,0)&lt;&gt;"",FALSE)</f>
        <v>0</v>
      </c>
      <c r="C86" t="str">
        <f t="shared" si="1"/>
        <v>Beech Black Whiskey 20006BH DEVERS</v>
      </c>
    </row>
    <row r="87" spans="1:3" x14ac:dyDescent="0.25">
      <c r="A87" t="s">
        <v>127</v>
      </c>
      <c r="B87" t="b">
        <f>IFERROR(VLOOKUP(A87,#REF!,1,0)&lt;&gt;"",FALSE)</f>
        <v>0</v>
      </c>
      <c r="C87" t="str">
        <f t="shared" si="1"/>
        <v/>
      </c>
    </row>
    <row r="88" spans="1:3" x14ac:dyDescent="0.25">
      <c r="A88" t="s">
        <v>1</v>
      </c>
      <c r="B88" t="b">
        <f>IFERROR(VLOOKUP(A88,#REF!,1,0)&lt;&gt;"",FALSE)</f>
        <v>0</v>
      </c>
      <c r="C88" t="str">
        <f t="shared" si="1"/>
        <v/>
      </c>
    </row>
    <row r="89" spans="1:3" x14ac:dyDescent="0.25">
      <c r="A89" t="s">
        <v>129</v>
      </c>
      <c r="B89" t="b">
        <f>IFERROR(VLOOKUP(A89,#REF!,1,0)&lt;&gt;"",FALSE)</f>
        <v>0</v>
      </c>
      <c r="C89" t="str">
        <f t="shared" si="1"/>
        <v>Ink Blue Plaza Taupe 37158BH BRANDT</v>
      </c>
    </row>
    <row r="90" spans="1:3" x14ac:dyDescent="0.25">
      <c r="A90" t="s">
        <v>130</v>
      </c>
      <c r="B90" t="b">
        <f>IFERROR(VLOOKUP(A90,#REF!,1,0)&lt;&gt;"",FALSE)</f>
        <v>0</v>
      </c>
      <c r="C90" t="str">
        <f t="shared" si="1"/>
        <v/>
      </c>
    </row>
    <row r="91" spans="1:3" x14ac:dyDescent="0.25">
      <c r="A91" t="s">
        <v>134</v>
      </c>
      <c r="B91" t="b">
        <f>IFERROR(VLOOKUP(A91,#REF!,1,0)&lt;&gt;"",FALSE)</f>
        <v>0</v>
      </c>
      <c r="C91" t="str">
        <f t="shared" si="1"/>
        <v/>
      </c>
    </row>
    <row r="92" spans="1:3" x14ac:dyDescent="0.25">
      <c r="A92" t="s">
        <v>135</v>
      </c>
      <c r="B92" t="b">
        <f>IFERROR(VLOOKUP(A92,#REF!,1,0)&lt;&gt;"",FALSE)</f>
        <v>0</v>
      </c>
      <c r="C92" t="str">
        <f t="shared" si="1"/>
        <v>Black Black Mix Bluestone Walnut 37161BH PERRY</v>
      </c>
    </row>
    <row r="93" spans="1:3" x14ac:dyDescent="0.25">
      <c r="A93" t="s">
        <v>136</v>
      </c>
      <c r="B93" t="b">
        <f>IFERROR(VLOOKUP(A93,#REF!,1,0)&lt;&gt;"",FALSE)</f>
        <v>0</v>
      </c>
      <c r="C93" t="str">
        <f t="shared" si="1"/>
        <v/>
      </c>
    </row>
    <row r="94" spans="1:3" x14ac:dyDescent="0.25">
      <c r="A94" t="s">
        <v>1</v>
      </c>
      <c r="B94" t="b">
        <f>IFERROR(VLOOKUP(A94,#REF!,1,0)&lt;&gt;"",FALSE)</f>
        <v>0</v>
      </c>
      <c r="C94" t="str">
        <f t="shared" si="1"/>
        <v/>
      </c>
    </row>
    <row r="95" spans="1:3" x14ac:dyDescent="0.25">
      <c r="A95" t="s">
        <v>137</v>
      </c>
      <c r="B95" t="b">
        <f>IFERROR(VLOOKUP(A95,#REF!,1,0)&lt;&gt;"",FALSE)</f>
        <v>0</v>
      </c>
      <c r="C95" t="str">
        <f t="shared" si="1"/>
        <v>Navy Serpent Walnut 70656BH ACKER</v>
      </c>
    </row>
    <row r="96" spans="1:3" x14ac:dyDescent="0.25">
      <c r="A96" t="s">
        <v>138</v>
      </c>
      <c r="B96" t="b">
        <f>IFERROR(VLOOKUP(A96,#REF!,1,0)&lt;&gt;"",FALSE)</f>
        <v>0</v>
      </c>
      <c r="C96" t="str">
        <f t="shared" si="1"/>
        <v/>
      </c>
    </row>
    <row r="97" spans="1:3" x14ac:dyDescent="0.25">
      <c r="A97" t="s">
        <v>1</v>
      </c>
      <c r="B97" t="b">
        <f>IFERROR(VLOOKUP(A97,#REF!,1,0)&lt;&gt;"",FALSE)</f>
        <v>0</v>
      </c>
      <c r="C97" t="str">
        <f t="shared" si="1"/>
        <v/>
      </c>
    </row>
    <row r="98" spans="1:3" x14ac:dyDescent="0.25">
      <c r="A98" t="s">
        <v>119</v>
      </c>
      <c r="B98" t="b">
        <f>IFERROR(VLOOKUP(A98,#REF!,1,0)&lt;&gt;"",FALSE)</f>
        <v>0</v>
      </c>
      <c r="C98" t="str">
        <f t="shared" si="1"/>
        <v>Black Midnight Brown Unbleached 7034 BLIXEN</v>
      </c>
    </row>
    <row r="99" spans="1:3" x14ac:dyDescent="0.25">
      <c r="A99" t="s">
        <v>144</v>
      </c>
      <c r="B99" t="b">
        <f>IFERROR(VLOOKUP(A99,#REF!,1,0)&lt;&gt;"",FALSE)</f>
        <v>0</v>
      </c>
      <c r="C99" t="str">
        <f t="shared" si="1"/>
        <v/>
      </c>
    </row>
    <row r="100" spans="1:3" x14ac:dyDescent="0.25">
      <c r="A100" t="s">
        <v>105</v>
      </c>
      <c r="B100" t="b">
        <f>IFERROR(VLOOKUP(A100,#REF!,1,0)&lt;&gt;"",FALSE)</f>
        <v>0</v>
      </c>
      <c r="C100" t="str">
        <f t="shared" si="1"/>
        <v/>
      </c>
    </row>
    <row r="101" spans="1:3" x14ac:dyDescent="0.25">
      <c r="A101" t="s">
        <v>145</v>
      </c>
      <c r="B101" t="b">
        <f>IFERROR(VLOOKUP(A101,#REF!,1,0)&lt;&gt;"",FALSE)</f>
        <v>0</v>
      </c>
      <c r="C101" t="str">
        <f t="shared" si="1"/>
        <v>Navy Nickel Satin Brass Silverbelly Vintage Blue Black Cognac Copper Medium Brown Mix Basalt Avion</v>
      </c>
    </row>
    <row r="102" spans="1:3" x14ac:dyDescent="0.25">
      <c r="A102" t="s">
        <v>344</v>
      </c>
      <c r="B102" t="b">
        <f>IFERROR(VLOOKUP(A102,#REF!,1,0)&lt;&gt;"",FALSE)</f>
        <v>0</v>
      </c>
      <c r="C102" t="str">
        <f t="shared" si="1"/>
        <v/>
      </c>
    </row>
    <row r="103" spans="1:3" x14ac:dyDescent="0.25">
      <c r="A103" t="s">
        <v>146</v>
      </c>
      <c r="B103" t="b">
        <f>IFERROR(VLOOKUP(A103,#REF!,1,0)&lt;&gt;"",FALSE)</f>
        <v>0</v>
      </c>
      <c r="C103" t="str">
        <f t="shared" si="1"/>
        <v/>
      </c>
    </row>
    <row r="104" spans="1:3" x14ac:dyDescent="0.25">
      <c r="A104" t="s">
        <v>1</v>
      </c>
      <c r="B104" t="b">
        <f>IFERROR(VLOOKUP(A104,#REF!,1,0)&lt;&gt;"",FALSE)</f>
        <v>0</v>
      </c>
      <c r="C104" t="str">
        <f t="shared" si="1"/>
        <v/>
      </c>
    </row>
    <row r="105" spans="1:3" x14ac:dyDescent="0.25">
      <c r="A105" t="s">
        <v>148</v>
      </c>
      <c r="B105" t="b">
        <f>IFERROR(VLOOKUP(A105,#REF!,1,0)&lt;&gt;"",FALSE)</f>
        <v>0</v>
      </c>
      <c r="C105" t="str">
        <f t="shared" si="1"/>
        <v>Black Unbleached Woodland Mix 70655BH LUND</v>
      </c>
    </row>
    <row r="106" spans="1:3" x14ac:dyDescent="0.25">
      <c r="A106" t="s">
        <v>149</v>
      </c>
      <c r="B106" t="b">
        <f>IFERROR(VLOOKUP(A106,#REF!,1,0)&lt;&gt;"",FALSE)</f>
        <v>0</v>
      </c>
      <c r="C106" t="str">
        <f t="shared" si="1"/>
        <v/>
      </c>
    </row>
    <row r="107" spans="1:3" x14ac:dyDescent="0.25">
      <c r="A107" t="s">
        <v>1</v>
      </c>
      <c r="B107" t="b">
        <f>IFERROR(VLOOKUP(A107,#REF!,1,0)&lt;&gt;"",FALSE)</f>
        <v>0</v>
      </c>
      <c r="C107" t="str">
        <f t="shared" si="1"/>
        <v/>
      </c>
    </row>
    <row r="108" spans="1:3" x14ac:dyDescent="0.25">
      <c r="A108" t="s">
        <v>151</v>
      </c>
      <c r="B108" t="b">
        <f>IFERROR(VLOOKUP(A108,#REF!,1,0)&lt;&gt;"",FALSE)</f>
        <v>0</v>
      </c>
      <c r="C108" t="str">
        <f t="shared" si="1"/>
        <v>Black Ochre 70658BH MOLIN</v>
      </c>
    </row>
    <row r="109" spans="1:3" x14ac:dyDescent="0.25">
      <c r="A109" t="s">
        <v>152</v>
      </c>
      <c r="B109" t="b">
        <f>IFERROR(VLOOKUP(A109,#REF!,1,0)&lt;&gt;"",FALSE)</f>
        <v>0</v>
      </c>
      <c r="C109" t="str">
        <f t="shared" si="1"/>
        <v/>
      </c>
    </row>
    <row r="110" spans="1:3" x14ac:dyDescent="0.25">
      <c r="A110" t="s">
        <v>1</v>
      </c>
      <c r="B110" t="b">
        <f>IFERROR(VLOOKUP(A110,#REF!,1,0)&lt;&gt;"",FALSE)</f>
        <v>0</v>
      </c>
      <c r="C110" t="str">
        <f t="shared" si="1"/>
        <v/>
      </c>
    </row>
    <row r="111" spans="1:3" x14ac:dyDescent="0.25">
      <c r="A111" t="s">
        <v>155</v>
      </c>
      <c r="B111" t="b">
        <f>IFERROR(VLOOKUP(A111,#REF!,1,0)&lt;&gt;"",FALSE)</f>
        <v>0</v>
      </c>
      <c r="C111" t="str">
        <f t="shared" si="1"/>
        <v>Black Oak 70657BH FALCON</v>
      </c>
    </row>
    <row r="112" spans="1:3" x14ac:dyDescent="0.25">
      <c r="A112" t="s">
        <v>156</v>
      </c>
      <c r="B112" t="b">
        <f>IFERROR(VLOOKUP(A112,#REF!,1,0)&lt;&gt;"",FALSE)</f>
        <v>0</v>
      </c>
      <c r="C112" t="str">
        <f t="shared" si="1"/>
        <v/>
      </c>
    </row>
    <row r="113" spans="1:3" x14ac:dyDescent="0.25">
      <c r="A113" t="s">
        <v>1</v>
      </c>
      <c r="B113" t="b">
        <f>IFERROR(VLOOKUP(A113,#REF!,1,0)&lt;&gt;"",FALSE)</f>
        <v>0</v>
      </c>
      <c r="C113" t="str">
        <f t="shared" si="1"/>
        <v/>
      </c>
    </row>
    <row r="114" spans="1:3" x14ac:dyDescent="0.25">
      <c r="A114" t="s">
        <v>159</v>
      </c>
      <c r="B114" t="b">
        <f>IFERROR(VLOOKUP(A114,#REF!,1,0)&lt;&gt;"",FALSE)</f>
        <v>0</v>
      </c>
      <c r="C114" t="str">
        <f t="shared" si="1"/>
        <v>Avion Black 70659BH COLVIN</v>
      </c>
    </row>
    <row r="115" spans="1:3" x14ac:dyDescent="0.25">
      <c r="A115" t="s">
        <v>160</v>
      </c>
      <c r="B115" t="b">
        <f>IFERROR(VLOOKUP(A115,#REF!,1,0)&lt;&gt;"",FALSE)</f>
        <v>0</v>
      </c>
      <c r="C115" t="str">
        <f t="shared" si="1"/>
        <v/>
      </c>
    </row>
    <row r="116" spans="1:3" x14ac:dyDescent="0.25">
      <c r="A116" t="s">
        <v>1</v>
      </c>
      <c r="B116" t="b">
        <f>IFERROR(VLOOKUP(A116,#REF!,1,0)&lt;&gt;"",FALSE)</f>
        <v>0</v>
      </c>
      <c r="C116" t="str">
        <f t="shared" si="1"/>
        <v/>
      </c>
    </row>
    <row r="117" spans="1:3" x14ac:dyDescent="0.25">
      <c r="A117" t="s">
        <v>162</v>
      </c>
      <c r="B117" t="b">
        <f>IFERROR(VLOOKUP(A117,#REF!,1,0)&lt;&gt;"",FALSE)</f>
        <v>0</v>
      </c>
      <c r="C117" t="str">
        <f t="shared" si="1"/>
        <v>Black Honey Uniform Green 70660BH ERLER</v>
      </c>
    </row>
    <row r="118" spans="1:3" x14ac:dyDescent="0.25">
      <c r="A118" t="s">
        <v>163</v>
      </c>
      <c r="B118" t="b">
        <f>IFERROR(VLOOKUP(A118,#REF!,1,0)&lt;&gt;"",FALSE)</f>
        <v>0</v>
      </c>
      <c r="C118" t="str">
        <f t="shared" si="1"/>
        <v/>
      </c>
    </row>
    <row r="119" spans="1:3" x14ac:dyDescent="0.25">
      <c r="A119" t="s">
        <v>1</v>
      </c>
      <c r="B119" t="b">
        <f>IFERROR(VLOOKUP(A119,#REF!,1,0)&lt;&gt;"",FALSE)</f>
        <v>0</v>
      </c>
      <c r="C119" t="str">
        <f t="shared" si="1"/>
        <v/>
      </c>
    </row>
    <row r="120" spans="1:3" x14ac:dyDescent="0.25">
      <c r="A120" t="s">
        <v>167</v>
      </c>
      <c r="B120" t="b">
        <f>IFERROR(VLOOKUP(A120,#REF!,1,0)&lt;&gt;"",FALSE)</f>
        <v>0</v>
      </c>
      <c r="C120" t="str">
        <f t="shared" si="1"/>
        <v>Black Nickel Satin Brass Uniform Green 7021 DARRON</v>
      </c>
    </row>
    <row r="121" spans="1:3" x14ac:dyDescent="0.25">
      <c r="A121" t="s">
        <v>168</v>
      </c>
      <c r="B121" t="b">
        <f>IFERROR(VLOOKUP(A121,#REF!,1,0)&lt;&gt;"",FALSE)</f>
        <v>0</v>
      </c>
      <c r="C121" t="str">
        <f t="shared" si="1"/>
        <v/>
      </c>
    </row>
    <row r="122" spans="1:3" x14ac:dyDescent="0.25">
      <c r="A122" t="s">
        <v>105</v>
      </c>
      <c r="B122" t="b">
        <f>IFERROR(VLOOKUP(A122,#REF!,1,0)&lt;&gt;"",FALSE)</f>
        <v>0</v>
      </c>
      <c r="C122" t="str">
        <f t="shared" si="1"/>
        <v/>
      </c>
    </row>
    <row r="123" spans="1:3" x14ac:dyDescent="0.25">
      <c r="A123" t="s">
        <v>171</v>
      </c>
      <c r="B123" t="b">
        <f>IFERROR(VLOOKUP(A123,#REF!,1,0)&lt;&gt;"",FALSE)</f>
        <v>0</v>
      </c>
      <c r="C123" t="str">
        <f t="shared" si="1"/>
        <v>Black Caramel Gun Metal Satin Brass Soft Khaki 7005 CURTIS</v>
      </c>
    </row>
    <row r="124" spans="1:3" x14ac:dyDescent="0.25">
      <c r="A124" t="s">
        <v>172</v>
      </c>
      <c r="B124" t="b">
        <f>IFERROR(VLOOKUP(A124,#REF!,1,0)&lt;&gt;"",FALSE)</f>
        <v>0</v>
      </c>
      <c r="C124" t="str">
        <f t="shared" si="1"/>
        <v/>
      </c>
    </row>
    <row r="125" spans="1:3" x14ac:dyDescent="0.25">
      <c r="A125" t="s">
        <v>105</v>
      </c>
      <c r="B125" t="b">
        <f>IFERROR(VLOOKUP(A125,#REF!,1,0)&lt;&gt;"",FALSE)</f>
        <v>0</v>
      </c>
      <c r="C125" t="str">
        <f t="shared" si="1"/>
        <v/>
      </c>
    </row>
    <row r="126" spans="1:3" x14ac:dyDescent="0.25">
      <c r="A126" t="s">
        <v>175</v>
      </c>
      <c r="B126" t="b">
        <f>IFERROR(VLOOKUP(A126,#REF!,1,0)&lt;&gt;"",FALSE)</f>
        <v>0</v>
      </c>
      <c r="C126" t="str">
        <f t="shared" si="1"/>
        <v>Sea Breeze Serpent Speckled Egg Mix Uniform Green Vintage Blue Antique Black Contrapposto Grey Navy</v>
      </c>
    </row>
    <row r="127" spans="1:3" x14ac:dyDescent="0.25">
      <c r="A127" t="s">
        <v>176</v>
      </c>
      <c r="B127" t="b">
        <f>IFERROR(VLOOKUP(A127,#REF!,1,0)&lt;&gt;"",FALSE)</f>
        <v>0</v>
      </c>
      <c r="C127" t="str">
        <f t="shared" si="1"/>
        <v/>
      </c>
    </row>
    <row r="128" spans="1:3" x14ac:dyDescent="0.25">
      <c r="A128" t="s">
        <v>177</v>
      </c>
      <c r="B128" t="b">
        <f>IFERROR(VLOOKUP(A128,#REF!,1,0)&lt;&gt;"",FALSE)</f>
        <v>0</v>
      </c>
      <c r="C128" t="str">
        <f t="shared" si="1"/>
        <v/>
      </c>
    </row>
    <row r="129" spans="1:3" x14ac:dyDescent="0.25">
      <c r="A129" t="s">
        <v>1</v>
      </c>
      <c r="B129" t="b">
        <f>IFERROR(VLOOKUP(A129,#REF!,1,0)&lt;&gt;"",FALSE)</f>
        <v>0</v>
      </c>
      <c r="C129" t="str">
        <f t="shared" si="1"/>
        <v/>
      </c>
    </row>
    <row r="130" spans="1:3" x14ac:dyDescent="0.25">
      <c r="A130" t="s">
        <v>179</v>
      </c>
      <c r="B130" t="b">
        <f>IFERROR(VLOOKUP(A130,#REF!,1,0)&lt;&gt;"",FALSE)</f>
        <v>0</v>
      </c>
      <c r="C130" t="str">
        <f t="shared" ref="C130:C192" si="2">IF(AND(IFERROR(FIND(",",A129)&gt;=1,FALSE),B131&lt;&gt;TRUE),A130&amp;" "&amp;A131,"")</f>
        <v>Black Oxford Mix 70646BH NELLES</v>
      </c>
    </row>
    <row r="131" spans="1:3" x14ac:dyDescent="0.25">
      <c r="A131" t="s">
        <v>180</v>
      </c>
      <c r="B131" t="b">
        <f>IFERROR(VLOOKUP(A131,#REF!,1,0)&lt;&gt;"",FALSE)</f>
        <v>0</v>
      </c>
      <c r="C131" t="str">
        <f t="shared" si="2"/>
        <v/>
      </c>
    </row>
    <row r="132" spans="1:3" x14ac:dyDescent="0.25">
      <c r="A132" t="s">
        <v>1</v>
      </c>
      <c r="B132" t="b">
        <f>IFERROR(VLOOKUP(A132,#REF!,1,0)&lt;&gt;"",FALSE)</f>
        <v>0</v>
      </c>
      <c r="C132" t="str">
        <f t="shared" si="2"/>
        <v/>
      </c>
    </row>
    <row r="133" spans="1:3" x14ac:dyDescent="0.25">
      <c r="A133" t="s">
        <v>184</v>
      </c>
      <c r="B133" t="b">
        <f>IFERROR(VLOOKUP(A133,#REF!,1,0)&lt;&gt;"",FALSE)</f>
        <v>0</v>
      </c>
      <c r="C133" t="str">
        <f t="shared" si="2"/>
        <v>Black Camel Pale Olive Whiskey 70654BH TREPORT</v>
      </c>
    </row>
    <row r="134" spans="1:3" x14ac:dyDescent="0.25">
      <c r="A134" t="s">
        <v>185</v>
      </c>
      <c r="B134" t="b">
        <f>IFERROR(VLOOKUP(A134,#REF!,1,0)&lt;&gt;"",FALSE)</f>
        <v>0</v>
      </c>
      <c r="C134" t="str">
        <f t="shared" si="2"/>
        <v/>
      </c>
    </row>
    <row r="135" spans="1:3" x14ac:dyDescent="0.25">
      <c r="A135" t="s">
        <v>1</v>
      </c>
      <c r="B135" t="b">
        <f>IFERROR(VLOOKUP(A135,#REF!,1,0)&lt;&gt;"",FALSE)</f>
        <v>0</v>
      </c>
      <c r="C135" t="str">
        <f t="shared" si="2"/>
        <v/>
      </c>
    </row>
    <row r="136" spans="1:3" x14ac:dyDescent="0.25">
      <c r="A136" t="s">
        <v>187</v>
      </c>
      <c r="B136" t="b">
        <f>IFERROR(VLOOKUP(A136,#REF!,1,0)&lt;&gt;"",FALSE)</f>
        <v>0</v>
      </c>
      <c r="C136" t="str">
        <f t="shared" si="2"/>
        <v>Ink Blue Olive Mix Rust 7002 FEDORA</v>
      </c>
    </row>
    <row r="137" spans="1:3" x14ac:dyDescent="0.25">
      <c r="A137" t="s">
        <v>188</v>
      </c>
      <c r="B137" t="b">
        <f>IFERROR(VLOOKUP(A137,#REF!,1,0)&lt;&gt;"",FALSE)</f>
        <v>0</v>
      </c>
      <c r="C137" t="str">
        <f t="shared" si="2"/>
        <v/>
      </c>
    </row>
    <row r="138" spans="1:3" x14ac:dyDescent="0.25">
      <c r="A138" t="s">
        <v>1</v>
      </c>
      <c r="B138" t="b">
        <f>IFERROR(VLOOKUP(A138,#REF!,1,0)&lt;&gt;"",FALSE)</f>
        <v>0</v>
      </c>
      <c r="C138" t="str">
        <f t="shared" si="2"/>
        <v/>
      </c>
    </row>
    <row r="139" spans="1:3" x14ac:dyDescent="0.25">
      <c r="A139" t="s">
        <v>189</v>
      </c>
      <c r="B139" t="b">
        <f>IFERROR(VLOOKUP(A139,#REF!,1,0)&lt;&gt;"",FALSE)</f>
        <v>0</v>
      </c>
      <c r="C139" t="str">
        <f t="shared" si="2"/>
        <v>Black Graphite Nickel Red 70613BH SPERLING</v>
      </c>
    </row>
    <row r="140" spans="1:3" x14ac:dyDescent="0.25">
      <c r="A140" t="s">
        <v>190</v>
      </c>
      <c r="B140" t="b">
        <f>IFERROR(VLOOKUP(A140,#REF!,1,0)&lt;&gt;"",FALSE)</f>
        <v>0</v>
      </c>
      <c r="C140" t="str">
        <f t="shared" si="2"/>
        <v/>
      </c>
    </row>
    <row r="141" spans="1:3" x14ac:dyDescent="0.25">
      <c r="A141" t="s">
        <v>1</v>
      </c>
      <c r="B141" t="b">
        <f>IFERROR(VLOOKUP(A141,#REF!,1,0)&lt;&gt;"",FALSE)</f>
        <v>0</v>
      </c>
      <c r="C141" t="str">
        <f t="shared" si="2"/>
        <v/>
      </c>
    </row>
    <row r="142" spans="1:3" x14ac:dyDescent="0.25">
      <c r="A142" t="s">
        <v>191</v>
      </c>
      <c r="B142" t="b">
        <f>IFERROR(VLOOKUP(A142,#REF!,1,0)&lt;&gt;"",FALSE)</f>
        <v>0</v>
      </c>
      <c r="C142" t="str">
        <f t="shared" si="2"/>
        <v>Bluestone Serpent Woodland Mix 70653BH BURNELL</v>
      </c>
    </row>
    <row r="143" spans="1:3" x14ac:dyDescent="0.25">
      <c r="A143" t="s">
        <v>192</v>
      </c>
      <c r="B143" t="b">
        <f>IFERROR(VLOOKUP(A143,#REF!,1,0)&lt;&gt;"",FALSE)</f>
        <v>0</v>
      </c>
      <c r="C143" t="str">
        <f t="shared" si="2"/>
        <v/>
      </c>
    </row>
    <row r="144" spans="1:3" x14ac:dyDescent="0.25">
      <c r="A144" t="s">
        <v>1</v>
      </c>
      <c r="B144" t="b">
        <f>IFERROR(VLOOKUP(A144,#REF!,1,0)&lt;&gt;"",FALSE)</f>
        <v>0</v>
      </c>
      <c r="C144" t="str">
        <f t="shared" si="2"/>
        <v/>
      </c>
    </row>
    <row r="145" spans="1:3" x14ac:dyDescent="0.25">
      <c r="A145" t="s">
        <v>195</v>
      </c>
      <c r="B145" t="b">
        <f>IFERROR(VLOOKUP(A145,#REF!,1,0)&lt;&gt;"",FALSE)</f>
        <v>0</v>
      </c>
      <c r="C145" t="str">
        <f t="shared" si="2"/>
        <v>Natural Mix Ochre 7016 WYNN</v>
      </c>
    </row>
    <row r="146" spans="1:3" x14ac:dyDescent="0.25">
      <c r="A146" t="s">
        <v>196</v>
      </c>
      <c r="B146" t="b">
        <f>IFERROR(VLOOKUP(A146,#REF!,1,0)&lt;&gt;"",FALSE)</f>
        <v>0</v>
      </c>
      <c r="C146" t="str">
        <f t="shared" si="2"/>
        <v/>
      </c>
    </row>
    <row r="147" spans="1:3" x14ac:dyDescent="0.25">
      <c r="A147" t="s">
        <v>1</v>
      </c>
      <c r="B147" t="b">
        <f>IFERROR(VLOOKUP(A147,#REF!,1,0)&lt;&gt;"",FALSE)</f>
        <v>0</v>
      </c>
      <c r="C147" t="str">
        <f t="shared" si="2"/>
        <v/>
      </c>
    </row>
    <row r="148" spans="1:3" x14ac:dyDescent="0.25">
      <c r="A148" t="s">
        <v>198</v>
      </c>
      <c r="B148" t="b">
        <f>IFERROR(VLOOKUP(A148,#REF!,1,0)&lt;&gt;"",FALSE)</f>
        <v>0</v>
      </c>
      <c r="C148" t="str">
        <f t="shared" si="2"/>
        <v>Oxblood Pewter Serpent Silverbelly Black Cognac Olive Mix</v>
      </c>
    </row>
    <row r="149" spans="1:3" x14ac:dyDescent="0.25">
      <c r="A149" t="s">
        <v>199</v>
      </c>
      <c r="B149" t="b">
        <f>IFERROR(VLOOKUP(A149,#REF!,1,0)&lt;&gt;"",FALSE)</f>
        <v>0</v>
      </c>
      <c r="C149" t="str">
        <f t="shared" si="2"/>
        <v/>
      </c>
    </row>
    <row r="150" spans="1:3" x14ac:dyDescent="0.25">
      <c r="A150" t="s">
        <v>200</v>
      </c>
      <c r="B150" t="b">
        <f>IFERROR(VLOOKUP(A150,#REF!,1,0)&lt;&gt;"",FALSE)</f>
        <v>0</v>
      </c>
      <c r="C150" t="str">
        <f t="shared" si="2"/>
        <v/>
      </c>
    </row>
    <row r="151" spans="1:3" x14ac:dyDescent="0.25">
      <c r="A151" t="s">
        <v>1</v>
      </c>
      <c r="B151" t="b">
        <f>IFERROR(VLOOKUP(A151,#REF!,1,0)&lt;&gt;"",FALSE)</f>
        <v>0</v>
      </c>
      <c r="C151" t="str">
        <f t="shared" si="2"/>
        <v/>
      </c>
    </row>
    <row r="152" spans="1:3" x14ac:dyDescent="0.25">
      <c r="A152" t="s">
        <v>203</v>
      </c>
      <c r="B152" t="b">
        <f>IFERROR(VLOOKUP(A152,#REF!,1,0)&lt;&gt;"",FALSE)</f>
        <v>0</v>
      </c>
      <c r="C152" t="str">
        <f t="shared" si="2"/>
        <v>Medium Brown Mix 7001 TINO</v>
      </c>
    </row>
    <row r="153" spans="1:3" x14ac:dyDescent="0.25">
      <c r="A153" t="s">
        <v>204</v>
      </c>
      <c r="B153" t="b">
        <f>IFERROR(VLOOKUP(A153,#REF!,1,0)&lt;&gt;"",FALSE)</f>
        <v>0</v>
      </c>
      <c r="C153" t="str">
        <f t="shared" si="2"/>
        <v/>
      </c>
    </row>
    <row r="154" spans="1:3" x14ac:dyDescent="0.25">
      <c r="A154" t="s">
        <v>105</v>
      </c>
      <c r="B154" t="b">
        <f>IFERROR(VLOOKUP(A154,#REF!,1,0)&lt;&gt;"",FALSE)</f>
        <v>0</v>
      </c>
      <c r="C154" t="str">
        <f t="shared" si="2"/>
        <v/>
      </c>
    </row>
    <row r="155" spans="1:3" x14ac:dyDescent="0.25">
      <c r="A155" t="s">
        <v>205</v>
      </c>
      <c r="B155" t="b">
        <f>IFERROR(VLOOKUP(A155,#REF!,1,0)&lt;&gt;"",FALSE)</f>
        <v>0</v>
      </c>
      <c r="C155" t="str">
        <f t="shared" si="2"/>
        <v>Contrapposto Copper Natural Mix Navy Port Red Satin Brass Sea Breeze Unbleached Vintage Blue Basalt Black Black Mix Brown</v>
      </c>
    </row>
    <row r="156" spans="1:3" x14ac:dyDescent="0.25">
      <c r="A156" t="s">
        <v>453</v>
      </c>
      <c r="B156" t="b">
        <f>IFERROR(VLOOKUP(A156,#REF!,1,0)&lt;&gt;"",FALSE)</f>
        <v>0</v>
      </c>
      <c r="C156" t="str">
        <f t="shared" si="2"/>
        <v/>
      </c>
    </row>
    <row r="157" spans="1:3" x14ac:dyDescent="0.25">
      <c r="A157" t="s">
        <v>208</v>
      </c>
      <c r="B157" t="b">
        <f>IFERROR(VLOOKUP(A157,#REF!,1,0)&lt;&gt;"",FALSE)</f>
        <v>0</v>
      </c>
      <c r="C157" t="str">
        <f t="shared" si="2"/>
        <v/>
      </c>
    </row>
    <row r="158" spans="1:3" x14ac:dyDescent="0.25">
      <c r="A158" t="s">
        <v>1</v>
      </c>
      <c r="B158" t="b">
        <f>IFERROR(VLOOKUP(A158,#REF!,1,0)&lt;&gt;"",FALSE)</f>
        <v>0</v>
      </c>
      <c r="C158" t="str">
        <f t="shared" si="2"/>
        <v/>
      </c>
    </row>
    <row r="159" spans="1:3" x14ac:dyDescent="0.25">
      <c r="A159" t="s">
        <v>212</v>
      </c>
      <c r="B159" t="b">
        <f>IFERROR(VLOOKUP(A159,#REF!,1,0)&lt;&gt;"",FALSE)</f>
        <v>0</v>
      </c>
      <c r="C159" t="str">
        <f t="shared" si="2"/>
        <v>Black Cognac Fawn 38359BH TROPE</v>
      </c>
    </row>
    <row r="160" spans="1:3" x14ac:dyDescent="0.25">
      <c r="A160" t="s">
        <v>213</v>
      </c>
      <c r="B160" t="b">
        <f>IFERROR(VLOOKUP(A160,#REF!,1,0)&lt;&gt;"",FALSE)</f>
        <v>0</v>
      </c>
      <c r="C160" t="str">
        <f t="shared" si="2"/>
        <v/>
      </c>
    </row>
    <row r="161" spans="1:3" x14ac:dyDescent="0.25">
      <c r="A161" t="s">
        <v>1</v>
      </c>
      <c r="B161" t="b">
        <f>IFERROR(VLOOKUP(A161,#REF!,1,0)&lt;&gt;"",FALSE)</f>
        <v>0</v>
      </c>
      <c r="C161" t="str">
        <f t="shared" si="2"/>
        <v/>
      </c>
    </row>
    <row r="162" spans="1:3" x14ac:dyDescent="0.25">
      <c r="A162" t="s">
        <v>217</v>
      </c>
      <c r="B162" t="b">
        <f>IFERROR(VLOOKUP(A162,#REF!,1,0)&lt;&gt;"",FALSE)</f>
        <v>0</v>
      </c>
      <c r="C162" t="str">
        <f t="shared" si="2"/>
        <v>Black Uniform Green 38368BH CYD</v>
      </c>
    </row>
    <row r="163" spans="1:3" x14ac:dyDescent="0.25">
      <c r="A163" t="s">
        <v>218</v>
      </c>
      <c r="B163" t="b">
        <f>IFERROR(VLOOKUP(A163,#REF!,1,0)&lt;&gt;"",FALSE)</f>
        <v>0</v>
      </c>
      <c r="C163" t="str">
        <f t="shared" si="2"/>
        <v/>
      </c>
    </row>
    <row r="164" spans="1:3" x14ac:dyDescent="0.25">
      <c r="A164" t="s">
        <v>1</v>
      </c>
      <c r="B164" t="b">
        <f>IFERROR(VLOOKUP(A164,#REF!,1,0)&lt;&gt;"",FALSE)</f>
        <v>0</v>
      </c>
      <c r="C164" t="str">
        <f t="shared" si="2"/>
        <v/>
      </c>
    </row>
    <row r="165" spans="1:3" x14ac:dyDescent="0.25">
      <c r="A165" t="s">
        <v>219</v>
      </c>
      <c r="B165" t="b">
        <f>IFERROR(VLOOKUP(A165,#REF!,1,0)&lt;&gt;"",FALSE)</f>
        <v>0</v>
      </c>
      <c r="C165" t="str">
        <f t="shared" si="2"/>
        <v>Avion Black Whiskey 38366BH THALER</v>
      </c>
    </row>
    <row r="166" spans="1:3" x14ac:dyDescent="0.25">
      <c r="A166" t="s">
        <v>220</v>
      </c>
      <c r="B166" t="b">
        <f>IFERROR(VLOOKUP(A166,#REF!,1,0)&lt;&gt;"",FALSE)</f>
        <v>0</v>
      </c>
      <c r="C166" t="str">
        <f t="shared" si="2"/>
        <v/>
      </c>
    </row>
    <row r="167" spans="1:3" x14ac:dyDescent="0.25">
      <c r="A167" t="s">
        <v>1</v>
      </c>
      <c r="B167" t="b">
        <f>IFERROR(VLOOKUP(A167,#REF!,1,0)&lt;&gt;"",FALSE)</f>
        <v>0</v>
      </c>
      <c r="C167" t="str">
        <f t="shared" si="2"/>
        <v/>
      </c>
    </row>
    <row r="168" spans="1:3" x14ac:dyDescent="0.25">
      <c r="A168" t="s">
        <v>222</v>
      </c>
      <c r="B168" t="b">
        <f>IFERROR(VLOOKUP(A168,#REF!,1,0)&lt;&gt;"",FALSE)</f>
        <v>0</v>
      </c>
      <c r="C168" t="str">
        <f t="shared" si="2"/>
        <v>Black Nickel Uniform Green 3817 GODFATHER</v>
      </c>
    </row>
    <row r="169" spans="1:3" x14ac:dyDescent="0.25">
      <c r="A169" t="s">
        <v>223</v>
      </c>
      <c r="B169" t="b">
        <f>IFERROR(VLOOKUP(A169,#REF!,1,0)&lt;&gt;"",FALSE)</f>
        <v>0</v>
      </c>
      <c r="C169" t="str">
        <f t="shared" si="2"/>
        <v/>
      </c>
    </row>
    <row r="170" spans="1:3" x14ac:dyDescent="0.25">
      <c r="A170" t="s">
        <v>105</v>
      </c>
      <c r="B170" t="b">
        <f>IFERROR(VLOOKUP(A170,#REF!,1,0)&lt;&gt;"",FALSE)</f>
        <v>0</v>
      </c>
      <c r="C170" t="str">
        <f t="shared" si="2"/>
        <v/>
      </c>
    </row>
    <row r="171" spans="1:3" x14ac:dyDescent="0.25">
      <c r="A171" t="s">
        <v>9</v>
      </c>
      <c r="B171" t="b">
        <f>IFERROR(VLOOKUP(A171,#REF!,1,0)&lt;&gt;"",FALSE)</f>
        <v>0</v>
      </c>
      <c r="C171" t="str">
        <f t="shared" si="2"/>
        <v>Black 3814 GANGSTER</v>
      </c>
    </row>
    <row r="172" spans="1:3" x14ac:dyDescent="0.25">
      <c r="A172" t="s">
        <v>226</v>
      </c>
      <c r="B172" t="b">
        <f>IFERROR(VLOOKUP(A172,#REF!,1,0)&lt;&gt;"",FALSE)</f>
        <v>0</v>
      </c>
      <c r="C172" t="str">
        <f t="shared" si="2"/>
        <v/>
      </c>
    </row>
    <row r="173" spans="1:3" x14ac:dyDescent="0.25">
      <c r="A173" t="s">
        <v>105</v>
      </c>
      <c r="B173" t="b">
        <f>IFERROR(VLOOKUP(A173,#REF!,1,0)&lt;&gt;"",FALSE)</f>
        <v>0</v>
      </c>
      <c r="C173" t="str">
        <f t="shared" si="2"/>
        <v/>
      </c>
    </row>
    <row r="174" spans="1:3" x14ac:dyDescent="0.25">
      <c r="A174" t="s">
        <v>9</v>
      </c>
      <c r="B174" t="b">
        <f>IFERROR(VLOOKUP(A174,#REF!,1,0)&lt;&gt;"",FALSE)</f>
        <v>0</v>
      </c>
      <c r="C174" t="str">
        <f t="shared" si="2"/>
        <v>Black 38345BH MAGLOR</v>
      </c>
    </row>
    <row r="175" spans="1:3" x14ac:dyDescent="0.25">
      <c r="A175" t="s">
        <v>227</v>
      </c>
      <c r="B175" t="b">
        <f>IFERROR(VLOOKUP(A175,#REF!,1,0)&lt;&gt;"",FALSE)</f>
        <v>0</v>
      </c>
      <c r="C175" t="str">
        <f t="shared" si="2"/>
        <v/>
      </c>
    </row>
    <row r="176" spans="1:3" x14ac:dyDescent="0.25">
      <c r="A176" t="s">
        <v>1</v>
      </c>
      <c r="B176" t="b">
        <f>IFERROR(VLOOKUP(A176,#REF!,1,0)&lt;&gt;"",FALSE)</f>
        <v>0</v>
      </c>
      <c r="C176" t="str">
        <f t="shared" si="2"/>
        <v/>
      </c>
    </row>
    <row r="177" spans="1:3" x14ac:dyDescent="0.25">
      <c r="A177" t="s">
        <v>230</v>
      </c>
      <c r="B177" t="b">
        <f>IFERROR(VLOOKUP(A177,#REF!,1,0)&lt;&gt;"",FALSE)</f>
        <v>0</v>
      </c>
      <c r="C177" t="str">
        <f t="shared" si="2"/>
        <v>Black Chocolate Forest Navy 7100 RIFF</v>
      </c>
    </row>
    <row r="178" spans="1:3" x14ac:dyDescent="0.25">
      <c r="A178" t="s">
        <v>231</v>
      </c>
      <c r="B178" t="b">
        <f>IFERROR(VLOOKUP(A178,#REF!,1,0)&lt;&gt;"",FALSE)</f>
        <v>0</v>
      </c>
      <c r="C178" t="str">
        <f t="shared" si="2"/>
        <v/>
      </c>
    </row>
    <row r="179" spans="1:3" x14ac:dyDescent="0.25">
      <c r="A179" t="s">
        <v>105</v>
      </c>
      <c r="B179" t="b">
        <f>IFERROR(VLOOKUP(A179,#REF!,1,0)&lt;&gt;"",FALSE)</f>
        <v>0</v>
      </c>
      <c r="C179" t="str">
        <f t="shared" si="2"/>
        <v/>
      </c>
    </row>
    <row r="180" spans="1:3" x14ac:dyDescent="0.25">
      <c r="A180" t="s">
        <v>233</v>
      </c>
      <c r="B180" t="b">
        <f>IFERROR(VLOOKUP(A180,#REF!,1,0)&lt;&gt;"",FALSE)</f>
        <v>0</v>
      </c>
      <c r="C180" t="str">
        <f t="shared" si="2"/>
        <v>Black Lazuli Blue Mink Ochre 38350BH PISTON</v>
      </c>
    </row>
    <row r="181" spans="1:3" x14ac:dyDescent="0.25">
      <c r="A181" t="s">
        <v>234</v>
      </c>
      <c r="B181" t="b">
        <f>IFERROR(VLOOKUP(A181,#REF!,1,0)&lt;&gt;"",FALSE)</f>
        <v>0</v>
      </c>
      <c r="C181" t="str">
        <f t="shared" si="2"/>
        <v/>
      </c>
    </row>
    <row r="182" spans="1:3" x14ac:dyDescent="0.25">
      <c r="A182" t="s">
        <v>1</v>
      </c>
      <c r="B182" t="b">
        <f>IFERROR(VLOOKUP(A182,#REF!,1,0)&lt;&gt;"",FALSE)</f>
        <v>0</v>
      </c>
      <c r="C182" t="str">
        <f t="shared" si="2"/>
        <v/>
      </c>
    </row>
    <row r="183" spans="1:3" x14ac:dyDescent="0.25">
      <c r="A183" t="s">
        <v>237</v>
      </c>
      <c r="B183" t="b">
        <f>IFERROR(VLOOKUP(A183,#REF!,1,0)&lt;&gt;"",FALSE)</f>
        <v>0</v>
      </c>
      <c r="C183" t="str">
        <f t="shared" si="2"/>
        <v>Black Caramel Navy Olive 38357BH KISNER</v>
      </c>
    </row>
    <row r="184" spans="1:3" x14ac:dyDescent="0.25">
      <c r="A184" t="s">
        <v>238</v>
      </c>
      <c r="B184" t="b">
        <f>IFERROR(VLOOKUP(A184,#REF!,1,0)&lt;&gt;"",FALSE)</f>
        <v>0</v>
      </c>
      <c r="C184" t="str">
        <f t="shared" si="2"/>
        <v/>
      </c>
    </row>
    <row r="185" spans="1:3" x14ac:dyDescent="0.25">
      <c r="A185" t="s">
        <v>1</v>
      </c>
      <c r="B185" t="b">
        <f>IFERROR(VLOOKUP(A185,#REF!,1,0)&lt;&gt;"",FALSE)</f>
        <v>0</v>
      </c>
      <c r="C185" t="str">
        <f t="shared" si="2"/>
        <v/>
      </c>
    </row>
    <row r="186" spans="1:3" x14ac:dyDescent="0.25">
      <c r="A186" t="s">
        <v>243</v>
      </c>
      <c r="B186" t="b">
        <f>IFERROR(VLOOKUP(A186,#REF!,1,0)&lt;&gt;"",FALSE)</f>
        <v>0</v>
      </c>
      <c r="C186" t="str">
        <f t="shared" si="2"/>
        <v>Black Silver Sand 71001BH CRISS</v>
      </c>
    </row>
    <row r="187" spans="1:3" x14ac:dyDescent="0.25">
      <c r="A187" t="s">
        <v>244</v>
      </c>
      <c r="B187" t="b">
        <f>IFERROR(VLOOKUP(A187,#REF!,1,0)&lt;&gt;"",FALSE)</f>
        <v>0</v>
      </c>
      <c r="C187" t="str">
        <f t="shared" si="2"/>
        <v/>
      </c>
    </row>
    <row r="188" spans="1:3" x14ac:dyDescent="0.25">
      <c r="A188" t="s">
        <v>1</v>
      </c>
      <c r="B188" t="b">
        <f>IFERROR(VLOOKUP(A188,#REF!,1,0)&lt;&gt;"",FALSE)</f>
        <v>0</v>
      </c>
      <c r="C188" t="str">
        <f t="shared" si="2"/>
        <v/>
      </c>
    </row>
    <row r="189" spans="1:3" x14ac:dyDescent="0.25">
      <c r="A189" t="s">
        <v>245</v>
      </c>
      <c r="B189" t="b">
        <f>IFERROR(VLOOKUP(A189,#REF!,1,0)&lt;&gt;"",FALSE)</f>
        <v>0</v>
      </c>
      <c r="C189" t="str">
        <f t="shared" si="2"/>
        <v>Bitter Chocolate Black Mink Night Shade Navy 10001BH BRODNAX</v>
      </c>
    </row>
    <row r="190" spans="1:3" x14ac:dyDescent="0.25">
      <c r="A190" t="s">
        <v>246</v>
      </c>
      <c r="B190" t="b">
        <f>IFERROR(VLOOKUP(A190,#REF!,1,0)&lt;&gt;"",FALSE)</f>
        <v>0</v>
      </c>
      <c r="C190" t="str">
        <f t="shared" si="2"/>
        <v/>
      </c>
    </row>
    <row r="191" spans="1:3" x14ac:dyDescent="0.25">
      <c r="A191" t="s">
        <v>1</v>
      </c>
      <c r="B191" t="b">
        <f>IFERROR(VLOOKUP(A191,#REF!,1,0)&lt;&gt;"",FALSE)</f>
        <v>0</v>
      </c>
      <c r="C191" t="str">
        <f t="shared" si="2"/>
        <v/>
      </c>
    </row>
    <row r="192" spans="1:3" x14ac:dyDescent="0.25">
      <c r="A192" t="s">
        <v>252</v>
      </c>
      <c r="B192" t="b">
        <f>IFERROR(VLOOKUP(A192,#REF!,1,0)&lt;&gt;"",FALSE)</f>
        <v>0</v>
      </c>
      <c r="C192" t="str">
        <f t="shared" si="2"/>
        <v>Black Olive Oil Plaza Taupe 38358BH STERNE</v>
      </c>
    </row>
    <row r="193" spans="1:3" x14ac:dyDescent="0.25">
      <c r="A193" t="s">
        <v>253</v>
      </c>
      <c r="B193" t="b">
        <f>IFERROR(VLOOKUP(A193,#REF!,1,0)&lt;&gt;"",FALSE)</f>
        <v>0</v>
      </c>
      <c r="C193" t="str">
        <f t="shared" ref="C193:C256" si="3">IF(AND(IFERROR(FIND(",",A192)&gt;=1,FALSE),B194&lt;&gt;TRUE),A193&amp;" "&amp;A194,"")</f>
        <v/>
      </c>
    </row>
    <row r="194" spans="1:3" x14ac:dyDescent="0.25">
      <c r="A194" t="s">
        <v>1</v>
      </c>
      <c r="B194" t="b">
        <f>IFERROR(VLOOKUP(A194,#REF!,1,0)&lt;&gt;"",FALSE)</f>
        <v>0</v>
      </c>
      <c r="C194" t="str">
        <f t="shared" si="3"/>
        <v/>
      </c>
    </row>
    <row r="195" spans="1:3" x14ac:dyDescent="0.25">
      <c r="A195" t="s">
        <v>256</v>
      </c>
      <c r="B195" t="b">
        <f>IFERROR(VLOOKUP(A195,#REF!,1,0)&lt;&gt;"",FALSE)</f>
        <v>0</v>
      </c>
      <c r="C195" t="str">
        <f t="shared" si="3"/>
        <v>Ochre Soft Khaki 38349BH KLAXON</v>
      </c>
    </row>
    <row r="196" spans="1:3" x14ac:dyDescent="0.25">
      <c r="A196" t="s">
        <v>257</v>
      </c>
      <c r="B196" t="b">
        <f>IFERROR(VLOOKUP(A196,#REF!,1,0)&lt;&gt;"",FALSE)</f>
        <v>0</v>
      </c>
      <c r="C196" t="str">
        <f t="shared" si="3"/>
        <v/>
      </c>
    </row>
    <row r="197" spans="1:3" x14ac:dyDescent="0.25">
      <c r="A197" t="s">
        <v>1</v>
      </c>
      <c r="B197" t="b">
        <f>IFERROR(VLOOKUP(A197,#REF!,1,0)&lt;&gt;"",FALSE)</f>
        <v>0</v>
      </c>
      <c r="C197" t="str">
        <f t="shared" si="3"/>
        <v/>
      </c>
    </row>
    <row r="198" spans="1:3" x14ac:dyDescent="0.25">
      <c r="A198" t="s">
        <v>259</v>
      </c>
      <c r="B198" t="b">
        <f>IFERROR(VLOOKUP(A198,#REF!,1,0)&lt;&gt;"",FALSE)</f>
        <v>0</v>
      </c>
      <c r="C198" t="str">
        <f t="shared" si="3"/>
        <v>Black Navy 1451 JETT</v>
      </c>
    </row>
    <row r="199" spans="1:3" x14ac:dyDescent="0.25">
      <c r="A199" t="s">
        <v>260</v>
      </c>
      <c r="B199" t="b">
        <f>IFERROR(VLOOKUP(A199,#REF!,1,0)&lt;&gt;"",FALSE)</f>
        <v>0</v>
      </c>
      <c r="C199" t="str">
        <f t="shared" si="3"/>
        <v/>
      </c>
    </row>
    <row r="200" spans="1:3" x14ac:dyDescent="0.25">
      <c r="A200" t="s">
        <v>262</v>
      </c>
      <c r="B200" t="b">
        <f>IFERROR(VLOOKUP(A200,#REF!,1,0)&lt;&gt;"",FALSE)</f>
        <v>0</v>
      </c>
      <c r="C200" t="str">
        <f t="shared" si="3"/>
        <v/>
      </c>
    </row>
    <row r="201" spans="1:3" x14ac:dyDescent="0.25">
      <c r="A201" t="s">
        <v>9</v>
      </c>
      <c r="B201" t="b">
        <f>IFERROR(VLOOKUP(A201,#REF!,1,0)&lt;&gt;"",FALSE)</f>
        <v>0</v>
      </c>
      <c r="C201" t="str">
        <f t="shared" si="3"/>
        <v>Black 1452 HARKER</v>
      </c>
    </row>
    <row r="202" spans="1:3" x14ac:dyDescent="0.25">
      <c r="A202" t="s">
        <v>263</v>
      </c>
      <c r="B202" t="b">
        <f>IFERROR(VLOOKUP(A202,#REF!,1,0)&lt;&gt;"",FALSE)</f>
        <v>0</v>
      </c>
      <c r="C202" t="str">
        <f t="shared" si="3"/>
        <v/>
      </c>
    </row>
    <row r="203" spans="1:3" x14ac:dyDescent="0.25">
      <c r="A203" t="s">
        <v>262</v>
      </c>
      <c r="B203" t="b">
        <f>IFERROR(VLOOKUP(A203,#REF!,1,0)&lt;&gt;"",FALSE)</f>
        <v>0</v>
      </c>
      <c r="C203" t="str">
        <f t="shared" si="3"/>
        <v/>
      </c>
    </row>
    <row r="204" spans="1:3" x14ac:dyDescent="0.25">
      <c r="A204" t="s">
        <v>266</v>
      </c>
      <c r="B204" t="b">
        <f>IFERROR(VLOOKUP(A204,#REF!,1,0)&lt;&gt;"",FALSE)</f>
        <v>0</v>
      </c>
      <c r="C204" t="str">
        <f t="shared" si="3"/>
        <v>Black Hemlock 3813 ICE</v>
      </c>
    </row>
    <row r="205" spans="1:3" x14ac:dyDescent="0.25">
      <c r="A205" t="s">
        <v>267</v>
      </c>
      <c r="B205" t="b">
        <f>IFERROR(VLOOKUP(A205,#REF!,1,0)&lt;&gt;"",FALSE)</f>
        <v>0</v>
      </c>
      <c r="C205" t="str">
        <f t="shared" si="3"/>
        <v/>
      </c>
    </row>
    <row r="206" spans="1:3" x14ac:dyDescent="0.25">
      <c r="A206" t="s">
        <v>1</v>
      </c>
      <c r="B206" t="b">
        <f>IFERROR(VLOOKUP(A206,#REF!,1,0)&lt;&gt;"",FALSE)</f>
        <v>0</v>
      </c>
      <c r="C206" t="str">
        <f t="shared" si="3"/>
        <v/>
      </c>
    </row>
    <row r="207" spans="1:3" x14ac:dyDescent="0.25">
      <c r="A207" t="s">
        <v>9</v>
      </c>
      <c r="B207" t="b">
        <f>IFERROR(VLOOKUP(A207,#REF!,1,0)&lt;&gt;"",FALSE)</f>
        <v>0</v>
      </c>
      <c r="C207" t="str">
        <f t="shared" si="3"/>
        <v>Black 3816 DERBY</v>
      </c>
    </row>
    <row r="208" spans="1:3" x14ac:dyDescent="0.25">
      <c r="A208" t="s">
        <v>270</v>
      </c>
      <c r="B208" t="b">
        <f>IFERROR(VLOOKUP(A208,#REF!,1,0)&lt;&gt;"",FALSE)</f>
        <v>0</v>
      </c>
      <c r="C208" t="str">
        <f t="shared" si="3"/>
        <v/>
      </c>
    </row>
    <row r="209" spans="1:3" x14ac:dyDescent="0.25">
      <c r="A209" t="s">
        <v>105</v>
      </c>
      <c r="B209" t="b">
        <f>IFERROR(VLOOKUP(A209,#REF!,1,0)&lt;&gt;"",FALSE)</f>
        <v>0</v>
      </c>
      <c r="C209" t="str">
        <f t="shared" si="3"/>
        <v/>
      </c>
    </row>
    <row r="210" spans="1:3" x14ac:dyDescent="0.25">
      <c r="A210" t="s">
        <v>271</v>
      </c>
      <c r="B210" t="b">
        <f>IFERROR(VLOOKUP(A210,#REF!,1,0)&lt;&gt;"",FALSE)</f>
        <v>0</v>
      </c>
      <c r="C210" t="str">
        <f t="shared" si="3"/>
        <v>Black Brown White 81670 BILLY</v>
      </c>
    </row>
    <row r="211" spans="1:3" x14ac:dyDescent="0.25">
      <c r="A211" t="s">
        <v>272</v>
      </c>
      <c r="B211" t="b">
        <f>IFERROR(VLOOKUP(A211,#REF!,1,0)&lt;&gt;"",FALSE)</f>
        <v>0</v>
      </c>
      <c r="C211" t="str">
        <f t="shared" si="3"/>
        <v/>
      </c>
    </row>
    <row r="212" spans="1:3" x14ac:dyDescent="0.25">
      <c r="A212" t="s">
        <v>105</v>
      </c>
      <c r="B212" t="b">
        <f>IFERROR(VLOOKUP(A212,#REF!,1,0)&lt;&gt;"",FALSE)</f>
        <v>0</v>
      </c>
      <c r="C212" t="str">
        <f t="shared" si="3"/>
        <v/>
      </c>
    </row>
    <row r="213" spans="1:3" x14ac:dyDescent="0.25">
      <c r="A213" t="s">
        <v>276</v>
      </c>
      <c r="B213" t="b">
        <f>IFERROR(VLOOKUP(A213,#REF!,1,0)&lt;&gt;"",FALSE)</f>
        <v>0</v>
      </c>
      <c r="C213" t="str">
        <f t="shared" si="3"/>
        <v>Fog Latte Navy Static Tan Birch Black Coconut Deep Red Espresso</v>
      </c>
    </row>
    <row r="214" spans="1:3" x14ac:dyDescent="0.25">
      <c r="A214" t="s">
        <v>277</v>
      </c>
      <c r="B214" t="b">
        <f>IFERROR(VLOOKUP(A214,#REF!,1,0)&lt;&gt;"",FALSE)</f>
        <v>0</v>
      </c>
      <c r="C214" t="str">
        <f t="shared" si="3"/>
        <v/>
      </c>
    </row>
    <row r="215" spans="1:3" x14ac:dyDescent="0.25">
      <c r="A215" t="s">
        <v>278</v>
      </c>
      <c r="B215" t="b">
        <f>IFERROR(VLOOKUP(A215,#REF!,1,0)&lt;&gt;"",FALSE)</f>
        <v>0</v>
      </c>
      <c r="C215" t="str">
        <f t="shared" si="3"/>
        <v/>
      </c>
    </row>
    <row r="216" spans="1:3" x14ac:dyDescent="0.25">
      <c r="A216" t="s">
        <v>105</v>
      </c>
      <c r="B216" t="b">
        <f>IFERROR(VLOOKUP(A216,#REF!,1,0)&lt;&gt;"",FALSE)</f>
        <v>0</v>
      </c>
      <c r="C216" t="str">
        <f t="shared" si="3"/>
        <v/>
      </c>
    </row>
    <row r="217" spans="1:3" x14ac:dyDescent="0.25">
      <c r="A217" t="s">
        <v>280</v>
      </c>
      <c r="B217" t="b">
        <f>IFERROR(VLOOKUP(A217,#REF!,1,0)&lt;&gt;"",FALSE)</f>
        <v>0</v>
      </c>
      <c r="C217" t="str">
        <f t="shared" si="3"/>
        <v>Navy Multi Nordic Multi Overcast Skydiver Woods Multi Cement Multi Deep Red Multi Light Grey Multi Natural Multi Brown Multi Charcoal Multi</v>
      </c>
    </row>
    <row r="218" spans="1:3" x14ac:dyDescent="0.25">
      <c r="A218" t="s">
        <v>345</v>
      </c>
      <c r="B218" t="b">
        <f>IFERROR(VLOOKUP(A218,#REF!,1,0)&lt;&gt;"",FALSE)</f>
        <v>0</v>
      </c>
      <c r="C218" t="str">
        <f t="shared" si="3"/>
        <v/>
      </c>
    </row>
    <row r="219" spans="1:3" x14ac:dyDescent="0.25">
      <c r="A219" t="s">
        <v>281</v>
      </c>
      <c r="B219" t="b">
        <f>IFERROR(VLOOKUP(A219,#REF!,1,0)&lt;&gt;"",FALSE)</f>
        <v>0</v>
      </c>
      <c r="C219" t="str">
        <f t="shared" si="3"/>
        <v/>
      </c>
    </row>
    <row r="220" spans="1:3" x14ac:dyDescent="0.25">
      <c r="A220" t="s">
        <v>1</v>
      </c>
      <c r="B220" t="b">
        <f>IFERROR(VLOOKUP(A220,#REF!,1,0)&lt;&gt;"",FALSE)</f>
        <v>0</v>
      </c>
      <c r="C220" t="str">
        <f t="shared" si="3"/>
        <v/>
      </c>
    </row>
    <row r="221" spans="1:3" x14ac:dyDescent="0.25">
      <c r="A221" t="s">
        <v>283</v>
      </c>
      <c r="B221" t="b">
        <f>IFERROR(VLOOKUP(A221,#REF!,1,0)&lt;&gt;"",FALSE)</f>
        <v>0</v>
      </c>
      <c r="C221" t="str">
        <f t="shared" si="3"/>
        <v>Black Blue Bronze 25553BH ABEL</v>
      </c>
    </row>
    <row r="222" spans="1:3" x14ac:dyDescent="0.25">
      <c r="A222" t="s">
        <v>284</v>
      </c>
      <c r="B222" t="b">
        <f>IFERROR(VLOOKUP(A222,#REF!,1,0)&lt;&gt;"",FALSE)</f>
        <v>0</v>
      </c>
      <c r="C222" t="str">
        <f t="shared" si="3"/>
        <v/>
      </c>
    </row>
    <row r="223" spans="1:3" x14ac:dyDescent="0.25">
      <c r="A223" t="s">
        <v>1</v>
      </c>
      <c r="B223" t="b">
        <f>IFERROR(VLOOKUP(A223,#REF!,1,0)&lt;&gt;"",FALSE)</f>
        <v>0</v>
      </c>
      <c r="C223" t="str">
        <f t="shared" si="3"/>
        <v/>
      </c>
    </row>
    <row r="224" spans="1:3" x14ac:dyDescent="0.25">
      <c r="A224" t="s">
        <v>288</v>
      </c>
      <c r="B224" t="b">
        <f>IFERROR(VLOOKUP(A224,#REF!,1,0)&lt;&gt;"",FALSE)</f>
        <v>0</v>
      </c>
      <c r="C224" t="str">
        <f t="shared" si="3"/>
        <v>Copper Green Grey 25552BH CLAUD</v>
      </c>
    </row>
    <row r="225" spans="1:3" x14ac:dyDescent="0.25">
      <c r="A225" t="s">
        <v>289</v>
      </c>
      <c r="B225" t="b">
        <f>IFERROR(VLOOKUP(A225,#REF!,1,0)&lt;&gt;"",FALSE)</f>
        <v>0</v>
      </c>
      <c r="C225" t="str">
        <f t="shared" si="3"/>
        <v/>
      </c>
    </row>
    <row r="226" spans="1:3" x14ac:dyDescent="0.25">
      <c r="A226" t="s">
        <v>1</v>
      </c>
      <c r="B226" t="b">
        <f>IFERROR(VLOOKUP(A226,#REF!,1,0)&lt;&gt;"",FALSE)</f>
        <v>0</v>
      </c>
      <c r="C226" t="str">
        <f t="shared" si="3"/>
        <v/>
      </c>
    </row>
    <row r="227" spans="1:3" x14ac:dyDescent="0.25">
      <c r="A227" t="s">
        <v>283</v>
      </c>
      <c r="B227" t="b">
        <f>IFERROR(VLOOKUP(A227,#REF!,1,0)&lt;&gt;"",FALSE)</f>
        <v>0</v>
      </c>
      <c r="C227" t="str">
        <f t="shared" si="3"/>
        <v>Black Blue Bronze 25551BH FOSTER</v>
      </c>
    </row>
    <row r="228" spans="1:3" x14ac:dyDescent="0.25">
      <c r="A228" t="s">
        <v>291</v>
      </c>
      <c r="B228" t="b">
        <f>IFERROR(VLOOKUP(A228,#REF!,1,0)&lt;&gt;"",FALSE)</f>
        <v>0</v>
      </c>
      <c r="C228" t="str">
        <f t="shared" si="3"/>
        <v/>
      </c>
    </row>
    <row r="229" spans="1:3" x14ac:dyDescent="0.25">
      <c r="A229" t="s">
        <v>1</v>
      </c>
      <c r="B229" t="b">
        <f>IFERROR(VLOOKUP(A229,#REF!,1,0)&lt;&gt;"",FALSE)</f>
        <v>0</v>
      </c>
      <c r="C229" t="str">
        <f t="shared" si="3"/>
        <v/>
      </c>
    </row>
    <row r="230" spans="1:3" x14ac:dyDescent="0.25">
      <c r="A230" t="s">
        <v>293</v>
      </c>
      <c r="B230" t="b">
        <f>IFERROR(VLOOKUP(A230,#REF!,1,0)&lt;&gt;"",FALSE)</f>
        <v>0</v>
      </c>
      <c r="C230" t="str">
        <f t="shared" si="3"/>
        <v>Avion Black Oak 25555BH APOSTO</v>
      </c>
    </row>
    <row r="231" spans="1:3" x14ac:dyDescent="0.25">
      <c r="A231" t="s">
        <v>294</v>
      </c>
      <c r="B231" t="b">
        <f>IFERROR(VLOOKUP(A231,#REF!,1,0)&lt;&gt;"",FALSE)</f>
        <v>0</v>
      </c>
      <c r="C231" t="str">
        <f t="shared" si="3"/>
        <v/>
      </c>
    </row>
    <row r="232" spans="1:3" x14ac:dyDescent="0.25">
      <c r="A232" t="s">
        <v>1</v>
      </c>
      <c r="B232" t="b">
        <f>IFERROR(VLOOKUP(A232,#REF!,1,0)&lt;&gt;"",FALSE)</f>
        <v>0</v>
      </c>
      <c r="C232" t="str">
        <f t="shared" si="3"/>
        <v/>
      </c>
    </row>
    <row r="233" spans="1:3" x14ac:dyDescent="0.25">
      <c r="A233" t="s">
        <v>295</v>
      </c>
      <c r="B233" t="b">
        <f>IFERROR(VLOOKUP(A233,#REF!,1,0)&lt;&gt;"",FALSE)</f>
        <v>0</v>
      </c>
      <c r="C233" t="str">
        <f t="shared" si="3"/>
        <v>Beige Stripe Black Stripe Avion Stripe 25554BH LOU</v>
      </c>
    </row>
    <row r="234" spans="1:3" x14ac:dyDescent="0.25">
      <c r="A234" t="s">
        <v>296</v>
      </c>
      <c r="B234" t="b">
        <f>IFERROR(VLOOKUP(A234,#REF!,1,0)&lt;&gt;"",FALSE)</f>
        <v>0</v>
      </c>
      <c r="C234" t="str">
        <f t="shared" si="3"/>
        <v/>
      </c>
    </row>
    <row r="235" spans="1:3" x14ac:dyDescent="0.25">
      <c r="A235" t="s">
        <v>1</v>
      </c>
      <c r="B235" t="b">
        <f>IFERROR(VLOOKUP(A235,#REF!,1,0)&lt;&gt;"",FALSE)</f>
        <v>0</v>
      </c>
      <c r="C235" t="str">
        <f t="shared" si="3"/>
        <v/>
      </c>
    </row>
    <row r="236" spans="1:3" x14ac:dyDescent="0.25">
      <c r="A236" t="s">
        <v>298</v>
      </c>
      <c r="B236" t="b">
        <f>IFERROR(VLOOKUP(A236,#REF!,1,0)&lt;&gt;"",FALSE)</f>
        <v>0</v>
      </c>
      <c r="C236" t="str">
        <f t="shared" si="3"/>
        <v>Oak Plaid 25558BH FURMAN</v>
      </c>
    </row>
    <row r="237" spans="1:3" x14ac:dyDescent="0.25">
      <c r="A237" t="s">
        <v>299</v>
      </c>
      <c r="B237" t="b">
        <f>IFERROR(VLOOKUP(A237,#REF!,1,0)&lt;&gt;"",FALSE)</f>
        <v>0</v>
      </c>
      <c r="C237" t="str">
        <f t="shared" si="3"/>
        <v/>
      </c>
    </row>
    <row r="238" spans="1:3" x14ac:dyDescent="0.25">
      <c r="A238" t="s">
        <v>1</v>
      </c>
      <c r="B238" t="b">
        <f>IFERROR(VLOOKUP(A238,#REF!,1,0)&lt;&gt;"",FALSE)</f>
        <v>0</v>
      </c>
      <c r="C238" t="str">
        <f t="shared" si="3"/>
        <v/>
      </c>
    </row>
    <row r="239" spans="1:3" x14ac:dyDescent="0.25">
      <c r="A239" t="s">
        <v>301</v>
      </c>
      <c r="B239" t="b">
        <f>IFERROR(VLOOKUP(A239,#REF!,1,0)&lt;&gt;"",FALSE)</f>
        <v>0</v>
      </c>
      <c r="C239" t="str">
        <f t="shared" si="3"/>
        <v>Blue Plaid Copper Plaid Uniform Green Plaid 25440 ORMOND</v>
      </c>
    </row>
    <row r="240" spans="1:3" x14ac:dyDescent="0.25">
      <c r="A240" t="s">
        <v>302</v>
      </c>
      <c r="B240" t="b">
        <f>IFERROR(VLOOKUP(A240,#REF!,1,0)&lt;&gt;"",FALSE)</f>
        <v>0</v>
      </c>
      <c r="C240" t="str">
        <f t="shared" si="3"/>
        <v/>
      </c>
    </row>
    <row r="241" spans="1:3" x14ac:dyDescent="0.25">
      <c r="A241" t="s">
        <v>105</v>
      </c>
      <c r="B241" t="b">
        <f>IFERROR(VLOOKUP(A241,#REF!,1,0)&lt;&gt;"",FALSE)</f>
        <v>0</v>
      </c>
      <c r="C241" t="str">
        <f t="shared" si="3"/>
        <v/>
      </c>
    </row>
    <row r="242" spans="1:3" x14ac:dyDescent="0.25">
      <c r="A242" t="s">
        <v>303</v>
      </c>
      <c r="B242" t="b">
        <f>IFERROR(VLOOKUP(A242,#REF!,1,0)&lt;&gt;"",FALSE)</f>
        <v>0</v>
      </c>
      <c r="C242" t="str">
        <f t="shared" si="3"/>
        <v>Black Paid Brown Herringbone 25548BH FINNEGAN</v>
      </c>
    </row>
    <row r="243" spans="1:3" x14ac:dyDescent="0.25">
      <c r="A243" t="s">
        <v>304</v>
      </c>
      <c r="B243" t="b">
        <f>IFERROR(VLOOKUP(A243,#REF!,1,0)&lt;&gt;"",FALSE)</f>
        <v>0</v>
      </c>
      <c r="C243" t="str">
        <f t="shared" si="3"/>
        <v/>
      </c>
    </row>
    <row r="244" spans="1:3" x14ac:dyDescent="0.25">
      <c r="A244" t="s">
        <v>1</v>
      </c>
      <c r="B244" t="b">
        <f>IFERROR(VLOOKUP(A244,#REF!,1,0)&lt;&gt;"",FALSE)</f>
        <v>0</v>
      </c>
      <c r="C244" t="str">
        <f t="shared" si="3"/>
        <v/>
      </c>
    </row>
    <row r="245" spans="1:3" x14ac:dyDescent="0.25">
      <c r="A245" t="s">
        <v>151</v>
      </c>
      <c r="B245" t="b">
        <f>IFERROR(VLOOKUP(A245,#REF!,1,0)&lt;&gt;"",FALSE)</f>
        <v>0</v>
      </c>
      <c r="C245" t="str">
        <f t="shared" si="3"/>
        <v>Black Ochre 25557BH BRUNE</v>
      </c>
    </row>
    <row r="246" spans="1:3" x14ac:dyDescent="0.25">
      <c r="A246" t="s">
        <v>305</v>
      </c>
      <c r="B246" t="b">
        <f>IFERROR(VLOOKUP(A246,#REF!,1,0)&lt;&gt;"",FALSE)</f>
        <v>0</v>
      </c>
      <c r="C246" t="str">
        <f t="shared" si="3"/>
        <v/>
      </c>
    </row>
    <row r="247" spans="1:3" x14ac:dyDescent="0.25">
      <c r="A247" t="s">
        <v>1</v>
      </c>
      <c r="B247" t="b">
        <f>IFERROR(VLOOKUP(A247,#REF!,1,0)&lt;&gt;"",FALSE)</f>
        <v>0</v>
      </c>
      <c r="C247" t="str">
        <f t="shared" si="3"/>
        <v/>
      </c>
    </row>
    <row r="248" spans="1:3" x14ac:dyDescent="0.25">
      <c r="A248" t="s">
        <v>306</v>
      </c>
      <c r="B248" t="b">
        <f>IFERROR(VLOOKUP(A248,#REF!,1,0)&lt;&gt;"",FALSE)</f>
        <v>0</v>
      </c>
      <c r="C248" t="str">
        <f t="shared" si="3"/>
        <v>Avion Grey 25556BH GRIFF</v>
      </c>
    </row>
    <row r="249" spans="1:3" x14ac:dyDescent="0.25">
      <c r="A249" t="s">
        <v>307</v>
      </c>
      <c r="B249" t="b">
        <f>IFERROR(VLOOKUP(A249,#REF!,1,0)&lt;&gt;"",FALSE)</f>
        <v>0</v>
      </c>
      <c r="C249" t="str">
        <f t="shared" si="3"/>
        <v/>
      </c>
    </row>
    <row r="250" spans="1:3" x14ac:dyDescent="0.25">
      <c r="A250" t="s">
        <v>1</v>
      </c>
      <c r="B250" t="b">
        <f>IFERROR(VLOOKUP(A250,#REF!,1,0)&lt;&gt;"",FALSE)</f>
        <v>0</v>
      </c>
      <c r="C250" t="str">
        <f t="shared" si="3"/>
        <v/>
      </c>
    </row>
    <row r="251" spans="1:3" x14ac:dyDescent="0.25">
      <c r="A251" t="s">
        <v>308</v>
      </c>
      <c r="B251" t="b">
        <f>IFERROR(VLOOKUP(A251,#REF!,1,0)&lt;&gt;"",FALSE)</f>
        <v>0</v>
      </c>
      <c r="C251" t="str">
        <f t="shared" si="3"/>
        <v>Avion Plaid Oak Twill Uniform Green Plaid 1365 GRAHAM</v>
      </c>
    </row>
    <row r="252" spans="1:3" x14ac:dyDescent="0.25">
      <c r="A252" t="s">
        <v>309</v>
      </c>
      <c r="B252" t="b">
        <f>IFERROR(VLOOKUP(A252,#REF!,1,0)&lt;&gt;"",FALSE)</f>
        <v>0</v>
      </c>
      <c r="C252" t="str">
        <f t="shared" si="3"/>
        <v/>
      </c>
    </row>
    <row r="253" spans="1:3" x14ac:dyDescent="0.25">
      <c r="A253" t="s">
        <v>105</v>
      </c>
      <c r="B253" t="b">
        <f>IFERROR(VLOOKUP(A253,#REF!,1,0)&lt;&gt;"",FALSE)</f>
        <v>0</v>
      </c>
      <c r="C253" t="str">
        <f t="shared" si="3"/>
        <v/>
      </c>
    </row>
    <row r="254" spans="1:3" x14ac:dyDescent="0.25">
      <c r="A254" t="s">
        <v>311</v>
      </c>
      <c r="B254" t="b">
        <f>IFERROR(VLOOKUP(A254,#REF!,1,0)&lt;&gt;"",FALSE)</f>
        <v>0</v>
      </c>
      <c r="C254" t="str">
        <f t="shared" si="3"/>
        <v>Black Chino Navy Tan 25150BH REFFELL</v>
      </c>
    </row>
    <row r="255" spans="1:3" x14ac:dyDescent="0.25">
      <c r="A255" t="s">
        <v>312</v>
      </c>
      <c r="B255" t="b">
        <f>IFERROR(VLOOKUP(A255,#REF!,1,0)&lt;&gt;"",FALSE)</f>
        <v>0</v>
      </c>
      <c r="C255" t="str">
        <f t="shared" si="3"/>
        <v/>
      </c>
    </row>
    <row r="256" spans="1:3" x14ac:dyDescent="0.25">
      <c r="A256" t="s">
        <v>1</v>
      </c>
      <c r="B256" t="b">
        <f>IFERROR(VLOOKUP(A256,#REF!,1,0)&lt;&gt;"",FALSE)</f>
        <v>0</v>
      </c>
      <c r="C256" t="str">
        <f t="shared" si="3"/>
        <v/>
      </c>
    </row>
    <row r="257" spans="1:3" x14ac:dyDescent="0.25">
      <c r="A257" t="s">
        <v>314</v>
      </c>
      <c r="B257" t="b">
        <f>IFERROR(VLOOKUP(A257,#REF!,1,0)&lt;&gt;"",FALSE)</f>
        <v>0</v>
      </c>
      <c r="C257" t="str">
        <f t="shared" ref="C257:C284" si="4">IF(AND(IFERROR(FIND(",",A256)&gt;=1,FALSE),B258&lt;&gt;TRUE),A257&amp;" "&amp;A258,"")</f>
        <v>Black Copper 25102 TAXTEN</v>
      </c>
    </row>
    <row r="258" spans="1:3" x14ac:dyDescent="0.25">
      <c r="A258" t="s">
        <v>315</v>
      </c>
      <c r="B258" t="b">
        <f>IFERROR(VLOOKUP(A258,#REF!,1,0)&lt;&gt;"",FALSE)</f>
        <v>0</v>
      </c>
      <c r="C258" t="str">
        <f t="shared" si="4"/>
        <v/>
      </c>
    </row>
    <row r="259" spans="1:3" x14ac:dyDescent="0.25">
      <c r="A259" t="s">
        <v>1</v>
      </c>
      <c r="B259" t="b">
        <f>IFERROR(VLOOKUP(A259,#REF!,1,0)&lt;&gt;"",FALSE)</f>
        <v>0</v>
      </c>
      <c r="C259" t="str">
        <f t="shared" si="4"/>
        <v/>
      </c>
    </row>
    <row r="260" spans="1:3" x14ac:dyDescent="0.25">
      <c r="A260" t="s">
        <v>317</v>
      </c>
      <c r="B260" t="b">
        <f>IFERROR(VLOOKUP(A260,#REF!,1,0)&lt;&gt;"",FALSE)</f>
        <v>0</v>
      </c>
      <c r="C260" t="str">
        <f t="shared" si="4"/>
        <v>Brown 25101 STOCKTON</v>
      </c>
    </row>
    <row r="261" spans="1:3" x14ac:dyDescent="0.25">
      <c r="A261" t="s">
        <v>318</v>
      </c>
      <c r="B261" t="b">
        <f>IFERROR(VLOOKUP(A261,#REF!,1,0)&lt;&gt;"",FALSE)</f>
        <v>0</v>
      </c>
      <c r="C261" t="str">
        <f t="shared" si="4"/>
        <v/>
      </c>
    </row>
    <row r="262" spans="1:3" x14ac:dyDescent="0.25">
      <c r="A262" t="s">
        <v>1</v>
      </c>
      <c r="B262" t="b">
        <f>IFERROR(VLOOKUP(A262,#REF!,1,0)&lt;&gt;"",FALSE)</f>
        <v>0</v>
      </c>
      <c r="C262" t="str">
        <f t="shared" si="4"/>
        <v/>
      </c>
    </row>
    <row r="263" spans="1:3" x14ac:dyDescent="0.25">
      <c r="A263" t="s">
        <v>9</v>
      </c>
      <c r="B263" t="b">
        <f>IFERROR(VLOOKUP(A263,#REF!,1,0)&lt;&gt;"",FALSE)</f>
        <v>0</v>
      </c>
      <c r="C263" t="str">
        <f t="shared" si="4"/>
        <v>Black 25111 LAZAR</v>
      </c>
    </row>
    <row r="264" spans="1:3" x14ac:dyDescent="0.25">
      <c r="A264" t="s">
        <v>322</v>
      </c>
      <c r="B264" t="b">
        <f>IFERROR(VLOOKUP(A264,#REF!,1,0)&lt;&gt;"",FALSE)</f>
        <v>0</v>
      </c>
      <c r="C264" t="str">
        <f t="shared" si="4"/>
        <v/>
      </c>
    </row>
    <row r="265" spans="1:3" x14ac:dyDescent="0.25">
      <c r="A265" t="s">
        <v>1</v>
      </c>
      <c r="B265" t="b">
        <f>IFERROR(VLOOKUP(A265,#REF!,1,0)&lt;&gt;"",FALSE)</f>
        <v>0</v>
      </c>
      <c r="C265" t="str">
        <f t="shared" si="4"/>
        <v/>
      </c>
    </row>
    <row r="266" spans="1:3" x14ac:dyDescent="0.25">
      <c r="A266" t="s">
        <v>323</v>
      </c>
      <c r="B266" t="b">
        <f>IFERROR(VLOOKUP(A266,#REF!,1,0)&lt;&gt;"",FALSE)</f>
        <v>0</v>
      </c>
      <c r="C266" t="str">
        <f t="shared" si="4"/>
        <v>Dark Coffee 25100 NOCLIN</v>
      </c>
    </row>
    <row r="267" spans="1:3" x14ac:dyDescent="0.25">
      <c r="A267" t="s">
        <v>324</v>
      </c>
      <c r="B267" t="b">
        <f>IFERROR(VLOOKUP(A267,#REF!,1,0)&lt;&gt;"",FALSE)</f>
        <v>0</v>
      </c>
      <c r="C267" t="str">
        <f t="shared" si="4"/>
        <v/>
      </c>
    </row>
    <row r="268" spans="1:3" x14ac:dyDescent="0.25">
      <c r="A268" t="s">
        <v>1</v>
      </c>
      <c r="B268" t="b">
        <f>IFERROR(VLOOKUP(A268,#REF!,1,0)&lt;&gt;"",FALSE)</f>
        <v>0</v>
      </c>
      <c r="C268" t="str">
        <f t="shared" si="4"/>
        <v/>
      </c>
    </row>
    <row r="269" spans="1:3" x14ac:dyDescent="0.25">
      <c r="A269" t="s">
        <v>9</v>
      </c>
      <c r="B269" t="b">
        <f>IFERROR(VLOOKUP(A269,#REF!,1,0)&lt;&gt;"",FALSE)</f>
        <v>0</v>
      </c>
      <c r="C269" t="str">
        <f t="shared" si="4"/>
        <v>Black 25105 VEGA</v>
      </c>
    </row>
    <row r="270" spans="1:3" x14ac:dyDescent="0.25">
      <c r="A270" t="s">
        <v>325</v>
      </c>
      <c r="B270" t="b">
        <f>IFERROR(VLOOKUP(A270,#REF!,1,0)&lt;&gt;"",FALSE)</f>
        <v>0</v>
      </c>
      <c r="C270" t="str">
        <f t="shared" si="4"/>
        <v/>
      </c>
    </row>
    <row r="271" spans="1:3" x14ac:dyDescent="0.25">
      <c r="A271" t="s">
        <v>1</v>
      </c>
      <c r="B271" t="b">
        <f>IFERROR(VLOOKUP(A271,#REF!,1,0)&lt;&gt;"",FALSE)</f>
        <v>0</v>
      </c>
      <c r="C271" t="str">
        <f t="shared" si="4"/>
        <v/>
      </c>
    </row>
    <row r="272" spans="1:3" x14ac:dyDescent="0.25">
      <c r="A272" t="s">
        <v>9</v>
      </c>
      <c r="B272" t="b">
        <f>IFERROR(VLOOKUP(A272,#REF!,1,0)&lt;&gt;"",FALSE)</f>
        <v>0</v>
      </c>
      <c r="C272" t="str">
        <f t="shared" si="4"/>
        <v>Black 25141BH BRODIE</v>
      </c>
    </row>
    <row r="273" spans="1:3" x14ac:dyDescent="0.25">
      <c r="A273" t="s">
        <v>328</v>
      </c>
      <c r="B273" t="b">
        <f>IFERROR(VLOOKUP(A273,#REF!,1,0)&lt;&gt;"",FALSE)</f>
        <v>0</v>
      </c>
      <c r="C273" t="str">
        <f t="shared" si="4"/>
        <v/>
      </c>
    </row>
    <row r="274" spans="1:3" x14ac:dyDescent="0.25">
      <c r="A274" t="s">
        <v>1</v>
      </c>
      <c r="B274" t="b">
        <f>IFERROR(VLOOKUP(A274,#REF!,1,0)&lt;&gt;"",FALSE)</f>
        <v>0</v>
      </c>
      <c r="C274" t="str">
        <f t="shared" si="4"/>
        <v/>
      </c>
    </row>
    <row r="275" spans="1:3" x14ac:dyDescent="0.25">
      <c r="A275" t="s">
        <v>330</v>
      </c>
      <c r="B275" t="b">
        <f>IFERROR(VLOOKUP(A275,#REF!,1,0)&lt;&gt;"",FALSE)</f>
        <v>0</v>
      </c>
      <c r="C275" t="str">
        <f t="shared" si="4"/>
        <v>Marl Black Navy Plaid 25119 VERNON</v>
      </c>
    </row>
    <row r="276" spans="1:3" x14ac:dyDescent="0.25">
      <c r="A276" t="s">
        <v>331</v>
      </c>
      <c r="B276" t="b">
        <f>IFERROR(VLOOKUP(A276,#REF!,1,0)&lt;&gt;"",FALSE)</f>
        <v>0</v>
      </c>
      <c r="C276" t="str">
        <f t="shared" si="4"/>
        <v/>
      </c>
    </row>
    <row r="277" spans="1:3" x14ac:dyDescent="0.25">
      <c r="A277" t="s">
        <v>1</v>
      </c>
      <c r="B277" t="b">
        <f>IFERROR(VLOOKUP(A277,#REF!,1,0)&lt;&gt;"",FALSE)</f>
        <v>0</v>
      </c>
      <c r="C277" t="str">
        <f t="shared" si="4"/>
        <v/>
      </c>
    </row>
    <row r="278" spans="1:3" x14ac:dyDescent="0.25">
      <c r="A278" t="s">
        <v>334</v>
      </c>
      <c r="B278" t="b">
        <f>IFERROR(VLOOKUP(A278,#REF!,1,0)&lt;&gt;"",FALSE)</f>
        <v>0</v>
      </c>
      <c r="C278" t="str">
        <f t="shared" si="4"/>
        <v>Black Brown 1362 DALTON</v>
      </c>
    </row>
    <row r="279" spans="1:3" x14ac:dyDescent="0.25">
      <c r="A279" t="s">
        <v>335</v>
      </c>
      <c r="B279" t="b">
        <f>IFERROR(VLOOKUP(A279,#REF!,1,0)&lt;&gt;"",FALSE)</f>
        <v>0</v>
      </c>
      <c r="C279" t="str">
        <f t="shared" si="4"/>
        <v/>
      </c>
    </row>
    <row r="280" spans="1:3" x14ac:dyDescent="0.25">
      <c r="A280" t="s">
        <v>105</v>
      </c>
      <c r="B280" t="b">
        <f>IFERROR(VLOOKUP(A280,#REF!,1,0)&lt;&gt;"",FALSE)</f>
        <v>0</v>
      </c>
      <c r="C280" t="str">
        <f t="shared" si="4"/>
        <v/>
      </c>
    </row>
    <row r="281" spans="1:3" x14ac:dyDescent="0.25">
      <c r="A281" t="s">
        <v>311</v>
      </c>
      <c r="B281" t="b">
        <f>IFERROR(VLOOKUP(A281,#REF!,1,0)&lt;&gt;"",FALSE)</f>
        <v>0</v>
      </c>
      <c r="C281" t="str">
        <f t="shared" si="4"/>
        <v>Black Chino Navy Tan 1369 JACKMAN</v>
      </c>
    </row>
    <row r="282" spans="1:3" x14ac:dyDescent="0.25">
      <c r="A282" t="s">
        <v>338</v>
      </c>
      <c r="B282" t="b">
        <f>IFERROR(VLOOKUP(A282,#REF!,1,0)&lt;&gt;"",FALSE)</f>
        <v>0</v>
      </c>
      <c r="C282" t="str">
        <f t="shared" si="4"/>
        <v/>
      </c>
    </row>
    <row r="283" spans="1:3" x14ac:dyDescent="0.25">
      <c r="A283" t="s">
        <v>105</v>
      </c>
      <c r="B283" t="b">
        <f>IFERROR(VLOOKUP(A283,#REF!,1,0)&lt;&gt;"",FALSE)</f>
        <v>0</v>
      </c>
      <c r="C283" t="str">
        <f t="shared" si="4"/>
        <v/>
      </c>
    </row>
    <row r="284" spans="1:3" x14ac:dyDescent="0.25">
      <c r="A284" t="s">
        <v>346</v>
      </c>
      <c r="B284" t="b">
        <f>IFERROR(VLOOKUP(A284,#REF!,1,0)&lt;&gt;"",FALSE)</f>
        <v>0</v>
      </c>
      <c r="C284" t="str">
        <f t="shared" si="4"/>
        <v xml:space="preserve">Charcoal Dk. Brown Navy Black Burgundy 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737F-D114-44CB-BF1D-3D8C1DACDAB7}">
  <sheetPr codeName="Лист2"/>
  <dimension ref="A1:E92"/>
  <sheetViews>
    <sheetView topLeftCell="C1" workbookViewId="0">
      <selection activeCell="D92" sqref="D2:D92"/>
    </sheetView>
  </sheetViews>
  <sheetFormatPr defaultRowHeight="15" x14ac:dyDescent="0.25"/>
  <cols>
    <col min="1" max="1" width="22.5703125" bestFit="1" customWidth="1"/>
    <col min="2" max="2" width="40" bestFit="1" customWidth="1"/>
    <col min="3" max="3" width="7.5703125" customWidth="1"/>
    <col min="4" max="4" width="144.140625" bestFit="1" customWidth="1"/>
    <col min="5" max="5" width="76.140625" customWidth="1"/>
  </cols>
  <sheetData>
    <row r="1" spans="1:5" x14ac:dyDescent="0.25">
      <c r="A1" s="2" t="s">
        <v>440</v>
      </c>
      <c r="B1" s="2" t="s">
        <v>441</v>
      </c>
      <c r="C1" s="2" t="s">
        <v>442</v>
      </c>
      <c r="D1" s="2" t="s">
        <v>504</v>
      </c>
      <c r="E1" s="2" t="s">
        <v>502</v>
      </c>
    </row>
    <row r="2" spans="1:5" x14ac:dyDescent="0.25">
      <c r="A2" t="s">
        <v>10</v>
      </c>
      <c r="B2" t="s">
        <v>3</v>
      </c>
      <c r="C2" t="s">
        <v>16</v>
      </c>
      <c r="D2" t="str">
        <f t="shared" ref="D2:D65" si="0">_xlfn.LET(_xlpm.SepColors,SUBSTITUTE(TRIM(C2)," ",", "),_xlpm.SepColors)</f>
        <v>Black, Charcoal, Cognac, Olive</v>
      </c>
      <c r="E2" t="str" cm="1">
        <f t="array" ref="E2">ReplaceColorsSeparators(D2)</f>
        <v>Black, Charcoal, Cognac, Olive</v>
      </c>
    </row>
    <row r="3" spans="1:5" x14ac:dyDescent="0.25">
      <c r="A3" t="s">
        <v>17</v>
      </c>
      <c r="B3" t="s">
        <v>1</v>
      </c>
      <c r="C3" t="s">
        <v>20</v>
      </c>
      <c r="D3" t="str">
        <f t="shared" si="0"/>
        <v>Black, Maple</v>
      </c>
      <c r="E3" t="str" cm="1">
        <f t="array" ref="E3">ReplaceColorsSeparators(D3)</f>
        <v>Black, Maple</v>
      </c>
    </row>
    <row r="4" spans="1:5" x14ac:dyDescent="0.25">
      <c r="A4" t="s">
        <v>21</v>
      </c>
      <c r="B4" t="s">
        <v>1</v>
      </c>
      <c r="C4" t="s">
        <v>25</v>
      </c>
      <c r="D4" t="str">
        <f t="shared" si="0"/>
        <v>Black, Charcoal</v>
      </c>
      <c r="E4" t="str" cm="1">
        <f t="array" ref="E4">ReplaceColorsSeparators(D4)</f>
        <v>Black, Charcoal</v>
      </c>
    </row>
    <row r="5" spans="1:5" x14ac:dyDescent="0.25">
      <c r="A5" t="s">
        <v>2</v>
      </c>
      <c r="B5" t="s">
        <v>1</v>
      </c>
      <c r="C5" t="s">
        <v>27</v>
      </c>
      <c r="D5" t="str">
        <f t="shared" si="0"/>
        <v>Black, Buckskin</v>
      </c>
      <c r="E5" t="str" cm="1">
        <f t="array" ref="E5">ReplaceColorsSeparators(D5)</f>
        <v>Black, Buckskin</v>
      </c>
    </row>
    <row r="6" spans="1:5" x14ac:dyDescent="0.25">
      <c r="A6" t="s">
        <v>28</v>
      </c>
      <c r="B6" t="s">
        <v>1</v>
      </c>
      <c r="C6" t="s">
        <v>31</v>
      </c>
      <c r="D6" t="str">
        <f t="shared" si="0"/>
        <v>Copper, Slate, Uniform, Green</v>
      </c>
      <c r="E6" t="str" cm="1">
        <f t="array" ref="E6">ReplaceColorsSeparators(D6)</f>
        <v>Copper, Slate, Uniform Green</v>
      </c>
    </row>
    <row r="7" spans="1:5" x14ac:dyDescent="0.25">
      <c r="A7" t="s">
        <v>4</v>
      </c>
      <c r="B7" t="s">
        <v>1</v>
      </c>
      <c r="C7" t="s">
        <v>36</v>
      </c>
      <c r="D7" t="str">
        <f t="shared" si="0"/>
        <v>Black, Light, Mink</v>
      </c>
      <c r="E7" t="str" cm="1">
        <f t="array" ref="E7">ReplaceColorsSeparators(D7)</f>
        <v>Black, Light Mink</v>
      </c>
    </row>
    <row r="8" spans="1:5" x14ac:dyDescent="0.25">
      <c r="A8" t="s">
        <v>37</v>
      </c>
      <c r="B8" t="s">
        <v>1</v>
      </c>
      <c r="C8" t="s">
        <v>40</v>
      </c>
      <c r="D8" t="str">
        <f t="shared" si="0"/>
        <v>Black, Chocolate</v>
      </c>
      <c r="E8" t="str" cm="1">
        <f t="array" ref="E8">ReplaceColorsSeparators(D8)</f>
        <v>Black, Chocolate</v>
      </c>
    </row>
    <row r="9" spans="1:5" x14ac:dyDescent="0.25">
      <c r="A9" t="s">
        <v>41</v>
      </c>
      <c r="B9" t="s">
        <v>1</v>
      </c>
      <c r="C9" t="s">
        <v>44</v>
      </c>
      <c r="D9" t="str">
        <f t="shared" si="0"/>
        <v>Aubergine, Black, Mink</v>
      </c>
      <c r="E9" t="str" cm="1">
        <f t="array" ref="E9">ReplaceColorsSeparators(D9)</f>
        <v>Aubergine, Black, Mink</v>
      </c>
    </row>
    <row r="10" spans="1:5" x14ac:dyDescent="0.25">
      <c r="A10" t="s">
        <v>45</v>
      </c>
      <c r="B10" t="s">
        <v>1</v>
      </c>
      <c r="C10" t="s">
        <v>9</v>
      </c>
      <c r="D10" t="str">
        <f t="shared" si="0"/>
        <v>Black</v>
      </c>
      <c r="E10" t="str" cm="1">
        <f t="array" ref="E10">ReplaceColorsSeparators(D10)</f>
        <v>Black</v>
      </c>
    </row>
    <row r="11" spans="1:5" x14ac:dyDescent="0.25">
      <c r="A11" t="s">
        <v>47</v>
      </c>
      <c r="B11" t="s">
        <v>1</v>
      </c>
      <c r="C11" t="s">
        <v>53</v>
      </c>
      <c r="D11" t="str">
        <f t="shared" si="0"/>
        <v>Black, Nickel, Soft, Khaki, Stucco</v>
      </c>
      <c r="E11" t="str" cm="1">
        <f t="array" ref="E11">ReplaceColorsSeparators(D11)</f>
        <v>Black, Nickel, Soft Khaki, Stucco</v>
      </c>
    </row>
    <row r="12" spans="1:5" x14ac:dyDescent="0.25">
      <c r="A12" t="s">
        <v>54</v>
      </c>
      <c r="B12" t="s">
        <v>1</v>
      </c>
      <c r="C12" t="s">
        <v>57</v>
      </c>
      <c r="D12" t="str">
        <f t="shared" si="0"/>
        <v>Black, Eggplant, Lazuli, Blue, Oak, Taupe</v>
      </c>
      <c r="E12" t="str" cm="1">
        <f t="array" ref="E12">ReplaceColorsSeparators(D12)</f>
        <v>Black, Eggplant, Lazuli Blue, Oak, Taupe</v>
      </c>
    </row>
    <row r="13" spans="1:5" x14ac:dyDescent="0.25">
      <c r="A13" t="s">
        <v>58</v>
      </c>
      <c r="B13" t="s">
        <v>1</v>
      </c>
      <c r="C13" t="s">
        <v>60</v>
      </c>
      <c r="D13" t="str">
        <f t="shared" si="0"/>
        <v>Black, Copper, Nickel</v>
      </c>
      <c r="E13" t="str" cm="1">
        <f t="array" ref="E13">ReplaceColorsSeparators(D13)</f>
        <v>Black, Copper, Nickel</v>
      </c>
    </row>
    <row r="14" spans="1:5" x14ac:dyDescent="0.25">
      <c r="A14" t="s">
        <v>61</v>
      </c>
      <c r="B14" t="s">
        <v>1</v>
      </c>
      <c r="C14" t="s">
        <v>444</v>
      </c>
      <c r="D14" t="str">
        <f t="shared" si="0"/>
        <v>Peacoat, Plaza, Taupe, Saddle, Steel, Almond, Black, Camel</v>
      </c>
      <c r="E14" t="str" cm="1">
        <f t="array" ref="E14">ReplaceColorsSeparators(D14)</f>
        <v>Peacoat, Plaza Taupe, Saddle, Steel, Almond, Black, Camel</v>
      </c>
    </row>
    <row r="15" spans="1:5" x14ac:dyDescent="0.25">
      <c r="A15" t="s">
        <v>67</v>
      </c>
      <c r="B15" t="s">
        <v>1</v>
      </c>
      <c r="C15" t="s">
        <v>73</v>
      </c>
      <c r="D15" t="str">
        <f t="shared" si="0"/>
        <v>Black, Unbleached</v>
      </c>
      <c r="E15" t="str" cm="1">
        <f t="array" ref="E15">ReplaceColorsSeparators(D15)</f>
        <v>Black, Unbleached</v>
      </c>
    </row>
    <row r="16" spans="1:5" x14ac:dyDescent="0.25">
      <c r="A16" t="s">
        <v>74</v>
      </c>
      <c r="B16" t="s">
        <v>1</v>
      </c>
      <c r="C16" t="s">
        <v>78</v>
      </c>
      <c r="D16" t="str">
        <f t="shared" si="0"/>
        <v>Black, Lazuli, Blue, Uniform, Green</v>
      </c>
      <c r="E16" t="str" cm="1">
        <f t="array" ref="E16">ReplaceColorsSeparators(D16)</f>
        <v>Black, Lazuli Blue, Uniform Green</v>
      </c>
    </row>
    <row r="17" spans="1:5" x14ac:dyDescent="0.25">
      <c r="A17" t="s">
        <v>79</v>
      </c>
      <c r="B17" t="s">
        <v>1</v>
      </c>
      <c r="C17" t="s">
        <v>82</v>
      </c>
      <c r="D17" t="str">
        <f t="shared" si="0"/>
        <v>Black, Copper, Taupe</v>
      </c>
      <c r="E17" t="str" cm="1">
        <f t="array" ref="E17">ReplaceColorsSeparators(D17)</f>
        <v>Black, Copper, Taupe</v>
      </c>
    </row>
    <row r="18" spans="1:5" x14ac:dyDescent="0.25">
      <c r="A18" t="s">
        <v>83</v>
      </c>
      <c r="B18" t="s">
        <v>1</v>
      </c>
      <c r="C18" t="s">
        <v>445</v>
      </c>
      <c r="D18" t="str">
        <f t="shared" si="0"/>
        <v>Greige, Honey, Ochre, Silver, Lining, Avion, Black, Chestnut</v>
      </c>
      <c r="E18" t="str" cm="1">
        <f t="array" ref="E18">ReplaceColorsSeparators(D18)</f>
        <v>Greige, Honey, Ochre, Silver Lining, Avion, Black, Chestnut</v>
      </c>
    </row>
    <row r="19" spans="1:5" x14ac:dyDescent="0.25">
      <c r="A19" t="s">
        <v>88</v>
      </c>
      <c r="B19" t="s">
        <v>1</v>
      </c>
      <c r="C19" t="s">
        <v>92</v>
      </c>
      <c r="D19" t="str">
        <f t="shared" si="0"/>
        <v>Black, Nickel, Oak</v>
      </c>
      <c r="E19" t="str" cm="1">
        <f t="array" ref="E19">ReplaceColorsSeparators(D19)</f>
        <v>Black, Nickel, Oak</v>
      </c>
    </row>
    <row r="20" spans="1:5" x14ac:dyDescent="0.25">
      <c r="A20" t="s">
        <v>93</v>
      </c>
      <c r="B20" t="s">
        <v>1</v>
      </c>
      <c r="C20" t="s">
        <v>97</v>
      </c>
      <c r="D20" t="str">
        <f t="shared" si="0"/>
        <v>Avion, Black, Uniform, Green</v>
      </c>
      <c r="E20" t="str" cm="1">
        <f t="array" ref="E20">ReplaceColorsSeparators(D20)</f>
        <v>Avion, Black, Uniform Green</v>
      </c>
    </row>
    <row r="21" spans="1:5" x14ac:dyDescent="0.25">
      <c r="A21" t="s">
        <v>98</v>
      </c>
      <c r="B21" t="s">
        <v>1</v>
      </c>
      <c r="C21" t="s">
        <v>102</v>
      </c>
      <c r="D21" t="str">
        <f t="shared" si="0"/>
        <v>Black, Lazuli, Blue, Oak</v>
      </c>
      <c r="E21" t="str" cm="1">
        <f t="array" ref="E21">ReplaceColorsSeparators(D21)</f>
        <v>Black, Lazuli Blue, Oak</v>
      </c>
    </row>
    <row r="22" spans="1:5" x14ac:dyDescent="0.25">
      <c r="A22" t="s">
        <v>103</v>
      </c>
      <c r="B22" t="s">
        <v>105</v>
      </c>
      <c r="C22" t="s">
        <v>106</v>
      </c>
      <c r="D22" t="str">
        <f t="shared" si="0"/>
        <v>Black, Camel, Oak, Stucco</v>
      </c>
      <c r="E22" t="str" cm="1">
        <f t="array" ref="E22">ReplaceColorsSeparators(D22)</f>
        <v>Black, Camel, Oak, Stucco</v>
      </c>
    </row>
    <row r="23" spans="1:5" x14ac:dyDescent="0.25">
      <c r="A23" t="s">
        <v>7</v>
      </c>
      <c r="B23" t="s">
        <v>1</v>
      </c>
      <c r="C23" t="s">
        <v>109</v>
      </c>
      <c r="D23" t="str">
        <f t="shared" si="0"/>
        <v>Black, Plaza, Taupe</v>
      </c>
      <c r="E23" t="str" cm="1">
        <f t="array" ref="E23">ReplaceColorsSeparators(D23)</f>
        <v>Black, Plaza Taupe</v>
      </c>
    </row>
    <row r="24" spans="1:5" x14ac:dyDescent="0.25">
      <c r="A24" t="s">
        <v>110</v>
      </c>
      <c r="B24" t="s">
        <v>1</v>
      </c>
      <c r="C24" t="s">
        <v>114</v>
      </c>
      <c r="D24" t="str">
        <f t="shared" si="0"/>
        <v>Avion, Black, Soft, Khaki</v>
      </c>
      <c r="E24" t="str" cm="1">
        <f t="array" ref="E24">ReplaceColorsSeparators(D24)</f>
        <v>Avion, Black, Soft Khaki</v>
      </c>
    </row>
    <row r="25" spans="1:5" x14ac:dyDescent="0.25">
      <c r="A25" t="s">
        <v>8</v>
      </c>
      <c r="B25" t="s">
        <v>1</v>
      </c>
      <c r="C25" t="s">
        <v>444</v>
      </c>
      <c r="D25" t="str">
        <f t="shared" si="0"/>
        <v>Peacoat, Plaza, Taupe, Saddle, Steel, Almond, Black, Camel</v>
      </c>
      <c r="E25" t="str" cm="1">
        <f t="array" ref="E25">ReplaceColorsSeparators(D25)</f>
        <v>Peacoat, Plaza Taupe, Saddle, Steel, Almond, Black, Camel</v>
      </c>
    </row>
    <row r="26" spans="1:5" x14ac:dyDescent="0.25">
      <c r="A26" t="s">
        <v>115</v>
      </c>
      <c r="B26" t="s">
        <v>1</v>
      </c>
      <c r="C26" t="s">
        <v>119</v>
      </c>
      <c r="D26" t="str">
        <f t="shared" si="0"/>
        <v>Black, Midnight, Brown, Unbleached</v>
      </c>
      <c r="E26" t="str" cm="1">
        <f t="array" ref="E26">ReplaceColorsSeparators(D26)</f>
        <v>Black, Midnight Brown, Unbleached</v>
      </c>
    </row>
    <row r="27" spans="1:5" x14ac:dyDescent="0.25">
      <c r="A27" t="s">
        <v>6</v>
      </c>
      <c r="B27" t="s">
        <v>1</v>
      </c>
      <c r="C27" t="s">
        <v>447</v>
      </c>
      <c r="D27" t="str">
        <f t="shared" si="0"/>
        <v>Peacoat, Plaza, Taupe, Saddle, Steel, Almond, Black, Camel, Henna</v>
      </c>
      <c r="E27" t="str" cm="1">
        <f t="array" ref="E27">ReplaceColorsSeparators(D27)</f>
        <v>Peacoat, Plaza Taupe, Saddle, Steel, Almond, Black, Camel, Henna</v>
      </c>
    </row>
    <row r="28" spans="1:5" x14ac:dyDescent="0.25">
      <c r="A28" t="s">
        <v>123</v>
      </c>
      <c r="B28" t="s">
        <v>1</v>
      </c>
      <c r="C28" t="s">
        <v>126</v>
      </c>
      <c r="D28" t="str">
        <f t="shared" si="0"/>
        <v>Beech, Black, Whiskey</v>
      </c>
      <c r="E28" t="str" cm="1">
        <f t="array" ref="E28">ReplaceColorsSeparators(D28)</f>
        <v>Beech, Black, Whiskey</v>
      </c>
    </row>
    <row r="29" spans="1:5" x14ac:dyDescent="0.25">
      <c r="A29" t="s">
        <v>127</v>
      </c>
      <c r="B29" t="s">
        <v>1</v>
      </c>
      <c r="C29" t="s">
        <v>129</v>
      </c>
      <c r="D29" t="str">
        <f t="shared" si="0"/>
        <v>Ink, Blue, Plaza, Taupe</v>
      </c>
      <c r="E29" t="str" cm="1">
        <f t="array" ref="E29">ReplaceColorsSeparators(D29)</f>
        <v>Ink Blue, Plaza Taupe</v>
      </c>
    </row>
    <row r="30" spans="1:5" x14ac:dyDescent="0.25">
      <c r="A30" t="s">
        <v>130</v>
      </c>
      <c r="B30" t="s">
        <v>134</v>
      </c>
      <c r="C30" t="s">
        <v>135</v>
      </c>
      <c r="D30" t="str">
        <f t="shared" si="0"/>
        <v>Black, Black, Mix, Bluestone, Walnut</v>
      </c>
      <c r="E30" t="str" cm="1">
        <f t="array" ref="E30">ReplaceColorsSeparators(D30)</f>
        <v>Black, Black Mix, Bluestone, Walnut</v>
      </c>
    </row>
    <row r="31" spans="1:5" x14ac:dyDescent="0.25">
      <c r="A31" t="s">
        <v>136</v>
      </c>
      <c r="B31" t="s">
        <v>1</v>
      </c>
      <c r="C31" t="s">
        <v>137</v>
      </c>
      <c r="D31" t="str">
        <f t="shared" si="0"/>
        <v>Navy, Serpent, Walnut</v>
      </c>
      <c r="E31" t="str" cm="1">
        <f t="array" ref="E31">ReplaceColorsSeparators(D31)</f>
        <v>Navy, Serpent, Walnut</v>
      </c>
    </row>
    <row r="32" spans="1:5" x14ac:dyDescent="0.25">
      <c r="A32" t="s">
        <v>138</v>
      </c>
      <c r="B32" t="s">
        <v>1</v>
      </c>
      <c r="C32" t="s">
        <v>119</v>
      </c>
      <c r="D32" t="str">
        <f t="shared" si="0"/>
        <v>Black, Midnight, Brown, Unbleached</v>
      </c>
      <c r="E32" t="str" cm="1">
        <f t="array" ref="E32">ReplaceColorsSeparators(D32)</f>
        <v>Black, Midnight Brown, Unbleached</v>
      </c>
    </row>
    <row r="33" spans="1:5" x14ac:dyDescent="0.25">
      <c r="A33" t="s">
        <v>144</v>
      </c>
      <c r="B33" t="s">
        <v>105</v>
      </c>
      <c r="C33" t="s">
        <v>448</v>
      </c>
      <c r="D33" t="str">
        <f t="shared" si="0"/>
        <v>Navy, Nickel, Satin, Brass, Silverbelly, Vintage, Blue, Black, Cognac, Copper, Medium, Brown, Mix, Basalt, Avion</v>
      </c>
      <c r="E33" t="str" cm="1">
        <f t="array" ref="E33">ReplaceColorsSeparators(D33)</f>
        <v>Navy, Nickel, Satin Brass, Silverbelly, Vintage Blue, Black, Cognac, Copper, Medium Brown Mix, Basalt, Avion</v>
      </c>
    </row>
    <row r="34" spans="1:5" x14ac:dyDescent="0.25">
      <c r="A34" t="s">
        <v>146</v>
      </c>
      <c r="B34" t="s">
        <v>1</v>
      </c>
      <c r="C34" t="s">
        <v>148</v>
      </c>
      <c r="D34" t="str">
        <f t="shared" si="0"/>
        <v>Black, Unbleached, Woodland, Mix</v>
      </c>
      <c r="E34" t="str" cm="1">
        <f t="array" ref="E34">ReplaceColorsSeparators(D34)</f>
        <v>Black, Unbleached, Woodland Mix</v>
      </c>
    </row>
    <row r="35" spans="1:5" x14ac:dyDescent="0.25">
      <c r="A35" t="s">
        <v>149</v>
      </c>
      <c r="B35" t="s">
        <v>1</v>
      </c>
      <c r="C35" t="s">
        <v>151</v>
      </c>
      <c r="D35" t="str">
        <f t="shared" si="0"/>
        <v>Black, Ochre</v>
      </c>
      <c r="E35" t="str" cm="1">
        <f t="array" ref="E35">ReplaceColorsSeparators(D35)</f>
        <v>Black, Ochre</v>
      </c>
    </row>
    <row r="36" spans="1:5" x14ac:dyDescent="0.25">
      <c r="A36" t="s">
        <v>152</v>
      </c>
      <c r="B36" t="s">
        <v>1</v>
      </c>
      <c r="C36" t="s">
        <v>155</v>
      </c>
      <c r="D36" t="str">
        <f t="shared" si="0"/>
        <v>Black, Oak</v>
      </c>
      <c r="E36" t="str" cm="1">
        <f t="array" ref="E36">ReplaceColorsSeparators(D36)</f>
        <v>Black, Oak</v>
      </c>
    </row>
    <row r="37" spans="1:5" x14ac:dyDescent="0.25">
      <c r="A37" t="s">
        <v>156</v>
      </c>
      <c r="B37" t="s">
        <v>1</v>
      </c>
      <c r="C37" t="s">
        <v>159</v>
      </c>
      <c r="D37" t="str">
        <f t="shared" si="0"/>
        <v>Avion, Black</v>
      </c>
      <c r="E37" t="str" cm="1">
        <f t="array" ref="E37">ReplaceColorsSeparators(D37)</f>
        <v>Avion, Black</v>
      </c>
    </row>
    <row r="38" spans="1:5" x14ac:dyDescent="0.25">
      <c r="A38" t="s">
        <v>160</v>
      </c>
      <c r="B38" t="s">
        <v>1</v>
      </c>
      <c r="C38" t="s">
        <v>162</v>
      </c>
      <c r="D38" t="str">
        <f t="shared" si="0"/>
        <v>Black, Honey, Uniform, Green</v>
      </c>
      <c r="E38" t="str" cm="1">
        <f t="array" ref="E38">ReplaceColorsSeparators(D38)</f>
        <v>Black, Honey, Uniform Green</v>
      </c>
    </row>
    <row r="39" spans="1:5" x14ac:dyDescent="0.25">
      <c r="A39" t="s">
        <v>163</v>
      </c>
      <c r="B39" t="s">
        <v>1</v>
      </c>
      <c r="C39" t="s">
        <v>167</v>
      </c>
      <c r="D39" t="str">
        <f t="shared" si="0"/>
        <v>Black, Nickel, Satin, Brass, Uniform, Green</v>
      </c>
      <c r="E39" t="str" cm="1">
        <f t="array" ref="E39">ReplaceColorsSeparators(D39)</f>
        <v>Black, Nickel, Satin Brass, Uniform Green</v>
      </c>
    </row>
    <row r="40" spans="1:5" x14ac:dyDescent="0.25">
      <c r="A40" t="s">
        <v>168</v>
      </c>
      <c r="B40" t="s">
        <v>105</v>
      </c>
      <c r="C40" t="s">
        <v>171</v>
      </c>
      <c r="D40" t="str">
        <f t="shared" si="0"/>
        <v>Black, Caramel, Gun, Metal, Satin, Brass, Soft, Khaki</v>
      </c>
      <c r="E40" t="str" cm="1">
        <f t="array" ref="E40">ReplaceColorsSeparators(D40)</f>
        <v>Black, Caramel, Gun Metal, Satin Brass, Soft Khaki</v>
      </c>
    </row>
    <row r="41" spans="1:5" x14ac:dyDescent="0.25">
      <c r="A41" t="s">
        <v>172</v>
      </c>
      <c r="B41" t="s">
        <v>105</v>
      </c>
      <c r="C41" t="s">
        <v>449</v>
      </c>
      <c r="D41" t="str">
        <f t="shared" si="0"/>
        <v>Sea, Breeze, Serpent, Speckled, Egg, Mix, Uniform, Green, Vintage, Blue, Antique, Black, Contrapposto, Grey, Navy</v>
      </c>
      <c r="E41" t="str" cm="1">
        <f t="array" ref="E41">ReplaceColorsSeparators(D41)</f>
        <v>Sea Breeze, Serpent, Speckled Egg Mix, Uniform Green, Vintage Blue, Antique, Black, Contrapposto, Grey, Navy</v>
      </c>
    </row>
    <row r="42" spans="1:5" x14ac:dyDescent="0.25">
      <c r="A42" t="s">
        <v>177</v>
      </c>
      <c r="B42" t="s">
        <v>1</v>
      </c>
      <c r="C42" t="s">
        <v>179</v>
      </c>
      <c r="D42" t="str">
        <f t="shared" si="0"/>
        <v>Black, Oxford, Mix</v>
      </c>
      <c r="E42" t="str" cm="1">
        <f t="array" ref="E42">ReplaceColorsSeparators(D42)</f>
        <v>Black, Oxford Mix</v>
      </c>
    </row>
    <row r="43" spans="1:5" x14ac:dyDescent="0.25">
      <c r="A43" t="s">
        <v>180</v>
      </c>
      <c r="B43" t="s">
        <v>1</v>
      </c>
      <c r="C43" t="s">
        <v>184</v>
      </c>
      <c r="D43" t="str">
        <f t="shared" si="0"/>
        <v>Black, Camel, Pale, Olive, Whiskey</v>
      </c>
      <c r="E43" t="str" cm="1">
        <f t="array" ref="E43">ReplaceColorsSeparators(D43)</f>
        <v>Black, Camel, Pale Olive, Whiskey</v>
      </c>
    </row>
    <row r="44" spans="1:5" x14ac:dyDescent="0.25">
      <c r="A44" t="s">
        <v>185</v>
      </c>
      <c r="B44" t="s">
        <v>1</v>
      </c>
      <c r="C44" t="s">
        <v>187</v>
      </c>
      <c r="D44" t="str">
        <f t="shared" si="0"/>
        <v>Ink, Blue, Olive, Mix, Rust</v>
      </c>
      <c r="E44" t="str" cm="1">
        <f t="array" ref="E44">ReplaceColorsSeparators(D44)</f>
        <v>Ink Blue, Olive Mix, Rust</v>
      </c>
    </row>
    <row r="45" spans="1:5" x14ac:dyDescent="0.25">
      <c r="A45" t="s">
        <v>188</v>
      </c>
      <c r="B45" t="s">
        <v>1</v>
      </c>
      <c r="C45" t="s">
        <v>189</v>
      </c>
      <c r="D45" t="str">
        <f t="shared" si="0"/>
        <v>Black, Graphite, Nickel, Red</v>
      </c>
      <c r="E45" t="str" cm="1">
        <f t="array" ref="E45">ReplaceColorsSeparators(D45)</f>
        <v>Black, Graphite, Nickel, Red</v>
      </c>
    </row>
    <row r="46" spans="1:5" x14ac:dyDescent="0.25">
      <c r="A46" t="s">
        <v>190</v>
      </c>
      <c r="B46" t="s">
        <v>1</v>
      </c>
      <c r="C46" t="s">
        <v>191</v>
      </c>
      <c r="D46" t="str">
        <f t="shared" si="0"/>
        <v>Bluestone, Serpent, Woodland, Mix</v>
      </c>
      <c r="E46" t="str" cm="1">
        <f t="array" ref="E46">ReplaceColorsSeparators(D46)</f>
        <v>Bluestone, Serpent, Woodland Mix</v>
      </c>
    </row>
    <row r="47" spans="1:5" x14ac:dyDescent="0.25">
      <c r="A47" t="s">
        <v>192</v>
      </c>
      <c r="B47" t="s">
        <v>1</v>
      </c>
      <c r="C47" t="s">
        <v>195</v>
      </c>
      <c r="D47" t="str">
        <f t="shared" si="0"/>
        <v>Natural, Mix, Ochre</v>
      </c>
      <c r="E47" t="str" cm="1">
        <f t="array" ref="E47">ReplaceColorsSeparators(D47)</f>
        <v>Natural Mix, Ochre</v>
      </c>
    </row>
    <row r="48" spans="1:5" x14ac:dyDescent="0.25">
      <c r="A48" t="s">
        <v>196</v>
      </c>
      <c r="B48" t="s">
        <v>1</v>
      </c>
      <c r="C48" t="s">
        <v>450</v>
      </c>
      <c r="D48" t="str">
        <f t="shared" si="0"/>
        <v>Oxblood, Pewter, Serpent, Silverbelly, Black, Cognac, Olive, Mix</v>
      </c>
      <c r="E48" t="str" cm="1">
        <f t="array" ref="E48">ReplaceColorsSeparators(D48)</f>
        <v>Oxblood, Pewter, Serpent, Silverbelly, Black, Cognac, Olive Mix</v>
      </c>
    </row>
    <row r="49" spans="1:5" x14ac:dyDescent="0.25">
      <c r="A49" t="s">
        <v>200</v>
      </c>
      <c r="B49" t="s">
        <v>1</v>
      </c>
      <c r="C49" t="s">
        <v>203</v>
      </c>
      <c r="D49" t="str">
        <f t="shared" si="0"/>
        <v>Medium, Brown, Mix</v>
      </c>
      <c r="E49" t="str" cm="1">
        <f t="array" ref="E49">ReplaceColorsSeparators(D49)</f>
        <v>Medium Brown Mix</v>
      </c>
    </row>
    <row r="50" spans="1:5" x14ac:dyDescent="0.25">
      <c r="A50" t="s">
        <v>204</v>
      </c>
      <c r="B50" t="s">
        <v>105</v>
      </c>
      <c r="C50" t="s">
        <v>454</v>
      </c>
      <c r="D50" t="str">
        <f t="shared" si="0"/>
        <v>Contrapposto, Copper, Natural, Mix, Navy, Port, Red, Satin, Brass, Sea, Breeze, Unbleached, Vintage, Blue, Basalt, Black, Black, Mix, Brown</v>
      </c>
      <c r="E50" t="str" cm="1">
        <f t="array" ref="E50">ReplaceColorsSeparators(D50)</f>
        <v>Contrapposto, Copper, Natural Mix, Navy, Port, Red, Satin Brass, Sea Breeze, Unbleached, Vintage Blue, Basalt, Black, Black Mix, Brown</v>
      </c>
    </row>
    <row r="51" spans="1:5" x14ac:dyDescent="0.25">
      <c r="A51" t="s">
        <v>208</v>
      </c>
      <c r="B51" t="s">
        <v>1</v>
      </c>
      <c r="C51" t="s">
        <v>212</v>
      </c>
      <c r="D51" t="str">
        <f t="shared" si="0"/>
        <v>Black, Cognac, Fawn</v>
      </c>
      <c r="E51" t="str" cm="1">
        <f t="array" ref="E51">ReplaceColorsSeparators(D51)</f>
        <v>Black, Cognac, Fawn</v>
      </c>
    </row>
    <row r="52" spans="1:5" x14ac:dyDescent="0.25">
      <c r="A52" t="s">
        <v>213</v>
      </c>
      <c r="B52" t="s">
        <v>1</v>
      </c>
      <c r="C52" t="s">
        <v>217</v>
      </c>
      <c r="D52" t="str">
        <f t="shared" si="0"/>
        <v>Black, Uniform, Green</v>
      </c>
      <c r="E52" t="str" cm="1">
        <f t="array" ref="E52">ReplaceColorsSeparators(D52)</f>
        <v>Black, Uniform Green</v>
      </c>
    </row>
    <row r="53" spans="1:5" x14ac:dyDescent="0.25">
      <c r="A53" t="s">
        <v>218</v>
      </c>
      <c r="B53" t="s">
        <v>1</v>
      </c>
      <c r="C53" t="s">
        <v>219</v>
      </c>
      <c r="D53" t="str">
        <f t="shared" si="0"/>
        <v>Avion, Black, Whiskey</v>
      </c>
      <c r="E53" t="str" cm="1">
        <f t="array" ref="E53">ReplaceColorsSeparators(D53)</f>
        <v>Avion, Black, Whiskey</v>
      </c>
    </row>
    <row r="54" spans="1:5" x14ac:dyDescent="0.25">
      <c r="A54" t="s">
        <v>220</v>
      </c>
      <c r="B54" t="s">
        <v>1</v>
      </c>
      <c r="C54" t="s">
        <v>222</v>
      </c>
      <c r="D54" t="str">
        <f t="shared" si="0"/>
        <v>Black, Nickel, Uniform, Green</v>
      </c>
      <c r="E54" t="str" cm="1">
        <f t="array" ref="E54">ReplaceColorsSeparators(D54)</f>
        <v>Black, Nickel, Uniform Green</v>
      </c>
    </row>
    <row r="55" spans="1:5" x14ac:dyDescent="0.25">
      <c r="A55" t="s">
        <v>223</v>
      </c>
      <c r="B55" t="s">
        <v>105</v>
      </c>
      <c r="C55" t="s">
        <v>9</v>
      </c>
      <c r="D55" t="str">
        <f t="shared" si="0"/>
        <v>Black</v>
      </c>
      <c r="E55" t="str" cm="1">
        <f t="array" ref="E55">ReplaceColorsSeparators(D55)</f>
        <v>Black</v>
      </c>
    </row>
    <row r="56" spans="1:5" x14ac:dyDescent="0.25">
      <c r="A56" t="s">
        <v>226</v>
      </c>
      <c r="B56" t="s">
        <v>105</v>
      </c>
      <c r="C56" t="s">
        <v>9</v>
      </c>
      <c r="D56" t="str">
        <f t="shared" si="0"/>
        <v>Black</v>
      </c>
      <c r="E56" t="str" cm="1">
        <f t="array" ref="E56">ReplaceColorsSeparators(D56)</f>
        <v>Black</v>
      </c>
    </row>
    <row r="57" spans="1:5" x14ac:dyDescent="0.25">
      <c r="A57" t="s">
        <v>227</v>
      </c>
      <c r="B57" t="s">
        <v>1</v>
      </c>
      <c r="C57" t="s">
        <v>230</v>
      </c>
      <c r="D57" t="str">
        <f t="shared" si="0"/>
        <v>Black, Chocolate, Forest, Navy</v>
      </c>
      <c r="E57" t="str" cm="1">
        <f t="array" ref="E57">ReplaceColorsSeparators(D57)</f>
        <v>Black, Chocolate, Forest, Navy</v>
      </c>
    </row>
    <row r="58" spans="1:5" x14ac:dyDescent="0.25">
      <c r="A58" t="s">
        <v>231</v>
      </c>
      <c r="B58" t="s">
        <v>105</v>
      </c>
      <c r="C58" t="s">
        <v>233</v>
      </c>
      <c r="D58" t="str">
        <f t="shared" si="0"/>
        <v>Black, Lazuli, Blue, Mink, Ochre</v>
      </c>
      <c r="E58" t="str" cm="1">
        <f t="array" ref="E58">ReplaceColorsSeparators(D58)</f>
        <v>Black, Lazuli Blue, Mink, Ochre</v>
      </c>
    </row>
    <row r="59" spans="1:5" x14ac:dyDescent="0.25">
      <c r="A59" t="s">
        <v>234</v>
      </c>
      <c r="B59" t="s">
        <v>1</v>
      </c>
      <c r="C59" t="s">
        <v>237</v>
      </c>
      <c r="D59" t="str">
        <f t="shared" si="0"/>
        <v>Black, Caramel, Navy, Olive</v>
      </c>
      <c r="E59" t="str" cm="1">
        <f t="array" ref="E59">ReplaceColorsSeparators(D59)</f>
        <v>Black, Caramel, Navy, Olive</v>
      </c>
    </row>
    <row r="60" spans="1:5" x14ac:dyDescent="0.25">
      <c r="A60" t="s">
        <v>238</v>
      </c>
      <c r="B60" t="s">
        <v>1</v>
      </c>
      <c r="C60" t="s">
        <v>243</v>
      </c>
      <c r="D60" t="str">
        <f t="shared" si="0"/>
        <v>Black, Silver, Sand</v>
      </c>
      <c r="E60" t="str" cm="1">
        <f t="array" ref="E60">ReplaceColorsSeparators(D60)</f>
        <v>Black, Silver Sand</v>
      </c>
    </row>
    <row r="61" spans="1:5" x14ac:dyDescent="0.25">
      <c r="A61" t="s">
        <v>244</v>
      </c>
      <c r="B61" t="s">
        <v>1</v>
      </c>
      <c r="C61" t="s">
        <v>245</v>
      </c>
      <c r="D61" t="str">
        <f t="shared" si="0"/>
        <v>Bitter, Chocolate, Black, Mink, Night, Shade, Navy</v>
      </c>
      <c r="E61" t="str" cm="1">
        <f t="array" ref="E61">ReplaceColorsSeparators(D61)</f>
        <v>Bitter Chocolate, Black, Mink, Night Shade, Navy</v>
      </c>
    </row>
    <row r="62" spans="1:5" x14ac:dyDescent="0.25">
      <c r="A62" t="s">
        <v>246</v>
      </c>
      <c r="B62" t="s">
        <v>1</v>
      </c>
      <c r="C62" t="s">
        <v>252</v>
      </c>
      <c r="D62" t="str">
        <f t="shared" si="0"/>
        <v>Black, Olive, Oil, Plaza, Taupe</v>
      </c>
      <c r="E62" t="str" cm="1">
        <f t="array" ref="E62">ReplaceColorsSeparators(D62)</f>
        <v>Black, Olive Oil, Plaza Taupe</v>
      </c>
    </row>
    <row r="63" spans="1:5" x14ac:dyDescent="0.25">
      <c r="A63" t="s">
        <v>253</v>
      </c>
      <c r="B63" t="s">
        <v>1</v>
      </c>
      <c r="C63" t="s">
        <v>256</v>
      </c>
      <c r="D63" t="str">
        <f t="shared" si="0"/>
        <v>Ochre, Soft, Khaki</v>
      </c>
      <c r="E63" t="str" cm="1">
        <f t="array" ref="E63">ReplaceColorsSeparators(D63)</f>
        <v>Ochre, Soft Khaki</v>
      </c>
    </row>
    <row r="64" spans="1:5" x14ac:dyDescent="0.25">
      <c r="A64" t="s">
        <v>257</v>
      </c>
      <c r="B64" t="s">
        <v>1</v>
      </c>
      <c r="C64" t="s">
        <v>259</v>
      </c>
      <c r="D64" t="str">
        <f t="shared" si="0"/>
        <v>Black, Navy</v>
      </c>
      <c r="E64" t="str" cm="1">
        <f t="array" ref="E64">ReplaceColorsSeparators(D64)</f>
        <v>Black, Navy</v>
      </c>
    </row>
    <row r="65" spans="1:5" x14ac:dyDescent="0.25">
      <c r="A65" t="s">
        <v>260</v>
      </c>
      <c r="B65" t="s">
        <v>262</v>
      </c>
      <c r="C65" t="s">
        <v>9</v>
      </c>
      <c r="D65" t="str">
        <f t="shared" si="0"/>
        <v>Black</v>
      </c>
      <c r="E65" t="str" cm="1">
        <f t="array" ref="E65">ReplaceColorsSeparators(D65)</f>
        <v>Black</v>
      </c>
    </row>
    <row r="66" spans="1:5" x14ac:dyDescent="0.25">
      <c r="A66" t="s">
        <v>263</v>
      </c>
      <c r="B66" t="s">
        <v>262</v>
      </c>
      <c r="C66" t="s">
        <v>266</v>
      </c>
      <c r="D66" t="str">
        <f t="shared" ref="D66:D91" si="1">_xlfn.LET(_xlpm.SepColors,SUBSTITUTE(TRIM(C66)," ",", "),_xlpm.SepColors)</f>
        <v>Black, Hemlock</v>
      </c>
      <c r="E66" t="str" cm="1">
        <f t="array" ref="E66">ReplaceColorsSeparators(D66)</f>
        <v>Black, Hemlock</v>
      </c>
    </row>
    <row r="67" spans="1:5" x14ac:dyDescent="0.25">
      <c r="A67" t="s">
        <v>267</v>
      </c>
      <c r="B67" t="s">
        <v>1</v>
      </c>
      <c r="C67" t="s">
        <v>9</v>
      </c>
      <c r="D67" t="str">
        <f t="shared" si="1"/>
        <v>Black</v>
      </c>
      <c r="E67" t="str" cm="1">
        <f t="array" ref="E67">ReplaceColorsSeparators(D67)</f>
        <v>Black</v>
      </c>
    </row>
    <row r="68" spans="1:5" x14ac:dyDescent="0.25">
      <c r="A68" t="s">
        <v>270</v>
      </c>
      <c r="B68" t="s">
        <v>105</v>
      </c>
      <c r="C68" t="s">
        <v>271</v>
      </c>
      <c r="D68" t="str">
        <f t="shared" si="1"/>
        <v>Black, Brown, White</v>
      </c>
      <c r="E68" t="str" cm="1">
        <f t="array" ref="E68">ReplaceColorsSeparators(D68)</f>
        <v>Black, Brown, White</v>
      </c>
    </row>
    <row r="69" spans="1:5" x14ac:dyDescent="0.25">
      <c r="A69" t="s">
        <v>272</v>
      </c>
      <c r="B69" t="s">
        <v>105</v>
      </c>
      <c r="C69" t="s">
        <v>443</v>
      </c>
      <c r="D69" t="str">
        <f t="shared" si="1"/>
        <v>Fog, Latte, Navy, Static, Tan, Birch, Black, Coconut, Deep, Red, Espresso</v>
      </c>
      <c r="E69" t="str" cm="1">
        <f t="array" ref="E69">ReplaceColorsSeparators(D69)</f>
        <v>Fog, Latte, Navy, Static, Tan, Birch, Black, Coconut, Deep Red, Espresso</v>
      </c>
    </row>
    <row r="70" spans="1:5" x14ac:dyDescent="0.25">
      <c r="A70" t="s">
        <v>278</v>
      </c>
      <c r="B70" t="s">
        <v>105</v>
      </c>
      <c r="C70" t="s">
        <v>451</v>
      </c>
      <c r="D70" t="str">
        <f t="shared" si="1"/>
        <v>Navy, Multi, Nordic, Multi, Overcast, Skydiver, Woods, Multi, Cement, Multi, Deep, Red, Multi, Light, Grey, Multi, Natural, Multi, Brown, Multi, Charcoal, Multi</v>
      </c>
      <c r="E70" t="str" cm="1">
        <f t="array" ref="E70">ReplaceColorsSeparators(D70)</f>
        <v>Navy Multi, Nordic Multi, Overcast, Skydiver, Woods Multi, Cement Multi, Deep Red, Multi Light, Grey Multi, Natural Multi, Brown Multi, Charcoal Multi</v>
      </c>
    </row>
    <row r="71" spans="1:5" x14ac:dyDescent="0.25">
      <c r="A71" t="s">
        <v>281</v>
      </c>
      <c r="B71" t="s">
        <v>1</v>
      </c>
      <c r="C71" t="s">
        <v>283</v>
      </c>
      <c r="D71" t="str">
        <f t="shared" si="1"/>
        <v>Black, Blue, Bronze</v>
      </c>
      <c r="E71" t="str" cm="1">
        <f t="array" ref="E71">ReplaceColorsSeparators(D71)</f>
        <v>Black, Blue, Bronze</v>
      </c>
    </row>
    <row r="72" spans="1:5" x14ac:dyDescent="0.25">
      <c r="A72" t="s">
        <v>284</v>
      </c>
      <c r="B72" t="s">
        <v>1</v>
      </c>
      <c r="C72" t="s">
        <v>288</v>
      </c>
      <c r="D72" t="str">
        <f t="shared" si="1"/>
        <v>Copper, Green, Grey</v>
      </c>
      <c r="E72" t="str" cm="1">
        <f t="array" ref="E72">ReplaceColorsSeparators(D72)</f>
        <v>Copper, Green, Grey</v>
      </c>
    </row>
    <row r="73" spans="1:5" x14ac:dyDescent="0.25">
      <c r="A73" t="s">
        <v>289</v>
      </c>
      <c r="B73" t="s">
        <v>1</v>
      </c>
      <c r="C73" t="s">
        <v>283</v>
      </c>
      <c r="D73" t="str">
        <f t="shared" si="1"/>
        <v>Black, Blue, Bronze</v>
      </c>
      <c r="E73" t="str" cm="1">
        <f t="array" ref="E73">ReplaceColorsSeparators(D73)</f>
        <v>Black, Blue, Bronze</v>
      </c>
    </row>
    <row r="74" spans="1:5" x14ac:dyDescent="0.25">
      <c r="A74" t="s">
        <v>291</v>
      </c>
      <c r="B74" t="s">
        <v>1</v>
      </c>
      <c r="C74" t="s">
        <v>293</v>
      </c>
      <c r="D74" t="str">
        <f t="shared" si="1"/>
        <v>Avion, Black, Oak</v>
      </c>
      <c r="E74" t="str" cm="1">
        <f t="array" ref="E74">ReplaceColorsSeparators(D74)</f>
        <v>Avion, Black, Oak</v>
      </c>
    </row>
    <row r="75" spans="1:5" x14ac:dyDescent="0.25">
      <c r="A75" t="s">
        <v>294</v>
      </c>
      <c r="B75" t="s">
        <v>1</v>
      </c>
      <c r="C75" t="s">
        <v>295</v>
      </c>
      <c r="D75" t="str">
        <f t="shared" si="1"/>
        <v>Beige, Stripe, Black, Stripe, Avion, Stripe</v>
      </c>
      <c r="E75" t="str" cm="1">
        <f t="array" ref="E75">ReplaceColorsSeparators(D75)</f>
        <v>Beige Stripe, Black Stripe, Avion Stripe</v>
      </c>
    </row>
    <row r="76" spans="1:5" x14ac:dyDescent="0.25">
      <c r="A76" t="s">
        <v>296</v>
      </c>
      <c r="B76" t="s">
        <v>1</v>
      </c>
      <c r="C76" t="s">
        <v>298</v>
      </c>
      <c r="D76" t="str">
        <f t="shared" si="1"/>
        <v>Oak, Plaid</v>
      </c>
      <c r="E76" t="str" cm="1">
        <f t="array" ref="E76">ReplaceColorsSeparators(D76)</f>
        <v>Oak Plaid</v>
      </c>
    </row>
    <row r="77" spans="1:5" x14ac:dyDescent="0.25">
      <c r="A77" t="s">
        <v>299</v>
      </c>
      <c r="B77" t="s">
        <v>1</v>
      </c>
      <c r="C77" t="s">
        <v>301</v>
      </c>
      <c r="D77" t="str">
        <f t="shared" si="1"/>
        <v>Blue, Plaid, Copper, Plaid, Uniform, Green, Plaid</v>
      </c>
      <c r="E77" t="str" cm="1">
        <f t="array" ref="E77">ReplaceColorsSeparators(D77)</f>
        <v>Blue Plaid, Copper Plaid, Uniform Green, Plaid</v>
      </c>
    </row>
    <row r="78" spans="1:5" x14ac:dyDescent="0.25">
      <c r="A78" t="s">
        <v>302</v>
      </c>
      <c r="B78" t="s">
        <v>105</v>
      </c>
      <c r="C78" t="s">
        <v>303</v>
      </c>
      <c r="D78" t="str">
        <f t="shared" si="1"/>
        <v>Black, Paid, Brown, Herringbone</v>
      </c>
      <c r="E78" t="str" cm="1">
        <f t="array" ref="E78">ReplaceColorsSeparators(D78)</f>
        <v>Black Paid, Brown Herringbone</v>
      </c>
    </row>
    <row r="79" spans="1:5" x14ac:dyDescent="0.25">
      <c r="A79" t="s">
        <v>304</v>
      </c>
      <c r="B79" t="s">
        <v>1</v>
      </c>
      <c r="C79" t="s">
        <v>151</v>
      </c>
      <c r="D79" t="str">
        <f t="shared" si="1"/>
        <v>Black, Ochre</v>
      </c>
      <c r="E79" t="str" cm="1">
        <f t="array" ref="E79">ReplaceColorsSeparators(D79)</f>
        <v>Black, Ochre</v>
      </c>
    </row>
    <row r="80" spans="1:5" x14ac:dyDescent="0.25">
      <c r="A80" t="s">
        <v>305</v>
      </c>
      <c r="B80" t="s">
        <v>1</v>
      </c>
      <c r="C80" t="s">
        <v>306</v>
      </c>
      <c r="D80" t="str">
        <f t="shared" si="1"/>
        <v>Avion, Grey</v>
      </c>
      <c r="E80" t="str" cm="1">
        <f t="array" ref="E80">ReplaceColorsSeparators(D80)</f>
        <v>Avion, Grey</v>
      </c>
    </row>
    <row r="81" spans="1:5" x14ac:dyDescent="0.25">
      <c r="A81" t="s">
        <v>307</v>
      </c>
      <c r="B81" t="s">
        <v>1</v>
      </c>
      <c r="C81" t="s">
        <v>308</v>
      </c>
      <c r="D81" t="str">
        <f t="shared" si="1"/>
        <v>Avion, Plaid, Oak, Twill, Uniform, Green, Plaid</v>
      </c>
      <c r="E81" t="str" cm="1">
        <f t="array" ref="E81">ReplaceColorsSeparators(D81)</f>
        <v>Avion Plaid, Oak Twill, Uniform Green, Plaid</v>
      </c>
    </row>
    <row r="82" spans="1:5" x14ac:dyDescent="0.25">
      <c r="A82" t="s">
        <v>309</v>
      </c>
      <c r="B82" t="s">
        <v>105</v>
      </c>
      <c r="C82" t="s">
        <v>311</v>
      </c>
      <c r="D82" t="str">
        <f t="shared" si="1"/>
        <v>Black, Chino, Navy, Tan</v>
      </c>
      <c r="E82" t="str" cm="1">
        <f t="array" ref="E82">ReplaceColorsSeparators(D82)</f>
        <v>Black, Chino, Navy, Tan</v>
      </c>
    </row>
    <row r="83" spans="1:5" x14ac:dyDescent="0.25">
      <c r="A83" t="s">
        <v>312</v>
      </c>
      <c r="B83" t="s">
        <v>1</v>
      </c>
      <c r="C83" t="s">
        <v>314</v>
      </c>
      <c r="D83" t="str">
        <f t="shared" si="1"/>
        <v>Black, Copper</v>
      </c>
      <c r="E83" t="str" cm="1">
        <f t="array" ref="E83">ReplaceColorsSeparators(D83)</f>
        <v>Black, Copper</v>
      </c>
    </row>
    <row r="84" spans="1:5" x14ac:dyDescent="0.25">
      <c r="A84" t="s">
        <v>315</v>
      </c>
      <c r="B84" t="s">
        <v>1</v>
      </c>
      <c r="C84" t="s">
        <v>317</v>
      </c>
      <c r="D84" t="str">
        <f t="shared" si="1"/>
        <v>Brown</v>
      </c>
      <c r="E84" t="str" cm="1">
        <f t="array" ref="E84">ReplaceColorsSeparators(D84)</f>
        <v>Brown</v>
      </c>
    </row>
    <row r="85" spans="1:5" x14ac:dyDescent="0.25">
      <c r="A85" t="s">
        <v>318</v>
      </c>
      <c r="B85" t="s">
        <v>1</v>
      </c>
      <c r="C85" t="s">
        <v>9</v>
      </c>
      <c r="D85" t="str">
        <f t="shared" si="1"/>
        <v>Black</v>
      </c>
      <c r="E85" t="str" cm="1">
        <f t="array" ref="E85">ReplaceColorsSeparators(D85)</f>
        <v>Black</v>
      </c>
    </row>
    <row r="86" spans="1:5" x14ac:dyDescent="0.25">
      <c r="A86" t="s">
        <v>322</v>
      </c>
      <c r="B86" t="s">
        <v>1</v>
      </c>
      <c r="C86" t="s">
        <v>323</v>
      </c>
      <c r="D86" t="str">
        <f t="shared" si="1"/>
        <v>Dark, Coffee</v>
      </c>
      <c r="E86" t="str" cm="1">
        <f t="array" ref="E86">ReplaceColorsSeparators(D86)</f>
        <v>Dark Coffee</v>
      </c>
    </row>
    <row r="87" spans="1:5" x14ac:dyDescent="0.25">
      <c r="A87" t="s">
        <v>324</v>
      </c>
      <c r="B87" t="s">
        <v>1</v>
      </c>
      <c r="C87" t="s">
        <v>9</v>
      </c>
      <c r="D87" t="str">
        <f t="shared" si="1"/>
        <v>Black</v>
      </c>
      <c r="E87" t="str" cm="1">
        <f t="array" ref="E87">ReplaceColorsSeparators(D87)</f>
        <v>Black</v>
      </c>
    </row>
    <row r="88" spans="1:5" x14ac:dyDescent="0.25">
      <c r="A88" t="s">
        <v>325</v>
      </c>
      <c r="B88" t="s">
        <v>1</v>
      </c>
      <c r="C88" t="s">
        <v>9</v>
      </c>
      <c r="D88" t="str">
        <f t="shared" si="1"/>
        <v>Black</v>
      </c>
      <c r="E88" t="str" cm="1">
        <f t="array" ref="E88">ReplaceColorsSeparators(D88)</f>
        <v>Black</v>
      </c>
    </row>
    <row r="89" spans="1:5" x14ac:dyDescent="0.25">
      <c r="A89" t="s">
        <v>328</v>
      </c>
      <c r="B89" t="s">
        <v>1</v>
      </c>
      <c r="C89" t="s">
        <v>330</v>
      </c>
      <c r="D89" t="str">
        <f t="shared" si="1"/>
        <v>Marl, Black, Navy, Plaid</v>
      </c>
      <c r="E89" t="str" cm="1">
        <f t="array" ref="E89">ReplaceColorsSeparators(D89)</f>
        <v>Marl Black, Navy Plaid</v>
      </c>
    </row>
    <row r="90" spans="1:5" x14ac:dyDescent="0.25">
      <c r="A90" t="s">
        <v>331</v>
      </c>
      <c r="B90" t="s">
        <v>1</v>
      </c>
      <c r="C90" t="s">
        <v>334</v>
      </c>
      <c r="D90" t="str">
        <f t="shared" si="1"/>
        <v>Black, Brown</v>
      </c>
      <c r="E90" t="str" cm="1">
        <f t="array" ref="E90">ReplaceColorsSeparators(D90)</f>
        <v>Black, Brown</v>
      </c>
    </row>
    <row r="91" spans="1:5" x14ac:dyDescent="0.25">
      <c r="A91" t="s">
        <v>335</v>
      </c>
      <c r="B91" t="s">
        <v>105</v>
      </c>
      <c r="C91" t="s">
        <v>311</v>
      </c>
      <c r="D91" t="str">
        <f t="shared" si="1"/>
        <v>Black, Chino, Navy, Tan</v>
      </c>
      <c r="E91" t="str" cm="1">
        <f t="array" ref="E91">ReplaceColorsSeparators(D91)</f>
        <v>Black, Chino, Navy, Tan</v>
      </c>
    </row>
    <row r="92" spans="1:5" x14ac:dyDescent="0.25">
      <c r="A92" t="s">
        <v>338</v>
      </c>
      <c r="B92" t="s">
        <v>105</v>
      </c>
      <c r="C92" t="s">
        <v>452</v>
      </c>
      <c r="D92" t="str">
        <f>_xlfn.LET(_xlpm.SepColors,SUBSTITUTE(TRIM(C92)," ",", "),_xlpm.SepColors)</f>
        <v>Charcoal, Dk., Brown, Navy, Black, Burgundy</v>
      </c>
      <c r="E92" t="str" cm="1">
        <f t="array" ref="E92">ReplaceColorsSeparators(D92)</f>
        <v>Charcoal, Dk. Brown, Navy, Black, Burgundy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788CD-C1B6-44D9-AA61-4D509996C289}">
  <sheetPr codeName="Лист6"/>
  <dimension ref="A1:C50"/>
  <sheetViews>
    <sheetView zoomScaleNormal="100" workbookViewId="0">
      <selection activeCell="B2" sqref="B2"/>
    </sheetView>
  </sheetViews>
  <sheetFormatPr defaultRowHeight="15" x14ac:dyDescent="0.25"/>
  <cols>
    <col min="1" max="1" width="20.42578125" bestFit="1" customWidth="1"/>
    <col min="2" max="3" width="19.28515625" bestFit="1" customWidth="1"/>
  </cols>
  <sheetData>
    <row r="1" spans="1:3" x14ac:dyDescent="0.25">
      <c r="A1" s="2" t="s">
        <v>503</v>
      </c>
      <c r="B1" s="2" t="s">
        <v>506</v>
      </c>
      <c r="C1" s="2" t="s">
        <v>455</v>
      </c>
    </row>
    <row r="2" spans="1:3" x14ac:dyDescent="0.25">
      <c r="A2" t="str">
        <f>SUBSTITUTE(B2," ",", ")</f>
        <v>Uniform, Green</v>
      </c>
      <c r="B2" t="str">
        <f t="shared" ref="B2:B33" si="0">TRIM(C2)</f>
        <v>Uniform Green</v>
      </c>
      <c r="C2" t="s">
        <v>456</v>
      </c>
    </row>
    <row r="3" spans="1:3" x14ac:dyDescent="0.25">
      <c r="A3" t="str">
        <f t="shared" ref="A3:A50" si="1">SUBSTITUTE(B3," ",", ")</f>
        <v>Light, Mink</v>
      </c>
      <c r="B3" t="str">
        <f t="shared" si="0"/>
        <v>Light Mink</v>
      </c>
      <c r="C3" t="s">
        <v>457</v>
      </c>
    </row>
    <row r="4" spans="1:3" x14ac:dyDescent="0.25">
      <c r="A4" t="str">
        <f t="shared" si="1"/>
        <v>Soft, Khaki</v>
      </c>
      <c r="B4" t="str">
        <f t="shared" si="0"/>
        <v>Soft Khaki</v>
      </c>
      <c r="C4" t="s">
        <v>458</v>
      </c>
    </row>
    <row r="5" spans="1:3" x14ac:dyDescent="0.25">
      <c r="A5" t="str">
        <f t="shared" si="1"/>
        <v>Lazuli, Blue</v>
      </c>
      <c r="B5" t="str">
        <f t="shared" si="0"/>
        <v>Lazuli Blue</v>
      </c>
      <c r="C5" t="s">
        <v>459</v>
      </c>
    </row>
    <row r="6" spans="1:3" x14ac:dyDescent="0.25">
      <c r="A6" t="str">
        <f t="shared" si="1"/>
        <v>Silver, Lining</v>
      </c>
      <c r="B6" t="str">
        <f t="shared" si="0"/>
        <v>Silver Lining</v>
      </c>
      <c r="C6" t="s">
        <v>460</v>
      </c>
    </row>
    <row r="7" spans="1:3" x14ac:dyDescent="0.25">
      <c r="A7" t="str">
        <f t="shared" si="1"/>
        <v>Plaza, Taupe</v>
      </c>
      <c r="B7" t="str">
        <f t="shared" si="0"/>
        <v>Plaza Taupe</v>
      </c>
      <c r="C7" t="s">
        <v>461</v>
      </c>
    </row>
    <row r="8" spans="1:3" x14ac:dyDescent="0.25">
      <c r="A8" t="str">
        <f t="shared" si="1"/>
        <v>Midnight, Brown</v>
      </c>
      <c r="B8" t="str">
        <f t="shared" si="0"/>
        <v>Midnight Brown</v>
      </c>
      <c r="C8" t="s">
        <v>462</v>
      </c>
    </row>
    <row r="9" spans="1:3" x14ac:dyDescent="0.25">
      <c r="A9" t="str">
        <f t="shared" si="1"/>
        <v>Black, Mix</v>
      </c>
      <c r="B9" t="str">
        <f t="shared" si="0"/>
        <v>Black Mix</v>
      </c>
      <c r="C9" t="s">
        <v>463</v>
      </c>
    </row>
    <row r="10" spans="1:3" x14ac:dyDescent="0.25">
      <c r="A10" t="str">
        <f t="shared" si="1"/>
        <v>Woodland, Mix</v>
      </c>
      <c r="B10" t="str">
        <f t="shared" si="0"/>
        <v>Woodland Mix</v>
      </c>
      <c r="C10" t="s">
        <v>464</v>
      </c>
    </row>
    <row r="11" spans="1:3" x14ac:dyDescent="0.25">
      <c r="A11" t="str">
        <f t="shared" si="1"/>
        <v>Satin, Brass</v>
      </c>
      <c r="B11" t="str">
        <f t="shared" si="0"/>
        <v>Satin Brass</v>
      </c>
      <c r="C11" t="s">
        <v>465</v>
      </c>
    </row>
    <row r="12" spans="1:3" x14ac:dyDescent="0.25">
      <c r="A12" t="str">
        <f t="shared" si="1"/>
        <v>Medium, Brown, Mix</v>
      </c>
      <c r="B12" t="str">
        <f t="shared" si="0"/>
        <v>Medium Brown Mix</v>
      </c>
      <c r="C12" t="s">
        <v>203</v>
      </c>
    </row>
    <row r="13" spans="1:3" x14ac:dyDescent="0.25">
      <c r="A13" t="str">
        <f t="shared" si="1"/>
        <v>Vintage, Blue</v>
      </c>
      <c r="B13" t="str">
        <f t="shared" si="0"/>
        <v>Vintage Blue</v>
      </c>
      <c r="C13" t="s">
        <v>466</v>
      </c>
    </row>
    <row r="14" spans="1:3" x14ac:dyDescent="0.25">
      <c r="A14" t="str">
        <f t="shared" si="1"/>
        <v>Speckled, Egg, Mix</v>
      </c>
      <c r="B14" t="str">
        <f t="shared" si="0"/>
        <v>Speckled Egg Mix</v>
      </c>
      <c r="C14" t="s">
        <v>467</v>
      </c>
    </row>
    <row r="15" spans="1:3" x14ac:dyDescent="0.25">
      <c r="A15" t="str">
        <f t="shared" si="1"/>
        <v>Ink, Blue</v>
      </c>
      <c r="B15" t="str">
        <f t="shared" si="0"/>
        <v>Ink Blue</v>
      </c>
      <c r="C15" t="s">
        <v>468</v>
      </c>
    </row>
    <row r="16" spans="1:3" x14ac:dyDescent="0.25">
      <c r="A16" t="str">
        <f t="shared" si="1"/>
        <v>Olive, Mix</v>
      </c>
      <c r="B16" t="str">
        <f t="shared" si="0"/>
        <v>Olive Mix</v>
      </c>
      <c r="C16" t="s">
        <v>469</v>
      </c>
    </row>
    <row r="17" spans="1:3" x14ac:dyDescent="0.25">
      <c r="A17" t="str">
        <f t="shared" si="1"/>
        <v>Gun, Metal</v>
      </c>
      <c r="B17" t="str">
        <f t="shared" si="0"/>
        <v>Gun Metal</v>
      </c>
      <c r="C17" t="s">
        <v>470</v>
      </c>
    </row>
    <row r="18" spans="1:3" x14ac:dyDescent="0.25">
      <c r="A18" t="str">
        <f t="shared" si="1"/>
        <v>Pale, Olive</v>
      </c>
      <c r="B18" t="str">
        <f t="shared" si="0"/>
        <v>Pale Olive</v>
      </c>
      <c r="C18" t="s">
        <v>471</v>
      </c>
    </row>
    <row r="19" spans="1:3" x14ac:dyDescent="0.25">
      <c r="A19" t="str">
        <f t="shared" si="1"/>
        <v>Natural, Mix</v>
      </c>
      <c r="B19" t="str">
        <f t="shared" si="0"/>
        <v>Natural Mix</v>
      </c>
      <c r="C19" t="s">
        <v>472</v>
      </c>
    </row>
    <row r="20" spans="1:3" x14ac:dyDescent="0.25">
      <c r="A20" t="str">
        <f t="shared" si="1"/>
        <v>Oxford, Mix</v>
      </c>
      <c r="B20" t="str">
        <f t="shared" si="0"/>
        <v>Oxford Mix</v>
      </c>
      <c r="C20" t="s">
        <v>473</v>
      </c>
    </row>
    <row r="21" spans="1:3" x14ac:dyDescent="0.25">
      <c r="A21" t="str">
        <f t="shared" si="1"/>
        <v>Sea, Breeze</v>
      </c>
      <c r="B21" t="str">
        <f t="shared" si="0"/>
        <v>Sea Breeze</v>
      </c>
      <c r="C21" t="s">
        <v>474</v>
      </c>
    </row>
    <row r="22" spans="1:3" x14ac:dyDescent="0.25">
      <c r="A22" t="str">
        <f t="shared" si="1"/>
        <v>Bitter, Chocolate</v>
      </c>
      <c r="B22" t="str">
        <f t="shared" si="0"/>
        <v>Bitter Chocolate</v>
      </c>
      <c r="C22" t="s">
        <v>475</v>
      </c>
    </row>
    <row r="23" spans="1:3" x14ac:dyDescent="0.25">
      <c r="A23" t="str">
        <f t="shared" si="1"/>
        <v>Night, Shade</v>
      </c>
      <c r="B23" t="str">
        <f t="shared" si="0"/>
        <v>Night Shade</v>
      </c>
      <c r="C23" t="s">
        <v>476</v>
      </c>
    </row>
    <row r="24" spans="1:3" x14ac:dyDescent="0.25">
      <c r="A24" t="str">
        <f t="shared" si="1"/>
        <v>Silver, Sand</v>
      </c>
      <c r="B24" t="str">
        <f t="shared" si="0"/>
        <v>Silver Sand</v>
      </c>
      <c r="C24" t="s">
        <v>477</v>
      </c>
    </row>
    <row r="25" spans="1:3" x14ac:dyDescent="0.25">
      <c r="A25" t="str">
        <f t="shared" si="1"/>
        <v>Olive, Oil</v>
      </c>
      <c r="B25" t="str">
        <f t="shared" si="0"/>
        <v>Olive Oil</v>
      </c>
      <c r="C25" t="s">
        <v>478</v>
      </c>
    </row>
    <row r="26" spans="1:3" x14ac:dyDescent="0.25">
      <c r="A26" t="str">
        <f t="shared" si="1"/>
        <v>Charcoal, Multi</v>
      </c>
      <c r="B26" t="str">
        <f t="shared" si="0"/>
        <v>Charcoal Multi</v>
      </c>
      <c r="C26" t="s">
        <v>481</v>
      </c>
    </row>
    <row r="27" spans="1:3" x14ac:dyDescent="0.25">
      <c r="A27" t="str">
        <f t="shared" si="1"/>
        <v>Brown, Multi</v>
      </c>
      <c r="B27" t="str">
        <f t="shared" si="0"/>
        <v>Brown Multi</v>
      </c>
      <c r="C27" t="s">
        <v>480</v>
      </c>
    </row>
    <row r="28" spans="1:3" x14ac:dyDescent="0.25">
      <c r="A28" t="str">
        <f t="shared" si="1"/>
        <v>Cement, Multi</v>
      </c>
      <c r="B28" t="str">
        <f t="shared" si="0"/>
        <v>Cement Multi</v>
      </c>
      <c r="C28" t="s">
        <v>485</v>
      </c>
    </row>
    <row r="29" spans="1:3" x14ac:dyDescent="0.25">
      <c r="A29" t="str">
        <f t="shared" si="1"/>
        <v>Woods, Multi</v>
      </c>
      <c r="B29" t="str">
        <f t="shared" si="0"/>
        <v>Woods Multi</v>
      </c>
      <c r="C29" t="s">
        <v>482</v>
      </c>
    </row>
    <row r="30" spans="1:3" x14ac:dyDescent="0.25">
      <c r="A30" t="str">
        <f t="shared" si="1"/>
        <v>Navy, Multi</v>
      </c>
      <c r="B30" t="str">
        <f t="shared" si="0"/>
        <v>Navy Multi</v>
      </c>
      <c r="C30" t="s">
        <v>483</v>
      </c>
    </row>
    <row r="31" spans="1:3" x14ac:dyDescent="0.25">
      <c r="A31" t="str">
        <f t="shared" si="1"/>
        <v>Nordic, Multi</v>
      </c>
      <c r="B31" t="str">
        <f t="shared" si="0"/>
        <v>Nordic Multi</v>
      </c>
      <c r="C31" t="s">
        <v>484</v>
      </c>
    </row>
    <row r="32" spans="1:3" x14ac:dyDescent="0.25">
      <c r="A32" t="str">
        <f t="shared" si="1"/>
        <v>Deep, Red</v>
      </c>
      <c r="B32" t="str">
        <f t="shared" si="0"/>
        <v>Deep Red</v>
      </c>
      <c r="C32" t="s">
        <v>479</v>
      </c>
    </row>
    <row r="33" spans="1:3" x14ac:dyDescent="0.25">
      <c r="A33" t="str">
        <f t="shared" si="1"/>
        <v>Multi, Light</v>
      </c>
      <c r="B33" t="str">
        <f t="shared" si="0"/>
        <v>Multi Light</v>
      </c>
      <c r="C33" t="s">
        <v>486</v>
      </c>
    </row>
    <row r="34" spans="1:3" x14ac:dyDescent="0.25">
      <c r="A34" t="str">
        <f t="shared" si="1"/>
        <v>Grey, Multi</v>
      </c>
      <c r="B34" t="str">
        <f t="shared" ref="B34:B50" si="2">TRIM(C34)</f>
        <v>Grey Multi</v>
      </c>
      <c r="C34" t="s">
        <v>488</v>
      </c>
    </row>
    <row r="35" spans="1:3" x14ac:dyDescent="0.25">
      <c r="A35" t="str">
        <f t="shared" si="1"/>
        <v>Natural, Multi</v>
      </c>
      <c r="B35" t="str">
        <f t="shared" si="2"/>
        <v>Natural Multi</v>
      </c>
      <c r="C35" t="s">
        <v>487</v>
      </c>
    </row>
    <row r="36" spans="1:3" x14ac:dyDescent="0.25">
      <c r="A36" t="str">
        <f t="shared" si="1"/>
        <v>Oak, Plaid</v>
      </c>
      <c r="B36" t="str">
        <f t="shared" si="2"/>
        <v>Oak Plaid</v>
      </c>
      <c r="C36" t="s">
        <v>298</v>
      </c>
    </row>
    <row r="37" spans="1:3" x14ac:dyDescent="0.25">
      <c r="A37" t="str">
        <f t="shared" si="1"/>
        <v>Beige, Stripe</v>
      </c>
      <c r="B37" t="str">
        <f t="shared" si="2"/>
        <v>Beige Stripe</v>
      </c>
      <c r="C37" t="s">
        <v>489</v>
      </c>
    </row>
    <row r="38" spans="1:3" x14ac:dyDescent="0.25">
      <c r="A38" t="str">
        <f t="shared" si="1"/>
        <v>Black, Stripe</v>
      </c>
      <c r="B38" t="str">
        <f t="shared" si="2"/>
        <v>Black Stripe</v>
      </c>
      <c r="C38" t="s">
        <v>490</v>
      </c>
    </row>
    <row r="39" spans="1:3" x14ac:dyDescent="0.25">
      <c r="A39" t="str">
        <f t="shared" si="1"/>
        <v>Avion, Stripe</v>
      </c>
      <c r="B39" t="str">
        <f t="shared" si="2"/>
        <v>Avion Stripe</v>
      </c>
      <c r="C39" t="s">
        <v>491</v>
      </c>
    </row>
    <row r="40" spans="1:3" x14ac:dyDescent="0.25">
      <c r="A40" t="str">
        <f t="shared" si="1"/>
        <v>Avion, Plaid</v>
      </c>
      <c r="B40" t="str">
        <f t="shared" si="2"/>
        <v>Avion Plaid</v>
      </c>
      <c r="C40" t="s">
        <v>493</v>
      </c>
    </row>
    <row r="41" spans="1:3" x14ac:dyDescent="0.25">
      <c r="A41" t="str">
        <f t="shared" si="1"/>
        <v>Blue, Plaid</v>
      </c>
      <c r="B41" t="str">
        <f t="shared" si="2"/>
        <v>Blue Plaid</v>
      </c>
      <c r="C41" t="s">
        <v>497</v>
      </c>
    </row>
    <row r="42" spans="1:3" x14ac:dyDescent="0.25">
      <c r="A42" t="str">
        <f t="shared" si="1"/>
        <v>Black, Paid</v>
      </c>
      <c r="B42" t="str">
        <f t="shared" si="2"/>
        <v>Black Paid</v>
      </c>
      <c r="C42" t="s">
        <v>498</v>
      </c>
    </row>
    <row r="43" spans="1:3" x14ac:dyDescent="0.25">
      <c r="A43" t="str">
        <f t="shared" si="1"/>
        <v>Dark, Coffee</v>
      </c>
      <c r="B43" t="str">
        <f t="shared" si="2"/>
        <v>Dark Coffee</v>
      </c>
      <c r="C43" t="s">
        <v>323</v>
      </c>
    </row>
    <row r="44" spans="1:3" x14ac:dyDescent="0.25">
      <c r="A44" t="str">
        <f t="shared" si="1"/>
        <v>Marl, Black</v>
      </c>
      <c r="B44" t="str">
        <f t="shared" si="2"/>
        <v>Marl Black</v>
      </c>
      <c r="C44" t="s">
        <v>500</v>
      </c>
    </row>
    <row r="45" spans="1:3" x14ac:dyDescent="0.25">
      <c r="A45" t="str">
        <f t="shared" si="1"/>
        <v>Dk., Brown</v>
      </c>
      <c r="B45" t="str">
        <f t="shared" si="2"/>
        <v>Dk. Brown</v>
      </c>
      <c r="C45" t="s">
        <v>492</v>
      </c>
    </row>
    <row r="46" spans="1:3" x14ac:dyDescent="0.25">
      <c r="A46" t="str">
        <f t="shared" si="1"/>
        <v>Uniform, Green, Plaid</v>
      </c>
      <c r="B46" t="str">
        <f t="shared" si="2"/>
        <v>Uniform Green Plaid</v>
      </c>
      <c r="C46" t="s">
        <v>494</v>
      </c>
    </row>
    <row r="47" spans="1:3" x14ac:dyDescent="0.25">
      <c r="A47" t="str">
        <f t="shared" si="1"/>
        <v>Oak, Twill</v>
      </c>
      <c r="B47" t="str">
        <f t="shared" si="2"/>
        <v>Oak Twill</v>
      </c>
      <c r="C47" t="s">
        <v>495</v>
      </c>
    </row>
    <row r="48" spans="1:3" x14ac:dyDescent="0.25">
      <c r="A48" t="str">
        <f t="shared" si="1"/>
        <v>Copper, Plaid</v>
      </c>
      <c r="B48" t="str">
        <f t="shared" si="2"/>
        <v>Copper Plaid</v>
      </c>
      <c r="C48" t="s">
        <v>496</v>
      </c>
    </row>
    <row r="49" spans="1:3" x14ac:dyDescent="0.25">
      <c r="A49" t="str">
        <f t="shared" si="1"/>
        <v>Brown, Herringbone</v>
      </c>
      <c r="B49" t="str">
        <f t="shared" si="2"/>
        <v>Brown Herringbone</v>
      </c>
      <c r="C49" t="s">
        <v>499</v>
      </c>
    </row>
    <row r="50" spans="1:3" x14ac:dyDescent="0.25">
      <c r="A50" t="str">
        <f t="shared" si="1"/>
        <v>Navy, Plaid</v>
      </c>
      <c r="B50" t="str">
        <f t="shared" si="2"/>
        <v>Navy Plaid</v>
      </c>
      <c r="C50" t="s">
        <v>501</v>
      </c>
    </row>
  </sheetData>
  <conditionalFormatting sqref="C37:C1048576 C1:C35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BF099-75C1-4579-A6CB-894BC27B985F}">
  <sheetPr codeName="Лист8"/>
  <dimension ref="A1:F311"/>
  <sheetViews>
    <sheetView workbookViewId="0">
      <pane ySplit="1" topLeftCell="A2" activePane="bottomLeft" state="frozen"/>
      <selection pane="bottomLeft" activeCell="C12" sqref="C12"/>
    </sheetView>
  </sheetViews>
  <sheetFormatPr defaultRowHeight="74.45" customHeight="1" x14ac:dyDescent="0.25"/>
  <cols>
    <col min="1" max="1" width="21.42578125" customWidth="1"/>
    <col min="2" max="2" width="14.42578125" customWidth="1"/>
    <col min="3" max="3" width="22.5703125" style="1" bestFit="1" customWidth="1"/>
    <col min="4" max="4" width="40" style="1" bestFit="1" customWidth="1"/>
    <col min="5" max="5" width="18.5703125" style="1" bestFit="1" customWidth="1"/>
    <col min="6" max="7" width="13.85546875" bestFit="1" customWidth="1"/>
  </cols>
  <sheetData>
    <row r="1" spans="1:6" s="2" customFormat="1" ht="15" x14ac:dyDescent="0.25">
      <c r="A1" s="2" t="s">
        <v>505</v>
      </c>
      <c r="B1" s="2" t="s">
        <v>507</v>
      </c>
      <c r="C1" s="3" t="s">
        <v>440</v>
      </c>
      <c r="D1" s="3" t="s">
        <v>441</v>
      </c>
      <c r="E1" s="3" t="s">
        <v>442</v>
      </c>
      <c r="F1" s="2" t="s">
        <v>572</v>
      </c>
    </row>
    <row r="2" spans="1:6" ht="74.45" customHeight="1" x14ac:dyDescent="0.25">
      <c r="B2" t="s">
        <v>347</v>
      </c>
      <c r="C2" s="1" t="s">
        <v>28</v>
      </c>
      <c r="D2" s="1" t="str">
        <f>TRIM(_xlfn.XLOOKUP(Результат!C2,Таблица!A:A,Таблица!B:B,"Ошибка",0))</f>
        <v>S, M, L, XL</v>
      </c>
      <c r="E2" s="1" t="s">
        <v>514</v>
      </c>
      <c r="F2" t="str">
        <f>IF(AND(B1&lt;&gt;"",B2=""),LEFT(B1,6)&amp;RIGHT("000"&amp;VALUE(MID(B1,FIND("_",B1)+1,3))+1,3)&amp;RIGHT(B1,4),B2)</f>
        <v>Image_001.jpg</v>
      </c>
    </row>
    <row r="3" spans="1:6" ht="74.45" customHeight="1" x14ac:dyDescent="0.25">
      <c r="C3" s="1" t="s">
        <v>28</v>
      </c>
      <c r="D3" s="1" t="str">
        <f>TRIM(_xlfn.XLOOKUP(Результат!C3,Таблица!A:A,Таблица!B:B,"Ошибка",0))</f>
        <v>S, M, L, XL</v>
      </c>
      <c r="E3" s="1" t="s">
        <v>571</v>
      </c>
      <c r="F3" t="str">
        <f t="shared" ref="F3:F66" si="0">IF(AND(B2&lt;&gt;"",B3=""),LEFT(B2,6)&amp;RIGHT("000"&amp;VALUE(MID(B2,FIND("_",B2)+1,3))+1,3)&amp;RIGHT(B2,4),B3)</f>
        <v>Image_002.jpg</v>
      </c>
    </row>
    <row r="4" spans="1:6" ht="74.45" customHeight="1" x14ac:dyDescent="0.25">
      <c r="C4" s="1" t="s">
        <v>28</v>
      </c>
      <c r="D4" s="1" t="str">
        <f>TRIM(_xlfn.XLOOKUP(Результат!C4,Таблица!A:A,Таблица!B:B,"Ошибка",0))</f>
        <v>S, M, L, XL</v>
      </c>
      <c r="E4" s="1" t="s">
        <v>456</v>
      </c>
      <c r="F4">
        <f t="shared" si="0"/>
        <v>0</v>
      </c>
    </row>
    <row r="5" spans="1:6" ht="74.45" customHeight="1" x14ac:dyDescent="0.25">
      <c r="B5" t="s">
        <v>348</v>
      </c>
      <c r="C5" s="1" t="s">
        <v>21</v>
      </c>
      <c r="D5" s="1" t="str">
        <f>TRIM(_xlfn.XLOOKUP(Результат!C5,Таблица!A:A,Таблица!B:B,"Ошибка",0))</f>
        <v>S, M, L, XL</v>
      </c>
      <c r="E5" s="1" t="s">
        <v>9</v>
      </c>
      <c r="F5" t="str">
        <f t="shared" si="0"/>
        <v>Image_004.png</v>
      </c>
    </row>
    <row r="6" spans="1:6" ht="74.45" customHeight="1" x14ac:dyDescent="0.25">
      <c r="C6" s="1" t="s">
        <v>21</v>
      </c>
      <c r="D6" s="1" t="str">
        <f>TRIM(_xlfn.XLOOKUP(Результат!C6,Таблица!A:A,Таблица!B:B,"Ошибка",0))</f>
        <v>S, M, L, XL</v>
      </c>
      <c r="E6" s="1" t="s">
        <v>512</v>
      </c>
      <c r="F6" t="str">
        <f t="shared" si="0"/>
        <v>Image_005.png</v>
      </c>
    </row>
    <row r="7" spans="1:6" ht="74.45" customHeight="1" x14ac:dyDescent="0.25">
      <c r="B7" t="s">
        <v>349</v>
      </c>
      <c r="C7" s="1" t="s">
        <v>2</v>
      </c>
      <c r="D7" s="1" t="str">
        <f>TRIM(_xlfn.XLOOKUP(Результат!C7,Таблица!A:A,Таблица!B:B,"Ошибка",0))</f>
        <v>S, M, L, XL</v>
      </c>
      <c r="E7" s="1" t="s">
        <v>9</v>
      </c>
      <c r="F7" t="str">
        <f t="shared" si="0"/>
        <v>Image_007.png</v>
      </c>
    </row>
    <row r="8" spans="1:6" ht="74.45" customHeight="1" x14ac:dyDescent="0.25">
      <c r="C8" s="1" t="s">
        <v>2</v>
      </c>
      <c r="D8" s="1" t="str">
        <f>TRIM(_xlfn.XLOOKUP(Результат!C8,Таблица!A:A,Таблица!B:B,"Ошибка",0))</f>
        <v>S, M, L, XL</v>
      </c>
      <c r="E8" s="1" t="s">
        <v>570</v>
      </c>
      <c r="F8" t="str">
        <f t="shared" si="0"/>
        <v>Image_008.png</v>
      </c>
    </row>
    <row r="9" spans="1:6" ht="74.45" customHeight="1" x14ac:dyDescent="0.25">
      <c r="B9" t="s">
        <v>350</v>
      </c>
      <c r="C9" s="1" t="s">
        <v>4</v>
      </c>
      <c r="D9" s="1" t="str">
        <f>TRIM(_xlfn.XLOOKUP(Результат!C9,Таблица!A:A,Таблица!B:B,"Ошибка",0))</f>
        <v>S, M, L, XL</v>
      </c>
      <c r="E9" s="1" t="s">
        <v>9</v>
      </c>
      <c r="F9" t="str">
        <f t="shared" si="0"/>
        <v>Image_010.png</v>
      </c>
    </row>
    <row r="10" spans="1:6" ht="74.45" customHeight="1" x14ac:dyDescent="0.25">
      <c r="C10" s="1" t="s">
        <v>4</v>
      </c>
      <c r="D10" s="1" t="str">
        <f>TRIM(_xlfn.XLOOKUP(Результат!C10,Таблица!A:A,Таблица!B:B,"Ошибка",0))</f>
        <v>S, M, L, XL</v>
      </c>
      <c r="E10" s="1" t="s">
        <v>457</v>
      </c>
      <c r="F10" t="str">
        <f t="shared" si="0"/>
        <v>Image_011.png</v>
      </c>
    </row>
    <row r="11" spans="1:6" ht="74.45" customHeight="1" x14ac:dyDescent="0.25">
      <c r="B11" t="s">
        <v>351</v>
      </c>
      <c r="C11" s="1" t="s">
        <v>37</v>
      </c>
      <c r="D11" s="1" t="str">
        <f>TRIM(_xlfn.XLOOKUP(Результат!C11,Таблица!A:A,Таблица!B:B,"Ошибка",0))</f>
        <v>S, M, L, XL</v>
      </c>
      <c r="E11" s="1" t="s">
        <v>9</v>
      </c>
      <c r="F11" t="str">
        <f t="shared" si="0"/>
        <v>Image_013.png</v>
      </c>
    </row>
    <row r="12" spans="1:6" ht="74.45" customHeight="1" x14ac:dyDescent="0.25">
      <c r="C12" s="1" t="s">
        <v>37</v>
      </c>
      <c r="D12" s="1" t="str">
        <f>TRIM(_xlfn.XLOOKUP(Результат!C12,Таблица!A:A,Таблица!B:B,"Ошибка",0))</f>
        <v>S, M, L, XL</v>
      </c>
      <c r="E12" s="1" t="s">
        <v>535</v>
      </c>
      <c r="F12" t="str">
        <f t="shared" si="0"/>
        <v>Image_014.png</v>
      </c>
    </row>
    <row r="13" spans="1:6" ht="74.45" customHeight="1" x14ac:dyDescent="0.25">
      <c r="B13" t="s">
        <v>352</v>
      </c>
      <c r="C13" s="1" t="s">
        <v>17</v>
      </c>
      <c r="D13" s="1" t="str">
        <f>TRIM(_xlfn.XLOOKUP(Результат!C13,Таблица!A:A,Таблица!B:B,"Ошибка",0))</f>
        <v>S, M, L, XL</v>
      </c>
      <c r="E13" s="1" t="s">
        <v>9</v>
      </c>
      <c r="F13" t="str">
        <f t="shared" si="0"/>
        <v>Image_016.png</v>
      </c>
    </row>
    <row r="14" spans="1:6" ht="74.45" customHeight="1" x14ac:dyDescent="0.25">
      <c r="C14" s="1" t="s">
        <v>17</v>
      </c>
      <c r="D14" s="1" t="str">
        <f>TRIM(_xlfn.XLOOKUP(Результат!C14,Таблица!A:A,Таблица!B:B,"Ошибка",0))</f>
        <v>S, M, L, XL</v>
      </c>
      <c r="E14" s="1" t="s">
        <v>569</v>
      </c>
      <c r="F14" t="str">
        <f t="shared" si="0"/>
        <v>Image_017.png</v>
      </c>
    </row>
    <row r="15" spans="1:6" ht="74.45" customHeight="1" x14ac:dyDescent="0.25">
      <c r="B15" t="s">
        <v>353</v>
      </c>
      <c r="C15" s="1" t="s">
        <v>10</v>
      </c>
      <c r="D15" s="1" t="str">
        <f>TRIM(_xlfn.XLOOKUP(Результат!C15,Таблица!A:A,Таблица!B:B,"Ошибка",0))</f>
        <v>6 7/8, 7, 7 1/8, 7 1/4, 7 3/8, 7 1/2, 7 5/8</v>
      </c>
      <c r="E15" s="1" t="s">
        <v>9</v>
      </c>
      <c r="F15" t="str">
        <f t="shared" si="0"/>
        <v>Image_019.png</v>
      </c>
    </row>
    <row r="16" spans="1:6" ht="74.45" customHeight="1" x14ac:dyDescent="0.25">
      <c r="C16" s="1" t="s">
        <v>10</v>
      </c>
      <c r="D16" s="1" t="str">
        <f>TRIM(_xlfn.XLOOKUP(Результат!C16,Таблица!A:A,Таблица!B:B,"Ошибка",0))</f>
        <v>6 7/8, 7, 7 1/8, 7 1/4, 7 3/8, 7 1/2, 7 5/8</v>
      </c>
      <c r="E16" s="1" t="s">
        <v>512</v>
      </c>
      <c r="F16" t="str">
        <f t="shared" si="0"/>
        <v>Image_020.png</v>
      </c>
    </row>
    <row r="17" spans="2:6" ht="74.45" customHeight="1" x14ac:dyDescent="0.25">
      <c r="C17" s="1" t="s">
        <v>10</v>
      </c>
      <c r="D17" s="1" t="str">
        <f>TRIM(_xlfn.XLOOKUP(Результат!C17,Таблица!A:A,Таблица!B:B,"Ошибка",0))</f>
        <v>6 7/8, 7, 7 1/8, 7 1/4, 7 3/8, 7 1/2, 7 5/8</v>
      </c>
      <c r="E17" s="1" t="s">
        <v>539</v>
      </c>
      <c r="F17">
        <f t="shared" si="0"/>
        <v>0</v>
      </c>
    </row>
    <row r="18" spans="2:6" ht="74.45" customHeight="1" x14ac:dyDescent="0.25">
      <c r="C18" s="1" t="s">
        <v>10</v>
      </c>
      <c r="D18" s="1" t="str">
        <f>TRIM(_xlfn.XLOOKUP(Результат!C18,Таблица!A:A,Таблица!B:B,"Ошибка",0))</f>
        <v>6 7/8, 7, 7 1/8, 7 1/4, 7 3/8, 7 1/2, 7 5/8</v>
      </c>
      <c r="E18" s="1" t="s">
        <v>533</v>
      </c>
      <c r="F18">
        <f t="shared" si="0"/>
        <v>0</v>
      </c>
    </row>
    <row r="19" spans="2:6" ht="74.45" customHeight="1" x14ac:dyDescent="0.25">
      <c r="B19" t="s">
        <v>354</v>
      </c>
      <c r="C19" s="1" t="s">
        <v>41</v>
      </c>
      <c r="D19" s="1" t="str">
        <f>TRIM(_xlfn.XLOOKUP(Результат!C19,Таблица!A:A,Таблица!B:B,"Ошибка",0))</f>
        <v>S, M, L, XL</v>
      </c>
      <c r="E19" s="1" t="s">
        <v>568</v>
      </c>
      <c r="F19" t="str">
        <f t="shared" si="0"/>
        <v>Image_022.png</v>
      </c>
    </row>
    <row r="20" spans="2:6" ht="74.45" customHeight="1" x14ac:dyDescent="0.25">
      <c r="C20" s="1" t="s">
        <v>41</v>
      </c>
      <c r="D20" s="1" t="str">
        <f>TRIM(_xlfn.XLOOKUP(Результат!C20,Таблица!A:A,Таблица!B:B,"Ошибка",0))</f>
        <v>S, M, L, XL</v>
      </c>
      <c r="E20" s="1" t="s">
        <v>9</v>
      </c>
      <c r="F20" t="str">
        <f t="shared" si="0"/>
        <v>Image_023.png</v>
      </c>
    </row>
    <row r="21" spans="2:6" ht="74.45" customHeight="1" x14ac:dyDescent="0.25">
      <c r="C21" s="1" t="s">
        <v>41</v>
      </c>
      <c r="D21" s="1" t="str">
        <f>TRIM(_xlfn.XLOOKUP(Результат!C21,Таблица!A:A,Таблица!B:B,"Ошибка",0))</f>
        <v>S, M, L, XL</v>
      </c>
      <c r="E21" s="1" t="s">
        <v>534</v>
      </c>
      <c r="F21">
        <f t="shared" si="0"/>
        <v>0</v>
      </c>
    </row>
    <row r="22" spans="2:6" ht="74.45" customHeight="1" x14ac:dyDescent="0.25">
      <c r="B22" t="s">
        <v>355</v>
      </c>
      <c r="C22" s="1" t="s">
        <v>45</v>
      </c>
      <c r="D22" s="1" t="str">
        <f>TRIM(_xlfn.XLOOKUP(Результат!C22,Таблица!A:A,Таблица!B:B,"Ошибка",0))</f>
        <v>S, M, L, XL</v>
      </c>
      <c r="E22" s="1" t="str">
        <f>TRIM(_xlfn.XLOOKUP(Результат!C22,Таблица!A:A,Таблица!E:E,"Ошибка",0))</f>
        <v>Black</v>
      </c>
      <c r="F22" t="str">
        <f t="shared" si="0"/>
        <v>Image_025.png</v>
      </c>
    </row>
    <row r="23" spans="2:6" ht="74.45" customHeight="1" x14ac:dyDescent="0.25">
      <c r="B23" t="s">
        <v>356</v>
      </c>
      <c r="C23" s="1" t="s">
        <v>47</v>
      </c>
      <c r="D23" s="1" t="str">
        <f>TRIM(_xlfn.XLOOKUP(Результат!C23,Таблица!A:A,Таблица!B:B,"Ошибка",0))</f>
        <v>S, M, L, XL</v>
      </c>
      <c r="E23" s="1" t="s">
        <v>9</v>
      </c>
      <c r="F23" t="str">
        <f t="shared" si="0"/>
        <v>Image_028.jpg</v>
      </c>
    </row>
    <row r="24" spans="2:6" ht="74.45" customHeight="1" x14ac:dyDescent="0.25">
      <c r="C24" s="1" t="s">
        <v>47</v>
      </c>
      <c r="D24" s="1" t="str">
        <f>TRIM(_xlfn.XLOOKUP(Результат!C24,Таблица!A:A,Таблица!B:B,"Ошибка",0))</f>
        <v>S, M, L, XL</v>
      </c>
      <c r="E24" s="1" t="s">
        <v>537</v>
      </c>
      <c r="F24" t="str">
        <f t="shared" si="0"/>
        <v>Image_029.jpg</v>
      </c>
    </row>
    <row r="25" spans="2:6" ht="74.45" customHeight="1" x14ac:dyDescent="0.25">
      <c r="C25" s="1" t="s">
        <v>47</v>
      </c>
      <c r="D25" s="1" t="str">
        <f>TRIM(_xlfn.XLOOKUP(Результат!C25,Таблица!A:A,Таблица!B:B,"Ошибка",0))</f>
        <v>S, M, L, XL</v>
      </c>
      <c r="E25" s="1" t="s">
        <v>458</v>
      </c>
      <c r="F25">
        <f t="shared" si="0"/>
        <v>0</v>
      </c>
    </row>
    <row r="26" spans="2:6" ht="74.45" customHeight="1" x14ac:dyDescent="0.25">
      <c r="C26" s="1" t="s">
        <v>47</v>
      </c>
      <c r="D26" s="1" t="str">
        <f>TRIM(_xlfn.XLOOKUP(Результат!C26,Таблица!A:A,Таблица!B:B,"Ошибка",0))</f>
        <v>S, M, L, XL</v>
      </c>
      <c r="E26" s="1" t="s">
        <v>563</v>
      </c>
      <c r="F26">
        <f t="shared" si="0"/>
        <v>0</v>
      </c>
    </row>
    <row r="27" spans="2:6" ht="74.45" customHeight="1" x14ac:dyDescent="0.25">
      <c r="B27" t="s">
        <v>357</v>
      </c>
      <c r="C27" s="1" t="s">
        <v>54</v>
      </c>
      <c r="D27" s="1" t="str">
        <f>TRIM(_xlfn.XLOOKUP(Результат!C27,Таблица!A:A,Таблица!B:B,"Ошибка",0))</f>
        <v>S, M, L, XL</v>
      </c>
      <c r="E27" s="1" t="s">
        <v>9</v>
      </c>
      <c r="F27" t="str">
        <f t="shared" si="0"/>
        <v>Image_031.jpg</v>
      </c>
    </row>
    <row r="28" spans="2:6" ht="74.45" customHeight="1" x14ac:dyDescent="0.25">
      <c r="C28" s="1" t="s">
        <v>54</v>
      </c>
      <c r="D28" s="1" t="str">
        <f>TRIM(_xlfn.XLOOKUP(Результат!C28,Таблица!A:A,Таблица!B:B,"Ошибка",0))</f>
        <v>S, M, L, XL</v>
      </c>
      <c r="E28" s="1" t="s">
        <v>567</v>
      </c>
      <c r="F28" t="str">
        <f t="shared" si="0"/>
        <v>Image_032.jpg</v>
      </c>
    </row>
    <row r="29" spans="2:6" ht="74.45" customHeight="1" x14ac:dyDescent="0.25">
      <c r="C29" s="1" t="s">
        <v>54</v>
      </c>
      <c r="D29" s="1" t="str">
        <f>TRIM(_xlfn.XLOOKUP(Результат!C29,Таблица!A:A,Таблица!B:B,"Ошибка",0))</f>
        <v>S, M, L, XL</v>
      </c>
      <c r="E29" s="1" t="s">
        <v>459</v>
      </c>
      <c r="F29">
        <f t="shared" si="0"/>
        <v>0</v>
      </c>
    </row>
    <row r="30" spans="2:6" ht="74.45" customHeight="1" x14ac:dyDescent="0.25">
      <c r="C30" s="1" t="s">
        <v>54</v>
      </c>
      <c r="D30" s="1" t="str">
        <f>TRIM(_xlfn.XLOOKUP(Результат!C30,Таблица!A:A,Таблица!B:B,"Ошибка",0))</f>
        <v>S, M, L, XL</v>
      </c>
      <c r="E30" s="1" t="s">
        <v>518</v>
      </c>
      <c r="F30">
        <f t="shared" si="0"/>
        <v>0</v>
      </c>
    </row>
    <row r="31" spans="2:6" ht="74.45" customHeight="1" x14ac:dyDescent="0.25">
      <c r="C31" s="1" t="s">
        <v>54</v>
      </c>
      <c r="D31" s="1" t="str">
        <f>TRIM(_xlfn.XLOOKUP(Результат!C31,Таблица!A:A,Таблица!B:B,"Ошибка",0))</f>
        <v>S, M, L, XL</v>
      </c>
      <c r="E31" s="1" t="s">
        <v>566</v>
      </c>
      <c r="F31">
        <f t="shared" si="0"/>
        <v>0</v>
      </c>
    </row>
    <row r="32" spans="2:6" ht="74.45" customHeight="1" x14ac:dyDescent="0.25">
      <c r="B32" t="s">
        <v>358</v>
      </c>
      <c r="C32" s="1" t="s">
        <v>58</v>
      </c>
      <c r="D32" s="1" t="str">
        <f>TRIM(_xlfn.XLOOKUP(Результат!C32,Таблица!A:A,Таблица!B:B,"Ошибка",0))</f>
        <v>S, M, L, XL</v>
      </c>
      <c r="E32" s="1" t="s">
        <v>9</v>
      </c>
      <c r="F32" t="str">
        <f t="shared" si="0"/>
        <v>Image_034.png</v>
      </c>
    </row>
    <row r="33" spans="2:6" ht="74.45" customHeight="1" x14ac:dyDescent="0.25">
      <c r="C33" s="1" t="s">
        <v>58</v>
      </c>
      <c r="D33" s="1" t="str">
        <f>TRIM(_xlfn.XLOOKUP(Результат!C33,Таблица!A:A,Таблица!B:B,"Ошибка",0))</f>
        <v>S, M, L, XL</v>
      </c>
      <c r="E33" s="1" t="s">
        <v>514</v>
      </c>
      <c r="F33" t="str">
        <f t="shared" si="0"/>
        <v>Image_035.png</v>
      </c>
    </row>
    <row r="34" spans="2:6" ht="74.45" customHeight="1" x14ac:dyDescent="0.25">
      <c r="C34" s="1" t="s">
        <v>58</v>
      </c>
      <c r="D34" s="1" t="str">
        <f>TRIM(_xlfn.XLOOKUP(Результат!C34,Таблица!A:A,Таблица!B:B,"Ошибка",0))</f>
        <v>S, M, L, XL</v>
      </c>
      <c r="E34" s="1" t="s">
        <v>537</v>
      </c>
      <c r="F34">
        <f t="shared" si="0"/>
        <v>0</v>
      </c>
    </row>
    <row r="35" spans="2:6" ht="74.45" customHeight="1" x14ac:dyDescent="0.25">
      <c r="B35" t="s">
        <v>359</v>
      </c>
      <c r="C35" s="1" t="s">
        <v>88</v>
      </c>
      <c r="D35" s="1" t="str">
        <f>TRIM(_xlfn.XLOOKUP(Результат!C35,Таблица!A:A,Таблица!B:B,"Ошибка",0))</f>
        <v>S, M, L, XL</v>
      </c>
      <c r="E35" s="1" t="s">
        <v>9</v>
      </c>
      <c r="F35" t="str">
        <f t="shared" si="0"/>
        <v>Image_037.png</v>
      </c>
    </row>
    <row r="36" spans="2:6" ht="74.45" customHeight="1" x14ac:dyDescent="0.25">
      <c r="C36" s="1" t="s">
        <v>88</v>
      </c>
      <c r="D36" s="1" t="str">
        <f>TRIM(_xlfn.XLOOKUP(Результат!C36,Таблица!A:A,Таблица!B:B,"Ошибка",0))</f>
        <v>S, M, L, XL</v>
      </c>
      <c r="E36" s="1" t="s">
        <v>537</v>
      </c>
      <c r="F36" t="str">
        <f t="shared" si="0"/>
        <v>Image_038.png</v>
      </c>
    </row>
    <row r="37" spans="2:6" ht="74.45" customHeight="1" x14ac:dyDescent="0.25">
      <c r="C37" s="1" t="s">
        <v>88</v>
      </c>
      <c r="D37" s="1" t="str">
        <f>TRIM(_xlfn.XLOOKUP(Результат!C37,Таблица!A:A,Таблица!B:B,"Ошибка",0))</f>
        <v>S, M, L, XL</v>
      </c>
      <c r="E37" s="1" t="s">
        <v>518</v>
      </c>
      <c r="F37">
        <f t="shared" si="0"/>
        <v>0</v>
      </c>
    </row>
    <row r="38" spans="2:6" ht="74.45" customHeight="1" x14ac:dyDescent="0.25">
      <c r="B38" t="s">
        <v>360</v>
      </c>
      <c r="C38" s="1" t="s">
        <v>93</v>
      </c>
      <c r="D38" s="1" t="str">
        <f>TRIM(_xlfn.XLOOKUP(Результат!C38,Таблица!A:A,Таблица!B:B,"Ошибка",0))</f>
        <v>S, M, L, XL</v>
      </c>
      <c r="E38" s="1" t="s">
        <v>517</v>
      </c>
      <c r="F38" t="str">
        <f t="shared" si="0"/>
        <v>Image_040.png</v>
      </c>
    </row>
    <row r="39" spans="2:6" ht="74.45" customHeight="1" x14ac:dyDescent="0.25">
      <c r="C39" s="1" t="s">
        <v>93</v>
      </c>
      <c r="D39" s="1" t="str">
        <f>TRIM(_xlfn.XLOOKUP(Результат!C39,Таблица!A:A,Таблица!B:B,"Ошибка",0))</f>
        <v>S, M, L, XL</v>
      </c>
      <c r="E39" s="1" t="s">
        <v>9</v>
      </c>
      <c r="F39" t="str">
        <f t="shared" si="0"/>
        <v>Image_041.png</v>
      </c>
    </row>
    <row r="40" spans="2:6" ht="74.45" customHeight="1" x14ac:dyDescent="0.25">
      <c r="C40" s="1" t="s">
        <v>93</v>
      </c>
      <c r="D40" s="1" t="str">
        <f>TRIM(_xlfn.XLOOKUP(Результат!C40,Таблица!A:A,Таблица!B:B,"Ошибка",0))</f>
        <v>S, M, L, XL</v>
      </c>
      <c r="E40" s="1" t="s">
        <v>456</v>
      </c>
      <c r="F40">
        <f t="shared" si="0"/>
        <v>0</v>
      </c>
    </row>
    <row r="41" spans="2:6" ht="74.45" customHeight="1" x14ac:dyDescent="0.25">
      <c r="B41" t="s">
        <v>361</v>
      </c>
      <c r="C41" s="1" t="s">
        <v>79</v>
      </c>
      <c r="D41" s="1" t="str">
        <f>TRIM(_xlfn.XLOOKUP(Результат!C41,Таблица!A:A,Таблица!B:B,"Ошибка",0))</f>
        <v>S, M, L, XL</v>
      </c>
      <c r="E41" s="1" t="s">
        <v>9</v>
      </c>
      <c r="F41" t="str">
        <f t="shared" si="0"/>
        <v>Image_043.jpg</v>
      </c>
    </row>
    <row r="42" spans="2:6" ht="74.45" customHeight="1" x14ac:dyDescent="0.25">
      <c r="C42" s="1" t="s">
        <v>79</v>
      </c>
      <c r="D42" s="1" t="str">
        <f>TRIM(_xlfn.XLOOKUP(Результат!C42,Таблица!A:A,Таблица!B:B,"Ошибка",0))</f>
        <v>S, M, L, XL</v>
      </c>
      <c r="E42" s="1" t="s">
        <v>514</v>
      </c>
      <c r="F42" t="str">
        <f t="shared" si="0"/>
        <v>Image_044.jpg</v>
      </c>
    </row>
    <row r="43" spans="2:6" ht="74.45" customHeight="1" x14ac:dyDescent="0.25">
      <c r="C43" s="1" t="s">
        <v>79</v>
      </c>
      <c r="D43" s="1" t="str">
        <f>TRIM(_xlfn.XLOOKUP(Результат!C43,Таблица!A:A,Таблица!B:B,"Ошибка",0))</f>
        <v>S, M, L, XL</v>
      </c>
      <c r="E43" s="1" t="s">
        <v>566</v>
      </c>
      <c r="F43">
        <f t="shared" si="0"/>
        <v>0</v>
      </c>
    </row>
    <row r="44" spans="2:6" ht="74.45" customHeight="1" x14ac:dyDescent="0.25">
      <c r="B44" t="s">
        <v>362</v>
      </c>
      <c r="C44" s="1" t="s">
        <v>98</v>
      </c>
      <c r="D44" s="1" t="str">
        <f>TRIM(_xlfn.XLOOKUP(Результат!C44,Таблица!A:A,Таблица!B:B,"Ошибка",0))</f>
        <v>S, M, L, XL</v>
      </c>
      <c r="E44" s="1" t="s">
        <v>9</v>
      </c>
      <c r="F44" t="str">
        <f t="shared" si="0"/>
        <v>Image_046.png</v>
      </c>
    </row>
    <row r="45" spans="2:6" ht="74.45" customHeight="1" x14ac:dyDescent="0.25">
      <c r="C45" s="1" t="s">
        <v>98</v>
      </c>
      <c r="D45" s="1" t="str">
        <f>TRIM(_xlfn.XLOOKUP(Результат!C45,Таблица!A:A,Таблица!B:B,"Ошибка",0))</f>
        <v>S, M, L, XL</v>
      </c>
      <c r="E45" s="1" t="s">
        <v>459</v>
      </c>
      <c r="F45" t="str">
        <f t="shared" si="0"/>
        <v>Image_047.png</v>
      </c>
    </row>
    <row r="46" spans="2:6" ht="74.45" customHeight="1" x14ac:dyDescent="0.25">
      <c r="C46" s="1" t="s">
        <v>98</v>
      </c>
      <c r="D46" s="1" t="str">
        <f>TRIM(_xlfn.XLOOKUP(Результат!C46,Таблица!A:A,Таблица!B:B,"Ошибка",0))</f>
        <v>S, M, L, XL</v>
      </c>
      <c r="E46" s="1" t="s">
        <v>518</v>
      </c>
      <c r="F46">
        <f t="shared" si="0"/>
        <v>0</v>
      </c>
    </row>
    <row r="47" spans="2:6" ht="74.45" customHeight="1" x14ac:dyDescent="0.25">
      <c r="B47" t="s">
        <v>363</v>
      </c>
      <c r="C47" s="1" t="s">
        <v>74</v>
      </c>
      <c r="D47" s="1" t="str">
        <f>TRIM(_xlfn.XLOOKUP(Результат!C47,Таблица!A:A,Таблица!B:B,"Ошибка",0))</f>
        <v>S, M, L, XL</v>
      </c>
      <c r="E47" s="1" t="s">
        <v>9</v>
      </c>
      <c r="F47" t="str">
        <f t="shared" si="0"/>
        <v>Image_049.png</v>
      </c>
    </row>
    <row r="48" spans="2:6" ht="74.45" customHeight="1" x14ac:dyDescent="0.25">
      <c r="C48" s="1" t="s">
        <v>74</v>
      </c>
      <c r="D48" s="1" t="str">
        <f>TRIM(_xlfn.XLOOKUP(Результат!C48,Таблица!A:A,Таблица!B:B,"Ошибка",0))</f>
        <v>S, M, L, XL</v>
      </c>
      <c r="E48" s="1" t="s">
        <v>459</v>
      </c>
      <c r="F48" t="str">
        <f t="shared" si="0"/>
        <v>Image_050.png</v>
      </c>
    </row>
    <row r="49" spans="2:6" ht="74.45" customHeight="1" x14ac:dyDescent="0.25">
      <c r="C49" s="1" t="s">
        <v>74</v>
      </c>
      <c r="D49" s="1" t="str">
        <f>TRIM(_xlfn.XLOOKUP(Результат!C49,Таблица!A:A,Таблица!B:B,"Ошибка",0))</f>
        <v>S, M, L, XL</v>
      </c>
      <c r="E49" s="1" t="s">
        <v>456</v>
      </c>
      <c r="F49">
        <f t="shared" si="0"/>
        <v>0</v>
      </c>
    </row>
    <row r="50" spans="2:6" ht="74.45" customHeight="1" x14ac:dyDescent="0.25">
      <c r="B50" t="s">
        <v>364</v>
      </c>
      <c r="C50" s="1" t="s">
        <v>83</v>
      </c>
      <c r="D50" s="1" t="str">
        <f>TRIM(_xlfn.XLOOKUP(Результат!C50,Таблица!A:A,Таблица!B:B,"Ошибка",0))</f>
        <v>S, M, L, XL</v>
      </c>
      <c r="E50" s="1" t="s">
        <v>565</v>
      </c>
      <c r="F50" t="str">
        <f t="shared" si="0"/>
        <v>Image_052.jpg</v>
      </c>
    </row>
    <row r="51" spans="2:6" ht="74.45" customHeight="1" x14ac:dyDescent="0.25">
      <c r="C51" s="1" t="s">
        <v>83</v>
      </c>
      <c r="D51" s="1" t="str">
        <f>TRIM(_xlfn.XLOOKUP(Результат!C51,Таблица!A:A,Таблица!B:B,"Ошибка",0))</f>
        <v>S, M, L, XL</v>
      </c>
      <c r="E51" s="1" t="s">
        <v>555</v>
      </c>
      <c r="F51" t="str">
        <f t="shared" si="0"/>
        <v>Image_053.jpg</v>
      </c>
    </row>
    <row r="52" spans="2:6" ht="74.45" customHeight="1" x14ac:dyDescent="0.25">
      <c r="C52" s="1" t="s">
        <v>83</v>
      </c>
      <c r="D52" s="1" t="str">
        <f>TRIM(_xlfn.XLOOKUP(Результат!C52,Таблица!A:A,Таблица!B:B,"Ошибка",0))</f>
        <v>S, M, L, XL</v>
      </c>
      <c r="E52" s="1" t="s">
        <v>513</v>
      </c>
      <c r="F52">
        <f t="shared" si="0"/>
        <v>0</v>
      </c>
    </row>
    <row r="53" spans="2:6" ht="74.45" customHeight="1" x14ac:dyDescent="0.25">
      <c r="C53" s="1" t="s">
        <v>83</v>
      </c>
      <c r="D53" s="1" t="str">
        <f>TRIM(_xlfn.XLOOKUP(Результат!C53,Таблица!A:A,Таблица!B:B,"Ошибка",0))</f>
        <v>S, M, L, XL</v>
      </c>
      <c r="E53" s="1" t="s">
        <v>460</v>
      </c>
      <c r="F53">
        <f t="shared" si="0"/>
        <v>0</v>
      </c>
    </row>
    <row r="54" spans="2:6" ht="74.45" customHeight="1" x14ac:dyDescent="0.25">
      <c r="C54" s="1" t="s">
        <v>83</v>
      </c>
      <c r="D54" s="1" t="str">
        <f>TRIM(_xlfn.XLOOKUP(Результат!C54,Таблица!A:A,Таблица!B:B,"Ошибка",0))</f>
        <v>S, M, L, XL</v>
      </c>
      <c r="E54" s="1" t="s">
        <v>517</v>
      </c>
      <c r="F54">
        <f t="shared" si="0"/>
        <v>0</v>
      </c>
    </row>
    <row r="55" spans="2:6" ht="74.45" customHeight="1" x14ac:dyDescent="0.25">
      <c r="C55" s="1" t="s">
        <v>83</v>
      </c>
      <c r="D55" s="1" t="str">
        <f>TRIM(_xlfn.XLOOKUP(Результат!C55,Таблица!A:A,Таблица!B:B,"Ошибка",0))</f>
        <v>S, M, L, XL</v>
      </c>
      <c r="E55" s="1" t="s">
        <v>9</v>
      </c>
      <c r="F55">
        <f t="shared" si="0"/>
        <v>0</v>
      </c>
    </row>
    <row r="56" spans="2:6" ht="74.45" customHeight="1" x14ac:dyDescent="0.25">
      <c r="C56" s="1" t="s">
        <v>83</v>
      </c>
      <c r="D56" s="1" t="str">
        <f>TRIM(_xlfn.XLOOKUP(Результат!C56,Таблица!A:A,Таблица!B:B,"Ошибка",0))</f>
        <v>S, M, L, XL</v>
      </c>
      <c r="E56" s="1" t="s">
        <v>564</v>
      </c>
      <c r="F56">
        <f t="shared" si="0"/>
        <v>0</v>
      </c>
    </row>
    <row r="57" spans="2:6" ht="74.45" customHeight="1" x14ac:dyDescent="0.25">
      <c r="B57" t="s">
        <v>365</v>
      </c>
      <c r="C57" s="1" t="s">
        <v>61</v>
      </c>
      <c r="D57" s="1" t="str">
        <f>TRIM(_xlfn.XLOOKUP(Результат!C57,Таблица!A:A,Таблица!B:B,"Ошибка",0))</f>
        <v>S, M, L, XL</v>
      </c>
      <c r="E57" s="1" t="s">
        <v>560</v>
      </c>
      <c r="F57" t="str">
        <f t="shared" si="0"/>
        <v>Image_056.png</v>
      </c>
    </row>
    <row r="58" spans="2:6" ht="74.45" customHeight="1" x14ac:dyDescent="0.25">
      <c r="C58" s="1" t="s">
        <v>61</v>
      </c>
      <c r="D58" s="1" t="str">
        <f>TRIM(_xlfn.XLOOKUP(Результат!C58,Таблица!A:A,Таблица!B:B,"Ошибка",0))</f>
        <v>S, M, L, XL</v>
      </c>
      <c r="E58" s="1" t="s">
        <v>461</v>
      </c>
      <c r="F58" t="str">
        <f t="shared" si="0"/>
        <v>Image_057.png</v>
      </c>
    </row>
    <row r="59" spans="2:6" ht="74.45" customHeight="1" x14ac:dyDescent="0.25">
      <c r="C59" s="1" t="s">
        <v>61</v>
      </c>
      <c r="D59" s="1" t="str">
        <f>TRIM(_xlfn.XLOOKUP(Результат!C59,Таблица!A:A,Таблица!B:B,"Ошибка",0))</f>
        <v>S, M, L, XL</v>
      </c>
      <c r="E59" s="1" t="s">
        <v>557</v>
      </c>
      <c r="F59">
        <f t="shared" si="0"/>
        <v>0</v>
      </c>
    </row>
    <row r="60" spans="2:6" ht="74.45" customHeight="1" x14ac:dyDescent="0.25">
      <c r="C60" s="1" t="s">
        <v>61</v>
      </c>
      <c r="D60" s="1" t="str">
        <f>TRIM(_xlfn.XLOOKUP(Результат!C60,Таблица!A:A,Таблица!B:B,"Ошибка",0))</f>
        <v>S, M, L, XL</v>
      </c>
      <c r="E60" s="1" t="s">
        <v>558</v>
      </c>
      <c r="F60">
        <f t="shared" si="0"/>
        <v>0</v>
      </c>
    </row>
    <row r="61" spans="2:6" ht="74.45" customHeight="1" x14ac:dyDescent="0.25">
      <c r="C61" s="1" t="s">
        <v>61</v>
      </c>
      <c r="D61" s="1" t="str">
        <f>TRIM(_xlfn.XLOOKUP(Результат!C61,Таблица!A:A,Таблица!B:B,"Ошибка",0))</f>
        <v>S, M, L, XL</v>
      </c>
      <c r="E61" s="1" t="s">
        <v>559</v>
      </c>
      <c r="F61">
        <f t="shared" si="0"/>
        <v>0</v>
      </c>
    </row>
    <row r="62" spans="2:6" ht="74.45" customHeight="1" x14ac:dyDescent="0.25">
      <c r="C62" s="1" t="s">
        <v>61</v>
      </c>
      <c r="D62" s="1" t="str">
        <f>TRIM(_xlfn.XLOOKUP(Результат!C62,Таблица!A:A,Таблица!B:B,"Ошибка",0))</f>
        <v>S, M, L, XL</v>
      </c>
      <c r="E62" s="1" t="s">
        <v>9</v>
      </c>
      <c r="F62">
        <f t="shared" si="0"/>
        <v>0</v>
      </c>
    </row>
    <row r="63" spans="2:6" ht="74.45" customHeight="1" x14ac:dyDescent="0.25">
      <c r="C63" s="1" t="s">
        <v>61</v>
      </c>
      <c r="D63" s="1" t="str">
        <f>TRIM(_xlfn.XLOOKUP(Результат!C63,Таблица!A:A,Таблица!B:B,"Ошибка",0))</f>
        <v>S, M, L, XL</v>
      </c>
      <c r="E63" s="1" t="s">
        <v>550</v>
      </c>
      <c r="F63">
        <f t="shared" si="0"/>
        <v>0</v>
      </c>
    </row>
    <row r="64" spans="2:6" ht="74.45" customHeight="1" x14ac:dyDescent="0.25">
      <c r="B64" t="s">
        <v>366</v>
      </c>
      <c r="C64" s="1" t="s">
        <v>67</v>
      </c>
      <c r="D64" s="1" t="str">
        <f>TRIM(_xlfn.XLOOKUP(Результат!C64,Таблица!A:A,Таблица!B:B,"Ошибка",0))</f>
        <v>S, M, L, XL</v>
      </c>
      <c r="E64" s="1" t="s">
        <v>9</v>
      </c>
      <c r="F64" t="str">
        <f t="shared" si="0"/>
        <v>Image_060.png</v>
      </c>
    </row>
    <row r="65" spans="2:6" ht="74.45" customHeight="1" x14ac:dyDescent="0.25">
      <c r="C65" s="1" t="s">
        <v>67</v>
      </c>
      <c r="D65" s="1" t="str">
        <f>TRIM(_xlfn.XLOOKUP(Результат!C65,Таблица!A:A,Таблица!B:B,"Ошибка",0))</f>
        <v>S, M, L, XL</v>
      </c>
      <c r="E65" s="1" t="s">
        <v>543</v>
      </c>
      <c r="F65" t="str">
        <f t="shared" si="0"/>
        <v>Image_061.png</v>
      </c>
    </row>
    <row r="66" spans="2:6" ht="74.45" customHeight="1" x14ac:dyDescent="0.25">
      <c r="B66" t="s">
        <v>367</v>
      </c>
      <c r="C66" s="1" t="s">
        <v>103</v>
      </c>
      <c r="D66" s="1" t="str">
        <f>TRIM(_xlfn.XLOOKUP(Результат!C66,Таблица!A:A,Таблица!B:B,"Ошибка",0))</f>
        <v>S, M, L, XL, XXL</v>
      </c>
      <c r="E66" s="1" t="s">
        <v>9</v>
      </c>
      <c r="F66" t="str">
        <f t="shared" si="0"/>
        <v>Image_063.png</v>
      </c>
    </row>
    <row r="67" spans="2:6" ht="74.45" customHeight="1" x14ac:dyDescent="0.25">
      <c r="C67" s="1" t="s">
        <v>103</v>
      </c>
      <c r="D67" s="1" t="str">
        <f>TRIM(_xlfn.XLOOKUP(Результат!C67,Таблица!A:A,Таблица!B:B,"Ошибка",0))</f>
        <v>S, M, L, XL, XXL</v>
      </c>
      <c r="E67" s="1" t="s">
        <v>550</v>
      </c>
      <c r="F67" t="str">
        <f t="shared" ref="F67:F130" si="1">IF(AND(B66&lt;&gt;"",B67=""),LEFT(B66,6)&amp;RIGHT("000"&amp;VALUE(MID(B66,FIND("_",B66)+1,3))+1,3)&amp;RIGHT(B66,4),B67)</f>
        <v>Image_064.png</v>
      </c>
    </row>
    <row r="68" spans="2:6" ht="74.45" customHeight="1" x14ac:dyDescent="0.25">
      <c r="C68" s="1" t="s">
        <v>103</v>
      </c>
      <c r="D68" s="1" t="str">
        <f>TRIM(_xlfn.XLOOKUP(Результат!C68,Таблица!A:A,Таблица!B:B,"Ошибка",0))</f>
        <v>S, M, L, XL, XXL</v>
      </c>
      <c r="E68" s="1" t="s">
        <v>518</v>
      </c>
      <c r="F68">
        <f t="shared" si="1"/>
        <v>0</v>
      </c>
    </row>
    <row r="69" spans="2:6" ht="74.45" customHeight="1" x14ac:dyDescent="0.25">
      <c r="C69" s="1" t="s">
        <v>103</v>
      </c>
      <c r="D69" s="1" t="str">
        <f>TRIM(_xlfn.XLOOKUP(Результат!C69,Таблица!A:A,Таблица!B:B,"Ошибка",0))</f>
        <v>S, M, L, XL, XXL</v>
      </c>
      <c r="E69" s="1" t="s">
        <v>563</v>
      </c>
      <c r="F69">
        <f t="shared" si="1"/>
        <v>0</v>
      </c>
    </row>
    <row r="70" spans="2:6" ht="74.45" customHeight="1" x14ac:dyDescent="0.25">
      <c r="B70" t="s">
        <v>368</v>
      </c>
      <c r="C70" s="1" t="s">
        <v>123</v>
      </c>
      <c r="D70" s="1" t="str">
        <f>TRIM(_xlfn.XLOOKUP(Результат!C70,Таблица!A:A,Таблица!B:B,"Ошибка",0))</f>
        <v>S, M, L, XL</v>
      </c>
      <c r="E70" s="1" t="s">
        <v>562</v>
      </c>
      <c r="F70" t="str">
        <f t="shared" si="1"/>
        <v>Image_066.jpg</v>
      </c>
    </row>
    <row r="71" spans="2:6" ht="74.45" customHeight="1" x14ac:dyDescent="0.25">
      <c r="C71" s="1" t="s">
        <v>123</v>
      </c>
      <c r="D71" s="1" t="str">
        <f>TRIM(_xlfn.XLOOKUP(Результат!C71,Таблица!A:A,Таблица!B:B,"Ошибка",0))</f>
        <v>S, M, L, XL</v>
      </c>
      <c r="E71" s="1" t="s">
        <v>9</v>
      </c>
      <c r="F71" t="str">
        <f t="shared" si="1"/>
        <v>Image_067.jpg</v>
      </c>
    </row>
    <row r="72" spans="2:6" ht="74.45" customHeight="1" x14ac:dyDescent="0.25">
      <c r="C72" s="1" t="s">
        <v>123</v>
      </c>
      <c r="D72" s="1" t="str">
        <f>TRIM(_xlfn.XLOOKUP(Результат!C72,Таблица!A:A,Таблица!B:B,"Ошибка",0))</f>
        <v>S, M, L, XL</v>
      </c>
      <c r="E72" s="1" t="s">
        <v>538</v>
      </c>
      <c r="F72">
        <f t="shared" si="1"/>
        <v>0</v>
      </c>
    </row>
    <row r="73" spans="2:6" ht="74.45" customHeight="1" x14ac:dyDescent="0.25">
      <c r="B73" t="s">
        <v>369</v>
      </c>
      <c r="C73" s="1" t="s">
        <v>7</v>
      </c>
      <c r="D73" s="1" t="str">
        <f>TRIM(_xlfn.XLOOKUP(Результат!C73,Таблица!A:A,Таблица!B:B,"Ошибка",0))</f>
        <v>S, M, L, XL</v>
      </c>
      <c r="E73" s="1" t="s">
        <v>9</v>
      </c>
      <c r="F73" t="str">
        <f t="shared" si="1"/>
        <v>Image_069.png</v>
      </c>
    </row>
    <row r="74" spans="2:6" ht="74.45" customHeight="1" x14ac:dyDescent="0.25">
      <c r="C74" s="1" t="s">
        <v>7</v>
      </c>
      <c r="D74" s="1" t="str">
        <f>TRIM(_xlfn.XLOOKUP(Результат!C74,Таблица!A:A,Таблица!B:B,"Ошибка",0))</f>
        <v>S, M, L, XL</v>
      </c>
      <c r="E74" s="1" t="s">
        <v>461</v>
      </c>
      <c r="F74" t="str">
        <f t="shared" si="1"/>
        <v>Image_070.png</v>
      </c>
    </row>
    <row r="75" spans="2:6" ht="74.45" customHeight="1" x14ac:dyDescent="0.25">
      <c r="B75" t="s">
        <v>370</v>
      </c>
      <c r="C75" s="1" t="s">
        <v>115</v>
      </c>
      <c r="D75" s="1" t="str">
        <f>TRIM(_xlfn.XLOOKUP(Результат!C75,Таблица!A:A,Таблица!B:B,"Ошибка",0))</f>
        <v>S, M, L, XL</v>
      </c>
      <c r="E75" s="1" t="s">
        <v>9</v>
      </c>
      <c r="F75" t="str">
        <f t="shared" si="1"/>
        <v>Image_072.jpg</v>
      </c>
    </row>
    <row r="76" spans="2:6" ht="74.45" customHeight="1" x14ac:dyDescent="0.25">
      <c r="C76" s="1" t="s">
        <v>115</v>
      </c>
      <c r="D76" s="1" t="str">
        <f>TRIM(_xlfn.XLOOKUP(Результат!C76,Таблица!A:A,Таблица!B:B,"Ошибка",0))</f>
        <v>S, M, L, XL</v>
      </c>
      <c r="E76" s="1" t="s">
        <v>462</v>
      </c>
      <c r="F76" t="str">
        <f t="shared" si="1"/>
        <v>Image_073.jpg</v>
      </c>
    </row>
    <row r="77" spans="2:6" ht="74.45" customHeight="1" x14ac:dyDescent="0.25">
      <c r="C77" s="1" t="s">
        <v>115</v>
      </c>
      <c r="D77" s="1" t="str">
        <f>TRIM(_xlfn.XLOOKUP(Результат!C77,Таблица!A:A,Таблица!B:B,"Ошибка",0))</f>
        <v>S, M, L, XL</v>
      </c>
      <c r="E77" s="1" t="s">
        <v>543</v>
      </c>
      <c r="F77">
        <f t="shared" si="1"/>
        <v>0</v>
      </c>
    </row>
    <row r="78" spans="2:6" ht="74.45" customHeight="1" x14ac:dyDescent="0.25">
      <c r="B78" t="s">
        <v>371</v>
      </c>
      <c r="C78" s="1" t="s">
        <v>110</v>
      </c>
      <c r="D78" s="1" t="str">
        <f>TRIM(_xlfn.XLOOKUP(Результат!C78,Таблица!A:A,Таблица!B:B,"Ошибка",0))</f>
        <v>S, M, L, XL</v>
      </c>
      <c r="E78" s="1" t="s">
        <v>517</v>
      </c>
      <c r="F78" t="str">
        <f t="shared" si="1"/>
        <v>Image_075.jpg</v>
      </c>
    </row>
    <row r="79" spans="2:6" ht="74.45" customHeight="1" x14ac:dyDescent="0.25">
      <c r="C79" s="1" t="s">
        <v>110</v>
      </c>
      <c r="D79" s="1" t="str">
        <f>TRIM(_xlfn.XLOOKUP(Результат!C79,Таблица!A:A,Таблица!B:B,"Ошибка",0))</f>
        <v>S, M, L, XL</v>
      </c>
      <c r="E79" s="1" t="s">
        <v>9</v>
      </c>
      <c r="F79" t="str">
        <f t="shared" si="1"/>
        <v>Image_076.jpg</v>
      </c>
    </row>
    <row r="80" spans="2:6" ht="74.45" customHeight="1" x14ac:dyDescent="0.25">
      <c r="C80" s="1" t="s">
        <v>110</v>
      </c>
      <c r="D80" s="1" t="str">
        <f>TRIM(_xlfn.XLOOKUP(Результат!C80,Таблица!A:A,Таблица!B:B,"Ошибка",0))</f>
        <v>S, M, L, XL</v>
      </c>
      <c r="E80" s="1" t="s">
        <v>458</v>
      </c>
      <c r="F80">
        <f t="shared" si="1"/>
        <v>0</v>
      </c>
    </row>
    <row r="81" spans="2:6" ht="74.45" customHeight="1" x14ac:dyDescent="0.25">
      <c r="B81" t="s">
        <v>372</v>
      </c>
      <c r="C81" s="1" t="s">
        <v>127</v>
      </c>
      <c r="D81" s="1" t="str">
        <f>TRIM(_xlfn.XLOOKUP(Результат!C81,Таблица!A:A,Таблица!B:B,"Ошибка",0))</f>
        <v>S, M, L, XL</v>
      </c>
      <c r="E81" s="1" t="s">
        <v>468</v>
      </c>
      <c r="F81" t="str">
        <f t="shared" si="1"/>
        <v>Image_078.png</v>
      </c>
    </row>
    <row r="82" spans="2:6" ht="74.45" customHeight="1" x14ac:dyDescent="0.25">
      <c r="C82" s="1" t="s">
        <v>127</v>
      </c>
      <c r="D82" s="1" t="str">
        <f>TRIM(_xlfn.XLOOKUP(Результат!C82,Таблица!A:A,Таблица!B:B,"Ошибка",0))</f>
        <v>S, M, L, XL</v>
      </c>
      <c r="E82" s="1" t="s">
        <v>461</v>
      </c>
      <c r="F82" t="str">
        <f t="shared" si="1"/>
        <v>Image_079.png</v>
      </c>
    </row>
    <row r="83" spans="2:6" ht="74.45" customHeight="1" x14ac:dyDescent="0.25">
      <c r="B83" t="s">
        <v>373</v>
      </c>
      <c r="C83" s="1" t="s">
        <v>6</v>
      </c>
      <c r="D83" s="1" t="str">
        <f>TRIM(_xlfn.XLOOKUP(Результат!C83,Таблица!A:A,Таблица!B:B,"Ошибка",0))</f>
        <v>S, M, L, XL</v>
      </c>
      <c r="E83" s="1" t="s">
        <v>560</v>
      </c>
      <c r="F83" t="str">
        <f t="shared" si="1"/>
        <v>Image_081.png</v>
      </c>
    </row>
    <row r="84" spans="2:6" ht="74.45" customHeight="1" x14ac:dyDescent="0.25">
      <c r="C84" s="1" t="s">
        <v>6</v>
      </c>
      <c r="D84" s="1" t="str">
        <f>TRIM(_xlfn.XLOOKUP(Результат!C84,Таблица!A:A,Таблица!B:B,"Ошибка",0))</f>
        <v>S, M, L, XL</v>
      </c>
      <c r="E84" s="1" t="s">
        <v>461</v>
      </c>
      <c r="F84" t="str">
        <f t="shared" si="1"/>
        <v>Image_082.png</v>
      </c>
    </row>
    <row r="85" spans="2:6" ht="74.45" customHeight="1" x14ac:dyDescent="0.25">
      <c r="C85" s="1" t="s">
        <v>6</v>
      </c>
      <c r="D85" s="1" t="str">
        <f>TRIM(_xlfn.XLOOKUP(Результат!C85,Таблица!A:A,Таблица!B:B,"Ошибка",0))</f>
        <v>S, M, L, XL</v>
      </c>
      <c r="E85" s="1" t="s">
        <v>557</v>
      </c>
      <c r="F85">
        <f t="shared" si="1"/>
        <v>0</v>
      </c>
    </row>
    <row r="86" spans="2:6" ht="74.45" customHeight="1" x14ac:dyDescent="0.25">
      <c r="C86" s="1" t="s">
        <v>6</v>
      </c>
      <c r="D86" s="1" t="str">
        <f>TRIM(_xlfn.XLOOKUP(Результат!C86,Таблица!A:A,Таблица!B:B,"Ошибка",0))</f>
        <v>S, M, L, XL</v>
      </c>
      <c r="E86" s="1" t="s">
        <v>558</v>
      </c>
      <c r="F86">
        <f t="shared" si="1"/>
        <v>0</v>
      </c>
    </row>
    <row r="87" spans="2:6" ht="74.45" customHeight="1" x14ac:dyDescent="0.25">
      <c r="C87" s="1" t="s">
        <v>6</v>
      </c>
      <c r="D87" s="1" t="str">
        <f>TRIM(_xlfn.XLOOKUP(Результат!C87,Таблица!A:A,Таблица!B:B,"Ошибка",0))</f>
        <v>S, M, L, XL</v>
      </c>
      <c r="E87" s="1" t="s">
        <v>559</v>
      </c>
      <c r="F87">
        <f t="shared" si="1"/>
        <v>0</v>
      </c>
    </row>
    <row r="88" spans="2:6" ht="74.45" customHeight="1" x14ac:dyDescent="0.25">
      <c r="C88" s="1" t="s">
        <v>6</v>
      </c>
      <c r="D88" s="1" t="str">
        <f>TRIM(_xlfn.XLOOKUP(Результат!C88,Таблица!A:A,Таблица!B:B,"Ошибка",0))</f>
        <v>S, M, L, XL</v>
      </c>
      <c r="E88" s="1" t="s">
        <v>9</v>
      </c>
      <c r="F88">
        <f t="shared" si="1"/>
        <v>0</v>
      </c>
    </row>
    <row r="89" spans="2:6" ht="74.45" customHeight="1" x14ac:dyDescent="0.25">
      <c r="C89" s="1" t="s">
        <v>6</v>
      </c>
      <c r="D89" s="1" t="str">
        <f>TRIM(_xlfn.XLOOKUP(Результат!C89,Таблица!A:A,Таблица!B:B,"Ошибка",0))</f>
        <v>S, M, L, XL</v>
      </c>
      <c r="E89" s="1" t="s">
        <v>550</v>
      </c>
      <c r="F89">
        <f t="shared" si="1"/>
        <v>0</v>
      </c>
    </row>
    <row r="90" spans="2:6" ht="74.45" customHeight="1" x14ac:dyDescent="0.25">
      <c r="C90" s="1" t="s">
        <v>6</v>
      </c>
      <c r="D90" s="1" t="str">
        <f>TRIM(_xlfn.XLOOKUP(Результат!C90,Таблица!A:A,Таблица!B:B,"Ошибка",0))</f>
        <v>S, M, L, XL</v>
      </c>
      <c r="E90" s="1" t="s">
        <v>561</v>
      </c>
      <c r="F90">
        <f t="shared" si="1"/>
        <v>0</v>
      </c>
    </row>
    <row r="91" spans="2:6" ht="74.45" customHeight="1" x14ac:dyDescent="0.25">
      <c r="B91" t="s">
        <v>374</v>
      </c>
      <c r="C91" s="1" t="s">
        <v>8</v>
      </c>
      <c r="D91" s="1" t="str">
        <f>TRIM(_xlfn.XLOOKUP(Результат!C91,Таблица!A:A,Таблица!B:B,"Ошибка",0))</f>
        <v>S, M, L, XL</v>
      </c>
      <c r="E91" s="1" t="s">
        <v>560</v>
      </c>
      <c r="F91" t="str">
        <f t="shared" si="1"/>
        <v>Image_085.png</v>
      </c>
    </row>
    <row r="92" spans="2:6" ht="74.45" customHeight="1" x14ac:dyDescent="0.25">
      <c r="C92" s="1" t="s">
        <v>8</v>
      </c>
      <c r="D92" s="1" t="str">
        <f>TRIM(_xlfn.XLOOKUP(Результат!C92,Таблица!A:A,Таблица!B:B,"Ошибка",0))</f>
        <v>S, M, L, XL</v>
      </c>
      <c r="E92" s="1" t="s">
        <v>461</v>
      </c>
      <c r="F92" t="str">
        <f t="shared" si="1"/>
        <v>Image_086.png</v>
      </c>
    </row>
    <row r="93" spans="2:6" ht="74.45" customHeight="1" x14ac:dyDescent="0.25">
      <c r="C93" s="1" t="s">
        <v>8</v>
      </c>
      <c r="D93" s="1" t="str">
        <f>TRIM(_xlfn.XLOOKUP(Результат!C93,Таблица!A:A,Таблица!B:B,"Ошибка",0))</f>
        <v>S, M, L, XL</v>
      </c>
      <c r="E93" s="1" t="s">
        <v>557</v>
      </c>
      <c r="F93">
        <f t="shared" si="1"/>
        <v>0</v>
      </c>
    </row>
    <row r="94" spans="2:6" ht="74.45" customHeight="1" x14ac:dyDescent="0.25">
      <c r="C94" s="1" t="s">
        <v>8</v>
      </c>
      <c r="D94" s="1" t="str">
        <f>TRIM(_xlfn.XLOOKUP(Результат!C94,Таблица!A:A,Таблица!B:B,"Ошибка",0))</f>
        <v>S, M, L, XL</v>
      </c>
      <c r="E94" s="1" t="s">
        <v>558</v>
      </c>
      <c r="F94">
        <f t="shared" si="1"/>
        <v>0</v>
      </c>
    </row>
    <row r="95" spans="2:6" ht="74.45" customHeight="1" x14ac:dyDescent="0.25">
      <c r="C95" s="1" t="s">
        <v>8</v>
      </c>
      <c r="D95" s="1" t="str">
        <f>TRIM(_xlfn.XLOOKUP(Результат!C95,Таблица!A:A,Таблица!B:B,"Ошибка",0))</f>
        <v>S, M, L, XL</v>
      </c>
      <c r="E95" s="1" t="s">
        <v>559</v>
      </c>
      <c r="F95">
        <f t="shared" si="1"/>
        <v>0</v>
      </c>
    </row>
    <row r="96" spans="2:6" ht="74.45" customHeight="1" x14ac:dyDescent="0.25">
      <c r="C96" s="1" t="s">
        <v>8</v>
      </c>
      <c r="D96" s="1" t="str">
        <f>TRIM(_xlfn.XLOOKUP(Результат!C96,Таблица!A:A,Таблица!B:B,"Ошибка",0))</f>
        <v>S, M, L, XL</v>
      </c>
      <c r="E96" s="1" t="s">
        <v>9</v>
      </c>
      <c r="F96">
        <f t="shared" si="1"/>
        <v>0</v>
      </c>
    </row>
    <row r="97" spans="2:6" ht="74.45" customHeight="1" x14ac:dyDescent="0.25">
      <c r="C97" s="1" t="s">
        <v>8</v>
      </c>
      <c r="D97" s="1" t="str">
        <f>TRIM(_xlfn.XLOOKUP(Результат!C97,Таблица!A:A,Таблица!B:B,"Ошибка",0))</f>
        <v>S, M, L, XL</v>
      </c>
      <c r="E97" s="1" t="s">
        <v>550</v>
      </c>
      <c r="F97">
        <f t="shared" si="1"/>
        <v>0</v>
      </c>
    </row>
    <row r="98" spans="2:6" ht="74.45" customHeight="1" x14ac:dyDescent="0.25">
      <c r="B98" t="s">
        <v>375</v>
      </c>
      <c r="C98" s="1" t="s">
        <v>136</v>
      </c>
      <c r="D98" s="1" t="str">
        <f>TRIM(_xlfn.XLOOKUP(Результат!C98,Таблица!A:A,Таблица!B:B,"Ошибка",0))</f>
        <v>S, M, L, XL</v>
      </c>
      <c r="E98" s="1" t="s">
        <v>509</v>
      </c>
      <c r="F98" t="str">
        <f t="shared" si="1"/>
        <v>Image_089.png</v>
      </c>
    </row>
    <row r="99" spans="2:6" ht="74.45" customHeight="1" x14ac:dyDescent="0.25">
      <c r="C99" s="1" t="s">
        <v>136</v>
      </c>
      <c r="D99" s="1" t="str">
        <f>TRIM(_xlfn.XLOOKUP(Результат!C99,Таблица!A:A,Таблица!B:B,"Ошибка",0))</f>
        <v>S, M, L, XL</v>
      </c>
      <c r="E99" s="1" t="s">
        <v>547</v>
      </c>
      <c r="F99" t="str">
        <f t="shared" si="1"/>
        <v>Image_090.png</v>
      </c>
    </row>
    <row r="100" spans="2:6" ht="74.45" customHeight="1" x14ac:dyDescent="0.25">
      <c r="C100" s="1" t="s">
        <v>136</v>
      </c>
      <c r="D100" s="1" t="str">
        <f>TRIM(_xlfn.XLOOKUP(Результат!C100,Таблица!A:A,Таблица!B:B,"Ошибка",0))</f>
        <v>S, M, L, XL</v>
      </c>
      <c r="E100" s="1" t="s">
        <v>556</v>
      </c>
      <c r="F100">
        <f t="shared" si="1"/>
        <v>0</v>
      </c>
    </row>
    <row r="101" spans="2:6" ht="74.45" customHeight="1" x14ac:dyDescent="0.25">
      <c r="B101" t="s">
        <v>376</v>
      </c>
      <c r="C101" s="1" t="s">
        <v>130</v>
      </c>
      <c r="D101" s="1" t="str">
        <f>TRIM(_xlfn.XLOOKUP(Результат!C101,Таблица!A:A,Таблица!B:B,"Ошибка",0))</f>
        <v>S, M, L, XL, XXL, XXXL</v>
      </c>
      <c r="E101" s="1" t="s">
        <v>9</v>
      </c>
      <c r="F101" t="str">
        <f t="shared" si="1"/>
        <v>Image_092.png</v>
      </c>
    </row>
    <row r="102" spans="2:6" ht="74.45" customHeight="1" x14ac:dyDescent="0.25">
      <c r="C102" s="1" t="s">
        <v>130</v>
      </c>
      <c r="D102" s="1" t="str">
        <f>TRIM(_xlfn.XLOOKUP(Результат!C102,Таблица!A:A,Таблица!B:B,"Ошибка",0))</f>
        <v>S, M, L, XL, XXL, XXXL</v>
      </c>
      <c r="E102" s="1" t="s">
        <v>463</v>
      </c>
      <c r="F102" t="str">
        <f t="shared" si="1"/>
        <v>Image_093.png</v>
      </c>
    </row>
    <row r="103" spans="2:6" ht="74.45" customHeight="1" x14ac:dyDescent="0.25">
      <c r="C103" s="1" t="s">
        <v>130</v>
      </c>
      <c r="D103" s="1" t="str">
        <f>TRIM(_xlfn.XLOOKUP(Результат!C103,Таблица!A:A,Таблица!B:B,"Ошибка",0))</f>
        <v>S, M, L, XL, XXL, XXXL</v>
      </c>
      <c r="E103" s="1" t="s">
        <v>554</v>
      </c>
      <c r="F103">
        <f t="shared" si="1"/>
        <v>0</v>
      </c>
    </row>
    <row r="104" spans="2:6" ht="74.45" customHeight="1" x14ac:dyDescent="0.25">
      <c r="C104" s="1" t="s">
        <v>130</v>
      </c>
      <c r="D104" s="1" t="str">
        <f>TRIM(_xlfn.XLOOKUP(Результат!C104,Таблица!A:A,Таблица!B:B,"Ошибка",0))</f>
        <v>S, M, L, XL, XXL, XXXL</v>
      </c>
      <c r="E104" s="1" t="s">
        <v>556</v>
      </c>
      <c r="F104">
        <f t="shared" si="1"/>
        <v>0</v>
      </c>
    </row>
    <row r="105" spans="2:6" ht="74.45" customHeight="1" x14ac:dyDescent="0.25">
      <c r="B105" t="s">
        <v>377</v>
      </c>
      <c r="C105" s="1" t="s">
        <v>156</v>
      </c>
      <c r="D105" s="1" t="str">
        <f>TRIM(_xlfn.XLOOKUP(Результат!C105,Таблица!A:A,Таблица!B:B,"Ошибка",0))</f>
        <v>S, M, L, XL</v>
      </c>
      <c r="E105" s="1" t="s">
        <v>517</v>
      </c>
      <c r="F105" t="str">
        <f t="shared" si="1"/>
        <v>Image_095.png</v>
      </c>
    </row>
    <row r="106" spans="2:6" ht="74.45" customHeight="1" x14ac:dyDescent="0.25">
      <c r="C106" s="1" t="s">
        <v>156</v>
      </c>
      <c r="D106" s="1" t="str">
        <f>TRIM(_xlfn.XLOOKUP(Результат!C106,Таблица!A:A,Таблица!B:B,"Ошибка",0))</f>
        <v>S, M, L, XL</v>
      </c>
      <c r="E106" s="1" t="s">
        <v>9</v>
      </c>
      <c r="F106" t="str">
        <f t="shared" si="1"/>
        <v>Image_096.png</v>
      </c>
    </row>
    <row r="107" spans="2:6" ht="74.45" customHeight="1" x14ac:dyDescent="0.25">
      <c r="B107" t="s">
        <v>378</v>
      </c>
      <c r="C107" s="1" t="s">
        <v>152</v>
      </c>
      <c r="D107" s="1" t="str">
        <f>TRIM(_xlfn.XLOOKUP(Результат!C107,Таблица!A:A,Таблица!B:B,"Ошибка",0))</f>
        <v>S, M, L, XL</v>
      </c>
      <c r="E107" s="1" t="s">
        <v>9</v>
      </c>
      <c r="F107" t="str">
        <f t="shared" si="1"/>
        <v>Image_098.png</v>
      </c>
    </row>
    <row r="108" spans="2:6" ht="74.45" customHeight="1" x14ac:dyDescent="0.25">
      <c r="C108" s="1" t="s">
        <v>152</v>
      </c>
      <c r="D108" s="1" t="str">
        <f>TRIM(_xlfn.XLOOKUP(Результат!C108,Таблица!A:A,Таблица!B:B,"Ошибка",0))</f>
        <v>S, M, L, XL</v>
      </c>
      <c r="E108" s="1" t="s">
        <v>518</v>
      </c>
      <c r="F108" t="str">
        <f t="shared" si="1"/>
        <v>Image_099.png</v>
      </c>
    </row>
    <row r="109" spans="2:6" ht="74.45" customHeight="1" x14ac:dyDescent="0.25">
      <c r="B109" t="s">
        <v>379</v>
      </c>
      <c r="C109" s="1" t="s">
        <v>160</v>
      </c>
      <c r="D109" s="1" t="str">
        <f>TRIM(_xlfn.XLOOKUP(Результат!C109,Таблица!A:A,Таблица!B:B,"Ошибка",0))</f>
        <v>S, M, L, XL</v>
      </c>
      <c r="E109" s="1" t="s">
        <v>9</v>
      </c>
      <c r="F109" t="str">
        <f t="shared" si="1"/>
        <v>Image_101.png</v>
      </c>
    </row>
    <row r="110" spans="2:6" ht="74.45" customHeight="1" x14ac:dyDescent="0.25">
      <c r="C110" s="1" t="s">
        <v>160</v>
      </c>
      <c r="D110" s="1" t="str">
        <f>TRIM(_xlfn.XLOOKUP(Результат!C110,Таблица!A:A,Таблица!B:B,"Ошибка",0))</f>
        <v>S, M, L, XL</v>
      </c>
      <c r="E110" s="1" t="s">
        <v>555</v>
      </c>
      <c r="F110" t="str">
        <f t="shared" si="1"/>
        <v>Image_102.png</v>
      </c>
    </row>
    <row r="111" spans="2:6" ht="74.45" customHeight="1" x14ac:dyDescent="0.25">
      <c r="C111" s="1" t="s">
        <v>160</v>
      </c>
      <c r="D111" s="1" t="str">
        <f>TRIM(_xlfn.XLOOKUP(Результат!C111,Таблица!A:A,Таблица!B:B,"Ошибка",0))</f>
        <v>S, M, L, XL</v>
      </c>
      <c r="E111" s="1" t="s">
        <v>456</v>
      </c>
      <c r="F111">
        <f t="shared" si="1"/>
        <v>0</v>
      </c>
    </row>
    <row r="112" spans="2:6" ht="74.45" customHeight="1" x14ac:dyDescent="0.25">
      <c r="B112" t="s">
        <v>380</v>
      </c>
      <c r="C112" s="1" t="s">
        <v>163</v>
      </c>
      <c r="D112" s="1" t="str">
        <f>TRIM(_xlfn.XLOOKUP(Результат!C112,Таблица!A:A,Таблица!B:B,"Ошибка",0))</f>
        <v>S, M, L, XL</v>
      </c>
      <c r="E112" s="1" t="s">
        <v>9</v>
      </c>
      <c r="F112" t="str">
        <f t="shared" si="1"/>
        <v>Image_104.png</v>
      </c>
    </row>
    <row r="113" spans="2:6" ht="74.45" customHeight="1" x14ac:dyDescent="0.25">
      <c r="C113" s="1" t="s">
        <v>163</v>
      </c>
      <c r="D113" s="1" t="str">
        <f>TRIM(_xlfn.XLOOKUP(Результат!C113,Таблица!A:A,Таблица!B:B,"Ошибка",0))</f>
        <v>S, M, L, XL</v>
      </c>
      <c r="E113" s="1" t="s">
        <v>537</v>
      </c>
      <c r="F113" t="str">
        <f t="shared" si="1"/>
        <v>Image_105.png</v>
      </c>
    </row>
    <row r="114" spans="2:6" ht="74.45" customHeight="1" x14ac:dyDescent="0.25">
      <c r="C114" s="1" t="s">
        <v>163</v>
      </c>
      <c r="D114" s="1" t="str">
        <f>TRIM(_xlfn.XLOOKUP(Результат!C114,Таблица!A:A,Таблица!B:B,"Ошибка",0))</f>
        <v>S, M, L, XL</v>
      </c>
      <c r="E114" s="1" t="s">
        <v>465</v>
      </c>
      <c r="F114">
        <f t="shared" si="1"/>
        <v>0</v>
      </c>
    </row>
    <row r="115" spans="2:6" ht="74.45" customHeight="1" x14ac:dyDescent="0.25">
      <c r="C115" s="1" t="s">
        <v>163</v>
      </c>
      <c r="D115" s="1" t="str">
        <f>TRIM(_xlfn.XLOOKUP(Результат!C115,Таблица!A:A,Таблица!B:B,"Ошибка",0))</f>
        <v>S, M, L, XL</v>
      </c>
      <c r="E115" s="1" t="s">
        <v>456</v>
      </c>
      <c r="F115">
        <f t="shared" si="1"/>
        <v>0</v>
      </c>
    </row>
    <row r="116" spans="2:6" ht="74.45" customHeight="1" x14ac:dyDescent="0.25">
      <c r="B116" t="s">
        <v>381</v>
      </c>
      <c r="C116" s="1" t="s">
        <v>138</v>
      </c>
      <c r="D116" s="1" t="str">
        <f>TRIM(_xlfn.XLOOKUP(Результат!C116,Таблица!A:A,Таблица!B:B,"Ошибка",0))</f>
        <v>S, M, L, XL</v>
      </c>
      <c r="E116" s="1" t="s">
        <v>9</v>
      </c>
      <c r="F116" t="str">
        <f t="shared" si="1"/>
        <v>Image_107.png</v>
      </c>
    </row>
    <row r="117" spans="2:6" ht="74.45" customHeight="1" x14ac:dyDescent="0.25">
      <c r="C117" s="1" t="s">
        <v>138</v>
      </c>
      <c r="D117" s="1" t="str">
        <f>TRIM(_xlfn.XLOOKUP(Результат!C117,Таблица!A:A,Таблица!B:B,"Ошибка",0))</f>
        <v>S, M, L, XL</v>
      </c>
      <c r="E117" s="1" t="s">
        <v>462</v>
      </c>
      <c r="F117" t="str">
        <f t="shared" si="1"/>
        <v>Image_108.png</v>
      </c>
    </row>
    <row r="118" spans="2:6" ht="74.45" customHeight="1" x14ac:dyDescent="0.25">
      <c r="C118" s="1" t="s">
        <v>138</v>
      </c>
      <c r="D118" s="1" t="str">
        <f>TRIM(_xlfn.XLOOKUP(Результат!C118,Таблица!A:A,Таблица!B:B,"Ошибка",0))</f>
        <v>S, M, L, XL</v>
      </c>
      <c r="E118" s="1" t="s">
        <v>543</v>
      </c>
      <c r="F118">
        <f t="shared" si="1"/>
        <v>0</v>
      </c>
    </row>
    <row r="119" spans="2:6" ht="74.45" customHeight="1" x14ac:dyDescent="0.25">
      <c r="B119" t="s">
        <v>382</v>
      </c>
      <c r="C119" s="1" t="s">
        <v>149</v>
      </c>
      <c r="D119" s="1" t="str">
        <f>TRIM(_xlfn.XLOOKUP(Результат!C119,Таблица!A:A,Таблица!B:B,"Ошибка",0))</f>
        <v>S, M, L, XL</v>
      </c>
      <c r="E119" s="1" t="s">
        <v>9</v>
      </c>
      <c r="F119" t="str">
        <f t="shared" si="1"/>
        <v>Image_110.png</v>
      </c>
    </row>
    <row r="120" spans="2:6" ht="74.45" customHeight="1" x14ac:dyDescent="0.25">
      <c r="C120" s="1" t="s">
        <v>149</v>
      </c>
      <c r="D120" s="1" t="str">
        <f>TRIM(_xlfn.XLOOKUP(Результат!C120,Таблица!A:A,Таблица!B:B,"Ошибка",0))</f>
        <v>S, M, L, XL</v>
      </c>
      <c r="E120" s="1" t="s">
        <v>513</v>
      </c>
      <c r="F120" t="str">
        <f t="shared" si="1"/>
        <v>Image_111.png</v>
      </c>
    </row>
    <row r="121" spans="2:6" ht="74.45" customHeight="1" x14ac:dyDescent="0.25">
      <c r="B121" t="s">
        <v>383</v>
      </c>
      <c r="C121" s="1" t="s">
        <v>146</v>
      </c>
      <c r="D121" s="1" t="str">
        <f>TRIM(_xlfn.XLOOKUP(Результат!C121,Таблица!A:A,Таблица!B:B,"Ошибка",0))</f>
        <v>S, M, L, XL</v>
      </c>
      <c r="E121" s="1" t="s">
        <v>9</v>
      </c>
      <c r="F121" t="str">
        <f t="shared" si="1"/>
        <v>Image_113.jpg</v>
      </c>
    </row>
    <row r="122" spans="2:6" ht="74.45" customHeight="1" x14ac:dyDescent="0.25">
      <c r="C122" s="1" t="s">
        <v>146</v>
      </c>
      <c r="D122" s="1" t="str">
        <f>TRIM(_xlfn.XLOOKUP(Результат!C122,Таблица!A:A,Таблица!B:B,"Ошибка",0))</f>
        <v>S, M, L, XL</v>
      </c>
      <c r="E122" s="1" t="s">
        <v>543</v>
      </c>
      <c r="F122" t="str">
        <f t="shared" si="1"/>
        <v>Image_114.jpg</v>
      </c>
    </row>
    <row r="123" spans="2:6" ht="74.45" customHeight="1" x14ac:dyDescent="0.25">
      <c r="C123" s="1" t="s">
        <v>146</v>
      </c>
      <c r="D123" s="1" t="str">
        <f>TRIM(_xlfn.XLOOKUP(Результат!C123,Таблица!A:A,Таблица!B:B,"Ошибка",0))</f>
        <v>S, M, L, XL</v>
      </c>
      <c r="E123" s="1" t="s">
        <v>464</v>
      </c>
      <c r="F123">
        <f t="shared" si="1"/>
        <v>0</v>
      </c>
    </row>
    <row r="124" spans="2:6" ht="74.45" customHeight="1" x14ac:dyDescent="0.25">
      <c r="B124" t="s">
        <v>384</v>
      </c>
      <c r="C124" s="1" t="s">
        <v>144</v>
      </c>
      <c r="D124" s="1" t="str">
        <f>TRIM(_xlfn.XLOOKUP(Результат!C124,Таблица!A:A,Таблица!B:B,"Ошибка",0))</f>
        <v>S, M, L, XL, XXL</v>
      </c>
      <c r="E124" s="1" t="s">
        <v>509</v>
      </c>
      <c r="F124" t="str">
        <f t="shared" si="1"/>
        <v>Image_117.jpg</v>
      </c>
    </row>
    <row r="125" spans="2:6" ht="74.45" customHeight="1" x14ac:dyDescent="0.25">
      <c r="C125" s="1" t="s">
        <v>144</v>
      </c>
      <c r="D125" s="1" t="str">
        <f>TRIM(_xlfn.XLOOKUP(Результат!C125,Таблица!A:A,Таблица!B:B,"Ошибка",0))</f>
        <v>S, M, L, XL, XXL</v>
      </c>
      <c r="E125" s="1" t="s">
        <v>537</v>
      </c>
      <c r="F125" t="str">
        <f t="shared" si="1"/>
        <v>Image_118.jpg</v>
      </c>
    </row>
    <row r="126" spans="2:6" ht="74.45" customHeight="1" x14ac:dyDescent="0.25">
      <c r="C126" s="1" t="s">
        <v>144</v>
      </c>
      <c r="D126" s="1" t="str">
        <f>TRIM(_xlfn.XLOOKUP(Результат!C126,Таблица!A:A,Таблица!B:B,"Ошибка",0))</f>
        <v>S, M, L, XL, XXL</v>
      </c>
      <c r="E126" s="1" t="s">
        <v>465</v>
      </c>
      <c r="F126">
        <f t="shared" si="1"/>
        <v>0</v>
      </c>
    </row>
    <row r="127" spans="2:6" ht="74.45" customHeight="1" x14ac:dyDescent="0.25">
      <c r="C127" s="1" t="s">
        <v>144</v>
      </c>
      <c r="D127" s="1" t="str">
        <f>TRIM(_xlfn.XLOOKUP(Результат!C127,Таблица!A:A,Таблица!B:B,"Ошибка",0))</f>
        <v>S, M, L, XL, XXL</v>
      </c>
      <c r="E127" s="1" t="s">
        <v>548</v>
      </c>
      <c r="F127">
        <f t="shared" si="1"/>
        <v>0</v>
      </c>
    </row>
    <row r="128" spans="2:6" ht="74.45" customHeight="1" x14ac:dyDescent="0.25">
      <c r="C128" s="1" t="s">
        <v>144</v>
      </c>
      <c r="D128" s="1" t="str">
        <f>TRIM(_xlfn.XLOOKUP(Результат!C128,Таблица!A:A,Таблица!B:B,"Ошибка",0))</f>
        <v>S, M, L, XL, XXL</v>
      </c>
      <c r="E128" s="1" t="s">
        <v>466</v>
      </c>
      <c r="F128">
        <f t="shared" si="1"/>
        <v>0</v>
      </c>
    </row>
    <row r="129" spans="2:6" ht="74.45" customHeight="1" x14ac:dyDescent="0.25">
      <c r="C129" s="1" t="s">
        <v>144</v>
      </c>
      <c r="D129" s="1" t="str">
        <f>TRIM(_xlfn.XLOOKUP(Результат!C129,Таблица!A:A,Таблица!B:B,"Ошибка",0))</f>
        <v>S, M, L, XL, XXL</v>
      </c>
      <c r="E129" s="1" t="s">
        <v>9</v>
      </c>
      <c r="F129">
        <f t="shared" si="1"/>
        <v>0</v>
      </c>
    </row>
    <row r="130" spans="2:6" ht="74.45" customHeight="1" x14ac:dyDescent="0.25">
      <c r="C130" s="1" t="s">
        <v>144</v>
      </c>
      <c r="D130" s="1" t="str">
        <f>TRIM(_xlfn.XLOOKUP(Результат!C130,Таблица!A:A,Таблица!B:B,"Ошибка",0))</f>
        <v>S, M, L, XL, XXL</v>
      </c>
      <c r="E130" s="1" t="s">
        <v>539</v>
      </c>
      <c r="F130">
        <f t="shared" si="1"/>
        <v>0</v>
      </c>
    </row>
    <row r="131" spans="2:6" ht="74.45" customHeight="1" x14ac:dyDescent="0.25">
      <c r="C131" s="1" t="s">
        <v>144</v>
      </c>
      <c r="D131" s="1" t="str">
        <f>TRIM(_xlfn.XLOOKUP(Результат!C131,Таблица!A:A,Таблица!B:B,"Ошибка",0))</f>
        <v>S, M, L, XL, XXL</v>
      </c>
      <c r="E131" s="1" t="s">
        <v>514</v>
      </c>
      <c r="F131">
        <f t="shared" ref="F131:F194" si="2">IF(AND(B130&lt;&gt;"",B131=""),LEFT(B130,6)&amp;RIGHT("000"&amp;VALUE(MID(B130,FIND("_",B130)+1,3))+1,3)&amp;RIGHT(B130,4),B131)</f>
        <v>0</v>
      </c>
    </row>
    <row r="132" spans="2:6" ht="74.45" customHeight="1" x14ac:dyDescent="0.25">
      <c r="C132" s="1" t="s">
        <v>144</v>
      </c>
      <c r="D132" s="1" t="str">
        <f>TRIM(_xlfn.XLOOKUP(Результат!C132,Таблица!A:A,Таблица!B:B,"Ошибка",0))</f>
        <v>S, M, L, XL, XXL</v>
      </c>
      <c r="E132" s="1" t="s">
        <v>203</v>
      </c>
      <c r="F132">
        <f t="shared" si="2"/>
        <v>0</v>
      </c>
    </row>
    <row r="133" spans="2:6" ht="74.45" customHeight="1" x14ac:dyDescent="0.25">
      <c r="C133" s="1" t="s">
        <v>144</v>
      </c>
      <c r="D133" s="1" t="str">
        <f>TRIM(_xlfn.XLOOKUP(Результат!C133,Таблица!A:A,Таблица!B:B,"Ошибка",0))</f>
        <v>S, M, L, XL, XXL</v>
      </c>
      <c r="E133" s="1" t="s">
        <v>544</v>
      </c>
      <c r="F133">
        <f t="shared" si="2"/>
        <v>0</v>
      </c>
    </row>
    <row r="134" spans="2:6" ht="74.45" customHeight="1" x14ac:dyDescent="0.25">
      <c r="C134" s="1" t="s">
        <v>144</v>
      </c>
      <c r="D134" s="1" t="str">
        <f>TRIM(_xlfn.XLOOKUP(Результат!C134,Таблица!A:A,Таблица!B:B,"Ошибка",0))</f>
        <v>S, M, L, XL, XXL</v>
      </c>
      <c r="E134" s="1" t="s">
        <v>517</v>
      </c>
      <c r="F134">
        <f t="shared" si="2"/>
        <v>0</v>
      </c>
    </row>
    <row r="135" spans="2:6" ht="74.45" customHeight="1" x14ac:dyDescent="0.25">
      <c r="B135" t="s">
        <v>385</v>
      </c>
      <c r="C135" s="1" t="s">
        <v>190</v>
      </c>
      <c r="D135" s="1" t="str">
        <f>TRIM(_xlfn.XLOOKUP(Результат!C135,Таблица!A:A,Таблица!B:B,"Ошибка",0))</f>
        <v>S, M, L, XL</v>
      </c>
      <c r="E135" s="1" t="s">
        <v>554</v>
      </c>
      <c r="F135" t="str">
        <f t="shared" si="2"/>
        <v>Image_121.png</v>
      </c>
    </row>
    <row r="136" spans="2:6" ht="74.45" customHeight="1" x14ac:dyDescent="0.25">
      <c r="C136" s="1" t="s">
        <v>190</v>
      </c>
      <c r="D136" s="1" t="str">
        <f>TRIM(_xlfn.XLOOKUP(Результат!C136,Таблица!A:A,Таблица!B:B,"Ошибка",0))</f>
        <v>S, M, L, XL</v>
      </c>
      <c r="E136" s="1" t="s">
        <v>547</v>
      </c>
      <c r="F136" t="str">
        <f t="shared" si="2"/>
        <v>Image_122.png</v>
      </c>
    </row>
    <row r="137" spans="2:6" ht="74.45" customHeight="1" x14ac:dyDescent="0.25">
      <c r="C137" s="1" t="s">
        <v>190</v>
      </c>
      <c r="D137" s="1" t="str">
        <f>TRIM(_xlfn.XLOOKUP(Результат!C137,Таблица!A:A,Таблица!B:B,"Ошибка",0))</f>
        <v>S, M, L, XL</v>
      </c>
      <c r="E137" s="1" t="s">
        <v>464</v>
      </c>
      <c r="F137">
        <f t="shared" si="2"/>
        <v>0</v>
      </c>
    </row>
    <row r="138" spans="2:6" ht="74.45" customHeight="1" x14ac:dyDescent="0.25">
      <c r="B138" t="s">
        <v>386</v>
      </c>
      <c r="C138" s="1" t="s">
        <v>172</v>
      </c>
      <c r="D138" s="1" t="str">
        <f>TRIM(_xlfn.XLOOKUP(Результат!C138,Таблица!A:A,Таблица!B:B,"Ошибка",0))</f>
        <v>S, M, L, XL, XXL</v>
      </c>
      <c r="E138" s="1" t="s">
        <v>474</v>
      </c>
      <c r="F138" t="str">
        <f t="shared" si="2"/>
        <v>Image_124.png</v>
      </c>
    </row>
    <row r="139" spans="2:6" ht="74.45" customHeight="1" x14ac:dyDescent="0.25">
      <c r="C139" s="1" t="s">
        <v>172</v>
      </c>
      <c r="D139" s="1" t="str">
        <f>TRIM(_xlfn.XLOOKUP(Результат!C139,Таблица!A:A,Таблица!B:B,"Ошибка",0))</f>
        <v>S, M, L, XL, XXL</v>
      </c>
      <c r="E139" s="1" t="s">
        <v>547</v>
      </c>
      <c r="F139" t="str">
        <f t="shared" si="2"/>
        <v>Image_125.png</v>
      </c>
    </row>
    <row r="140" spans="2:6" ht="74.45" customHeight="1" x14ac:dyDescent="0.25">
      <c r="C140" s="1" t="s">
        <v>172</v>
      </c>
      <c r="D140" s="1" t="str">
        <f>TRIM(_xlfn.XLOOKUP(Результат!C140,Таблица!A:A,Таблица!B:B,"Ошибка",0))</f>
        <v>S, M, L, XL, XXL</v>
      </c>
      <c r="E140" s="1" t="s">
        <v>467</v>
      </c>
      <c r="F140">
        <f t="shared" si="2"/>
        <v>0</v>
      </c>
    </row>
    <row r="141" spans="2:6" ht="74.45" customHeight="1" x14ac:dyDescent="0.25">
      <c r="C141" s="1" t="s">
        <v>172</v>
      </c>
      <c r="D141" s="1" t="str">
        <f>TRIM(_xlfn.XLOOKUP(Результат!C141,Таблица!A:A,Таблица!B:B,"Ошибка",0))</f>
        <v>S, M, L, XL, XXL</v>
      </c>
      <c r="E141" s="1" t="s">
        <v>456</v>
      </c>
      <c r="F141">
        <f t="shared" si="2"/>
        <v>0</v>
      </c>
    </row>
    <row r="142" spans="2:6" ht="74.45" customHeight="1" x14ac:dyDescent="0.25">
      <c r="C142" s="1" t="s">
        <v>172</v>
      </c>
      <c r="D142" s="1" t="str">
        <f>TRIM(_xlfn.XLOOKUP(Результат!C142,Таблица!A:A,Таблица!B:B,"Ошибка",0))</f>
        <v>S, M, L, XL, XXL</v>
      </c>
      <c r="E142" s="1" t="s">
        <v>466</v>
      </c>
      <c r="F142">
        <f t="shared" si="2"/>
        <v>0</v>
      </c>
    </row>
    <row r="143" spans="2:6" ht="74.45" customHeight="1" x14ac:dyDescent="0.25">
      <c r="C143" s="1" t="s">
        <v>172</v>
      </c>
      <c r="D143" s="1" t="str">
        <f>TRIM(_xlfn.XLOOKUP(Результат!C143,Таблица!A:A,Таблица!B:B,"Ошибка",0))</f>
        <v>S, M, L, XL, XXL</v>
      </c>
      <c r="E143" s="1" t="s">
        <v>553</v>
      </c>
      <c r="F143">
        <f t="shared" si="2"/>
        <v>0</v>
      </c>
    </row>
    <row r="144" spans="2:6" ht="74.45" customHeight="1" x14ac:dyDescent="0.25">
      <c r="C144" s="1" t="s">
        <v>172</v>
      </c>
      <c r="D144" s="1" t="str">
        <f>TRIM(_xlfn.XLOOKUP(Результат!C144,Таблица!A:A,Таблица!B:B,"Ошибка",0))</f>
        <v>S, M, L, XL, XXL</v>
      </c>
      <c r="E144" s="1" t="s">
        <v>9</v>
      </c>
      <c r="F144">
        <f t="shared" si="2"/>
        <v>0</v>
      </c>
    </row>
    <row r="145" spans="2:6" ht="74.45" customHeight="1" x14ac:dyDescent="0.25">
      <c r="C145" s="1" t="s">
        <v>172</v>
      </c>
      <c r="D145" s="1" t="str">
        <f>TRIM(_xlfn.XLOOKUP(Результат!C145,Таблица!A:A,Таблица!B:B,"Ошибка",0))</f>
        <v>S, M, L, XL, XXL</v>
      </c>
      <c r="E145" s="1" t="s">
        <v>545</v>
      </c>
      <c r="F145">
        <f t="shared" si="2"/>
        <v>0</v>
      </c>
    </row>
    <row r="146" spans="2:6" ht="74.45" customHeight="1" x14ac:dyDescent="0.25">
      <c r="C146" s="1" t="s">
        <v>172</v>
      </c>
      <c r="D146" s="1" t="str">
        <f>TRIM(_xlfn.XLOOKUP(Результат!C146,Таблица!A:A,Таблица!B:B,"Ошибка",0))</f>
        <v>S, M, L, XL, XXL</v>
      </c>
      <c r="E146" s="1" t="s">
        <v>516</v>
      </c>
      <c r="F146">
        <f t="shared" si="2"/>
        <v>0</v>
      </c>
    </row>
    <row r="147" spans="2:6" ht="74.45" customHeight="1" x14ac:dyDescent="0.25">
      <c r="C147" s="1" t="s">
        <v>172</v>
      </c>
      <c r="D147" s="1" t="str">
        <f>TRIM(_xlfn.XLOOKUP(Результат!C147,Таблица!A:A,Таблица!B:B,"Ошибка",0))</f>
        <v>S, M, L, XL, XXL</v>
      </c>
      <c r="E147" s="1" t="s">
        <v>509</v>
      </c>
      <c r="F147">
        <f t="shared" si="2"/>
        <v>0</v>
      </c>
    </row>
    <row r="148" spans="2:6" ht="74.45" customHeight="1" x14ac:dyDescent="0.25">
      <c r="B148" t="s">
        <v>387</v>
      </c>
      <c r="C148" s="1" t="s">
        <v>168</v>
      </c>
      <c r="D148" s="1" t="str">
        <f>TRIM(_xlfn.XLOOKUP(Результат!C148,Таблица!A:A,Таблица!B:B,"Ошибка",0))</f>
        <v>S, M, L, XL, XXL</v>
      </c>
      <c r="E148" s="1" t="s">
        <v>9</v>
      </c>
      <c r="F148" t="str">
        <f t="shared" si="2"/>
        <v>Image_128.png</v>
      </c>
    </row>
    <row r="149" spans="2:6" ht="74.45" customHeight="1" x14ac:dyDescent="0.25">
      <c r="C149" s="1" t="s">
        <v>168</v>
      </c>
      <c r="D149" s="1" t="str">
        <f>TRIM(_xlfn.XLOOKUP(Результат!C149,Таблица!A:A,Таблица!B:B,"Ошибка",0))</f>
        <v>S, M, L, XL, XXL</v>
      </c>
      <c r="E149" s="1" t="s">
        <v>532</v>
      </c>
      <c r="F149" t="str">
        <f t="shared" si="2"/>
        <v>Image_129.png</v>
      </c>
    </row>
    <row r="150" spans="2:6" ht="74.45" customHeight="1" x14ac:dyDescent="0.25">
      <c r="C150" s="1" t="s">
        <v>168</v>
      </c>
      <c r="D150" s="1" t="str">
        <f>TRIM(_xlfn.XLOOKUP(Результат!C150,Таблица!A:A,Таблица!B:B,"Ошибка",0))</f>
        <v>S, M, L, XL, XXL</v>
      </c>
      <c r="E150" s="1" t="s">
        <v>470</v>
      </c>
      <c r="F150">
        <f t="shared" si="2"/>
        <v>0</v>
      </c>
    </row>
    <row r="151" spans="2:6" ht="74.45" customHeight="1" x14ac:dyDescent="0.25">
      <c r="C151" s="1" t="s">
        <v>168</v>
      </c>
      <c r="D151" s="1" t="str">
        <f>TRIM(_xlfn.XLOOKUP(Результат!C151,Таблица!A:A,Таблица!B:B,"Ошибка",0))</f>
        <v>S, M, L, XL, XXL</v>
      </c>
      <c r="E151" s="1" t="s">
        <v>465</v>
      </c>
      <c r="F151">
        <f t="shared" si="2"/>
        <v>0</v>
      </c>
    </row>
    <row r="152" spans="2:6" ht="74.45" customHeight="1" x14ac:dyDescent="0.25">
      <c r="C152" s="1" t="s">
        <v>168</v>
      </c>
      <c r="D152" s="1" t="str">
        <f>TRIM(_xlfn.XLOOKUP(Результат!C152,Таблица!A:A,Таблица!B:B,"Ошибка",0))</f>
        <v>S, M, L, XL, XXL</v>
      </c>
      <c r="E152" s="1" t="s">
        <v>458</v>
      </c>
      <c r="F152">
        <f t="shared" si="2"/>
        <v>0</v>
      </c>
    </row>
    <row r="153" spans="2:6" ht="74.45" customHeight="1" x14ac:dyDescent="0.25">
      <c r="B153" t="s">
        <v>388</v>
      </c>
      <c r="C153" s="1" t="s">
        <v>192</v>
      </c>
      <c r="D153" s="1" t="str">
        <f>TRIM(_xlfn.XLOOKUP(Результат!C153,Таблица!A:A,Таблица!B:B,"Ошибка",0))</f>
        <v>S, M, L, XL</v>
      </c>
      <c r="E153" s="1" t="s">
        <v>472</v>
      </c>
      <c r="F153" t="str">
        <f t="shared" si="2"/>
        <v>Image_131.png</v>
      </c>
    </row>
    <row r="154" spans="2:6" ht="74.45" customHeight="1" x14ac:dyDescent="0.25">
      <c r="C154" s="1" t="s">
        <v>192</v>
      </c>
      <c r="D154" s="1" t="str">
        <f>TRIM(_xlfn.XLOOKUP(Результат!C154,Таблица!A:A,Таблица!B:B,"Ошибка",0))</f>
        <v>S, M, L, XL</v>
      </c>
      <c r="E154" s="1" t="s">
        <v>513</v>
      </c>
      <c r="F154" t="str">
        <f t="shared" si="2"/>
        <v>Image_132.png</v>
      </c>
    </row>
    <row r="155" spans="2:6" ht="74.45" customHeight="1" x14ac:dyDescent="0.25">
      <c r="B155" t="s">
        <v>389</v>
      </c>
      <c r="C155" s="1" t="s">
        <v>188</v>
      </c>
      <c r="D155" s="1" t="str">
        <f>TRIM(_xlfn.XLOOKUP(Результат!C155,Таблица!A:A,Таблица!B:B,"Ошибка",0))</f>
        <v>S, M, L, XL</v>
      </c>
      <c r="E155" s="1" t="s">
        <v>9</v>
      </c>
      <c r="F155" t="str">
        <f t="shared" si="2"/>
        <v>Image_134.png</v>
      </c>
    </row>
    <row r="156" spans="2:6" ht="74.45" customHeight="1" x14ac:dyDescent="0.25">
      <c r="C156" s="1" t="s">
        <v>188</v>
      </c>
      <c r="D156" s="1" t="str">
        <f>TRIM(_xlfn.XLOOKUP(Результат!C156,Таблица!A:A,Таблица!B:B,"Ошибка",0))</f>
        <v>S, M, L, XL</v>
      </c>
      <c r="E156" s="1" t="s">
        <v>552</v>
      </c>
      <c r="F156" t="str">
        <f t="shared" si="2"/>
        <v>Image_135.png</v>
      </c>
    </row>
    <row r="157" spans="2:6" ht="74.45" customHeight="1" x14ac:dyDescent="0.25">
      <c r="C157" s="1" t="s">
        <v>188</v>
      </c>
      <c r="D157" s="1" t="str">
        <f>TRIM(_xlfn.XLOOKUP(Результат!C157,Таблица!A:A,Таблица!B:B,"Ошибка",0))</f>
        <v>S, M, L, XL</v>
      </c>
      <c r="E157" s="1" t="s">
        <v>537</v>
      </c>
      <c r="F157">
        <f t="shared" si="2"/>
        <v>0</v>
      </c>
    </row>
    <row r="158" spans="2:6" ht="74.45" customHeight="1" x14ac:dyDescent="0.25">
      <c r="C158" s="1" t="s">
        <v>188</v>
      </c>
      <c r="D158" s="1" t="str">
        <f>TRIM(_xlfn.XLOOKUP(Результат!C158,Таблица!A:A,Таблица!B:B,"Ошибка",0))</f>
        <v>S, M, L, XL</v>
      </c>
      <c r="E158" s="1" t="s">
        <v>542</v>
      </c>
      <c r="F158">
        <f t="shared" si="2"/>
        <v>0</v>
      </c>
    </row>
    <row r="159" spans="2:6" ht="74.45" customHeight="1" x14ac:dyDescent="0.25">
      <c r="B159" t="s">
        <v>390</v>
      </c>
      <c r="C159" s="1" t="s">
        <v>185</v>
      </c>
      <c r="D159" s="1" t="str">
        <f>TRIM(_xlfn.XLOOKUP(Результат!C159,Таблица!A:A,Таблица!B:B,"Ошибка",0))</f>
        <v>S, M, L, XL</v>
      </c>
      <c r="E159" s="1" t="s">
        <v>468</v>
      </c>
      <c r="F159" t="str">
        <f t="shared" si="2"/>
        <v>Image_137.png</v>
      </c>
    </row>
    <row r="160" spans="2:6" ht="74.45" customHeight="1" x14ac:dyDescent="0.25">
      <c r="C160" s="1" t="s">
        <v>185</v>
      </c>
      <c r="D160" s="1" t="str">
        <f>TRIM(_xlfn.XLOOKUP(Результат!C160,Таблица!A:A,Таблица!B:B,"Ошибка",0))</f>
        <v>S, M, L, XL</v>
      </c>
      <c r="E160" s="1" t="s">
        <v>469</v>
      </c>
      <c r="F160" t="str">
        <f t="shared" si="2"/>
        <v>Image_138.png</v>
      </c>
    </row>
    <row r="161" spans="2:6" ht="74.45" customHeight="1" x14ac:dyDescent="0.25">
      <c r="C161" s="1" t="s">
        <v>185</v>
      </c>
      <c r="D161" s="1" t="str">
        <f>TRIM(_xlfn.XLOOKUP(Результат!C161,Таблица!A:A,Таблица!B:B,"Ошибка",0))</f>
        <v>S, M, L, XL</v>
      </c>
      <c r="E161" s="1" t="s">
        <v>551</v>
      </c>
      <c r="F161">
        <f t="shared" si="2"/>
        <v>0</v>
      </c>
    </row>
    <row r="162" spans="2:6" ht="74.45" customHeight="1" x14ac:dyDescent="0.25">
      <c r="B162" t="s">
        <v>391</v>
      </c>
      <c r="C162" s="1" t="s">
        <v>180</v>
      </c>
      <c r="D162" s="1" t="str">
        <f>TRIM(_xlfn.XLOOKUP(Результат!C162,Таблица!A:A,Таблица!B:B,"Ошибка",0))</f>
        <v>S, M, L, XL</v>
      </c>
      <c r="E162" s="1" t="s">
        <v>9</v>
      </c>
      <c r="F162" t="str">
        <f t="shared" si="2"/>
        <v>Image_140.png</v>
      </c>
    </row>
    <row r="163" spans="2:6" ht="74.45" customHeight="1" x14ac:dyDescent="0.25">
      <c r="C163" s="1" t="s">
        <v>180</v>
      </c>
      <c r="D163" s="1" t="str">
        <f>TRIM(_xlfn.XLOOKUP(Результат!C163,Таблица!A:A,Таблица!B:B,"Ошибка",0))</f>
        <v>S, M, L, XL</v>
      </c>
      <c r="E163" s="1" t="s">
        <v>550</v>
      </c>
      <c r="F163" t="str">
        <f t="shared" si="2"/>
        <v>Image_141.png</v>
      </c>
    </row>
    <row r="164" spans="2:6" ht="74.45" customHeight="1" x14ac:dyDescent="0.25">
      <c r="C164" s="1" t="s">
        <v>180</v>
      </c>
      <c r="D164" s="1" t="str">
        <f>TRIM(_xlfn.XLOOKUP(Результат!C164,Таблица!A:A,Таблица!B:B,"Ошибка",0))</f>
        <v>S, M, L, XL</v>
      </c>
      <c r="E164" s="1" t="s">
        <v>471</v>
      </c>
      <c r="F164">
        <f t="shared" si="2"/>
        <v>0</v>
      </c>
    </row>
    <row r="165" spans="2:6" ht="74.45" customHeight="1" x14ac:dyDescent="0.25">
      <c r="C165" s="1" t="s">
        <v>180</v>
      </c>
      <c r="D165" s="1" t="str">
        <f>TRIM(_xlfn.XLOOKUP(Результат!C165,Таблица!A:A,Таблица!B:B,"Ошибка",0))</f>
        <v>S, M, L, XL</v>
      </c>
      <c r="E165" s="1" t="s">
        <v>538</v>
      </c>
      <c r="F165">
        <f t="shared" si="2"/>
        <v>0</v>
      </c>
    </row>
    <row r="166" spans="2:6" ht="74.45" customHeight="1" x14ac:dyDescent="0.25">
      <c r="B166" t="s">
        <v>392</v>
      </c>
      <c r="C166" s="1" t="s">
        <v>177</v>
      </c>
      <c r="D166" s="1" t="str">
        <f>TRIM(_xlfn.XLOOKUP(Результат!C166,Таблица!A:A,Таблица!B:B,"Ошибка",0))</f>
        <v>S, M, L, XL</v>
      </c>
      <c r="E166" s="1" t="s">
        <v>9</v>
      </c>
      <c r="F166" t="str">
        <f t="shared" si="2"/>
        <v>Image_143.png</v>
      </c>
    </row>
    <row r="167" spans="2:6" ht="74.45" customHeight="1" x14ac:dyDescent="0.25">
      <c r="C167" s="1" t="s">
        <v>177</v>
      </c>
      <c r="D167" s="1" t="str">
        <f>TRIM(_xlfn.XLOOKUP(Результат!C167,Таблица!A:A,Таблица!B:B,"Ошибка",0))</f>
        <v>S, M, L, XL</v>
      </c>
      <c r="E167" s="1" t="s">
        <v>473</v>
      </c>
      <c r="F167" t="str">
        <f t="shared" si="2"/>
        <v>Image_144.png</v>
      </c>
    </row>
    <row r="168" spans="2:6" ht="74.45" customHeight="1" x14ac:dyDescent="0.25">
      <c r="B168" t="s">
        <v>393</v>
      </c>
      <c r="C168" s="1" t="s">
        <v>196</v>
      </c>
      <c r="D168" s="1" t="str">
        <f>TRIM(_xlfn.XLOOKUP(Результат!C168,Таблица!A:A,Таблица!B:B,"Ошибка",0))</f>
        <v>S, M, L, XL</v>
      </c>
      <c r="E168" s="1" t="s">
        <v>549</v>
      </c>
      <c r="F168" t="str">
        <f t="shared" si="2"/>
        <v>Image_146.png</v>
      </c>
    </row>
    <row r="169" spans="2:6" ht="74.45" customHeight="1" x14ac:dyDescent="0.25">
      <c r="C169" s="1" t="s">
        <v>196</v>
      </c>
      <c r="D169" s="1" t="str">
        <f>TRIM(_xlfn.XLOOKUP(Результат!C169,Таблица!A:A,Таблица!B:B,"Ошибка",0))</f>
        <v>S, M, L, XL</v>
      </c>
      <c r="E169" s="1" t="s">
        <v>546</v>
      </c>
      <c r="F169" t="str">
        <f t="shared" si="2"/>
        <v>Image_147.png</v>
      </c>
    </row>
    <row r="170" spans="2:6" ht="74.45" customHeight="1" x14ac:dyDescent="0.25">
      <c r="C170" s="1" t="s">
        <v>196</v>
      </c>
      <c r="D170" s="1" t="str">
        <f>TRIM(_xlfn.XLOOKUP(Результат!C170,Таблица!A:A,Таблица!B:B,"Ошибка",0))</f>
        <v>S, M, L, XL</v>
      </c>
      <c r="E170" s="1" t="s">
        <v>547</v>
      </c>
      <c r="F170">
        <f t="shared" si="2"/>
        <v>0</v>
      </c>
    </row>
    <row r="171" spans="2:6" ht="74.45" customHeight="1" x14ac:dyDescent="0.25">
      <c r="C171" s="1" t="s">
        <v>196</v>
      </c>
      <c r="D171" s="1" t="str">
        <f>TRIM(_xlfn.XLOOKUP(Результат!C171,Таблица!A:A,Таблица!B:B,"Ошибка",0))</f>
        <v>S, M, L, XL</v>
      </c>
      <c r="E171" s="1" t="s">
        <v>548</v>
      </c>
      <c r="F171">
        <f t="shared" si="2"/>
        <v>0</v>
      </c>
    </row>
    <row r="172" spans="2:6" ht="74.45" customHeight="1" x14ac:dyDescent="0.25">
      <c r="C172" s="1" t="s">
        <v>196</v>
      </c>
      <c r="D172" s="1" t="str">
        <f>TRIM(_xlfn.XLOOKUP(Результат!C172,Таблица!A:A,Таблица!B:B,"Ошибка",0))</f>
        <v>S, M, L, XL</v>
      </c>
      <c r="E172" s="1" t="s">
        <v>9</v>
      </c>
      <c r="F172">
        <f t="shared" si="2"/>
        <v>0</v>
      </c>
    </row>
    <row r="173" spans="2:6" ht="74.45" customHeight="1" x14ac:dyDescent="0.25">
      <c r="C173" s="1" t="s">
        <v>196</v>
      </c>
      <c r="D173" s="1" t="str">
        <f>TRIM(_xlfn.XLOOKUP(Результат!C173,Таблица!A:A,Таблица!B:B,"Ошибка",0))</f>
        <v>S, M, L, XL</v>
      </c>
      <c r="E173" s="1" t="s">
        <v>539</v>
      </c>
      <c r="F173">
        <f t="shared" si="2"/>
        <v>0</v>
      </c>
    </row>
    <row r="174" spans="2:6" ht="74.45" customHeight="1" x14ac:dyDescent="0.25">
      <c r="C174" s="1" t="s">
        <v>196</v>
      </c>
      <c r="D174" s="1" t="str">
        <f>TRIM(_xlfn.XLOOKUP(Результат!C174,Таблица!A:A,Таблица!B:B,"Ошибка",0))</f>
        <v>S, M, L, XL</v>
      </c>
      <c r="E174" s="1" t="s">
        <v>469</v>
      </c>
      <c r="F174">
        <f t="shared" si="2"/>
        <v>0</v>
      </c>
    </row>
    <row r="175" spans="2:6" ht="74.45" customHeight="1" x14ac:dyDescent="0.25">
      <c r="B175" t="s">
        <v>394</v>
      </c>
      <c r="C175" s="1" t="s">
        <v>200</v>
      </c>
      <c r="D175" s="1" t="str">
        <f>TRIM(_xlfn.XLOOKUP(Результат!C175,Таблица!A:A,Таблица!B:B,"Ошибка",0))</f>
        <v>S, M, L, XL</v>
      </c>
      <c r="E175" s="1" t="str">
        <f>TRIM(_xlfn.XLOOKUP(Результат!C175,Таблица!A:A,Таблица!E:E,"Ошибка",0))</f>
        <v>Medium Brown Mix</v>
      </c>
      <c r="F175" t="str">
        <f t="shared" si="2"/>
        <v>Image_150.png</v>
      </c>
    </row>
    <row r="176" spans="2:6" ht="74.45" customHeight="1" x14ac:dyDescent="0.25">
      <c r="B176" t="s">
        <v>395</v>
      </c>
      <c r="C176" s="1" t="s">
        <v>204</v>
      </c>
      <c r="D176" s="1" t="str">
        <f>TRIM(_xlfn.XLOOKUP(Результат!C176,Таблица!A:A,Таблица!B:B,"Ошибка",0))</f>
        <v>S, M, L, XL, XXL</v>
      </c>
      <c r="E176" s="1" t="s">
        <v>545</v>
      </c>
      <c r="F176" t="str">
        <f t="shared" si="2"/>
        <v>Image_153.png</v>
      </c>
    </row>
    <row r="177" spans="2:6" ht="74.45" customHeight="1" x14ac:dyDescent="0.25">
      <c r="C177" s="1" t="s">
        <v>204</v>
      </c>
      <c r="D177" s="1" t="str">
        <f>TRIM(_xlfn.XLOOKUP(Результат!C177,Таблица!A:A,Таблица!B:B,"Ошибка",0))</f>
        <v>S, M, L, XL, XXL</v>
      </c>
      <c r="E177" s="1" t="s">
        <v>514</v>
      </c>
      <c r="F177" t="str">
        <f t="shared" si="2"/>
        <v>Image_154.png</v>
      </c>
    </row>
    <row r="178" spans="2:6" ht="74.45" customHeight="1" x14ac:dyDescent="0.25">
      <c r="C178" s="1" t="s">
        <v>204</v>
      </c>
      <c r="D178" s="1" t="str">
        <f>TRIM(_xlfn.XLOOKUP(Результат!C178,Таблица!A:A,Таблица!B:B,"Ошибка",0))</f>
        <v>S, M, L, XL, XXL</v>
      </c>
      <c r="E178" s="1" t="s">
        <v>472</v>
      </c>
      <c r="F178">
        <f t="shared" si="2"/>
        <v>0</v>
      </c>
    </row>
    <row r="179" spans="2:6" ht="74.45" customHeight="1" x14ac:dyDescent="0.25">
      <c r="C179" s="1" t="s">
        <v>204</v>
      </c>
      <c r="D179" s="1" t="str">
        <f>TRIM(_xlfn.XLOOKUP(Результат!C179,Таблица!A:A,Таблица!B:B,"Ошибка",0))</f>
        <v>S, M, L, XL, XXL</v>
      </c>
      <c r="E179" s="1" t="s">
        <v>509</v>
      </c>
      <c r="F179">
        <f t="shared" si="2"/>
        <v>0</v>
      </c>
    </row>
    <row r="180" spans="2:6" ht="74.45" customHeight="1" x14ac:dyDescent="0.25">
      <c r="C180" s="1" t="s">
        <v>204</v>
      </c>
      <c r="D180" s="1" t="str">
        <f>TRIM(_xlfn.XLOOKUP(Результат!C180,Таблица!A:A,Таблица!B:B,"Ошибка",0))</f>
        <v>S, M, L, XL, XXL</v>
      </c>
      <c r="E180" s="1" t="s">
        <v>541</v>
      </c>
      <c r="F180">
        <f t="shared" si="2"/>
        <v>0</v>
      </c>
    </row>
    <row r="181" spans="2:6" ht="74.45" customHeight="1" x14ac:dyDescent="0.25">
      <c r="C181" s="1" t="s">
        <v>204</v>
      </c>
      <c r="D181" s="1" t="str">
        <f>TRIM(_xlfn.XLOOKUP(Результат!C181,Таблица!A:A,Таблица!B:B,"Ошибка",0))</f>
        <v>S, M, L, XL, XXL</v>
      </c>
      <c r="E181" s="1" t="s">
        <v>542</v>
      </c>
      <c r="F181">
        <f t="shared" si="2"/>
        <v>0</v>
      </c>
    </row>
    <row r="182" spans="2:6" ht="74.45" customHeight="1" x14ac:dyDescent="0.25">
      <c r="C182" s="1" t="s">
        <v>204</v>
      </c>
      <c r="D182" s="1" t="str">
        <f>TRIM(_xlfn.XLOOKUP(Результат!C182,Таблица!A:A,Таблица!B:B,"Ошибка",0))</f>
        <v>S, M, L, XL, XXL</v>
      </c>
      <c r="E182" s="1" t="s">
        <v>465</v>
      </c>
      <c r="F182">
        <f t="shared" si="2"/>
        <v>0</v>
      </c>
    </row>
    <row r="183" spans="2:6" ht="74.45" customHeight="1" x14ac:dyDescent="0.25">
      <c r="C183" s="1" t="s">
        <v>204</v>
      </c>
      <c r="D183" s="1" t="str">
        <f>TRIM(_xlfn.XLOOKUP(Результат!C183,Таблица!A:A,Таблица!B:B,"Ошибка",0))</f>
        <v>S, M, L, XL, XXL</v>
      </c>
      <c r="E183" s="1" t="s">
        <v>474</v>
      </c>
      <c r="F183">
        <f t="shared" si="2"/>
        <v>0</v>
      </c>
    </row>
    <row r="184" spans="2:6" ht="74.45" customHeight="1" x14ac:dyDescent="0.25">
      <c r="C184" s="1" t="s">
        <v>204</v>
      </c>
      <c r="D184" s="1" t="str">
        <f>TRIM(_xlfn.XLOOKUP(Результат!C184,Таблица!A:A,Таблица!B:B,"Ошибка",0))</f>
        <v>S, M, L, XL, XXL</v>
      </c>
      <c r="E184" s="1" t="s">
        <v>543</v>
      </c>
      <c r="F184">
        <f t="shared" si="2"/>
        <v>0</v>
      </c>
    </row>
    <row r="185" spans="2:6" ht="74.45" customHeight="1" x14ac:dyDescent="0.25">
      <c r="C185" s="1" t="s">
        <v>204</v>
      </c>
      <c r="D185" s="1" t="str">
        <f>TRIM(_xlfn.XLOOKUP(Результат!C185,Таблица!A:A,Таблица!B:B,"Ошибка",0))</f>
        <v>S, M, L, XL, XXL</v>
      </c>
      <c r="E185" s="1" t="s">
        <v>466</v>
      </c>
      <c r="F185">
        <f t="shared" si="2"/>
        <v>0</v>
      </c>
    </row>
    <row r="186" spans="2:6" ht="74.45" customHeight="1" x14ac:dyDescent="0.25">
      <c r="C186" s="1" t="s">
        <v>204</v>
      </c>
      <c r="D186" s="1" t="str">
        <f>TRIM(_xlfn.XLOOKUP(Результат!C186,Таблица!A:A,Таблица!B:B,"Ошибка",0))</f>
        <v>S, M, L, XL, XXL</v>
      </c>
      <c r="E186" s="1" t="s">
        <v>544</v>
      </c>
      <c r="F186">
        <f t="shared" si="2"/>
        <v>0</v>
      </c>
    </row>
    <row r="187" spans="2:6" ht="74.45" customHeight="1" x14ac:dyDescent="0.25">
      <c r="C187" s="1" t="s">
        <v>204</v>
      </c>
      <c r="D187" s="1" t="str">
        <f>TRIM(_xlfn.XLOOKUP(Результат!C187,Таблица!A:A,Таблица!B:B,"Ошибка",0))</f>
        <v>S, M, L, XL, XXL</v>
      </c>
      <c r="E187" s="1" t="s">
        <v>9</v>
      </c>
      <c r="F187">
        <f t="shared" si="2"/>
        <v>0</v>
      </c>
    </row>
    <row r="188" spans="2:6" ht="74.45" customHeight="1" x14ac:dyDescent="0.25">
      <c r="C188" s="1" t="s">
        <v>204</v>
      </c>
      <c r="D188" s="1" t="str">
        <f>TRIM(_xlfn.XLOOKUP(Результат!C188,Таблица!A:A,Таблица!B:B,"Ошибка",0))</f>
        <v>S, M, L, XL, XXL</v>
      </c>
      <c r="E188" s="1" t="s">
        <v>463</v>
      </c>
      <c r="F188">
        <f t="shared" si="2"/>
        <v>0</v>
      </c>
    </row>
    <row r="189" spans="2:6" ht="74.45" customHeight="1" x14ac:dyDescent="0.25">
      <c r="C189" s="1" t="s">
        <v>204</v>
      </c>
      <c r="D189" s="1" t="str">
        <f>TRIM(_xlfn.XLOOKUP(Результат!C189,Таблица!A:A,Таблица!B:B,"Ошибка",0))</f>
        <v>S, M, L, XL, XXL</v>
      </c>
      <c r="E189" s="1" t="s">
        <v>317</v>
      </c>
      <c r="F189">
        <f t="shared" si="2"/>
        <v>0</v>
      </c>
    </row>
    <row r="190" spans="2:6" ht="74.45" customHeight="1" x14ac:dyDescent="0.25">
      <c r="B190" t="s">
        <v>396</v>
      </c>
      <c r="C190" s="1" t="s">
        <v>208</v>
      </c>
      <c r="D190" s="1" t="str">
        <f>TRIM(_xlfn.XLOOKUP(Результат!C190,Таблица!A:A,Таблица!B:B,"Ошибка",0))</f>
        <v>S, M, L, XL</v>
      </c>
      <c r="E190" s="1" t="s">
        <v>9</v>
      </c>
      <c r="F190" t="str">
        <f t="shared" si="2"/>
        <v>Image_158.jpg</v>
      </c>
    </row>
    <row r="191" spans="2:6" ht="74.45" customHeight="1" x14ac:dyDescent="0.25">
      <c r="C191" s="1" t="s">
        <v>208</v>
      </c>
      <c r="D191" s="1" t="str">
        <f>TRIM(_xlfn.XLOOKUP(Результат!C191,Таблица!A:A,Таблица!B:B,"Ошибка",0))</f>
        <v>S, M, L, XL</v>
      </c>
      <c r="E191" s="1" t="s">
        <v>539</v>
      </c>
      <c r="F191" t="str">
        <f t="shared" si="2"/>
        <v>Image_159.jpg</v>
      </c>
    </row>
    <row r="192" spans="2:6" ht="74.45" customHeight="1" x14ac:dyDescent="0.25">
      <c r="C192" s="1" t="s">
        <v>208</v>
      </c>
      <c r="D192" s="1" t="str">
        <f>TRIM(_xlfn.XLOOKUP(Результат!C192,Таблица!A:A,Таблица!B:B,"Ошибка",0))</f>
        <v>S, M, L, XL</v>
      </c>
      <c r="E192" s="1" t="s">
        <v>540</v>
      </c>
      <c r="F192">
        <f t="shared" si="2"/>
        <v>0</v>
      </c>
    </row>
    <row r="193" spans="2:6" ht="74.45" customHeight="1" x14ac:dyDescent="0.25">
      <c r="B193" t="s">
        <v>397</v>
      </c>
      <c r="C193" s="1" t="s">
        <v>213</v>
      </c>
      <c r="D193" s="1" t="str">
        <f>TRIM(_xlfn.XLOOKUP(Результат!C193,Таблица!A:A,Таблица!B:B,"Ошибка",0))</f>
        <v>S, M, L, XL</v>
      </c>
      <c r="E193" s="1" t="s">
        <v>9</v>
      </c>
      <c r="F193" t="str">
        <f t="shared" si="2"/>
        <v>Image_161.png</v>
      </c>
    </row>
    <row r="194" spans="2:6" ht="74.45" customHeight="1" x14ac:dyDescent="0.25">
      <c r="C194" s="1" t="s">
        <v>213</v>
      </c>
      <c r="D194" s="1" t="str">
        <f>TRIM(_xlfn.XLOOKUP(Результат!C194,Таблица!A:A,Таблица!B:B,"Ошибка",0))</f>
        <v>S, M, L, XL</v>
      </c>
      <c r="E194" s="1" t="s">
        <v>456</v>
      </c>
      <c r="F194" t="str">
        <f t="shared" si="2"/>
        <v>Image_162.png</v>
      </c>
    </row>
    <row r="195" spans="2:6" ht="74.45" customHeight="1" x14ac:dyDescent="0.25">
      <c r="B195" t="s">
        <v>398</v>
      </c>
      <c r="C195" s="1" t="s">
        <v>218</v>
      </c>
      <c r="D195" s="1" t="str">
        <f>TRIM(_xlfn.XLOOKUP(Результат!C195,Таблица!A:A,Таблица!B:B,"Ошибка",0))</f>
        <v>S, M, L, XL</v>
      </c>
      <c r="E195" s="1" t="s">
        <v>517</v>
      </c>
      <c r="F195" t="str">
        <f t="shared" ref="F195:F258" si="3">IF(AND(B194&lt;&gt;"",B195=""),LEFT(B194,6)&amp;RIGHT("000"&amp;VALUE(MID(B194,FIND("_",B194)+1,3))+1,3)&amp;RIGHT(B194,4),B195)</f>
        <v>Image_164.jpg</v>
      </c>
    </row>
    <row r="196" spans="2:6" ht="74.45" customHeight="1" x14ac:dyDescent="0.25">
      <c r="C196" s="1" t="s">
        <v>218</v>
      </c>
      <c r="D196" s="1" t="str">
        <f>TRIM(_xlfn.XLOOKUP(Результат!C196,Таблица!A:A,Таблица!B:B,"Ошибка",0))</f>
        <v>S, M, L, XL</v>
      </c>
      <c r="E196" s="1" t="s">
        <v>9</v>
      </c>
      <c r="F196" t="str">
        <f t="shared" si="3"/>
        <v>Image_165.jpg</v>
      </c>
    </row>
    <row r="197" spans="2:6" ht="74.45" customHeight="1" x14ac:dyDescent="0.25">
      <c r="C197" s="1" t="s">
        <v>218</v>
      </c>
      <c r="D197" s="1" t="str">
        <f>TRIM(_xlfn.XLOOKUP(Результат!C197,Таблица!A:A,Таблица!B:B,"Ошибка",0))</f>
        <v>S, M, L, XL</v>
      </c>
      <c r="E197" s="1" t="s">
        <v>538</v>
      </c>
      <c r="F197">
        <f t="shared" si="3"/>
        <v>0</v>
      </c>
    </row>
    <row r="198" spans="2:6" ht="74.45" customHeight="1" x14ac:dyDescent="0.25">
      <c r="B198" t="s">
        <v>399</v>
      </c>
      <c r="C198" s="1" t="s">
        <v>220</v>
      </c>
      <c r="D198" s="1" t="str">
        <f>TRIM(_xlfn.XLOOKUP(Результат!C198,Таблица!A:A,Таблица!B:B,"Ошибка",0))</f>
        <v>S, M, L, XL</v>
      </c>
      <c r="E198" s="1" t="s">
        <v>9</v>
      </c>
      <c r="F198" t="str">
        <f t="shared" si="3"/>
        <v>Image_167.png</v>
      </c>
    </row>
    <row r="199" spans="2:6" ht="74.45" customHeight="1" x14ac:dyDescent="0.25">
      <c r="C199" s="1" t="s">
        <v>220</v>
      </c>
      <c r="D199" s="1" t="str">
        <f>TRIM(_xlfn.XLOOKUP(Результат!C199,Таблица!A:A,Таблица!B:B,"Ошибка",0))</f>
        <v>S, M, L, XL</v>
      </c>
      <c r="E199" s="1" t="s">
        <v>537</v>
      </c>
      <c r="F199" t="str">
        <f t="shared" si="3"/>
        <v>Image_168.png</v>
      </c>
    </row>
    <row r="200" spans="2:6" ht="74.45" customHeight="1" x14ac:dyDescent="0.25">
      <c r="C200" s="1" t="s">
        <v>220</v>
      </c>
      <c r="D200" s="1" t="str">
        <f>TRIM(_xlfn.XLOOKUP(Результат!C200,Таблица!A:A,Таблица!B:B,"Ошибка",0))</f>
        <v>S, M, L, XL</v>
      </c>
      <c r="E200" s="1" t="s">
        <v>456</v>
      </c>
      <c r="F200">
        <f t="shared" si="3"/>
        <v>0</v>
      </c>
    </row>
    <row r="201" spans="2:6" ht="74.45" customHeight="1" x14ac:dyDescent="0.25">
      <c r="B201" t="s">
        <v>400</v>
      </c>
      <c r="C201" s="1" t="s">
        <v>231</v>
      </c>
      <c r="D201" s="1" t="str">
        <f>TRIM(_xlfn.XLOOKUP(Результат!C201,Таблица!A:A,Таблица!B:B,"Ошибка",0))</f>
        <v>S, M, L, XL, XXL</v>
      </c>
      <c r="E201" s="1" t="s">
        <v>9</v>
      </c>
      <c r="F201" t="str">
        <f t="shared" si="3"/>
        <v>Image_170.jpg</v>
      </c>
    </row>
    <row r="202" spans="2:6" ht="74.45" customHeight="1" x14ac:dyDescent="0.25">
      <c r="C202" s="1" t="s">
        <v>231</v>
      </c>
      <c r="D202" s="1" t="str">
        <f>TRIM(_xlfn.XLOOKUP(Результат!C202,Таблица!A:A,Таблица!B:B,"Ошибка",0))</f>
        <v>S, M, L, XL, XXL</v>
      </c>
      <c r="E202" s="1" t="s">
        <v>459</v>
      </c>
      <c r="F202" t="str">
        <f t="shared" si="3"/>
        <v>Image_171.jpg</v>
      </c>
    </row>
    <row r="203" spans="2:6" ht="74.45" customHeight="1" x14ac:dyDescent="0.25">
      <c r="C203" s="1" t="s">
        <v>231</v>
      </c>
      <c r="D203" s="1" t="str">
        <f>TRIM(_xlfn.XLOOKUP(Результат!C203,Таблица!A:A,Таблица!B:B,"Ошибка",0))</f>
        <v>S, M, L, XL, XXL</v>
      </c>
      <c r="E203" s="1" t="s">
        <v>534</v>
      </c>
      <c r="F203">
        <f t="shared" si="3"/>
        <v>0</v>
      </c>
    </row>
    <row r="204" spans="2:6" ht="74.45" customHeight="1" x14ac:dyDescent="0.25">
      <c r="C204" s="1" t="s">
        <v>231</v>
      </c>
      <c r="D204" s="1" t="str">
        <f>TRIM(_xlfn.XLOOKUP(Результат!C204,Таблица!A:A,Таблица!B:B,"Ошибка",0))</f>
        <v>S, M, L, XL, XXL</v>
      </c>
      <c r="E204" s="1" t="s">
        <v>513</v>
      </c>
      <c r="F204">
        <f t="shared" si="3"/>
        <v>0</v>
      </c>
    </row>
    <row r="205" spans="2:6" ht="74.45" customHeight="1" x14ac:dyDescent="0.25">
      <c r="B205" t="s">
        <v>401</v>
      </c>
      <c r="C205" s="1" t="s">
        <v>226</v>
      </c>
      <c r="D205" s="1" t="str">
        <f>TRIM(_xlfn.XLOOKUP(Результат!C205,Таблица!A:A,Таблица!B:B,"Ошибка",0))</f>
        <v>S, M, L, XL, XXL</v>
      </c>
      <c r="E205" s="1" t="str">
        <f>TRIM(_xlfn.XLOOKUP(Результат!C205,Таблица!A:A,Таблица!E:E,"Ошибка",0))</f>
        <v>Black</v>
      </c>
      <c r="F205" t="str">
        <f t="shared" si="3"/>
        <v>Image_173.png</v>
      </c>
    </row>
    <row r="206" spans="2:6" ht="74.45" customHeight="1" x14ac:dyDescent="0.25">
      <c r="B206" t="s">
        <v>402</v>
      </c>
      <c r="C206" s="1" t="s">
        <v>227</v>
      </c>
      <c r="D206" s="1" t="str">
        <f>TRIM(_xlfn.XLOOKUP(Результат!C206,Таблица!A:A,Таблица!B:B,"Ошибка",0))</f>
        <v>S, M, L, XL</v>
      </c>
      <c r="E206" s="1" t="s">
        <v>9</v>
      </c>
      <c r="F206" t="str">
        <f t="shared" si="3"/>
        <v>Image_176.png</v>
      </c>
    </row>
    <row r="207" spans="2:6" ht="74.45" customHeight="1" x14ac:dyDescent="0.25">
      <c r="C207" s="1" t="s">
        <v>227</v>
      </c>
      <c r="D207" s="1" t="str">
        <f>TRIM(_xlfn.XLOOKUP(Результат!C207,Таблица!A:A,Таблица!B:B,"Ошибка",0))</f>
        <v>S, M, L, XL</v>
      </c>
      <c r="E207" s="1" t="s">
        <v>535</v>
      </c>
      <c r="F207" t="str">
        <f t="shared" si="3"/>
        <v>Image_177.png</v>
      </c>
    </row>
    <row r="208" spans="2:6" ht="74.45" customHeight="1" x14ac:dyDescent="0.25">
      <c r="C208" s="1" t="s">
        <v>227</v>
      </c>
      <c r="D208" s="1" t="str">
        <f>TRIM(_xlfn.XLOOKUP(Результат!C208,Таблица!A:A,Таблица!B:B,"Ошибка",0))</f>
        <v>S, M, L, XL</v>
      </c>
      <c r="E208" s="1" t="s">
        <v>536</v>
      </c>
      <c r="F208">
        <f t="shared" si="3"/>
        <v>0</v>
      </c>
    </row>
    <row r="209" spans="2:6" ht="74.45" customHeight="1" x14ac:dyDescent="0.25">
      <c r="C209" s="1" t="s">
        <v>227</v>
      </c>
      <c r="D209" s="1" t="str">
        <f>TRIM(_xlfn.XLOOKUP(Результат!C209,Таблица!A:A,Таблица!B:B,"Ошибка",0))</f>
        <v>S, M, L, XL</v>
      </c>
      <c r="E209" s="1" t="s">
        <v>509</v>
      </c>
      <c r="F209">
        <f t="shared" si="3"/>
        <v>0</v>
      </c>
    </row>
    <row r="210" spans="2:6" ht="74.45" customHeight="1" x14ac:dyDescent="0.25">
      <c r="B210" t="s">
        <v>403</v>
      </c>
      <c r="C210" s="1" t="s">
        <v>223</v>
      </c>
      <c r="D210" s="1" t="str">
        <f>TRIM(_xlfn.XLOOKUP(Результат!C210,Таблица!A:A,Таблица!B:B,"Ошибка",0))</f>
        <v>S, M, L, XL, XXL</v>
      </c>
      <c r="E210" s="1" t="str">
        <f>TRIM(_xlfn.XLOOKUP(Результат!C210,Таблица!A:A,Таблица!E:E,"Ошибка",0))</f>
        <v>Black</v>
      </c>
      <c r="F210" t="str">
        <f t="shared" si="3"/>
        <v>Image_179.png</v>
      </c>
    </row>
    <row r="211" spans="2:6" ht="74.45" customHeight="1" x14ac:dyDescent="0.25">
      <c r="B211" t="s">
        <v>404</v>
      </c>
      <c r="C211" s="1" t="s">
        <v>244</v>
      </c>
      <c r="D211" s="1" t="str">
        <f>TRIM(_xlfn.XLOOKUP(Результат!C211,Таблица!A:A,Таблица!B:B,"Ошибка",0))</f>
        <v>S, M, L, XL</v>
      </c>
      <c r="E211" s="1" t="s">
        <v>475</v>
      </c>
      <c r="F211" t="str">
        <f t="shared" si="3"/>
        <v>Image_182.png</v>
      </c>
    </row>
    <row r="212" spans="2:6" ht="74.45" customHeight="1" x14ac:dyDescent="0.25">
      <c r="C212" s="1" t="s">
        <v>244</v>
      </c>
      <c r="D212" s="1" t="str">
        <f>TRIM(_xlfn.XLOOKUP(Результат!C212,Таблица!A:A,Таблица!B:B,"Ошибка",0))</f>
        <v>S, M, L, XL</v>
      </c>
      <c r="E212" s="1" t="s">
        <v>9</v>
      </c>
      <c r="F212" t="str">
        <f t="shared" si="3"/>
        <v>Image_183.png</v>
      </c>
    </row>
    <row r="213" spans="2:6" ht="74.45" customHeight="1" x14ac:dyDescent="0.25">
      <c r="C213" s="1" t="s">
        <v>244</v>
      </c>
      <c r="D213" s="1" t="str">
        <f>TRIM(_xlfn.XLOOKUP(Результат!C213,Таблица!A:A,Таблица!B:B,"Ошибка",0))</f>
        <v>S, M, L, XL</v>
      </c>
      <c r="E213" s="1" t="s">
        <v>534</v>
      </c>
      <c r="F213">
        <f t="shared" si="3"/>
        <v>0</v>
      </c>
    </row>
    <row r="214" spans="2:6" ht="74.45" customHeight="1" x14ac:dyDescent="0.25">
      <c r="C214" s="1" t="s">
        <v>244</v>
      </c>
      <c r="D214" s="1" t="str">
        <f>TRIM(_xlfn.XLOOKUP(Результат!C214,Таблица!A:A,Таблица!B:B,"Ошибка",0))</f>
        <v>S, M, L, XL</v>
      </c>
      <c r="E214" s="1" t="s">
        <v>476</v>
      </c>
      <c r="F214">
        <f t="shared" si="3"/>
        <v>0</v>
      </c>
    </row>
    <row r="215" spans="2:6" ht="74.45" customHeight="1" x14ac:dyDescent="0.25">
      <c r="C215" s="1" t="s">
        <v>244</v>
      </c>
      <c r="D215" s="1" t="str">
        <f>TRIM(_xlfn.XLOOKUP(Результат!C215,Таблица!A:A,Таблица!B:B,"Ошибка",0))</f>
        <v>S, M, L, XL</v>
      </c>
      <c r="E215" s="1" t="s">
        <v>509</v>
      </c>
      <c r="F215">
        <f t="shared" si="3"/>
        <v>0</v>
      </c>
    </row>
    <row r="216" spans="2:6" ht="74.45" customHeight="1" x14ac:dyDescent="0.25">
      <c r="B216" t="s">
        <v>405</v>
      </c>
      <c r="C216" s="1" t="s">
        <v>238</v>
      </c>
      <c r="D216" s="1" t="str">
        <f>TRIM(_xlfn.XLOOKUP(Результат!C216,Таблица!A:A,Таблица!B:B,"Ошибка",0))</f>
        <v>S, M, L, XL</v>
      </c>
      <c r="E216" s="1" t="s">
        <v>9</v>
      </c>
      <c r="F216" t="str">
        <f t="shared" si="3"/>
        <v>Image_185.jpg</v>
      </c>
    </row>
    <row r="217" spans="2:6" ht="74.45" customHeight="1" x14ac:dyDescent="0.25">
      <c r="C217" s="1" t="s">
        <v>238</v>
      </c>
      <c r="D217" s="1" t="str">
        <f>TRIM(_xlfn.XLOOKUP(Результат!C217,Таблица!A:A,Таблица!B:B,"Ошибка",0))</f>
        <v>S, M, L, XL</v>
      </c>
      <c r="E217" s="1" t="s">
        <v>477</v>
      </c>
      <c r="F217" t="str">
        <f t="shared" si="3"/>
        <v>Image_186.jpg</v>
      </c>
    </row>
    <row r="218" spans="2:6" ht="74.45" customHeight="1" x14ac:dyDescent="0.25">
      <c r="B218" t="s">
        <v>406</v>
      </c>
      <c r="C218" s="1" t="s">
        <v>234</v>
      </c>
      <c r="D218" s="1" t="str">
        <f>TRIM(_xlfn.XLOOKUP(Результат!C218,Таблица!A:A,Таблица!B:B,"Ошибка",0))</f>
        <v>S, M, L, XL</v>
      </c>
      <c r="E218" s="1" t="s">
        <v>9</v>
      </c>
      <c r="F218" t="str">
        <f t="shared" si="3"/>
        <v>Image_188.png</v>
      </c>
    </row>
    <row r="219" spans="2:6" ht="74.45" customHeight="1" x14ac:dyDescent="0.25">
      <c r="C219" s="1" t="s">
        <v>234</v>
      </c>
      <c r="D219" s="1" t="str">
        <f>TRIM(_xlfn.XLOOKUP(Результат!C219,Таблица!A:A,Таблица!B:B,"Ошибка",0))</f>
        <v>S, M, L, XL</v>
      </c>
      <c r="E219" s="1" t="s">
        <v>532</v>
      </c>
      <c r="F219" t="str">
        <f t="shared" si="3"/>
        <v>Image_189.png</v>
      </c>
    </row>
    <row r="220" spans="2:6" ht="74.45" customHeight="1" x14ac:dyDescent="0.25">
      <c r="C220" s="1" t="s">
        <v>234</v>
      </c>
      <c r="D220" s="1" t="str">
        <f>TRIM(_xlfn.XLOOKUP(Результат!C220,Таблица!A:A,Таблица!B:B,"Ошибка",0))</f>
        <v>S, M, L, XL</v>
      </c>
      <c r="E220" s="1" t="s">
        <v>509</v>
      </c>
      <c r="F220">
        <f t="shared" si="3"/>
        <v>0</v>
      </c>
    </row>
    <row r="221" spans="2:6" ht="74.45" customHeight="1" x14ac:dyDescent="0.25">
      <c r="C221" s="1" t="s">
        <v>234</v>
      </c>
      <c r="D221" s="1" t="str">
        <f>TRIM(_xlfn.XLOOKUP(Результат!C221,Таблица!A:A,Таблица!B:B,"Ошибка",0))</f>
        <v>S, M, L, XL</v>
      </c>
      <c r="E221" s="1" t="s">
        <v>533</v>
      </c>
      <c r="F221">
        <f t="shared" si="3"/>
        <v>0</v>
      </c>
    </row>
    <row r="222" spans="2:6" ht="74.45" customHeight="1" x14ac:dyDescent="0.25">
      <c r="B222" t="s">
        <v>407</v>
      </c>
      <c r="C222" s="1" t="s">
        <v>246</v>
      </c>
      <c r="D222" s="1" t="str">
        <f>TRIM(_xlfn.XLOOKUP(Результат!C222,Таблица!A:A,Таблица!B:B,"Ошибка",0))</f>
        <v>S, M, L, XL</v>
      </c>
      <c r="E222" s="1" t="s">
        <v>9</v>
      </c>
      <c r="F222" t="str">
        <f t="shared" si="3"/>
        <v>Image_191.png</v>
      </c>
    </row>
    <row r="223" spans="2:6" ht="74.45" customHeight="1" x14ac:dyDescent="0.25">
      <c r="C223" s="1" t="s">
        <v>246</v>
      </c>
      <c r="D223" s="1" t="str">
        <f>TRIM(_xlfn.XLOOKUP(Результат!C223,Таблица!A:A,Таблица!B:B,"Ошибка",0))</f>
        <v>S, M, L, XL</v>
      </c>
      <c r="E223" s="1" t="s">
        <v>478</v>
      </c>
      <c r="F223" t="str">
        <f t="shared" si="3"/>
        <v>Image_192.png</v>
      </c>
    </row>
    <row r="224" spans="2:6" ht="74.45" customHeight="1" x14ac:dyDescent="0.25">
      <c r="C224" s="1" t="s">
        <v>246</v>
      </c>
      <c r="D224" s="1" t="str">
        <f>TRIM(_xlfn.XLOOKUP(Результат!C224,Таблица!A:A,Таблица!B:B,"Ошибка",0))</f>
        <v>S, M, L, XL</v>
      </c>
      <c r="E224" s="1" t="s">
        <v>461</v>
      </c>
      <c r="F224">
        <f t="shared" si="3"/>
        <v>0</v>
      </c>
    </row>
    <row r="225" spans="2:6" ht="74.45" customHeight="1" x14ac:dyDescent="0.25">
      <c r="B225" t="s">
        <v>408</v>
      </c>
      <c r="C225" s="1" t="s">
        <v>253</v>
      </c>
      <c r="D225" s="1" t="str">
        <f>TRIM(_xlfn.XLOOKUP(Результат!C225,Таблица!A:A,Таблица!B:B,"Ошибка",0))</f>
        <v>S, M, L, XL</v>
      </c>
      <c r="E225" s="1" t="s">
        <v>513</v>
      </c>
      <c r="F225" t="str">
        <f t="shared" si="3"/>
        <v>Image_194.jpg</v>
      </c>
    </row>
    <row r="226" spans="2:6" ht="74.45" customHeight="1" x14ac:dyDescent="0.25">
      <c r="C226" s="1" t="s">
        <v>253</v>
      </c>
      <c r="D226" s="1" t="str">
        <f>TRIM(_xlfn.XLOOKUP(Результат!C226,Таблица!A:A,Таблица!B:B,"Ошибка",0))</f>
        <v>S, M, L, XL</v>
      </c>
      <c r="E226" s="1" t="s">
        <v>458</v>
      </c>
      <c r="F226" t="str">
        <f t="shared" si="3"/>
        <v>Image_195.jpg</v>
      </c>
    </row>
    <row r="227" spans="2:6" ht="74.45" customHeight="1" x14ac:dyDescent="0.25">
      <c r="B227" t="s">
        <v>409</v>
      </c>
      <c r="C227" s="1" t="s">
        <v>257</v>
      </c>
      <c r="D227" s="1" t="str">
        <f>TRIM(_xlfn.XLOOKUP(Результат!C227,Таблица!A:A,Таблица!B:B,"Ошибка",0))</f>
        <v>S, M, L, XL</v>
      </c>
      <c r="E227" s="1" t="s">
        <v>9</v>
      </c>
      <c r="F227" t="str">
        <f t="shared" si="3"/>
        <v>Image_197.png</v>
      </c>
    </row>
    <row r="228" spans="2:6" ht="74.45" customHeight="1" x14ac:dyDescent="0.25">
      <c r="C228" s="1" t="s">
        <v>257</v>
      </c>
      <c r="D228" s="1" t="str">
        <f>TRIM(_xlfn.XLOOKUP(Результат!C228,Таблица!A:A,Таблица!B:B,"Ошибка",0))</f>
        <v>S, M, L, XL</v>
      </c>
      <c r="E228" s="1" t="s">
        <v>509</v>
      </c>
      <c r="F228" t="str">
        <f t="shared" si="3"/>
        <v>Image_198.png</v>
      </c>
    </row>
    <row r="229" spans="2:6" ht="74.45" customHeight="1" x14ac:dyDescent="0.25">
      <c r="B229" t="s">
        <v>410</v>
      </c>
      <c r="C229" s="1" t="s">
        <v>260</v>
      </c>
      <c r="D229" s="1" t="str">
        <f>TRIM(_xlfn.XLOOKUP(Результат!C229,Таблица!A:A,Таблица!B:B,"Ошибка",0))</f>
        <v>6 3/4, 6 7/8, 7, 7 1/8, 7 1/4, 7 3/8, 7 1/2, 7 5/8</v>
      </c>
      <c r="E229" s="1" t="str">
        <f>TRIM(_xlfn.XLOOKUP(Результат!C229,Таблица!A:A,Таблица!E:E,"Ошибка",0))</f>
        <v>Black</v>
      </c>
      <c r="F229" t="str">
        <f t="shared" si="3"/>
        <v>Image_200.png</v>
      </c>
    </row>
    <row r="230" spans="2:6" ht="74.45" customHeight="1" x14ac:dyDescent="0.25">
      <c r="B230" t="s">
        <v>411</v>
      </c>
      <c r="C230" s="1" t="s">
        <v>270</v>
      </c>
      <c r="D230" s="1" t="str">
        <f>TRIM(_xlfn.XLOOKUP(Результат!C230,Таблица!A:A,Таблица!B:B,"Ошибка",0))</f>
        <v>S, M, L, XL, XXL</v>
      </c>
      <c r="E230" s="1" t="s">
        <v>9</v>
      </c>
      <c r="F230" t="str">
        <f t="shared" si="3"/>
        <v>Image_203.png</v>
      </c>
    </row>
    <row r="231" spans="2:6" ht="74.45" customHeight="1" x14ac:dyDescent="0.25">
      <c r="C231" s="1" t="s">
        <v>270</v>
      </c>
      <c r="D231" s="1" t="str">
        <f>TRIM(_xlfn.XLOOKUP(Результат!C231,Таблица!A:A,Таблица!B:B,"Ошибка",0))</f>
        <v>S, M, L, XL, XXL</v>
      </c>
      <c r="E231" s="1" t="s">
        <v>317</v>
      </c>
      <c r="F231" t="str">
        <f t="shared" si="3"/>
        <v>Image_204.png</v>
      </c>
    </row>
    <row r="232" spans="2:6" ht="74.45" customHeight="1" x14ac:dyDescent="0.25">
      <c r="C232" s="1" t="s">
        <v>270</v>
      </c>
      <c r="D232" s="1" t="str">
        <f>TRIM(_xlfn.XLOOKUP(Результат!C232,Таблица!A:A,Таблица!B:B,"Ошибка",0))</f>
        <v>S, M, L, XL, XXL</v>
      </c>
      <c r="E232" s="1" t="s">
        <v>531</v>
      </c>
      <c r="F232">
        <f t="shared" si="3"/>
        <v>0</v>
      </c>
    </row>
    <row r="233" spans="2:6" ht="74.45" customHeight="1" x14ac:dyDescent="0.25">
      <c r="B233" t="s">
        <v>412</v>
      </c>
      <c r="C233" s="1" t="s">
        <v>263</v>
      </c>
      <c r="D233" s="1" t="str">
        <f>TRIM(_xlfn.XLOOKUP(Результат!C233,Таблица!A:A,Таблица!B:B,"Ошибка",0))</f>
        <v>6 3/4, 6 7/8, 7, 7 1/8, 7 1/4, 7 3/8, 7 1/2, 7 5/8</v>
      </c>
      <c r="E233" s="1" t="s">
        <v>9</v>
      </c>
      <c r="F233" t="str">
        <f t="shared" si="3"/>
        <v>Image_206.png</v>
      </c>
    </row>
    <row r="234" spans="2:6" ht="74.45" customHeight="1" x14ac:dyDescent="0.25">
      <c r="C234" s="1" t="s">
        <v>263</v>
      </c>
      <c r="D234" s="1" t="str">
        <f>TRIM(_xlfn.XLOOKUP(Результат!C234,Таблица!A:A,Таблица!B:B,"Ошибка",0))</f>
        <v>6 3/4, 6 7/8, 7, 7 1/8, 7 1/4, 7 3/8, 7 1/2, 7 5/8</v>
      </c>
      <c r="E234" s="1" t="s">
        <v>530</v>
      </c>
      <c r="F234" t="str">
        <f t="shared" si="3"/>
        <v>Image_207.png</v>
      </c>
    </row>
    <row r="235" spans="2:6" ht="74.45" customHeight="1" x14ac:dyDescent="0.25">
      <c r="B235" t="s">
        <v>413</v>
      </c>
      <c r="C235" s="1" t="s">
        <v>267</v>
      </c>
      <c r="D235" s="1" t="str">
        <f>TRIM(_xlfn.XLOOKUP(Результат!C235,Таблица!A:A,Таблица!B:B,"Ошибка",0))</f>
        <v>S, M, L, XL</v>
      </c>
      <c r="E235" s="1" t="str">
        <f>TRIM(_xlfn.XLOOKUP(Результат!C235,Таблица!A:A,Таблица!E:E,"Ошибка",0))</f>
        <v>Black</v>
      </c>
      <c r="F235" t="str">
        <f t="shared" si="3"/>
        <v>Image_209.png</v>
      </c>
    </row>
    <row r="236" spans="2:6" ht="74.45" customHeight="1" x14ac:dyDescent="0.25">
      <c r="B236" t="s">
        <v>414</v>
      </c>
      <c r="C236" s="1" t="s">
        <v>272</v>
      </c>
      <c r="D236" s="1" t="str">
        <f>TRIM(_xlfn.XLOOKUP(Результат!C236,Таблица!A:A,Таблица!B:B,"Ошибка",0))</f>
        <v>S, M, L, XL, XXL</v>
      </c>
      <c r="E236" s="1" t="s">
        <v>529</v>
      </c>
      <c r="F236" t="str">
        <f t="shared" si="3"/>
        <v>Image_212.png</v>
      </c>
    </row>
    <row r="237" spans="2:6" ht="74.45" customHeight="1" x14ac:dyDescent="0.25">
      <c r="C237" s="1" t="s">
        <v>272</v>
      </c>
      <c r="D237" s="1" t="str">
        <f>TRIM(_xlfn.XLOOKUP(Результат!C237,Таблица!A:A,Таблица!B:B,"Ошибка",0))</f>
        <v>S, M, L, XL, XXL</v>
      </c>
      <c r="E237" s="1" t="s">
        <v>524</v>
      </c>
      <c r="F237" t="str">
        <f t="shared" si="3"/>
        <v>Image_213.png</v>
      </c>
    </row>
    <row r="238" spans="2:6" ht="74.45" customHeight="1" x14ac:dyDescent="0.25">
      <c r="C238" s="1" t="s">
        <v>272</v>
      </c>
      <c r="D238" s="1" t="str">
        <f>TRIM(_xlfn.XLOOKUP(Результат!C238,Таблица!A:A,Таблица!B:B,"Ошибка",0))</f>
        <v>S, M, L, XL, XXL</v>
      </c>
      <c r="E238" s="1" t="s">
        <v>509</v>
      </c>
      <c r="F238">
        <f t="shared" si="3"/>
        <v>0</v>
      </c>
    </row>
    <row r="239" spans="2:6" ht="74.45" customHeight="1" x14ac:dyDescent="0.25">
      <c r="C239" s="1" t="s">
        <v>272</v>
      </c>
      <c r="D239" s="1" t="str">
        <f>TRIM(_xlfn.XLOOKUP(Результат!C239,Таблица!A:A,Таблица!B:B,"Ошибка",0))</f>
        <v>S, M, L, XL, XXL</v>
      </c>
      <c r="E239" s="1" t="s">
        <v>525</v>
      </c>
      <c r="F239">
        <f t="shared" si="3"/>
        <v>0</v>
      </c>
    </row>
    <row r="240" spans="2:6" ht="74.45" customHeight="1" x14ac:dyDescent="0.25">
      <c r="C240" s="1" t="s">
        <v>272</v>
      </c>
      <c r="D240" s="1" t="str">
        <f>TRIM(_xlfn.XLOOKUP(Результат!C240,Таблица!A:A,Таблица!B:B,"Ошибка",0))</f>
        <v>S, M, L, XL, XXL</v>
      </c>
      <c r="E240" s="1" t="s">
        <v>510</v>
      </c>
      <c r="F240">
        <f t="shared" si="3"/>
        <v>0</v>
      </c>
    </row>
    <row r="241" spans="2:6" ht="74.45" customHeight="1" x14ac:dyDescent="0.25">
      <c r="C241" s="1" t="s">
        <v>272</v>
      </c>
      <c r="D241" s="1" t="str">
        <f>TRIM(_xlfn.XLOOKUP(Результат!C241,Таблица!A:A,Таблица!B:B,"Ошибка",0))</f>
        <v>S, M, L, XL, XXL</v>
      </c>
      <c r="E241" s="1" t="s">
        <v>526</v>
      </c>
      <c r="F241">
        <f t="shared" si="3"/>
        <v>0</v>
      </c>
    </row>
    <row r="242" spans="2:6" ht="74.45" customHeight="1" x14ac:dyDescent="0.25">
      <c r="C242" s="1" t="s">
        <v>272</v>
      </c>
      <c r="D242" s="1" t="str">
        <f>TRIM(_xlfn.XLOOKUP(Результат!C242,Таблица!A:A,Таблица!B:B,"Ошибка",0))</f>
        <v>S, M, L, XL, XXL</v>
      </c>
      <c r="E242" s="1" t="s">
        <v>9</v>
      </c>
      <c r="F242">
        <f t="shared" si="3"/>
        <v>0</v>
      </c>
    </row>
    <row r="243" spans="2:6" ht="74.45" customHeight="1" x14ac:dyDescent="0.25">
      <c r="C243" s="1" t="s">
        <v>272</v>
      </c>
      <c r="D243" s="1" t="str">
        <f>TRIM(_xlfn.XLOOKUP(Результат!C243,Таблица!A:A,Таблица!B:B,"Ошибка",0))</f>
        <v>S, M, L, XL, XXL</v>
      </c>
      <c r="E243" s="1" t="s">
        <v>527</v>
      </c>
      <c r="F243">
        <f t="shared" si="3"/>
        <v>0</v>
      </c>
    </row>
    <row r="244" spans="2:6" ht="74.45" customHeight="1" x14ac:dyDescent="0.25">
      <c r="C244" s="1" t="s">
        <v>272</v>
      </c>
      <c r="D244" s="1" t="str">
        <f>TRIM(_xlfn.XLOOKUP(Результат!C244,Таблица!A:A,Таблица!B:B,"Ошибка",0))</f>
        <v>S, M, L, XL, XXL</v>
      </c>
      <c r="E244" s="1" t="s">
        <v>479</v>
      </c>
      <c r="F244">
        <f t="shared" si="3"/>
        <v>0</v>
      </c>
    </row>
    <row r="245" spans="2:6" ht="74.45" customHeight="1" x14ac:dyDescent="0.25">
      <c r="C245" s="1" t="s">
        <v>272</v>
      </c>
      <c r="D245" s="1" t="str">
        <f>TRIM(_xlfn.XLOOKUP(Результат!C245,Таблица!A:A,Таблица!B:B,"Ошибка",0))</f>
        <v>S, M, L, XL, XXL</v>
      </c>
      <c r="E245" s="1" t="s">
        <v>528</v>
      </c>
      <c r="F245">
        <f t="shared" si="3"/>
        <v>0</v>
      </c>
    </row>
    <row r="246" spans="2:6" ht="74.45" customHeight="1" x14ac:dyDescent="0.25">
      <c r="B246" t="s">
        <v>415</v>
      </c>
      <c r="C246" s="1" t="s">
        <v>278</v>
      </c>
      <c r="D246" s="1" t="str">
        <f>TRIM(_xlfn.XLOOKUP(Результат!C246,Таблица!A:A,Таблица!B:B,"Ошибка",0))</f>
        <v>S, M, L, XL, XXL</v>
      </c>
      <c r="E246" s="1" t="s">
        <v>483</v>
      </c>
      <c r="F246" t="str">
        <f t="shared" si="3"/>
        <v>Image_216.png</v>
      </c>
    </row>
    <row r="247" spans="2:6" ht="74.45" customHeight="1" x14ac:dyDescent="0.25">
      <c r="C247" s="1" t="s">
        <v>278</v>
      </c>
      <c r="D247" s="1" t="str">
        <f>TRIM(_xlfn.XLOOKUP(Результат!C247,Таблица!A:A,Таблица!B:B,"Ошибка",0))</f>
        <v>S, M, L, XL, XXL</v>
      </c>
      <c r="E247" s="1" t="s">
        <v>484</v>
      </c>
      <c r="F247" t="str">
        <f t="shared" si="3"/>
        <v>Image_217.png</v>
      </c>
    </row>
    <row r="248" spans="2:6" ht="74.45" customHeight="1" x14ac:dyDescent="0.25">
      <c r="C248" s="1" t="s">
        <v>278</v>
      </c>
      <c r="D248" s="1" t="str">
        <f>TRIM(_xlfn.XLOOKUP(Результат!C248,Таблица!A:A,Таблица!B:B,"Ошибка",0))</f>
        <v>S, M, L, XL, XXL</v>
      </c>
      <c r="E248" s="1" t="s">
        <v>522</v>
      </c>
      <c r="F248">
        <f t="shared" si="3"/>
        <v>0</v>
      </c>
    </row>
    <row r="249" spans="2:6" ht="74.45" customHeight="1" x14ac:dyDescent="0.25">
      <c r="C249" s="1" t="s">
        <v>278</v>
      </c>
      <c r="D249" s="1" t="str">
        <f>TRIM(_xlfn.XLOOKUP(Результат!C249,Таблица!A:A,Таблица!B:B,"Ошибка",0))</f>
        <v>S, M, L, XL, XXL</v>
      </c>
      <c r="E249" s="1" t="s">
        <v>523</v>
      </c>
      <c r="F249">
        <f t="shared" si="3"/>
        <v>0</v>
      </c>
    </row>
    <row r="250" spans="2:6" ht="74.45" customHeight="1" x14ac:dyDescent="0.25">
      <c r="C250" s="1" t="s">
        <v>278</v>
      </c>
      <c r="D250" s="1" t="str">
        <f>TRIM(_xlfn.XLOOKUP(Результат!C250,Таблица!A:A,Таблица!B:B,"Ошибка",0))</f>
        <v>S, M, L, XL, XXL</v>
      </c>
      <c r="E250" s="1" t="s">
        <v>482</v>
      </c>
      <c r="F250">
        <f t="shared" si="3"/>
        <v>0</v>
      </c>
    </row>
    <row r="251" spans="2:6" ht="74.45" customHeight="1" x14ac:dyDescent="0.25">
      <c r="C251" s="1" t="s">
        <v>278</v>
      </c>
      <c r="D251" s="1" t="str">
        <f>TRIM(_xlfn.XLOOKUP(Результат!C251,Таблица!A:A,Таблица!B:B,"Ошибка",0))</f>
        <v>S, M, L, XL, XXL</v>
      </c>
      <c r="E251" s="1" t="s">
        <v>485</v>
      </c>
      <c r="F251">
        <f t="shared" si="3"/>
        <v>0</v>
      </c>
    </row>
    <row r="252" spans="2:6" ht="74.45" customHeight="1" x14ac:dyDescent="0.25">
      <c r="C252" s="1" t="s">
        <v>278</v>
      </c>
      <c r="D252" s="1" t="str">
        <f>TRIM(_xlfn.XLOOKUP(Результат!C252,Таблица!A:A,Таблица!B:B,"Ошибка",0))</f>
        <v>S, M, L, XL, XXL</v>
      </c>
      <c r="E252" s="1" t="s">
        <v>479</v>
      </c>
      <c r="F252">
        <f t="shared" si="3"/>
        <v>0</v>
      </c>
    </row>
    <row r="253" spans="2:6" ht="74.45" customHeight="1" x14ac:dyDescent="0.25">
      <c r="C253" s="1" t="s">
        <v>278</v>
      </c>
      <c r="D253" s="1" t="str">
        <f>TRIM(_xlfn.XLOOKUP(Результат!C253,Таблица!A:A,Таблица!B:B,"Ошибка",0))</f>
        <v>S, M, L, XL, XXL</v>
      </c>
      <c r="E253" s="1" t="s">
        <v>486</v>
      </c>
      <c r="F253">
        <f t="shared" si="3"/>
        <v>0</v>
      </c>
    </row>
    <row r="254" spans="2:6" ht="74.45" customHeight="1" x14ac:dyDescent="0.25">
      <c r="C254" s="1" t="s">
        <v>278</v>
      </c>
      <c r="D254" s="1" t="str">
        <f>TRIM(_xlfn.XLOOKUP(Результат!C254,Таблица!A:A,Таблица!B:B,"Ошибка",0))</f>
        <v>S, M, L, XL, XXL</v>
      </c>
      <c r="E254" s="1" t="s">
        <v>488</v>
      </c>
      <c r="F254">
        <f t="shared" si="3"/>
        <v>0</v>
      </c>
    </row>
    <row r="255" spans="2:6" ht="74.45" customHeight="1" x14ac:dyDescent="0.25">
      <c r="C255" s="1" t="s">
        <v>278</v>
      </c>
      <c r="D255" s="1" t="str">
        <f>TRIM(_xlfn.XLOOKUP(Результат!C255,Таблица!A:A,Таблица!B:B,"Ошибка",0))</f>
        <v>S, M, L, XL, XXL</v>
      </c>
      <c r="E255" s="1" t="s">
        <v>487</v>
      </c>
      <c r="F255">
        <f t="shared" si="3"/>
        <v>0</v>
      </c>
    </row>
    <row r="256" spans="2:6" ht="74.45" customHeight="1" x14ac:dyDescent="0.25">
      <c r="C256" s="1" t="s">
        <v>278</v>
      </c>
      <c r="D256" s="1" t="str">
        <f>TRIM(_xlfn.XLOOKUP(Результат!C256,Таблица!A:A,Таблица!B:B,"Ошибка",0))</f>
        <v>S, M, L, XL, XXL</v>
      </c>
      <c r="E256" s="1" t="s">
        <v>480</v>
      </c>
      <c r="F256">
        <f t="shared" si="3"/>
        <v>0</v>
      </c>
    </row>
    <row r="257" spans="2:6" ht="74.45" customHeight="1" x14ac:dyDescent="0.25">
      <c r="C257" s="1" t="s">
        <v>278</v>
      </c>
      <c r="D257" s="1" t="str">
        <f>TRIM(_xlfn.XLOOKUP(Результат!C257,Таблица!A:A,Таблица!B:B,"Ошибка",0))</f>
        <v>S, M, L, XL, XXL</v>
      </c>
      <c r="E257" s="1" t="s">
        <v>481</v>
      </c>
      <c r="F257">
        <f t="shared" si="3"/>
        <v>0</v>
      </c>
    </row>
    <row r="258" spans="2:6" ht="74.45" customHeight="1" x14ac:dyDescent="0.25">
      <c r="B258" t="s">
        <v>416</v>
      </c>
      <c r="C258" s="1" t="s">
        <v>281</v>
      </c>
      <c r="D258" s="1" t="str">
        <f>TRIM(_xlfn.XLOOKUP(Результат!C258,Таблица!A:A,Таблица!B:B,"Ошибка",0))</f>
        <v>S, M, L, XL</v>
      </c>
      <c r="E258" s="1" t="s">
        <v>9</v>
      </c>
      <c r="F258" t="str">
        <f t="shared" si="3"/>
        <v>Image_221.png</v>
      </c>
    </row>
    <row r="259" spans="2:6" ht="74.45" customHeight="1" x14ac:dyDescent="0.25">
      <c r="C259" s="1" t="s">
        <v>281</v>
      </c>
      <c r="D259" s="1" t="str">
        <f>TRIM(_xlfn.XLOOKUP(Результат!C259,Таблица!A:A,Таблица!B:B,"Ошибка",0))</f>
        <v>S, M, L, XL</v>
      </c>
      <c r="E259" s="1" t="s">
        <v>520</v>
      </c>
      <c r="F259" t="str">
        <f t="shared" ref="F259:F311" si="4">IF(AND(B258&lt;&gt;"",B259=""),LEFT(B258,6)&amp;RIGHT("000"&amp;VALUE(MID(B258,FIND("_",B258)+1,3))+1,3)&amp;RIGHT(B258,4),B259)</f>
        <v>Image_222.png</v>
      </c>
    </row>
    <row r="260" spans="2:6" ht="74.45" customHeight="1" x14ac:dyDescent="0.25">
      <c r="C260" s="1" t="s">
        <v>281</v>
      </c>
      <c r="D260" s="1" t="str">
        <f>TRIM(_xlfn.XLOOKUP(Результат!C260,Таблица!A:A,Таблица!B:B,"Ошибка",0))</f>
        <v>S, M, L, XL</v>
      </c>
      <c r="E260" s="1" t="s">
        <v>521</v>
      </c>
      <c r="F260">
        <f t="shared" si="4"/>
        <v>0</v>
      </c>
    </row>
    <row r="261" spans="2:6" ht="74.45" customHeight="1" x14ac:dyDescent="0.25">
      <c r="B261" t="s">
        <v>417</v>
      </c>
      <c r="C261" s="1" t="s">
        <v>289</v>
      </c>
      <c r="D261" s="1" t="str">
        <f>TRIM(_xlfn.XLOOKUP(Результат!C261,Таблица!A:A,Таблица!B:B,"Ошибка",0))</f>
        <v>S, M, L, XL</v>
      </c>
      <c r="E261" s="1" t="s">
        <v>9</v>
      </c>
      <c r="F261" t="str">
        <f t="shared" si="4"/>
        <v>Image_224.png</v>
      </c>
    </row>
    <row r="262" spans="2:6" ht="74.45" customHeight="1" x14ac:dyDescent="0.25">
      <c r="C262" s="1" t="s">
        <v>289</v>
      </c>
      <c r="D262" s="1" t="str">
        <f>TRIM(_xlfn.XLOOKUP(Результат!C262,Таблица!A:A,Таблица!B:B,"Ошибка",0))</f>
        <v>S, M, L, XL</v>
      </c>
      <c r="E262" s="1" t="s">
        <v>520</v>
      </c>
      <c r="F262" t="str">
        <f t="shared" si="4"/>
        <v>Image_225.png</v>
      </c>
    </row>
    <row r="263" spans="2:6" ht="74.45" customHeight="1" x14ac:dyDescent="0.25">
      <c r="C263" s="1" t="s">
        <v>289</v>
      </c>
      <c r="D263" s="1" t="str">
        <f>TRIM(_xlfn.XLOOKUP(Результат!C263,Таблица!A:A,Таблица!B:B,"Ошибка",0))</f>
        <v>S, M, L, XL</v>
      </c>
      <c r="E263" s="1" t="s">
        <v>521</v>
      </c>
      <c r="F263">
        <f t="shared" si="4"/>
        <v>0</v>
      </c>
    </row>
    <row r="264" spans="2:6" ht="74.45" customHeight="1" x14ac:dyDescent="0.25">
      <c r="B264" t="s">
        <v>418</v>
      </c>
      <c r="C264" s="1" t="s">
        <v>284</v>
      </c>
      <c r="D264" s="1" t="str">
        <f>TRIM(_xlfn.XLOOKUP(Результат!C264,Таблица!A:A,Таблица!B:B,"Ошибка",0))</f>
        <v>S, M, L, XL</v>
      </c>
      <c r="E264" s="1" t="s">
        <v>514</v>
      </c>
      <c r="F264" t="str">
        <f t="shared" si="4"/>
        <v>Image_227.png</v>
      </c>
    </row>
    <row r="265" spans="2:6" ht="74.45" customHeight="1" x14ac:dyDescent="0.25">
      <c r="C265" s="1" t="s">
        <v>284</v>
      </c>
      <c r="D265" s="1" t="str">
        <f>TRIM(_xlfn.XLOOKUP(Результат!C265,Таблица!A:A,Таблица!B:B,"Ошибка",0))</f>
        <v>S, M, L, XL</v>
      </c>
      <c r="E265" s="1" t="s">
        <v>519</v>
      </c>
      <c r="F265" t="str">
        <f t="shared" si="4"/>
        <v>Image_228.png</v>
      </c>
    </row>
    <row r="266" spans="2:6" ht="74.45" customHeight="1" x14ac:dyDescent="0.25">
      <c r="C266" s="1" t="s">
        <v>284</v>
      </c>
      <c r="D266" s="1" t="str">
        <f>TRIM(_xlfn.XLOOKUP(Результат!C266,Таблица!A:A,Таблица!B:B,"Ошибка",0))</f>
        <v>S, M, L, XL</v>
      </c>
      <c r="E266" s="1" t="s">
        <v>516</v>
      </c>
      <c r="F266">
        <f t="shared" si="4"/>
        <v>0</v>
      </c>
    </row>
    <row r="267" spans="2:6" ht="74.45" customHeight="1" x14ac:dyDescent="0.25">
      <c r="B267" t="s">
        <v>419</v>
      </c>
      <c r="C267" s="1" t="s">
        <v>296</v>
      </c>
      <c r="D267" s="1" t="str">
        <f>TRIM(_xlfn.XLOOKUP(Результат!C267,Таблица!A:A,Таблица!B:B,"Ошибка",0))</f>
        <v>S, M, L, XL</v>
      </c>
      <c r="E267" s="1" t="str">
        <f>TRIM(_xlfn.XLOOKUP(Результат!C267,Таблица!A:A,Таблица!E:E,"Ошибка",0))</f>
        <v>Oak Plaid</v>
      </c>
      <c r="F267" t="str">
        <f t="shared" si="4"/>
        <v>Image_230.png</v>
      </c>
    </row>
    <row r="268" spans="2:6" ht="74.45" customHeight="1" x14ac:dyDescent="0.25">
      <c r="B268" t="s">
        <v>420</v>
      </c>
      <c r="C268" s="1" t="s">
        <v>294</v>
      </c>
      <c r="D268" s="1" t="str">
        <f>TRIM(_xlfn.XLOOKUP(Результат!C268,Таблица!A:A,Таблица!B:B,"Ошибка",0))</f>
        <v>S, M, L, XL</v>
      </c>
      <c r="E268" s="1" t="s">
        <v>489</v>
      </c>
      <c r="F268" t="str">
        <f t="shared" si="4"/>
        <v>Image_233.png</v>
      </c>
    </row>
    <row r="269" spans="2:6" ht="74.45" customHeight="1" x14ac:dyDescent="0.25">
      <c r="C269" s="1" t="s">
        <v>294</v>
      </c>
      <c r="D269" s="1" t="str">
        <f>TRIM(_xlfn.XLOOKUP(Результат!C269,Таблица!A:A,Таблица!B:B,"Ошибка",0))</f>
        <v>S, M, L, XL</v>
      </c>
      <c r="E269" s="1" t="s">
        <v>490</v>
      </c>
      <c r="F269" t="str">
        <f t="shared" si="4"/>
        <v>Image_234.png</v>
      </c>
    </row>
    <row r="270" spans="2:6" ht="74.45" customHeight="1" x14ac:dyDescent="0.25">
      <c r="C270" s="1" t="s">
        <v>294</v>
      </c>
      <c r="D270" s="1" t="str">
        <f>TRIM(_xlfn.XLOOKUP(Результат!C270,Таблица!A:A,Таблица!B:B,"Ошибка",0))</f>
        <v>S, M, L, XL</v>
      </c>
      <c r="E270" s="1" t="s">
        <v>491</v>
      </c>
      <c r="F270">
        <f t="shared" si="4"/>
        <v>0</v>
      </c>
    </row>
    <row r="271" spans="2:6" ht="74.45" customHeight="1" x14ac:dyDescent="0.25">
      <c r="B271" t="s">
        <v>421</v>
      </c>
      <c r="C271" s="1" t="s">
        <v>291</v>
      </c>
      <c r="D271" s="1" t="str">
        <f>TRIM(_xlfn.XLOOKUP(Результат!C271,Таблица!A:A,Таблица!B:B,"Ошибка",0))</f>
        <v>S, M, L, XL</v>
      </c>
      <c r="E271" s="1" t="s">
        <v>517</v>
      </c>
      <c r="F271" t="str">
        <f t="shared" si="4"/>
        <v>Image_236.png</v>
      </c>
    </row>
    <row r="272" spans="2:6" ht="74.45" customHeight="1" x14ac:dyDescent="0.25">
      <c r="C272" s="1" t="s">
        <v>291</v>
      </c>
      <c r="D272" s="1" t="str">
        <f>TRIM(_xlfn.XLOOKUP(Результат!C272,Таблица!A:A,Таблица!B:B,"Ошибка",0))</f>
        <v>S, M, L, XL</v>
      </c>
      <c r="E272" s="1" t="s">
        <v>9</v>
      </c>
      <c r="F272" t="str">
        <f t="shared" si="4"/>
        <v>Image_237.png</v>
      </c>
    </row>
    <row r="273" spans="2:6" ht="74.45" customHeight="1" x14ac:dyDescent="0.25">
      <c r="C273" s="1" t="s">
        <v>291</v>
      </c>
      <c r="D273" s="1" t="str">
        <f>TRIM(_xlfn.XLOOKUP(Результат!C273,Таблица!A:A,Таблица!B:B,"Ошибка",0))</f>
        <v>S, M, L, XL</v>
      </c>
      <c r="E273" s="1" t="s">
        <v>518</v>
      </c>
      <c r="F273">
        <f t="shared" si="4"/>
        <v>0</v>
      </c>
    </row>
    <row r="274" spans="2:6" ht="74.45" customHeight="1" x14ac:dyDescent="0.25">
      <c r="B274" t="s">
        <v>422</v>
      </c>
      <c r="C274" s="1" t="s">
        <v>307</v>
      </c>
      <c r="D274" s="1" t="str">
        <f>TRIM(_xlfn.XLOOKUP(Результат!C274,Таблица!A:A,Таблица!B:B,"Ошибка",0))</f>
        <v>S, M, L, XL</v>
      </c>
      <c r="E274" s="1" t="s">
        <v>493</v>
      </c>
      <c r="F274" t="str">
        <f t="shared" si="4"/>
        <v>Image_239.png</v>
      </c>
    </row>
    <row r="275" spans="2:6" ht="74.45" customHeight="1" x14ac:dyDescent="0.25">
      <c r="C275" s="1" t="s">
        <v>307</v>
      </c>
      <c r="D275" s="1" t="str">
        <f>TRIM(_xlfn.XLOOKUP(Результат!C275,Таблица!A:A,Таблица!B:B,"Ошибка",0))</f>
        <v>S, M, L, XL</v>
      </c>
      <c r="E275" s="1" t="s">
        <v>495</v>
      </c>
      <c r="F275" t="str">
        <f t="shared" si="4"/>
        <v>Image_240.png</v>
      </c>
    </row>
    <row r="276" spans="2:6" ht="74.45" customHeight="1" x14ac:dyDescent="0.25">
      <c r="C276" s="1" t="s">
        <v>307</v>
      </c>
      <c r="D276" s="1" t="str">
        <f>TRIM(_xlfn.XLOOKUP(Результат!C276,Таблица!A:A,Таблица!B:B,"Ошибка",0))</f>
        <v>S, M, L, XL</v>
      </c>
      <c r="E276" s="1" t="s">
        <v>456</v>
      </c>
      <c r="F276">
        <f t="shared" si="4"/>
        <v>0</v>
      </c>
    </row>
    <row r="277" spans="2:6" ht="74.45" customHeight="1" x14ac:dyDescent="0.25">
      <c r="C277" s="1" t="s">
        <v>307</v>
      </c>
      <c r="D277" s="1" t="str">
        <f>TRIM(_xlfn.XLOOKUP(Результат!C277,Таблица!A:A,Таблица!B:B,"Ошибка",0))</f>
        <v>S, M, L, XL</v>
      </c>
      <c r="E277" s="1" t="s">
        <v>515</v>
      </c>
      <c r="F277">
        <f t="shared" si="4"/>
        <v>0</v>
      </c>
    </row>
    <row r="278" spans="2:6" ht="74.45" customHeight="1" x14ac:dyDescent="0.25">
      <c r="B278" t="s">
        <v>423</v>
      </c>
      <c r="C278" s="1" t="s">
        <v>305</v>
      </c>
      <c r="D278" s="1" t="str">
        <f>TRIM(_xlfn.XLOOKUP(Результат!C278,Таблица!A:A,Таблица!B:B,"Ошибка",0))</f>
        <v>S, M, L, XL</v>
      </c>
      <c r="E278" s="1" t="s">
        <v>517</v>
      </c>
      <c r="F278" t="str">
        <f t="shared" si="4"/>
        <v>Image_242.png</v>
      </c>
    </row>
    <row r="279" spans="2:6" ht="74.45" customHeight="1" x14ac:dyDescent="0.25">
      <c r="C279" s="1" t="s">
        <v>305</v>
      </c>
      <c r="D279" s="1" t="str">
        <f>TRIM(_xlfn.XLOOKUP(Результат!C279,Таблица!A:A,Таблица!B:B,"Ошибка",0))</f>
        <v>S, M, L, XL</v>
      </c>
      <c r="E279" s="1" t="s">
        <v>516</v>
      </c>
      <c r="F279" t="str">
        <f t="shared" si="4"/>
        <v>Image_243.png</v>
      </c>
    </row>
    <row r="280" spans="2:6" ht="74.45" customHeight="1" x14ac:dyDescent="0.25">
      <c r="B280" t="s">
        <v>424</v>
      </c>
      <c r="C280" s="1" t="s">
        <v>299</v>
      </c>
      <c r="D280" s="1" t="str">
        <f>TRIM(_xlfn.XLOOKUP(Результат!C280,Таблица!A:A,Таблица!B:B,"Ошибка",0))</f>
        <v>S, M, L, XL</v>
      </c>
      <c r="E280" s="1" t="s">
        <v>497</v>
      </c>
      <c r="F280" t="str">
        <f t="shared" si="4"/>
        <v>Image_245.png</v>
      </c>
    </row>
    <row r="281" spans="2:6" ht="74.45" customHeight="1" x14ac:dyDescent="0.25">
      <c r="C281" s="1" t="s">
        <v>299</v>
      </c>
      <c r="D281" s="1" t="str">
        <f>TRIM(_xlfn.XLOOKUP(Результат!C281,Таблица!A:A,Таблица!B:B,"Ошибка",0))</f>
        <v>S, M, L, XL</v>
      </c>
      <c r="E281" s="1" t="s">
        <v>496</v>
      </c>
      <c r="F281" t="str">
        <f t="shared" si="4"/>
        <v>Image_246.png</v>
      </c>
    </row>
    <row r="282" spans="2:6" ht="74.45" customHeight="1" x14ac:dyDescent="0.25">
      <c r="C282" s="1" t="s">
        <v>299</v>
      </c>
      <c r="D282" s="1" t="str">
        <f>TRIM(_xlfn.XLOOKUP(Результат!C282,Таблица!A:A,Таблица!B:B,"Ошибка",0))</f>
        <v>S, M, L, XL</v>
      </c>
      <c r="E282" s="1" t="s">
        <v>456</v>
      </c>
      <c r="F282">
        <f t="shared" si="4"/>
        <v>0</v>
      </c>
    </row>
    <row r="283" spans="2:6" ht="74.45" customHeight="1" x14ac:dyDescent="0.25">
      <c r="C283" s="1" t="s">
        <v>299</v>
      </c>
      <c r="D283" s="1" t="str">
        <f>TRIM(_xlfn.XLOOKUP(Результат!C283,Таблица!A:A,Таблица!B:B,"Ошибка",0))</f>
        <v>S, M, L, XL</v>
      </c>
      <c r="E283" s="1" t="s">
        <v>515</v>
      </c>
      <c r="F283">
        <f t="shared" si="4"/>
        <v>0</v>
      </c>
    </row>
    <row r="284" spans="2:6" ht="74.45" customHeight="1" x14ac:dyDescent="0.25">
      <c r="B284" t="s">
        <v>425</v>
      </c>
      <c r="C284" s="1" t="s">
        <v>312</v>
      </c>
      <c r="D284" s="1" t="str">
        <f>TRIM(_xlfn.XLOOKUP(Результат!C284,Таблица!A:A,Таблица!B:B,"Ошибка",0))</f>
        <v>S, M, L, XL</v>
      </c>
      <c r="E284" s="1" t="s">
        <v>9</v>
      </c>
      <c r="F284" t="str">
        <f t="shared" si="4"/>
        <v>Image_248.png</v>
      </c>
    </row>
    <row r="285" spans="2:6" ht="74.45" customHeight="1" x14ac:dyDescent="0.25">
      <c r="C285" s="1" t="s">
        <v>312</v>
      </c>
      <c r="D285" s="1" t="str">
        <f>TRIM(_xlfn.XLOOKUP(Результат!C285,Таблица!A:A,Таблица!B:B,"Ошибка",0))</f>
        <v>S, M, L, XL</v>
      </c>
      <c r="E285" s="1" t="s">
        <v>514</v>
      </c>
      <c r="F285" t="str">
        <f t="shared" si="4"/>
        <v>Image_249.png</v>
      </c>
    </row>
    <row r="286" spans="2:6" ht="74.45" customHeight="1" x14ac:dyDescent="0.25">
      <c r="B286" t="s">
        <v>426</v>
      </c>
      <c r="C286" s="1" t="s">
        <v>304</v>
      </c>
      <c r="D286" s="1" t="str">
        <f>TRIM(_xlfn.XLOOKUP(Результат!C286,Таблица!A:A,Таблица!B:B,"Ошибка",0))</f>
        <v>S, M, L, XL</v>
      </c>
      <c r="E286" s="1" t="s">
        <v>9</v>
      </c>
      <c r="F286" t="str">
        <f t="shared" si="4"/>
        <v>Image_251.png</v>
      </c>
    </row>
    <row r="287" spans="2:6" ht="74.45" customHeight="1" x14ac:dyDescent="0.25">
      <c r="C287" s="1" t="s">
        <v>304</v>
      </c>
      <c r="D287" s="1" t="str">
        <f>TRIM(_xlfn.XLOOKUP(Результат!C287,Таблица!A:A,Таблица!B:B,"Ошибка",0))</f>
        <v>S, M, L, XL</v>
      </c>
      <c r="E287" s="1" t="s">
        <v>513</v>
      </c>
      <c r="F287" t="str">
        <f t="shared" si="4"/>
        <v>Image_252.png</v>
      </c>
    </row>
    <row r="288" spans="2:6" ht="74.45" customHeight="1" x14ac:dyDescent="0.25">
      <c r="B288" t="s">
        <v>427</v>
      </c>
      <c r="C288" s="1" t="s">
        <v>309</v>
      </c>
      <c r="D288" s="1" t="str">
        <f>TRIM(_xlfn.XLOOKUP(Результат!C288,Таблица!A:A,Таблица!B:B,"Ошибка",0))</f>
        <v>S, M, L, XL, XXL</v>
      </c>
      <c r="E288" s="1" t="s">
        <v>9</v>
      </c>
      <c r="F288" t="str">
        <f t="shared" si="4"/>
        <v>Image_254.png</v>
      </c>
    </row>
    <row r="289" spans="2:6" ht="74.45" customHeight="1" x14ac:dyDescent="0.25">
      <c r="C289" s="1" t="s">
        <v>309</v>
      </c>
      <c r="D289" s="1" t="str">
        <f>TRIM(_xlfn.XLOOKUP(Результат!C289,Таблица!A:A,Таблица!B:B,"Ошибка",0))</f>
        <v>S, M, L, XL, XXL</v>
      </c>
      <c r="E289" s="1" t="s">
        <v>508</v>
      </c>
      <c r="F289" t="str">
        <f t="shared" si="4"/>
        <v>Image_255.png</v>
      </c>
    </row>
    <row r="290" spans="2:6" ht="74.45" customHeight="1" x14ac:dyDescent="0.25">
      <c r="C290" s="1" t="s">
        <v>309</v>
      </c>
      <c r="D290" s="1" t="str">
        <f>TRIM(_xlfn.XLOOKUP(Результат!C290,Таблица!A:A,Таблица!B:B,"Ошибка",0))</f>
        <v>S, M, L, XL, XXL</v>
      </c>
      <c r="E290" s="1" t="s">
        <v>509</v>
      </c>
      <c r="F290">
        <f t="shared" si="4"/>
        <v>0</v>
      </c>
    </row>
    <row r="291" spans="2:6" ht="74.45" customHeight="1" x14ac:dyDescent="0.25">
      <c r="C291" s="1" t="s">
        <v>309</v>
      </c>
      <c r="D291" s="1" t="str">
        <f>TRIM(_xlfn.XLOOKUP(Результат!C291,Таблица!A:A,Таблица!B:B,"Ошибка",0))</f>
        <v>S, M, L, XL, XXL</v>
      </c>
      <c r="E291" s="1" t="s">
        <v>510</v>
      </c>
      <c r="F291">
        <f t="shared" si="4"/>
        <v>0</v>
      </c>
    </row>
    <row r="292" spans="2:6" ht="74.45" customHeight="1" x14ac:dyDescent="0.25">
      <c r="B292" t="s">
        <v>428</v>
      </c>
      <c r="C292" s="1" t="s">
        <v>302</v>
      </c>
      <c r="D292" s="1" t="str">
        <f>TRIM(_xlfn.XLOOKUP(Результат!C292,Таблица!A:A,Таблица!B:B,"Ошибка",0))</f>
        <v>S, M, L, XL, XXL</v>
      </c>
      <c r="E292" s="1" t="s">
        <v>498</v>
      </c>
      <c r="F292" t="str">
        <f t="shared" si="4"/>
        <v>Image_257.png</v>
      </c>
    </row>
    <row r="293" spans="2:6" ht="74.45" customHeight="1" x14ac:dyDescent="0.25">
      <c r="C293" s="1" t="s">
        <v>302</v>
      </c>
      <c r="D293" s="1" t="str">
        <f>TRIM(_xlfn.XLOOKUP(Результат!C293,Таблица!A:A,Таблица!B:B,"Ошибка",0))</f>
        <v>S, M, L, XL, XXL</v>
      </c>
      <c r="E293" s="1" t="s">
        <v>499</v>
      </c>
      <c r="F293" t="str">
        <f t="shared" si="4"/>
        <v>Image_258.png</v>
      </c>
    </row>
    <row r="294" spans="2:6" ht="74.45" customHeight="1" x14ac:dyDescent="0.25">
      <c r="B294" t="s">
        <v>429</v>
      </c>
      <c r="C294" s="1" t="s">
        <v>322</v>
      </c>
      <c r="D294" s="1" t="str">
        <f>TRIM(_xlfn.XLOOKUP(Результат!C294,Таблица!A:A,Таблица!B:B,"Ошибка",0))</f>
        <v>S, M, L, XL</v>
      </c>
      <c r="E294" s="1" t="str">
        <f>TRIM(_xlfn.XLOOKUP(Результат!C294,Таблица!A:A,Таблица!E:E,"Ошибка",0))</f>
        <v>Dark Coffee</v>
      </c>
      <c r="F294" t="str">
        <f t="shared" si="4"/>
        <v>Image_260.png</v>
      </c>
    </row>
    <row r="295" spans="2:6" ht="74.45" customHeight="1" x14ac:dyDescent="0.25">
      <c r="B295" t="s">
        <v>430</v>
      </c>
      <c r="C295" s="1" t="s">
        <v>318</v>
      </c>
      <c r="D295" s="1" t="str">
        <f>TRIM(_xlfn.XLOOKUP(Результат!C295,Таблица!A:A,Таблица!B:B,"Ошибка",0))</f>
        <v>S, M, L, XL</v>
      </c>
      <c r="E295" s="1" t="str">
        <f>TRIM(_xlfn.XLOOKUP(Результат!C295,Таблица!A:A,Таблица!E:E,"Ошибка",0))</f>
        <v>Black</v>
      </c>
      <c r="F295" t="str">
        <f t="shared" si="4"/>
        <v>Image_263.png</v>
      </c>
    </row>
    <row r="296" spans="2:6" ht="74.45" customHeight="1" x14ac:dyDescent="0.25">
      <c r="B296" t="s">
        <v>431</v>
      </c>
      <c r="C296" s="1" t="s">
        <v>315</v>
      </c>
      <c r="D296" s="1" t="str">
        <f>TRIM(_xlfn.XLOOKUP(Результат!C296,Таблица!A:A,Таблица!B:B,"Ошибка",0))</f>
        <v>S, M, L, XL</v>
      </c>
      <c r="E296" s="1" t="str">
        <f>TRIM(_xlfn.XLOOKUP(Результат!C296,Таблица!A:A,Таблица!E:E,"Ошибка",0))</f>
        <v>Brown</v>
      </c>
      <c r="F296" t="str">
        <f t="shared" si="4"/>
        <v>Image_266.png</v>
      </c>
    </row>
    <row r="297" spans="2:6" ht="74.45" customHeight="1" x14ac:dyDescent="0.25">
      <c r="B297" t="s">
        <v>432</v>
      </c>
      <c r="C297" s="1" t="s">
        <v>324</v>
      </c>
      <c r="D297" s="1" t="str">
        <f>TRIM(_xlfn.XLOOKUP(Результат!C297,Таблица!A:A,Таблица!B:B,"Ошибка",0))</f>
        <v>S, M, L, XL</v>
      </c>
      <c r="E297" s="1" t="str">
        <f>TRIM(_xlfn.XLOOKUP(Результат!C297,Таблица!A:A,Таблица!E:E,"Ошибка",0))</f>
        <v>Black</v>
      </c>
      <c r="F297" t="str">
        <f t="shared" si="4"/>
        <v>Image_269.png</v>
      </c>
    </row>
    <row r="298" spans="2:6" ht="74.45" customHeight="1" x14ac:dyDescent="0.25">
      <c r="B298" t="s">
        <v>433</v>
      </c>
      <c r="C298" s="1" t="s">
        <v>328</v>
      </c>
      <c r="D298" s="1" t="str">
        <f>TRIM(_xlfn.XLOOKUP(Результат!C298,Таблица!A:A,Таблица!B:B,"Ошибка",0))</f>
        <v>S, M, L, XL</v>
      </c>
      <c r="E298" s="1" t="s">
        <v>500</v>
      </c>
      <c r="F298" t="str">
        <f t="shared" si="4"/>
        <v>Image_272.png</v>
      </c>
    </row>
    <row r="299" spans="2:6" ht="74.45" customHeight="1" x14ac:dyDescent="0.25">
      <c r="C299" s="1" t="s">
        <v>328</v>
      </c>
      <c r="D299" s="1" t="str">
        <f>TRIM(_xlfn.XLOOKUP(Результат!C299,Таблица!A:A,Таблица!B:B,"Ошибка",0))</f>
        <v>S, M, L, XL</v>
      </c>
      <c r="E299" s="1" t="s">
        <v>501</v>
      </c>
      <c r="F299" t="str">
        <f t="shared" si="4"/>
        <v>Image_273.png</v>
      </c>
    </row>
    <row r="300" spans="2:6" ht="74.45" customHeight="1" x14ac:dyDescent="0.25">
      <c r="B300" t="s">
        <v>434</v>
      </c>
      <c r="C300" s="1" t="s">
        <v>331</v>
      </c>
      <c r="D300" s="1" t="str">
        <f>TRIM(_xlfn.XLOOKUP(Результат!C300,Таблица!A:A,Таблица!B:B,"Ошибка",0))</f>
        <v>S, M, L, XL</v>
      </c>
      <c r="E300" s="1" t="s">
        <v>9</v>
      </c>
      <c r="F300" t="str">
        <f t="shared" si="4"/>
        <v>Image_275.png</v>
      </c>
    </row>
    <row r="301" spans="2:6" ht="74.45" customHeight="1" x14ac:dyDescent="0.25">
      <c r="C301" s="1" t="s">
        <v>331</v>
      </c>
      <c r="D301" s="1" t="str">
        <f>TRIM(_xlfn.XLOOKUP(Результат!C301,Таблица!A:A,Таблица!B:B,"Ошибка",0))</f>
        <v>S, M, L, XL</v>
      </c>
      <c r="E301" s="1" t="s">
        <v>317</v>
      </c>
      <c r="F301" t="str">
        <f t="shared" si="4"/>
        <v>Image_276.png</v>
      </c>
    </row>
    <row r="302" spans="2:6" ht="74.45" customHeight="1" x14ac:dyDescent="0.25">
      <c r="B302" t="s">
        <v>435</v>
      </c>
      <c r="C302" s="1" t="s">
        <v>325</v>
      </c>
      <c r="D302" s="1" t="str">
        <f>TRIM(_xlfn.XLOOKUP(Результат!C302,Таблица!A:A,Таблица!B:B,"Ошибка",0))</f>
        <v>S, M, L, XL</v>
      </c>
      <c r="E302" s="1" t="str">
        <f>TRIM(_xlfn.XLOOKUP(Результат!C302,Таблица!A:A,Таблица!E:E,"Ошибка",0))</f>
        <v>Black</v>
      </c>
      <c r="F302" t="str">
        <f t="shared" si="4"/>
        <v>Image_278.png</v>
      </c>
    </row>
    <row r="303" spans="2:6" ht="74.45" customHeight="1" x14ac:dyDescent="0.25">
      <c r="B303" t="s">
        <v>436</v>
      </c>
      <c r="C303" s="1" t="s">
        <v>338</v>
      </c>
      <c r="D303" s="1" t="str">
        <f>TRIM(_xlfn.XLOOKUP(Результат!C303,Таблица!A:A,Таблица!B:B,"Ошибка",0))</f>
        <v>S, M, L, XL, XXL</v>
      </c>
      <c r="E303" s="1" t="s">
        <v>512</v>
      </c>
      <c r="F303" t="str">
        <f t="shared" si="4"/>
        <v>Image_281.png</v>
      </c>
    </row>
    <row r="304" spans="2:6" ht="74.45" customHeight="1" x14ac:dyDescent="0.25">
      <c r="C304" s="1" t="s">
        <v>338</v>
      </c>
      <c r="D304" s="1" t="str">
        <f>TRIM(_xlfn.XLOOKUP(Результат!C304,Таблица!A:A,Таблица!B:B,"Ошибка",0))</f>
        <v>S, M, L, XL, XXL</v>
      </c>
      <c r="E304" s="1" t="s">
        <v>492</v>
      </c>
      <c r="F304" t="str">
        <f t="shared" si="4"/>
        <v>Image_282.png</v>
      </c>
    </row>
    <row r="305" spans="2:6" ht="74.45" customHeight="1" x14ac:dyDescent="0.25">
      <c r="C305" s="1" t="s">
        <v>338</v>
      </c>
      <c r="D305" s="1" t="str">
        <f>TRIM(_xlfn.XLOOKUP(Результат!C305,Таблица!A:A,Таблица!B:B,"Ошибка",0))</f>
        <v>S, M, L, XL, XXL</v>
      </c>
      <c r="E305" s="1" t="s">
        <v>509</v>
      </c>
      <c r="F305">
        <f t="shared" si="4"/>
        <v>0</v>
      </c>
    </row>
    <row r="306" spans="2:6" ht="74.45" customHeight="1" x14ac:dyDescent="0.25">
      <c r="C306" s="1" t="s">
        <v>338</v>
      </c>
      <c r="D306" s="1" t="str">
        <f>TRIM(_xlfn.XLOOKUP(Результат!C306,Таблица!A:A,Таблица!B:B,"Ошибка",0))</f>
        <v>S, M, L, XL, XXL</v>
      </c>
      <c r="E306" s="1" t="s">
        <v>9</v>
      </c>
      <c r="F306">
        <f t="shared" si="4"/>
        <v>0</v>
      </c>
    </row>
    <row r="307" spans="2:6" ht="74.45" customHeight="1" x14ac:dyDescent="0.25">
      <c r="C307" s="1" t="s">
        <v>338</v>
      </c>
      <c r="D307" s="1" t="str">
        <f>TRIM(_xlfn.XLOOKUP(Результат!C307,Таблица!A:A,Таблица!B:B,"Ошибка",0))</f>
        <v>S, M, L, XL, XXL</v>
      </c>
      <c r="E307" s="1" t="s">
        <v>511</v>
      </c>
      <c r="F307">
        <f t="shared" si="4"/>
        <v>0</v>
      </c>
    </row>
    <row r="308" spans="2:6" ht="74.45" customHeight="1" x14ac:dyDescent="0.25">
      <c r="B308" t="s">
        <v>437</v>
      </c>
      <c r="C308" s="1" t="s">
        <v>335</v>
      </c>
      <c r="D308" s="1" t="str">
        <f>TRIM(_xlfn.XLOOKUP(Результат!C308,Таблица!A:A,Таблица!B:B,"Ошибка",0))</f>
        <v>S, M, L, XL, XXL</v>
      </c>
      <c r="E308" s="1" t="s">
        <v>9</v>
      </c>
      <c r="F308" t="str">
        <f t="shared" si="4"/>
        <v>Image_285.png</v>
      </c>
    </row>
    <row r="309" spans="2:6" ht="74.45" customHeight="1" x14ac:dyDescent="0.25">
      <c r="C309" s="1" t="s">
        <v>335</v>
      </c>
      <c r="D309" s="1" t="str">
        <f>TRIM(_xlfn.XLOOKUP(Результат!C309,Таблица!A:A,Таблица!B:B,"Ошибка",0))</f>
        <v>S, M, L, XL, XXL</v>
      </c>
      <c r="E309" s="1" t="s">
        <v>508</v>
      </c>
      <c r="F309" t="str">
        <f t="shared" si="4"/>
        <v>Image_286.png</v>
      </c>
    </row>
    <row r="310" spans="2:6" ht="74.45" customHeight="1" x14ac:dyDescent="0.25">
      <c r="C310" s="1" t="s">
        <v>335</v>
      </c>
      <c r="D310" s="1" t="str">
        <f>TRIM(_xlfn.XLOOKUP(Результат!C310,Таблица!A:A,Таблица!B:B,"Ошибка",0))</f>
        <v>S, M, L, XL, XXL</v>
      </c>
      <c r="E310" s="1" t="s">
        <v>509</v>
      </c>
      <c r="F310">
        <f t="shared" si="4"/>
        <v>0</v>
      </c>
    </row>
    <row r="311" spans="2:6" ht="74.45" customHeight="1" x14ac:dyDescent="0.25">
      <c r="C311" s="1" t="s">
        <v>335</v>
      </c>
      <c r="D311" s="1" t="s">
        <v>105</v>
      </c>
      <c r="E311" s="1" t="s">
        <v>510</v>
      </c>
      <c r="F311">
        <f t="shared" si="4"/>
        <v>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8C91F-242E-4F64-BE6C-15C37E4ACD3B}">
  <sheetPr codeName="Лист9"/>
  <dimension ref="A1:E311"/>
  <sheetViews>
    <sheetView tabSelected="1" workbookViewId="0">
      <pane ySplit="1" topLeftCell="A2" activePane="bottomLeft" state="frozen"/>
      <selection pane="bottomLeft" activeCell="G2" sqref="G2"/>
    </sheetView>
  </sheetViews>
  <sheetFormatPr defaultRowHeight="15" x14ac:dyDescent="0.25"/>
  <cols>
    <col min="1" max="1" width="21.42578125" customWidth="1"/>
    <col min="2" max="2" width="14.42578125" customWidth="1"/>
    <col min="3" max="3" width="22.5703125" style="1" bestFit="1" customWidth="1"/>
    <col min="4" max="4" width="40" style="1" bestFit="1" customWidth="1"/>
    <col min="5" max="5" width="60.7109375" style="1" bestFit="1" customWidth="1"/>
  </cols>
  <sheetData>
    <row r="1" spans="1:5" s="2" customFormat="1" x14ac:dyDescent="0.25">
      <c r="A1" s="2" t="s">
        <v>505</v>
      </c>
      <c r="C1" s="3" t="s">
        <v>440</v>
      </c>
      <c r="D1" s="3" t="s">
        <v>441</v>
      </c>
      <c r="E1" s="3" t="s">
        <v>442</v>
      </c>
    </row>
    <row r="2" spans="1:5" x14ac:dyDescent="0.25">
      <c r="B2" t="s">
        <v>347</v>
      </c>
      <c r="C2" s="1" t="s">
        <v>28</v>
      </c>
      <c r="D2" s="1" t="str">
        <f>TRIM(_xlfn.XLOOKUP('Результат (Save 2)'!C2,Таблица!A:A,Таблица!B:B,"Ошибка",0))</f>
        <v>S, M, L, XL</v>
      </c>
      <c r="E2" s="1" t="s">
        <v>514</v>
      </c>
    </row>
    <row r="3" spans="1:5" x14ac:dyDescent="0.25">
      <c r="B3" t="s">
        <v>347</v>
      </c>
      <c r="C3" s="1" t="s">
        <v>28</v>
      </c>
      <c r="D3" s="1" t="str">
        <f>TRIM(_xlfn.XLOOKUP('Результат (Save 2)'!C3,Таблица!A:A,Таблица!B:B,"Ошибка",0))</f>
        <v>S, M, L, XL</v>
      </c>
      <c r="E3" s="1" t="s">
        <v>571</v>
      </c>
    </row>
    <row r="4" spans="1:5" x14ac:dyDescent="0.25">
      <c r="B4" t="s">
        <v>347</v>
      </c>
      <c r="C4" s="1" t="s">
        <v>28</v>
      </c>
      <c r="D4" s="1" t="str">
        <f>TRIM(_xlfn.XLOOKUP('Результат (Save 2)'!C4,Таблица!A:A,Таблица!B:B,"Ошибка",0))</f>
        <v>S, M, L, XL</v>
      </c>
      <c r="E4" s="1" t="s">
        <v>456</v>
      </c>
    </row>
    <row r="5" spans="1:5" x14ac:dyDescent="0.25">
      <c r="B5" t="s">
        <v>348</v>
      </c>
      <c r="C5" s="1" t="s">
        <v>21</v>
      </c>
      <c r="D5" s="1" t="str">
        <f>TRIM(_xlfn.XLOOKUP('Результат (Save 2)'!C5,Таблица!A:A,Таблица!B:B,"Ошибка",0))</f>
        <v>S, M, L, XL</v>
      </c>
      <c r="E5" s="1" t="s">
        <v>9</v>
      </c>
    </row>
    <row r="6" spans="1:5" x14ac:dyDescent="0.25">
      <c r="B6" t="s">
        <v>348</v>
      </c>
      <c r="C6" s="1" t="s">
        <v>21</v>
      </c>
      <c r="D6" s="1" t="str">
        <f>TRIM(_xlfn.XLOOKUP('Результат (Save 2)'!C6,Таблица!A:A,Таблица!B:B,"Ошибка",0))</f>
        <v>S, M, L, XL</v>
      </c>
      <c r="E6" s="1" t="s">
        <v>512</v>
      </c>
    </row>
    <row r="7" spans="1:5" x14ac:dyDescent="0.25">
      <c r="B7" t="s">
        <v>349</v>
      </c>
      <c r="C7" s="1" t="s">
        <v>2</v>
      </c>
      <c r="D7" s="1" t="str">
        <f>TRIM(_xlfn.XLOOKUP('Результат (Save 2)'!C7,Таблица!A:A,Таблица!B:B,"Ошибка",0))</f>
        <v>S, M, L, XL</v>
      </c>
      <c r="E7" s="1" t="s">
        <v>9</v>
      </c>
    </row>
    <row r="8" spans="1:5" x14ac:dyDescent="0.25">
      <c r="B8" t="s">
        <v>349</v>
      </c>
      <c r="C8" s="1" t="s">
        <v>2</v>
      </c>
      <c r="D8" s="1" t="str">
        <f>TRIM(_xlfn.XLOOKUP('Результат (Save 2)'!C8,Таблица!A:A,Таблица!B:B,"Ошибка",0))</f>
        <v>S, M, L, XL</v>
      </c>
      <c r="E8" s="1" t="s">
        <v>570</v>
      </c>
    </row>
    <row r="9" spans="1:5" x14ac:dyDescent="0.25">
      <c r="B9" t="s">
        <v>350</v>
      </c>
      <c r="C9" s="1" t="s">
        <v>4</v>
      </c>
      <c r="D9" s="1" t="str">
        <f>TRIM(_xlfn.XLOOKUP('Результат (Save 2)'!C9,Таблица!A:A,Таблица!B:B,"Ошибка",0))</f>
        <v>S, M, L, XL</v>
      </c>
      <c r="E9" s="1" t="s">
        <v>9</v>
      </c>
    </row>
    <row r="10" spans="1:5" x14ac:dyDescent="0.25">
      <c r="B10" t="s">
        <v>350</v>
      </c>
      <c r="C10" s="1" t="s">
        <v>4</v>
      </c>
      <c r="D10" s="1" t="str">
        <f>TRIM(_xlfn.XLOOKUP('Результат (Save 2)'!C10,Таблица!A:A,Таблица!B:B,"Ошибка",0))</f>
        <v>S, M, L, XL</v>
      </c>
      <c r="E10" s="1" t="s">
        <v>457</v>
      </c>
    </row>
    <row r="11" spans="1:5" x14ac:dyDescent="0.25">
      <c r="B11" t="s">
        <v>351</v>
      </c>
      <c r="C11" s="1" t="s">
        <v>37</v>
      </c>
      <c r="D11" s="1" t="str">
        <f>TRIM(_xlfn.XLOOKUP('Результат (Save 2)'!C11,Таблица!A:A,Таблица!B:B,"Ошибка",0))</f>
        <v>S, M, L, XL</v>
      </c>
      <c r="E11" s="1" t="s">
        <v>9</v>
      </c>
    </row>
    <row r="12" spans="1:5" x14ac:dyDescent="0.25">
      <c r="B12" t="s">
        <v>351</v>
      </c>
      <c r="C12" s="1" t="s">
        <v>37</v>
      </c>
      <c r="D12" s="1" t="str">
        <f>TRIM(_xlfn.XLOOKUP('Результат (Save 2)'!C12,Таблица!A:A,Таблица!B:B,"Ошибка",0))</f>
        <v>S, M, L, XL</v>
      </c>
      <c r="E12" s="1" t="s">
        <v>535</v>
      </c>
    </row>
    <row r="13" spans="1:5" x14ac:dyDescent="0.25">
      <c r="B13" t="s">
        <v>352</v>
      </c>
      <c r="C13" s="1" t="s">
        <v>17</v>
      </c>
      <c r="D13" s="1" t="str">
        <f>TRIM(_xlfn.XLOOKUP('Результат (Save 2)'!C13,Таблица!A:A,Таблица!B:B,"Ошибка",0))</f>
        <v>S, M, L, XL</v>
      </c>
      <c r="E13" s="1" t="s">
        <v>9</v>
      </c>
    </row>
    <row r="14" spans="1:5" x14ac:dyDescent="0.25">
      <c r="B14" t="s">
        <v>352</v>
      </c>
      <c r="C14" s="1" t="s">
        <v>17</v>
      </c>
      <c r="D14" s="1" t="str">
        <f>TRIM(_xlfn.XLOOKUP('Результат (Save 2)'!C14,Таблица!A:A,Таблица!B:B,"Ошибка",0))</f>
        <v>S, M, L, XL</v>
      </c>
      <c r="E14" s="1" t="s">
        <v>569</v>
      </c>
    </row>
    <row r="15" spans="1:5" x14ac:dyDescent="0.25">
      <c r="B15" t="s">
        <v>353</v>
      </c>
      <c r="C15" s="1" t="s">
        <v>10</v>
      </c>
      <c r="D15" s="1" t="str">
        <f>TRIM(_xlfn.XLOOKUP('Результат (Save 2)'!C15,Таблица!A:A,Таблица!B:B,"Ошибка",0))</f>
        <v>6 7/8, 7, 7 1/8, 7 1/4, 7 3/8, 7 1/2, 7 5/8</v>
      </c>
      <c r="E15" s="1" t="s">
        <v>9</v>
      </c>
    </row>
    <row r="16" spans="1:5" x14ac:dyDescent="0.25">
      <c r="B16" t="s">
        <v>353</v>
      </c>
      <c r="C16" s="1" t="s">
        <v>10</v>
      </c>
      <c r="D16" s="1" t="str">
        <f>TRIM(_xlfn.XLOOKUP('Результат (Save 2)'!C16,Таблица!A:A,Таблица!B:B,"Ошибка",0))</f>
        <v>6 7/8, 7, 7 1/8, 7 1/4, 7 3/8, 7 1/2, 7 5/8</v>
      </c>
      <c r="E16" s="1" t="s">
        <v>512</v>
      </c>
    </row>
    <row r="17" spans="2:5" x14ac:dyDescent="0.25">
      <c r="B17" t="s">
        <v>353</v>
      </c>
      <c r="C17" s="1" t="s">
        <v>10</v>
      </c>
      <c r="D17" s="1" t="str">
        <f>TRIM(_xlfn.XLOOKUP('Результат (Save 2)'!C17,Таблица!A:A,Таблица!B:B,"Ошибка",0))</f>
        <v>6 7/8, 7, 7 1/8, 7 1/4, 7 3/8, 7 1/2, 7 5/8</v>
      </c>
      <c r="E17" s="1" t="s">
        <v>539</v>
      </c>
    </row>
    <row r="18" spans="2:5" x14ac:dyDescent="0.25">
      <c r="B18" t="s">
        <v>353</v>
      </c>
      <c r="C18" s="1" t="s">
        <v>10</v>
      </c>
      <c r="D18" s="1" t="str">
        <f>TRIM(_xlfn.XLOOKUP('Результат (Save 2)'!C18,Таблица!A:A,Таблица!B:B,"Ошибка",0))</f>
        <v>6 7/8, 7, 7 1/8, 7 1/4, 7 3/8, 7 1/2, 7 5/8</v>
      </c>
      <c r="E18" s="1" t="s">
        <v>533</v>
      </c>
    </row>
    <row r="19" spans="2:5" x14ac:dyDescent="0.25">
      <c r="B19" t="s">
        <v>354</v>
      </c>
      <c r="C19" s="1" t="s">
        <v>41</v>
      </c>
      <c r="D19" s="1" t="str">
        <f>TRIM(_xlfn.XLOOKUP('Результат (Save 2)'!C19,Таблица!A:A,Таблица!B:B,"Ошибка",0))</f>
        <v>S, M, L, XL</v>
      </c>
      <c r="E19" s="1" t="s">
        <v>568</v>
      </c>
    </row>
    <row r="20" spans="2:5" x14ac:dyDescent="0.25">
      <c r="B20" t="s">
        <v>354</v>
      </c>
      <c r="C20" s="1" t="s">
        <v>41</v>
      </c>
      <c r="D20" s="1" t="str">
        <f>TRIM(_xlfn.XLOOKUP('Результат (Save 2)'!C20,Таблица!A:A,Таблица!B:B,"Ошибка",0))</f>
        <v>S, M, L, XL</v>
      </c>
      <c r="E20" s="1" t="s">
        <v>9</v>
      </c>
    </row>
    <row r="21" spans="2:5" x14ac:dyDescent="0.25">
      <c r="B21" t="s">
        <v>354</v>
      </c>
      <c r="C21" s="1" t="s">
        <v>41</v>
      </c>
      <c r="D21" s="1" t="str">
        <f>TRIM(_xlfn.XLOOKUP('Результат (Save 2)'!C21,Таблица!A:A,Таблица!B:B,"Ошибка",0))</f>
        <v>S, M, L, XL</v>
      </c>
      <c r="E21" s="1" t="s">
        <v>534</v>
      </c>
    </row>
    <row r="22" spans="2:5" x14ac:dyDescent="0.25">
      <c r="B22" t="s">
        <v>355</v>
      </c>
      <c r="C22" s="1" t="s">
        <v>45</v>
      </c>
      <c r="D22" s="1" t="str">
        <f>TRIM(_xlfn.XLOOKUP('Результат (Save 2)'!C22,Таблица!A:A,Таблица!B:B,"Ошибка",0))</f>
        <v>S, M, L, XL</v>
      </c>
      <c r="E22" s="1" t="str">
        <f>TRIM(_xlfn.XLOOKUP('Результат (Save 2)'!C22,Таблица!A:A,Таблица!E:E,"Ошибка",0))</f>
        <v>Black</v>
      </c>
    </row>
    <row r="23" spans="2:5" x14ac:dyDescent="0.25">
      <c r="B23" t="s">
        <v>356</v>
      </c>
      <c r="C23" s="1" t="s">
        <v>47</v>
      </c>
      <c r="D23" s="1" t="str">
        <f>TRIM(_xlfn.XLOOKUP('Результат (Save 2)'!C23,Таблица!A:A,Таблица!B:B,"Ошибка",0))</f>
        <v>S, M, L, XL</v>
      </c>
      <c r="E23" s="1" t="s">
        <v>9</v>
      </c>
    </row>
    <row r="24" spans="2:5" x14ac:dyDescent="0.25">
      <c r="B24" t="s">
        <v>356</v>
      </c>
      <c r="C24" s="1" t="s">
        <v>47</v>
      </c>
      <c r="D24" s="1" t="str">
        <f>TRIM(_xlfn.XLOOKUP('Результат (Save 2)'!C24,Таблица!A:A,Таблица!B:B,"Ошибка",0))</f>
        <v>S, M, L, XL</v>
      </c>
      <c r="E24" s="1" t="s">
        <v>537</v>
      </c>
    </row>
    <row r="25" spans="2:5" x14ac:dyDescent="0.25">
      <c r="B25" t="s">
        <v>356</v>
      </c>
      <c r="C25" s="1" t="s">
        <v>47</v>
      </c>
      <c r="D25" s="1" t="str">
        <f>TRIM(_xlfn.XLOOKUP('Результат (Save 2)'!C25,Таблица!A:A,Таблица!B:B,"Ошибка",0))</f>
        <v>S, M, L, XL</v>
      </c>
      <c r="E25" s="1" t="s">
        <v>458</v>
      </c>
    </row>
    <row r="26" spans="2:5" x14ac:dyDescent="0.25">
      <c r="B26" t="s">
        <v>356</v>
      </c>
      <c r="C26" s="1" t="s">
        <v>47</v>
      </c>
      <c r="D26" s="1" t="str">
        <f>TRIM(_xlfn.XLOOKUP('Результат (Save 2)'!C26,Таблица!A:A,Таблица!B:B,"Ошибка",0))</f>
        <v>S, M, L, XL</v>
      </c>
      <c r="E26" s="1" t="s">
        <v>563</v>
      </c>
    </row>
    <row r="27" spans="2:5" x14ac:dyDescent="0.25">
      <c r="B27" t="s">
        <v>357</v>
      </c>
      <c r="C27" s="1" t="s">
        <v>54</v>
      </c>
      <c r="D27" s="1" t="str">
        <f>TRIM(_xlfn.XLOOKUP('Результат (Save 2)'!C27,Таблица!A:A,Таблица!B:B,"Ошибка",0))</f>
        <v>S, M, L, XL</v>
      </c>
      <c r="E27" s="1" t="s">
        <v>9</v>
      </c>
    </row>
    <row r="28" spans="2:5" x14ac:dyDescent="0.25">
      <c r="B28" t="s">
        <v>357</v>
      </c>
      <c r="C28" s="1" t="s">
        <v>54</v>
      </c>
      <c r="D28" s="1" t="str">
        <f>TRIM(_xlfn.XLOOKUP('Результат (Save 2)'!C28,Таблица!A:A,Таблица!B:B,"Ошибка",0))</f>
        <v>S, M, L, XL</v>
      </c>
      <c r="E28" s="1" t="s">
        <v>567</v>
      </c>
    </row>
    <row r="29" spans="2:5" x14ac:dyDescent="0.25">
      <c r="B29" t="s">
        <v>357</v>
      </c>
      <c r="C29" s="1" t="s">
        <v>54</v>
      </c>
      <c r="D29" s="1" t="str">
        <f>TRIM(_xlfn.XLOOKUP('Результат (Save 2)'!C29,Таблица!A:A,Таблица!B:B,"Ошибка",0))</f>
        <v>S, M, L, XL</v>
      </c>
      <c r="E29" s="1" t="s">
        <v>459</v>
      </c>
    </row>
    <row r="30" spans="2:5" x14ac:dyDescent="0.25">
      <c r="B30" t="s">
        <v>357</v>
      </c>
      <c r="C30" s="1" t="s">
        <v>54</v>
      </c>
      <c r="D30" s="1" t="str">
        <f>TRIM(_xlfn.XLOOKUP('Результат (Save 2)'!C30,Таблица!A:A,Таблица!B:B,"Ошибка",0))</f>
        <v>S, M, L, XL</v>
      </c>
      <c r="E30" s="1" t="s">
        <v>518</v>
      </c>
    </row>
    <row r="31" spans="2:5" x14ac:dyDescent="0.25">
      <c r="B31" t="s">
        <v>357</v>
      </c>
      <c r="C31" s="1" t="s">
        <v>54</v>
      </c>
      <c r="D31" s="1" t="str">
        <f>TRIM(_xlfn.XLOOKUP('Результат (Save 2)'!C31,Таблица!A:A,Таблица!B:B,"Ошибка",0))</f>
        <v>S, M, L, XL</v>
      </c>
      <c r="E31" s="1" t="s">
        <v>566</v>
      </c>
    </row>
    <row r="32" spans="2:5" x14ac:dyDescent="0.25">
      <c r="B32" t="s">
        <v>358</v>
      </c>
      <c r="C32" s="1" t="s">
        <v>58</v>
      </c>
      <c r="D32" s="1" t="str">
        <f>TRIM(_xlfn.XLOOKUP('Результат (Save 2)'!C32,Таблица!A:A,Таблица!B:B,"Ошибка",0))</f>
        <v>S, M, L, XL</v>
      </c>
      <c r="E32" s="1" t="s">
        <v>9</v>
      </c>
    </row>
    <row r="33" spans="2:5" x14ac:dyDescent="0.25">
      <c r="B33" t="s">
        <v>358</v>
      </c>
      <c r="C33" s="1" t="s">
        <v>58</v>
      </c>
      <c r="D33" s="1" t="str">
        <f>TRIM(_xlfn.XLOOKUP('Результат (Save 2)'!C33,Таблица!A:A,Таблица!B:B,"Ошибка",0))</f>
        <v>S, M, L, XL</v>
      </c>
      <c r="E33" s="1" t="s">
        <v>514</v>
      </c>
    </row>
    <row r="34" spans="2:5" x14ac:dyDescent="0.25">
      <c r="B34" t="s">
        <v>358</v>
      </c>
      <c r="C34" s="1" t="s">
        <v>58</v>
      </c>
      <c r="D34" s="1" t="str">
        <f>TRIM(_xlfn.XLOOKUP('Результат (Save 2)'!C34,Таблица!A:A,Таблица!B:B,"Ошибка",0))</f>
        <v>S, M, L, XL</v>
      </c>
      <c r="E34" s="1" t="s">
        <v>537</v>
      </c>
    </row>
    <row r="35" spans="2:5" x14ac:dyDescent="0.25">
      <c r="B35" t="s">
        <v>359</v>
      </c>
      <c r="C35" s="1" t="s">
        <v>88</v>
      </c>
      <c r="D35" s="1" t="str">
        <f>TRIM(_xlfn.XLOOKUP('Результат (Save 2)'!C35,Таблица!A:A,Таблица!B:B,"Ошибка",0))</f>
        <v>S, M, L, XL</v>
      </c>
      <c r="E35" s="1" t="s">
        <v>9</v>
      </c>
    </row>
    <row r="36" spans="2:5" x14ac:dyDescent="0.25">
      <c r="B36" t="s">
        <v>359</v>
      </c>
      <c r="C36" s="1" t="s">
        <v>88</v>
      </c>
      <c r="D36" s="1" t="str">
        <f>TRIM(_xlfn.XLOOKUP('Результат (Save 2)'!C36,Таблица!A:A,Таблица!B:B,"Ошибка",0))</f>
        <v>S, M, L, XL</v>
      </c>
      <c r="E36" s="1" t="s">
        <v>537</v>
      </c>
    </row>
    <row r="37" spans="2:5" x14ac:dyDescent="0.25">
      <c r="B37" t="s">
        <v>359</v>
      </c>
      <c r="C37" s="1" t="s">
        <v>88</v>
      </c>
      <c r="D37" s="1" t="str">
        <f>TRIM(_xlfn.XLOOKUP('Результат (Save 2)'!C37,Таблица!A:A,Таблица!B:B,"Ошибка",0))</f>
        <v>S, M, L, XL</v>
      </c>
      <c r="E37" s="1" t="s">
        <v>518</v>
      </c>
    </row>
    <row r="38" spans="2:5" x14ac:dyDescent="0.25">
      <c r="B38" t="s">
        <v>360</v>
      </c>
      <c r="C38" s="1" t="s">
        <v>93</v>
      </c>
      <c r="D38" s="1" t="str">
        <f>TRIM(_xlfn.XLOOKUP('Результат (Save 2)'!C38,Таблица!A:A,Таблица!B:B,"Ошибка",0))</f>
        <v>S, M, L, XL</v>
      </c>
      <c r="E38" s="1" t="s">
        <v>517</v>
      </c>
    </row>
    <row r="39" spans="2:5" x14ac:dyDescent="0.25">
      <c r="B39" t="s">
        <v>360</v>
      </c>
      <c r="C39" s="1" t="s">
        <v>93</v>
      </c>
      <c r="D39" s="1" t="str">
        <f>TRIM(_xlfn.XLOOKUP('Результат (Save 2)'!C39,Таблица!A:A,Таблица!B:B,"Ошибка",0))</f>
        <v>S, M, L, XL</v>
      </c>
      <c r="E39" s="1" t="s">
        <v>9</v>
      </c>
    </row>
    <row r="40" spans="2:5" x14ac:dyDescent="0.25">
      <c r="B40" t="s">
        <v>360</v>
      </c>
      <c r="C40" s="1" t="s">
        <v>93</v>
      </c>
      <c r="D40" s="1" t="str">
        <f>TRIM(_xlfn.XLOOKUP('Результат (Save 2)'!C40,Таблица!A:A,Таблица!B:B,"Ошибка",0))</f>
        <v>S, M, L, XL</v>
      </c>
      <c r="E40" s="1" t="s">
        <v>456</v>
      </c>
    </row>
    <row r="41" spans="2:5" x14ac:dyDescent="0.25">
      <c r="B41" t="s">
        <v>361</v>
      </c>
      <c r="C41" s="1" t="s">
        <v>79</v>
      </c>
      <c r="D41" s="1" t="str">
        <f>TRIM(_xlfn.XLOOKUP('Результат (Save 2)'!C41,Таблица!A:A,Таблица!B:B,"Ошибка",0))</f>
        <v>S, M, L, XL</v>
      </c>
      <c r="E41" s="1" t="s">
        <v>9</v>
      </c>
    </row>
    <row r="42" spans="2:5" x14ac:dyDescent="0.25">
      <c r="B42" t="s">
        <v>361</v>
      </c>
      <c r="C42" s="1" t="s">
        <v>79</v>
      </c>
      <c r="D42" s="1" t="str">
        <f>TRIM(_xlfn.XLOOKUP('Результат (Save 2)'!C42,Таблица!A:A,Таблица!B:B,"Ошибка",0))</f>
        <v>S, M, L, XL</v>
      </c>
      <c r="E42" s="1" t="s">
        <v>514</v>
      </c>
    </row>
    <row r="43" spans="2:5" x14ac:dyDescent="0.25">
      <c r="B43" t="s">
        <v>361</v>
      </c>
      <c r="C43" s="1" t="s">
        <v>79</v>
      </c>
      <c r="D43" s="1" t="str">
        <f>TRIM(_xlfn.XLOOKUP('Результат (Save 2)'!C43,Таблица!A:A,Таблица!B:B,"Ошибка",0))</f>
        <v>S, M, L, XL</v>
      </c>
      <c r="E43" s="1" t="s">
        <v>566</v>
      </c>
    </row>
    <row r="44" spans="2:5" x14ac:dyDescent="0.25">
      <c r="B44" t="s">
        <v>362</v>
      </c>
      <c r="C44" s="1" t="s">
        <v>98</v>
      </c>
      <c r="D44" s="1" t="str">
        <f>TRIM(_xlfn.XLOOKUP('Результат (Save 2)'!C44,Таблица!A:A,Таблица!B:B,"Ошибка",0))</f>
        <v>S, M, L, XL</v>
      </c>
      <c r="E44" s="1" t="s">
        <v>9</v>
      </c>
    </row>
    <row r="45" spans="2:5" x14ac:dyDescent="0.25">
      <c r="B45" t="s">
        <v>362</v>
      </c>
      <c r="C45" s="1" t="s">
        <v>98</v>
      </c>
      <c r="D45" s="1" t="str">
        <f>TRIM(_xlfn.XLOOKUP('Результат (Save 2)'!C45,Таблица!A:A,Таблица!B:B,"Ошибка",0))</f>
        <v>S, M, L, XL</v>
      </c>
      <c r="E45" s="1" t="s">
        <v>459</v>
      </c>
    </row>
    <row r="46" spans="2:5" x14ac:dyDescent="0.25">
      <c r="B46" t="s">
        <v>362</v>
      </c>
      <c r="C46" s="1" t="s">
        <v>98</v>
      </c>
      <c r="D46" s="1" t="str">
        <f>TRIM(_xlfn.XLOOKUP('Результат (Save 2)'!C46,Таблица!A:A,Таблица!B:B,"Ошибка",0))</f>
        <v>S, M, L, XL</v>
      </c>
      <c r="E46" s="1" t="s">
        <v>518</v>
      </c>
    </row>
    <row r="47" spans="2:5" x14ac:dyDescent="0.25">
      <c r="B47" t="s">
        <v>363</v>
      </c>
      <c r="C47" s="1" t="s">
        <v>74</v>
      </c>
      <c r="D47" s="1" t="str">
        <f>TRIM(_xlfn.XLOOKUP('Результат (Save 2)'!C47,Таблица!A:A,Таблица!B:B,"Ошибка",0))</f>
        <v>S, M, L, XL</v>
      </c>
      <c r="E47" s="1" t="s">
        <v>9</v>
      </c>
    </row>
    <row r="48" spans="2:5" x14ac:dyDescent="0.25">
      <c r="B48" t="s">
        <v>363</v>
      </c>
      <c r="C48" s="1" t="s">
        <v>74</v>
      </c>
      <c r="D48" s="1" t="str">
        <f>TRIM(_xlfn.XLOOKUP('Результат (Save 2)'!C48,Таблица!A:A,Таблица!B:B,"Ошибка",0))</f>
        <v>S, M, L, XL</v>
      </c>
      <c r="E48" s="1" t="s">
        <v>459</v>
      </c>
    </row>
    <row r="49" spans="2:5" x14ac:dyDescent="0.25">
      <c r="B49" t="s">
        <v>363</v>
      </c>
      <c r="C49" s="1" t="s">
        <v>74</v>
      </c>
      <c r="D49" s="1" t="str">
        <f>TRIM(_xlfn.XLOOKUP('Результат (Save 2)'!C49,Таблица!A:A,Таблица!B:B,"Ошибка",0))</f>
        <v>S, M, L, XL</v>
      </c>
      <c r="E49" s="1" t="s">
        <v>456</v>
      </c>
    </row>
    <row r="50" spans="2:5" x14ac:dyDescent="0.25">
      <c r="B50" t="s">
        <v>364</v>
      </c>
      <c r="C50" s="1" t="s">
        <v>83</v>
      </c>
      <c r="D50" s="1" t="str">
        <f>TRIM(_xlfn.XLOOKUP('Результат (Save 2)'!C50,Таблица!A:A,Таблица!B:B,"Ошибка",0))</f>
        <v>S, M, L, XL</v>
      </c>
      <c r="E50" s="1" t="s">
        <v>565</v>
      </c>
    </row>
    <row r="51" spans="2:5" x14ac:dyDescent="0.25">
      <c r="B51" t="s">
        <v>364</v>
      </c>
      <c r="C51" s="1" t="s">
        <v>83</v>
      </c>
      <c r="D51" s="1" t="str">
        <f>TRIM(_xlfn.XLOOKUP('Результат (Save 2)'!C51,Таблица!A:A,Таблица!B:B,"Ошибка",0))</f>
        <v>S, M, L, XL</v>
      </c>
      <c r="E51" s="1" t="s">
        <v>555</v>
      </c>
    </row>
    <row r="52" spans="2:5" x14ac:dyDescent="0.25">
      <c r="B52" t="s">
        <v>364</v>
      </c>
      <c r="C52" s="1" t="s">
        <v>83</v>
      </c>
      <c r="D52" s="1" t="str">
        <f>TRIM(_xlfn.XLOOKUP('Результат (Save 2)'!C52,Таблица!A:A,Таблица!B:B,"Ошибка",0))</f>
        <v>S, M, L, XL</v>
      </c>
      <c r="E52" s="1" t="s">
        <v>513</v>
      </c>
    </row>
    <row r="53" spans="2:5" x14ac:dyDescent="0.25">
      <c r="B53" t="s">
        <v>364</v>
      </c>
      <c r="C53" s="1" t="s">
        <v>83</v>
      </c>
      <c r="D53" s="1" t="str">
        <f>TRIM(_xlfn.XLOOKUP('Результат (Save 2)'!C53,Таблица!A:A,Таблица!B:B,"Ошибка",0))</f>
        <v>S, M, L, XL</v>
      </c>
      <c r="E53" s="1" t="s">
        <v>460</v>
      </c>
    </row>
    <row r="54" spans="2:5" x14ac:dyDescent="0.25">
      <c r="B54" t="s">
        <v>364</v>
      </c>
      <c r="C54" s="1" t="s">
        <v>83</v>
      </c>
      <c r="D54" s="1" t="str">
        <f>TRIM(_xlfn.XLOOKUP('Результат (Save 2)'!C54,Таблица!A:A,Таблица!B:B,"Ошибка",0))</f>
        <v>S, M, L, XL</v>
      </c>
      <c r="E54" s="1" t="s">
        <v>517</v>
      </c>
    </row>
    <row r="55" spans="2:5" x14ac:dyDescent="0.25">
      <c r="B55" t="s">
        <v>364</v>
      </c>
      <c r="C55" s="1" t="s">
        <v>83</v>
      </c>
      <c r="D55" s="1" t="str">
        <f>TRIM(_xlfn.XLOOKUP('Результат (Save 2)'!C55,Таблица!A:A,Таблица!B:B,"Ошибка",0))</f>
        <v>S, M, L, XL</v>
      </c>
      <c r="E55" s="1" t="s">
        <v>9</v>
      </c>
    </row>
    <row r="56" spans="2:5" x14ac:dyDescent="0.25">
      <c r="B56" t="s">
        <v>364</v>
      </c>
      <c r="C56" s="1" t="s">
        <v>83</v>
      </c>
      <c r="D56" s="1" t="str">
        <f>TRIM(_xlfn.XLOOKUP('Результат (Save 2)'!C56,Таблица!A:A,Таблица!B:B,"Ошибка",0))</f>
        <v>S, M, L, XL</v>
      </c>
      <c r="E56" s="1" t="s">
        <v>564</v>
      </c>
    </row>
    <row r="57" spans="2:5" x14ac:dyDescent="0.25">
      <c r="B57" t="s">
        <v>365</v>
      </c>
      <c r="C57" s="1" t="s">
        <v>61</v>
      </c>
      <c r="D57" s="1" t="str">
        <f>TRIM(_xlfn.XLOOKUP('Результат (Save 2)'!C57,Таблица!A:A,Таблица!B:B,"Ошибка",0))</f>
        <v>S, M, L, XL</v>
      </c>
      <c r="E57" s="1" t="s">
        <v>560</v>
      </c>
    </row>
    <row r="58" spans="2:5" x14ac:dyDescent="0.25">
      <c r="B58" t="s">
        <v>365</v>
      </c>
      <c r="C58" s="1" t="s">
        <v>61</v>
      </c>
      <c r="D58" s="1" t="str">
        <f>TRIM(_xlfn.XLOOKUP('Результат (Save 2)'!C58,Таблица!A:A,Таблица!B:B,"Ошибка",0))</f>
        <v>S, M, L, XL</v>
      </c>
      <c r="E58" s="1" t="s">
        <v>461</v>
      </c>
    </row>
    <row r="59" spans="2:5" x14ac:dyDescent="0.25">
      <c r="B59" t="s">
        <v>365</v>
      </c>
      <c r="C59" s="1" t="s">
        <v>61</v>
      </c>
      <c r="D59" s="1" t="str">
        <f>TRIM(_xlfn.XLOOKUP('Результат (Save 2)'!C59,Таблица!A:A,Таблица!B:B,"Ошибка",0))</f>
        <v>S, M, L, XL</v>
      </c>
      <c r="E59" s="1" t="s">
        <v>557</v>
      </c>
    </row>
    <row r="60" spans="2:5" x14ac:dyDescent="0.25">
      <c r="B60" t="s">
        <v>365</v>
      </c>
      <c r="C60" s="1" t="s">
        <v>61</v>
      </c>
      <c r="D60" s="1" t="str">
        <f>TRIM(_xlfn.XLOOKUP('Результат (Save 2)'!C60,Таблица!A:A,Таблица!B:B,"Ошибка",0))</f>
        <v>S, M, L, XL</v>
      </c>
      <c r="E60" s="1" t="s">
        <v>558</v>
      </c>
    </row>
    <row r="61" spans="2:5" x14ac:dyDescent="0.25">
      <c r="B61" t="s">
        <v>365</v>
      </c>
      <c r="C61" s="1" t="s">
        <v>61</v>
      </c>
      <c r="D61" s="1" t="str">
        <f>TRIM(_xlfn.XLOOKUP('Результат (Save 2)'!C61,Таблица!A:A,Таблица!B:B,"Ошибка",0))</f>
        <v>S, M, L, XL</v>
      </c>
      <c r="E61" s="1" t="s">
        <v>559</v>
      </c>
    </row>
    <row r="62" spans="2:5" x14ac:dyDescent="0.25">
      <c r="B62" t="s">
        <v>365</v>
      </c>
      <c r="C62" s="1" t="s">
        <v>61</v>
      </c>
      <c r="D62" s="1" t="str">
        <f>TRIM(_xlfn.XLOOKUP('Результат (Save 2)'!C62,Таблица!A:A,Таблица!B:B,"Ошибка",0))</f>
        <v>S, M, L, XL</v>
      </c>
      <c r="E62" s="1" t="s">
        <v>9</v>
      </c>
    </row>
    <row r="63" spans="2:5" x14ac:dyDescent="0.25">
      <c r="B63" t="s">
        <v>365</v>
      </c>
      <c r="C63" s="1" t="s">
        <v>61</v>
      </c>
      <c r="D63" s="1" t="str">
        <f>TRIM(_xlfn.XLOOKUP('Результат (Save 2)'!C63,Таблица!A:A,Таблица!B:B,"Ошибка",0))</f>
        <v>S, M, L, XL</v>
      </c>
      <c r="E63" s="1" t="s">
        <v>550</v>
      </c>
    </row>
    <row r="64" spans="2:5" x14ac:dyDescent="0.25">
      <c r="B64" t="s">
        <v>366</v>
      </c>
      <c r="C64" s="1" t="s">
        <v>67</v>
      </c>
      <c r="D64" s="1" t="str">
        <f>TRIM(_xlfn.XLOOKUP('Результат (Save 2)'!C64,Таблица!A:A,Таблица!B:B,"Ошибка",0))</f>
        <v>S, M, L, XL</v>
      </c>
      <c r="E64" s="1" t="s">
        <v>9</v>
      </c>
    </row>
    <row r="65" spans="2:5" x14ac:dyDescent="0.25">
      <c r="B65" t="s">
        <v>366</v>
      </c>
      <c r="C65" s="1" t="s">
        <v>67</v>
      </c>
      <c r="D65" s="1" t="str">
        <f>TRIM(_xlfn.XLOOKUP('Результат (Save 2)'!C65,Таблица!A:A,Таблица!B:B,"Ошибка",0))</f>
        <v>S, M, L, XL</v>
      </c>
      <c r="E65" s="1" t="s">
        <v>543</v>
      </c>
    </row>
    <row r="66" spans="2:5" x14ac:dyDescent="0.25">
      <c r="B66" t="s">
        <v>367</v>
      </c>
      <c r="C66" s="1" t="s">
        <v>103</v>
      </c>
      <c r="D66" s="1" t="str">
        <f>TRIM(_xlfn.XLOOKUP('Результат (Save 2)'!C66,Таблица!A:A,Таблица!B:B,"Ошибка",0))</f>
        <v>S, M, L, XL, XXL</v>
      </c>
      <c r="E66" s="1" t="s">
        <v>9</v>
      </c>
    </row>
    <row r="67" spans="2:5" x14ac:dyDescent="0.25">
      <c r="B67" t="s">
        <v>367</v>
      </c>
      <c r="C67" s="1" t="s">
        <v>103</v>
      </c>
      <c r="D67" s="1" t="str">
        <f>TRIM(_xlfn.XLOOKUP('Результат (Save 2)'!C67,Таблица!A:A,Таблица!B:B,"Ошибка",0))</f>
        <v>S, M, L, XL, XXL</v>
      </c>
      <c r="E67" s="1" t="s">
        <v>550</v>
      </c>
    </row>
    <row r="68" spans="2:5" x14ac:dyDescent="0.25">
      <c r="B68" t="s">
        <v>367</v>
      </c>
      <c r="C68" s="1" t="s">
        <v>103</v>
      </c>
      <c r="D68" s="1" t="str">
        <f>TRIM(_xlfn.XLOOKUP('Результат (Save 2)'!C68,Таблица!A:A,Таблица!B:B,"Ошибка",0))</f>
        <v>S, M, L, XL, XXL</v>
      </c>
      <c r="E68" s="1" t="s">
        <v>518</v>
      </c>
    </row>
    <row r="69" spans="2:5" x14ac:dyDescent="0.25">
      <c r="B69" t="s">
        <v>367</v>
      </c>
      <c r="C69" s="1" t="s">
        <v>103</v>
      </c>
      <c r="D69" s="1" t="str">
        <f>TRIM(_xlfn.XLOOKUP('Результат (Save 2)'!C69,Таблица!A:A,Таблица!B:B,"Ошибка",0))</f>
        <v>S, M, L, XL, XXL</v>
      </c>
      <c r="E69" s="1" t="s">
        <v>563</v>
      </c>
    </row>
    <row r="70" spans="2:5" x14ac:dyDescent="0.25">
      <c r="B70" t="s">
        <v>368</v>
      </c>
      <c r="C70" s="1" t="s">
        <v>123</v>
      </c>
      <c r="D70" s="1" t="str">
        <f>TRIM(_xlfn.XLOOKUP('Результат (Save 2)'!C70,Таблица!A:A,Таблица!B:B,"Ошибка",0))</f>
        <v>S, M, L, XL</v>
      </c>
      <c r="E70" s="1" t="s">
        <v>562</v>
      </c>
    </row>
    <row r="71" spans="2:5" x14ac:dyDescent="0.25">
      <c r="B71" t="s">
        <v>368</v>
      </c>
      <c r="C71" s="1" t="s">
        <v>123</v>
      </c>
      <c r="D71" s="1" t="str">
        <f>TRIM(_xlfn.XLOOKUP('Результат (Save 2)'!C71,Таблица!A:A,Таблица!B:B,"Ошибка",0))</f>
        <v>S, M, L, XL</v>
      </c>
      <c r="E71" s="1" t="s">
        <v>9</v>
      </c>
    </row>
    <row r="72" spans="2:5" x14ac:dyDescent="0.25">
      <c r="B72" t="s">
        <v>368</v>
      </c>
      <c r="C72" s="1" t="s">
        <v>123</v>
      </c>
      <c r="D72" s="1" t="str">
        <f>TRIM(_xlfn.XLOOKUP('Результат (Save 2)'!C72,Таблица!A:A,Таблица!B:B,"Ошибка",0))</f>
        <v>S, M, L, XL</v>
      </c>
      <c r="E72" s="1" t="s">
        <v>538</v>
      </c>
    </row>
    <row r="73" spans="2:5" x14ac:dyDescent="0.25">
      <c r="B73" t="s">
        <v>369</v>
      </c>
      <c r="C73" s="1" t="s">
        <v>7</v>
      </c>
      <c r="D73" s="1" t="str">
        <f>TRIM(_xlfn.XLOOKUP('Результат (Save 2)'!C73,Таблица!A:A,Таблица!B:B,"Ошибка",0))</f>
        <v>S, M, L, XL</v>
      </c>
      <c r="E73" s="1" t="s">
        <v>9</v>
      </c>
    </row>
    <row r="74" spans="2:5" x14ac:dyDescent="0.25">
      <c r="B74" t="s">
        <v>369</v>
      </c>
      <c r="C74" s="1" t="s">
        <v>7</v>
      </c>
      <c r="D74" s="1" t="str">
        <f>TRIM(_xlfn.XLOOKUP('Результат (Save 2)'!C74,Таблица!A:A,Таблица!B:B,"Ошибка",0))</f>
        <v>S, M, L, XL</v>
      </c>
      <c r="E74" s="1" t="s">
        <v>461</v>
      </c>
    </row>
    <row r="75" spans="2:5" x14ac:dyDescent="0.25">
      <c r="B75" t="s">
        <v>370</v>
      </c>
      <c r="C75" s="1" t="s">
        <v>115</v>
      </c>
      <c r="D75" s="1" t="str">
        <f>TRIM(_xlfn.XLOOKUP('Результат (Save 2)'!C75,Таблица!A:A,Таблица!B:B,"Ошибка",0))</f>
        <v>S, M, L, XL</v>
      </c>
      <c r="E75" s="1" t="s">
        <v>9</v>
      </c>
    </row>
    <row r="76" spans="2:5" x14ac:dyDescent="0.25">
      <c r="B76" t="s">
        <v>370</v>
      </c>
      <c r="C76" s="1" t="s">
        <v>115</v>
      </c>
      <c r="D76" s="1" t="str">
        <f>TRIM(_xlfn.XLOOKUP('Результат (Save 2)'!C76,Таблица!A:A,Таблица!B:B,"Ошибка",0))</f>
        <v>S, M, L, XL</v>
      </c>
      <c r="E76" s="1" t="s">
        <v>462</v>
      </c>
    </row>
    <row r="77" spans="2:5" x14ac:dyDescent="0.25">
      <c r="B77" t="s">
        <v>370</v>
      </c>
      <c r="C77" s="1" t="s">
        <v>115</v>
      </c>
      <c r="D77" s="1" t="str">
        <f>TRIM(_xlfn.XLOOKUP('Результат (Save 2)'!C77,Таблица!A:A,Таблица!B:B,"Ошибка",0))</f>
        <v>S, M, L, XL</v>
      </c>
      <c r="E77" s="1" t="s">
        <v>543</v>
      </c>
    </row>
    <row r="78" spans="2:5" x14ac:dyDescent="0.25">
      <c r="B78" t="s">
        <v>371</v>
      </c>
      <c r="C78" s="1" t="s">
        <v>110</v>
      </c>
      <c r="D78" s="1" t="str">
        <f>TRIM(_xlfn.XLOOKUP('Результат (Save 2)'!C78,Таблица!A:A,Таблица!B:B,"Ошибка",0))</f>
        <v>S, M, L, XL</v>
      </c>
      <c r="E78" s="1" t="s">
        <v>517</v>
      </c>
    </row>
    <row r="79" spans="2:5" x14ac:dyDescent="0.25">
      <c r="B79" t="s">
        <v>371</v>
      </c>
      <c r="C79" s="1" t="s">
        <v>110</v>
      </c>
      <c r="D79" s="1" t="str">
        <f>TRIM(_xlfn.XLOOKUP('Результат (Save 2)'!C79,Таблица!A:A,Таблица!B:B,"Ошибка",0))</f>
        <v>S, M, L, XL</v>
      </c>
      <c r="E79" s="1" t="s">
        <v>9</v>
      </c>
    </row>
    <row r="80" spans="2:5" x14ac:dyDescent="0.25">
      <c r="B80" t="s">
        <v>371</v>
      </c>
      <c r="C80" s="1" t="s">
        <v>110</v>
      </c>
      <c r="D80" s="1" t="str">
        <f>TRIM(_xlfn.XLOOKUP('Результат (Save 2)'!C80,Таблица!A:A,Таблица!B:B,"Ошибка",0))</f>
        <v>S, M, L, XL</v>
      </c>
      <c r="E80" s="1" t="s">
        <v>458</v>
      </c>
    </row>
    <row r="81" spans="2:5" x14ac:dyDescent="0.25">
      <c r="B81" t="s">
        <v>372</v>
      </c>
      <c r="C81" s="1" t="s">
        <v>127</v>
      </c>
      <c r="D81" s="1" t="str">
        <f>TRIM(_xlfn.XLOOKUP('Результат (Save 2)'!C81,Таблица!A:A,Таблица!B:B,"Ошибка",0))</f>
        <v>S, M, L, XL</v>
      </c>
      <c r="E81" s="1" t="s">
        <v>468</v>
      </c>
    </row>
    <row r="82" spans="2:5" x14ac:dyDescent="0.25">
      <c r="B82" t="s">
        <v>372</v>
      </c>
      <c r="C82" s="1" t="s">
        <v>127</v>
      </c>
      <c r="D82" s="1" t="str">
        <f>TRIM(_xlfn.XLOOKUP('Результат (Save 2)'!C82,Таблица!A:A,Таблица!B:B,"Ошибка",0))</f>
        <v>S, M, L, XL</v>
      </c>
      <c r="E82" s="1" t="s">
        <v>461</v>
      </c>
    </row>
    <row r="83" spans="2:5" x14ac:dyDescent="0.25">
      <c r="B83" t="s">
        <v>373</v>
      </c>
      <c r="C83" s="1" t="s">
        <v>6</v>
      </c>
      <c r="D83" s="1" t="str">
        <f>TRIM(_xlfn.XLOOKUP('Результат (Save 2)'!C83,Таблица!A:A,Таблица!B:B,"Ошибка",0))</f>
        <v>S, M, L, XL</v>
      </c>
      <c r="E83" s="1" t="s">
        <v>560</v>
      </c>
    </row>
    <row r="84" spans="2:5" x14ac:dyDescent="0.25">
      <c r="B84" t="s">
        <v>373</v>
      </c>
      <c r="C84" s="1" t="s">
        <v>6</v>
      </c>
      <c r="D84" s="1" t="str">
        <f>TRIM(_xlfn.XLOOKUP('Результат (Save 2)'!C84,Таблица!A:A,Таблица!B:B,"Ошибка",0))</f>
        <v>S, M, L, XL</v>
      </c>
      <c r="E84" s="1" t="s">
        <v>461</v>
      </c>
    </row>
    <row r="85" spans="2:5" x14ac:dyDescent="0.25">
      <c r="B85" t="s">
        <v>373</v>
      </c>
      <c r="C85" s="1" t="s">
        <v>6</v>
      </c>
      <c r="D85" s="1" t="str">
        <f>TRIM(_xlfn.XLOOKUP('Результат (Save 2)'!C85,Таблица!A:A,Таблица!B:B,"Ошибка",0))</f>
        <v>S, M, L, XL</v>
      </c>
      <c r="E85" s="1" t="s">
        <v>557</v>
      </c>
    </row>
    <row r="86" spans="2:5" x14ac:dyDescent="0.25">
      <c r="B86" t="s">
        <v>373</v>
      </c>
      <c r="C86" s="1" t="s">
        <v>6</v>
      </c>
      <c r="D86" s="1" t="str">
        <f>TRIM(_xlfn.XLOOKUP('Результат (Save 2)'!C86,Таблица!A:A,Таблица!B:B,"Ошибка",0))</f>
        <v>S, M, L, XL</v>
      </c>
      <c r="E86" s="1" t="s">
        <v>558</v>
      </c>
    </row>
    <row r="87" spans="2:5" x14ac:dyDescent="0.25">
      <c r="B87" t="s">
        <v>373</v>
      </c>
      <c r="C87" s="1" t="s">
        <v>6</v>
      </c>
      <c r="D87" s="1" t="str">
        <f>TRIM(_xlfn.XLOOKUP('Результат (Save 2)'!C87,Таблица!A:A,Таблица!B:B,"Ошибка",0))</f>
        <v>S, M, L, XL</v>
      </c>
      <c r="E87" s="1" t="s">
        <v>559</v>
      </c>
    </row>
    <row r="88" spans="2:5" x14ac:dyDescent="0.25">
      <c r="B88" t="s">
        <v>373</v>
      </c>
      <c r="C88" s="1" t="s">
        <v>6</v>
      </c>
      <c r="D88" s="1" t="str">
        <f>TRIM(_xlfn.XLOOKUP('Результат (Save 2)'!C88,Таблица!A:A,Таблица!B:B,"Ошибка",0))</f>
        <v>S, M, L, XL</v>
      </c>
      <c r="E88" s="1" t="s">
        <v>9</v>
      </c>
    </row>
    <row r="89" spans="2:5" x14ac:dyDescent="0.25">
      <c r="B89" t="s">
        <v>373</v>
      </c>
      <c r="C89" s="1" t="s">
        <v>6</v>
      </c>
      <c r="D89" s="1" t="str">
        <f>TRIM(_xlfn.XLOOKUP('Результат (Save 2)'!C89,Таблица!A:A,Таблица!B:B,"Ошибка",0))</f>
        <v>S, M, L, XL</v>
      </c>
      <c r="E89" s="1" t="s">
        <v>550</v>
      </c>
    </row>
    <row r="90" spans="2:5" x14ac:dyDescent="0.25">
      <c r="B90" t="s">
        <v>373</v>
      </c>
      <c r="C90" s="1" t="s">
        <v>6</v>
      </c>
      <c r="D90" s="1" t="str">
        <f>TRIM(_xlfn.XLOOKUP('Результат (Save 2)'!C90,Таблица!A:A,Таблица!B:B,"Ошибка",0))</f>
        <v>S, M, L, XL</v>
      </c>
      <c r="E90" s="1" t="s">
        <v>561</v>
      </c>
    </row>
    <row r="91" spans="2:5" x14ac:dyDescent="0.25">
      <c r="B91" t="s">
        <v>374</v>
      </c>
      <c r="C91" s="1" t="s">
        <v>8</v>
      </c>
      <c r="D91" s="1" t="str">
        <f>TRIM(_xlfn.XLOOKUP('Результат (Save 2)'!C91,Таблица!A:A,Таблица!B:B,"Ошибка",0))</f>
        <v>S, M, L, XL</v>
      </c>
      <c r="E91" s="1" t="s">
        <v>560</v>
      </c>
    </row>
    <row r="92" spans="2:5" x14ac:dyDescent="0.25">
      <c r="B92" t="s">
        <v>374</v>
      </c>
      <c r="C92" s="1" t="s">
        <v>8</v>
      </c>
      <c r="D92" s="1" t="str">
        <f>TRIM(_xlfn.XLOOKUP('Результат (Save 2)'!C92,Таблица!A:A,Таблица!B:B,"Ошибка",0))</f>
        <v>S, M, L, XL</v>
      </c>
      <c r="E92" s="1" t="s">
        <v>461</v>
      </c>
    </row>
    <row r="93" spans="2:5" x14ac:dyDescent="0.25">
      <c r="B93" t="s">
        <v>374</v>
      </c>
      <c r="C93" s="1" t="s">
        <v>8</v>
      </c>
      <c r="D93" s="1" t="str">
        <f>TRIM(_xlfn.XLOOKUP('Результат (Save 2)'!C93,Таблица!A:A,Таблица!B:B,"Ошибка",0))</f>
        <v>S, M, L, XL</v>
      </c>
      <c r="E93" s="1" t="s">
        <v>557</v>
      </c>
    </row>
    <row r="94" spans="2:5" x14ac:dyDescent="0.25">
      <c r="B94" t="s">
        <v>374</v>
      </c>
      <c r="C94" s="1" t="s">
        <v>8</v>
      </c>
      <c r="D94" s="1" t="str">
        <f>TRIM(_xlfn.XLOOKUP('Результат (Save 2)'!C94,Таблица!A:A,Таблица!B:B,"Ошибка",0))</f>
        <v>S, M, L, XL</v>
      </c>
      <c r="E94" s="1" t="s">
        <v>558</v>
      </c>
    </row>
    <row r="95" spans="2:5" x14ac:dyDescent="0.25">
      <c r="B95" t="s">
        <v>374</v>
      </c>
      <c r="C95" s="1" t="s">
        <v>8</v>
      </c>
      <c r="D95" s="1" t="str">
        <f>TRIM(_xlfn.XLOOKUP('Результат (Save 2)'!C95,Таблица!A:A,Таблица!B:B,"Ошибка",0))</f>
        <v>S, M, L, XL</v>
      </c>
      <c r="E95" s="1" t="s">
        <v>559</v>
      </c>
    </row>
    <row r="96" spans="2:5" x14ac:dyDescent="0.25">
      <c r="B96" t="s">
        <v>374</v>
      </c>
      <c r="C96" s="1" t="s">
        <v>8</v>
      </c>
      <c r="D96" s="1" t="str">
        <f>TRIM(_xlfn.XLOOKUP('Результат (Save 2)'!C96,Таблица!A:A,Таблица!B:B,"Ошибка",0))</f>
        <v>S, M, L, XL</v>
      </c>
      <c r="E96" s="1" t="s">
        <v>9</v>
      </c>
    </row>
    <row r="97" spans="2:5" x14ac:dyDescent="0.25">
      <c r="B97" t="s">
        <v>374</v>
      </c>
      <c r="C97" s="1" t="s">
        <v>8</v>
      </c>
      <c r="D97" s="1" t="str">
        <f>TRIM(_xlfn.XLOOKUP('Результат (Save 2)'!C97,Таблица!A:A,Таблица!B:B,"Ошибка",0))</f>
        <v>S, M, L, XL</v>
      </c>
      <c r="E97" s="1" t="s">
        <v>550</v>
      </c>
    </row>
    <row r="98" spans="2:5" x14ac:dyDescent="0.25">
      <c r="B98" t="s">
        <v>375</v>
      </c>
      <c r="C98" s="1" t="s">
        <v>136</v>
      </c>
      <c r="D98" s="1" t="str">
        <f>TRIM(_xlfn.XLOOKUP('Результат (Save 2)'!C98,Таблица!A:A,Таблица!B:B,"Ошибка",0))</f>
        <v>S, M, L, XL</v>
      </c>
      <c r="E98" s="1" t="s">
        <v>509</v>
      </c>
    </row>
    <row r="99" spans="2:5" x14ac:dyDescent="0.25">
      <c r="B99" t="s">
        <v>375</v>
      </c>
      <c r="C99" s="1" t="s">
        <v>136</v>
      </c>
      <c r="D99" s="1" t="str">
        <f>TRIM(_xlfn.XLOOKUP('Результат (Save 2)'!C99,Таблица!A:A,Таблица!B:B,"Ошибка",0))</f>
        <v>S, M, L, XL</v>
      </c>
      <c r="E99" s="1" t="s">
        <v>547</v>
      </c>
    </row>
    <row r="100" spans="2:5" x14ac:dyDescent="0.25">
      <c r="B100" t="s">
        <v>375</v>
      </c>
      <c r="C100" s="1" t="s">
        <v>136</v>
      </c>
      <c r="D100" s="1" t="str">
        <f>TRIM(_xlfn.XLOOKUP('Результат (Save 2)'!C100,Таблица!A:A,Таблица!B:B,"Ошибка",0))</f>
        <v>S, M, L, XL</v>
      </c>
      <c r="E100" s="1" t="s">
        <v>556</v>
      </c>
    </row>
    <row r="101" spans="2:5" x14ac:dyDescent="0.25">
      <c r="B101" t="s">
        <v>376</v>
      </c>
      <c r="C101" s="1" t="s">
        <v>130</v>
      </c>
      <c r="D101" s="1" t="str">
        <f>TRIM(_xlfn.XLOOKUP('Результат (Save 2)'!C101,Таблица!A:A,Таблица!B:B,"Ошибка",0))</f>
        <v>S, M, L, XL, XXL, XXXL</v>
      </c>
      <c r="E101" s="1" t="s">
        <v>9</v>
      </c>
    </row>
    <row r="102" spans="2:5" x14ac:dyDescent="0.25">
      <c r="B102" t="s">
        <v>376</v>
      </c>
      <c r="C102" s="1" t="s">
        <v>130</v>
      </c>
      <c r="D102" s="1" t="str">
        <f>TRIM(_xlfn.XLOOKUP('Результат (Save 2)'!C102,Таблица!A:A,Таблица!B:B,"Ошибка",0))</f>
        <v>S, M, L, XL, XXL, XXXL</v>
      </c>
      <c r="E102" s="1" t="s">
        <v>463</v>
      </c>
    </row>
    <row r="103" spans="2:5" x14ac:dyDescent="0.25">
      <c r="B103" t="s">
        <v>376</v>
      </c>
      <c r="C103" s="1" t="s">
        <v>130</v>
      </c>
      <c r="D103" s="1" t="str">
        <f>TRIM(_xlfn.XLOOKUP('Результат (Save 2)'!C103,Таблица!A:A,Таблица!B:B,"Ошибка",0))</f>
        <v>S, M, L, XL, XXL, XXXL</v>
      </c>
      <c r="E103" s="1" t="s">
        <v>554</v>
      </c>
    </row>
    <row r="104" spans="2:5" x14ac:dyDescent="0.25">
      <c r="B104" t="s">
        <v>376</v>
      </c>
      <c r="C104" s="1" t="s">
        <v>130</v>
      </c>
      <c r="D104" s="1" t="str">
        <f>TRIM(_xlfn.XLOOKUP('Результат (Save 2)'!C104,Таблица!A:A,Таблица!B:B,"Ошибка",0))</f>
        <v>S, M, L, XL, XXL, XXXL</v>
      </c>
      <c r="E104" s="1" t="s">
        <v>556</v>
      </c>
    </row>
    <row r="105" spans="2:5" x14ac:dyDescent="0.25">
      <c r="B105" t="s">
        <v>377</v>
      </c>
      <c r="C105" s="1" t="s">
        <v>156</v>
      </c>
      <c r="D105" s="1" t="str">
        <f>TRIM(_xlfn.XLOOKUP('Результат (Save 2)'!C105,Таблица!A:A,Таблица!B:B,"Ошибка",0))</f>
        <v>S, M, L, XL</v>
      </c>
      <c r="E105" s="1" t="s">
        <v>517</v>
      </c>
    </row>
    <row r="106" spans="2:5" x14ac:dyDescent="0.25">
      <c r="B106" t="s">
        <v>377</v>
      </c>
      <c r="C106" s="1" t="s">
        <v>156</v>
      </c>
      <c r="D106" s="1" t="str">
        <f>TRIM(_xlfn.XLOOKUP('Результат (Save 2)'!C106,Таблица!A:A,Таблица!B:B,"Ошибка",0))</f>
        <v>S, M, L, XL</v>
      </c>
      <c r="E106" s="1" t="s">
        <v>9</v>
      </c>
    </row>
    <row r="107" spans="2:5" x14ac:dyDescent="0.25">
      <c r="B107" t="s">
        <v>378</v>
      </c>
      <c r="C107" s="1" t="s">
        <v>152</v>
      </c>
      <c r="D107" s="1" t="str">
        <f>TRIM(_xlfn.XLOOKUP('Результат (Save 2)'!C107,Таблица!A:A,Таблица!B:B,"Ошибка",0))</f>
        <v>S, M, L, XL</v>
      </c>
      <c r="E107" s="1" t="s">
        <v>9</v>
      </c>
    </row>
    <row r="108" spans="2:5" x14ac:dyDescent="0.25">
      <c r="B108" t="s">
        <v>378</v>
      </c>
      <c r="C108" s="1" t="s">
        <v>152</v>
      </c>
      <c r="D108" s="1" t="str">
        <f>TRIM(_xlfn.XLOOKUP('Результат (Save 2)'!C108,Таблица!A:A,Таблица!B:B,"Ошибка",0))</f>
        <v>S, M, L, XL</v>
      </c>
      <c r="E108" s="1" t="s">
        <v>518</v>
      </c>
    </row>
    <row r="109" spans="2:5" x14ac:dyDescent="0.25">
      <c r="B109" t="s">
        <v>379</v>
      </c>
      <c r="C109" s="1" t="s">
        <v>160</v>
      </c>
      <c r="D109" s="1" t="str">
        <f>TRIM(_xlfn.XLOOKUP('Результат (Save 2)'!C109,Таблица!A:A,Таблица!B:B,"Ошибка",0))</f>
        <v>S, M, L, XL</v>
      </c>
      <c r="E109" s="1" t="s">
        <v>9</v>
      </c>
    </row>
    <row r="110" spans="2:5" x14ac:dyDescent="0.25">
      <c r="B110" t="s">
        <v>379</v>
      </c>
      <c r="C110" s="1" t="s">
        <v>160</v>
      </c>
      <c r="D110" s="1" t="str">
        <f>TRIM(_xlfn.XLOOKUP('Результат (Save 2)'!C110,Таблица!A:A,Таблица!B:B,"Ошибка",0))</f>
        <v>S, M, L, XL</v>
      </c>
      <c r="E110" s="1" t="s">
        <v>555</v>
      </c>
    </row>
    <row r="111" spans="2:5" x14ac:dyDescent="0.25">
      <c r="B111" t="s">
        <v>379</v>
      </c>
      <c r="C111" s="1" t="s">
        <v>160</v>
      </c>
      <c r="D111" s="1" t="str">
        <f>TRIM(_xlfn.XLOOKUP('Результат (Save 2)'!C111,Таблица!A:A,Таблица!B:B,"Ошибка",0))</f>
        <v>S, M, L, XL</v>
      </c>
      <c r="E111" s="1" t="s">
        <v>456</v>
      </c>
    </row>
    <row r="112" spans="2:5" x14ac:dyDescent="0.25">
      <c r="B112" t="s">
        <v>380</v>
      </c>
      <c r="C112" s="1" t="s">
        <v>163</v>
      </c>
      <c r="D112" s="1" t="str">
        <f>TRIM(_xlfn.XLOOKUP('Результат (Save 2)'!C112,Таблица!A:A,Таблица!B:B,"Ошибка",0))</f>
        <v>S, M, L, XL</v>
      </c>
      <c r="E112" s="1" t="s">
        <v>9</v>
      </c>
    </row>
    <row r="113" spans="2:5" x14ac:dyDescent="0.25">
      <c r="B113" t="s">
        <v>380</v>
      </c>
      <c r="C113" s="1" t="s">
        <v>163</v>
      </c>
      <c r="D113" s="1" t="str">
        <f>TRIM(_xlfn.XLOOKUP('Результат (Save 2)'!C113,Таблица!A:A,Таблица!B:B,"Ошибка",0))</f>
        <v>S, M, L, XL</v>
      </c>
      <c r="E113" s="1" t="s">
        <v>537</v>
      </c>
    </row>
    <row r="114" spans="2:5" x14ac:dyDescent="0.25">
      <c r="B114" t="s">
        <v>380</v>
      </c>
      <c r="C114" s="1" t="s">
        <v>163</v>
      </c>
      <c r="D114" s="1" t="str">
        <f>TRIM(_xlfn.XLOOKUP('Результат (Save 2)'!C114,Таблица!A:A,Таблица!B:B,"Ошибка",0))</f>
        <v>S, M, L, XL</v>
      </c>
      <c r="E114" s="1" t="s">
        <v>465</v>
      </c>
    </row>
    <row r="115" spans="2:5" x14ac:dyDescent="0.25">
      <c r="B115" t="s">
        <v>380</v>
      </c>
      <c r="C115" s="1" t="s">
        <v>163</v>
      </c>
      <c r="D115" s="1" t="str">
        <f>TRIM(_xlfn.XLOOKUP('Результат (Save 2)'!C115,Таблица!A:A,Таблица!B:B,"Ошибка",0))</f>
        <v>S, M, L, XL</v>
      </c>
      <c r="E115" s="1" t="s">
        <v>456</v>
      </c>
    </row>
    <row r="116" spans="2:5" x14ac:dyDescent="0.25">
      <c r="B116" t="s">
        <v>381</v>
      </c>
      <c r="C116" s="1" t="s">
        <v>138</v>
      </c>
      <c r="D116" s="1" t="str">
        <f>TRIM(_xlfn.XLOOKUP('Результат (Save 2)'!C116,Таблица!A:A,Таблица!B:B,"Ошибка",0))</f>
        <v>S, M, L, XL</v>
      </c>
      <c r="E116" s="1" t="s">
        <v>9</v>
      </c>
    </row>
    <row r="117" spans="2:5" x14ac:dyDescent="0.25">
      <c r="B117" t="s">
        <v>381</v>
      </c>
      <c r="C117" s="1" t="s">
        <v>138</v>
      </c>
      <c r="D117" s="1" t="str">
        <f>TRIM(_xlfn.XLOOKUP('Результат (Save 2)'!C117,Таблица!A:A,Таблица!B:B,"Ошибка",0))</f>
        <v>S, M, L, XL</v>
      </c>
      <c r="E117" s="1" t="s">
        <v>462</v>
      </c>
    </row>
    <row r="118" spans="2:5" x14ac:dyDescent="0.25">
      <c r="B118" t="s">
        <v>381</v>
      </c>
      <c r="C118" s="1" t="s">
        <v>138</v>
      </c>
      <c r="D118" s="1" t="str">
        <f>TRIM(_xlfn.XLOOKUP('Результат (Save 2)'!C118,Таблица!A:A,Таблица!B:B,"Ошибка",0))</f>
        <v>S, M, L, XL</v>
      </c>
      <c r="E118" s="1" t="s">
        <v>543</v>
      </c>
    </row>
    <row r="119" spans="2:5" x14ac:dyDescent="0.25">
      <c r="B119" t="s">
        <v>382</v>
      </c>
      <c r="C119" s="1" t="s">
        <v>149</v>
      </c>
      <c r="D119" s="1" t="str">
        <f>TRIM(_xlfn.XLOOKUP('Результат (Save 2)'!C119,Таблица!A:A,Таблица!B:B,"Ошибка",0))</f>
        <v>S, M, L, XL</v>
      </c>
      <c r="E119" s="1" t="s">
        <v>9</v>
      </c>
    </row>
    <row r="120" spans="2:5" x14ac:dyDescent="0.25">
      <c r="B120" t="s">
        <v>382</v>
      </c>
      <c r="C120" s="1" t="s">
        <v>149</v>
      </c>
      <c r="D120" s="1" t="str">
        <f>TRIM(_xlfn.XLOOKUP('Результат (Save 2)'!C120,Таблица!A:A,Таблица!B:B,"Ошибка",0))</f>
        <v>S, M, L, XL</v>
      </c>
      <c r="E120" s="1" t="s">
        <v>513</v>
      </c>
    </row>
    <row r="121" spans="2:5" x14ac:dyDescent="0.25">
      <c r="B121" t="s">
        <v>383</v>
      </c>
      <c r="C121" s="1" t="s">
        <v>146</v>
      </c>
      <c r="D121" s="1" t="str">
        <f>TRIM(_xlfn.XLOOKUP('Результат (Save 2)'!C121,Таблица!A:A,Таблица!B:B,"Ошибка",0))</f>
        <v>S, M, L, XL</v>
      </c>
      <c r="E121" s="1" t="s">
        <v>9</v>
      </c>
    </row>
    <row r="122" spans="2:5" x14ac:dyDescent="0.25">
      <c r="B122" t="s">
        <v>383</v>
      </c>
      <c r="C122" s="1" t="s">
        <v>146</v>
      </c>
      <c r="D122" s="1" t="str">
        <f>TRIM(_xlfn.XLOOKUP('Результат (Save 2)'!C122,Таблица!A:A,Таблица!B:B,"Ошибка",0))</f>
        <v>S, M, L, XL</v>
      </c>
      <c r="E122" s="1" t="s">
        <v>543</v>
      </c>
    </row>
    <row r="123" spans="2:5" x14ac:dyDescent="0.25">
      <c r="B123" t="s">
        <v>383</v>
      </c>
      <c r="C123" s="1" t="s">
        <v>146</v>
      </c>
      <c r="D123" s="1" t="str">
        <f>TRIM(_xlfn.XLOOKUP('Результат (Save 2)'!C123,Таблица!A:A,Таблица!B:B,"Ошибка",0))</f>
        <v>S, M, L, XL</v>
      </c>
      <c r="E123" s="1" t="s">
        <v>464</v>
      </c>
    </row>
    <row r="124" spans="2:5" x14ac:dyDescent="0.25">
      <c r="B124" t="s">
        <v>384</v>
      </c>
      <c r="C124" s="1" t="s">
        <v>144</v>
      </c>
      <c r="D124" s="1" t="str">
        <f>TRIM(_xlfn.XLOOKUP('Результат (Save 2)'!C124,Таблица!A:A,Таблица!B:B,"Ошибка",0))</f>
        <v>S, M, L, XL, XXL</v>
      </c>
      <c r="E124" s="1" t="s">
        <v>509</v>
      </c>
    </row>
    <row r="125" spans="2:5" x14ac:dyDescent="0.25">
      <c r="B125" t="s">
        <v>384</v>
      </c>
      <c r="C125" s="1" t="s">
        <v>144</v>
      </c>
      <c r="D125" s="1" t="str">
        <f>TRIM(_xlfn.XLOOKUP('Результат (Save 2)'!C125,Таблица!A:A,Таблица!B:B,"Ошибка",0))</f>
        <v>S, M, L, XL, XXL</v>
      </c>
      <c r="E125" s="1" t="s">
        <v>537</v>
      </c>
    </row>
    <row r="126" spans="2:5" x14ac:dyDescent="0.25">
      <c r="B126" t="s">
        <v>384</v>
      </c>
      <c r="C126" s="1" t="s">
        <v>144</v>
      </c>
      <c r="D126" s="1" t="str">
        <f>TRIM(_xlfn.XLOOKUP('Результат (Save 2)'!C126,Таблица!A:A,Таблица!B:B,"Ошибка",0))</f>
        <v>S, M, L, XL, XXL</v>
      </c>
      <c r="E126" s="1" t="s">
        <v>465</v>
      </c>
    </row>
    <row r="127" spans="2:5" x14ac:dyDescent="0.25">
      <c r="B127" t="s">
        <v>384</v>
      </c>
      <c r="C127" s="1" t="s">
        <v>144</v>
      </c>
      <c r="D127" s="1" t="str">
        <f>TRIM(_xlfn.XLOOKUP('Результат (Save 2)'!C127,Таблица!A:A,Таблица!B:B,"Ошибка",0))</f>
        <v>S, M, L, XL, XXL</v>
      </c>
      <c r="E127" s="1" t="s">
        <v>548</v>
      </c>
    </row>
    <row r="128" spans="2:5" x14ac:dyDescent="0.25">
      <c r="B128" t="s">
        <v>384</v>
      </c>
      <c r="C128" s="1" t="s">
        <v>144</v>
      </c>
      <c r="D128" s="1" t="str">
        <f>TRIM(_xlfn.XLOOKUP('Результат (Save 2)'!C128,Таблица!A:A,Таблица!B:B,"Ошибка",0))</f>
        <v>S, M, L, XL, XXL</v>
      </c>
      <c r="E128" s="1" t="s">
        <v>466</v>
      </c>
    </row>
    <row r="129" spans="2:5" x14ac:dyDescent="0.25">
      <c r="B129" t="s">
        <v>384</v>
      </c>
      <c r="C129" s="1" t="s">
        <v>144</v>
      </c>
      <c r="D129" s="1" t="str">
        <f>TRIM(_xlfn.XLOOKUP('Результат (Save 2)'!C129,Таблица!A:A,Таблица!B:B,"Ошибка",0))</f>
        <v>S, M, L, XL, XXL</v>
      </c>
      <c r="E129" s="1" t="s">
        <v>9</v>
      </c>
    </row>
    <row r="130" spans="2:5" x14ac:dyDescent="0.25">
      <c r="B130" t="s">
        <v>384</v>
      </c>
      <c r="C130" s="1" t="s">
        <v>144</v>
      </c>
      <c r="D130" s="1" t="str">
        <f>TRIM(_xlfn.XLOOKUP('Результат (Save 2)'!C130,Таблица!A:A,Таблица!B:B,"Ошибка",0))</f>
        <v>S, M, L, XL, XXL</v>
      </c>
      <c r="E130" s="1" t="s">
        <v>539</v>
      </c>
    </row>
    <row r="131" spans="2:5" x14ac:dyDescent="0.25">
      <c r="B131" t="s">
        <v>384</v>
      </c>
      <c r="C131" s="1" t="s">
        <v>144</v>
      </c>
      <c r="D131" s="1" t="str">
        <f>TRIM(_xlfn.XLOOKUP('Результат (Save 2)'!C131,Таблица!A:A,Таблица!B:B,"Ошибка",0))</f>
        <v>S, M, L, XL, XXL</v>
      </c>
      <c r="E131" s="1" t="s">
        <v>514</v>
      </c>
    </row>
    <row r="132" spans="2:5" x14ac:dyDescent="0.25">
      <c r="B132" t="s">
        <v>384</v>
      </c>
      <c r="C132" s="1" t="s">
        <v>144</v>
      </c>
      <c r="D132" s="1" t="str">
        <f>TRIM(_xlfn.XLOOKUP('Результат (Save 2)'!C132,Таблица!A:A,Таблица!B:B,"Ошибка",0))</f>
        <v>S, M, L, XL, XXL</v>
      </c>
      <c r="E132" s="1" t="s">
        <v>203</v>
      </c>
    </row>
    <row r="133" spans="2:5" x14ac:dyDescent="0.25">
      <c r="B133" t="s">
        <v>384</v>
      </c>
      <c r="C133" s="1" t="s">
        <v>144</v>
      </c>
      <c r="D133" s="1" t="str">
        <f>TRIM(_xlfn.XLOOKUP('Результат (Save 2)'!C133,Таблица!A:A,Таблица!B:B,"Ошибка",0))</f>
        <v>S, M, L, XL, XXL</v>
      </c>
      <c r="E133" s="1" t="s">
        <v>544</v>
      </c>
    </row>
    <row r="134" spans="2:5" x14ac:dyDescent="0.25">
      <c r="B134" t="s">
        <v>384</v>
      </c>
      <c r="C134" s="1" t="s">
        <v>144</v>
      </c>
      <c r="D134" s="1" t="str">
        <f>TRIM(_xlfn.XLOOKUP('Результат (Save 2)'!C134,Таблица!A:A,Таблица!B:B,"Ошибка",0))</f>
        <v>S, M, L, XL, XXL</v>
      </c>
      <c r="E134" s="1" t="s">
        <v>517</v>
      </c>
    </row>
    <row r="135" spans="2:5" x14ac:dyDescent="0.25">
      <c r="B135" t="s">
        <v>385</v>
      </c>
      <c r="C135" s="1" t="s">
        <v>190</v>
      </c>
      <c r="D135" s="1" t="str">
        <f>TRIM(_xlfn.XLOOKUP('Результат (Save 2)'!C135,Таблица!A:A,Таблица!B:B,"Ошибка",0))</f>
        <v>S, M, L, XL</v>
      </c>
      <c r="E135" s="1" t="s">
        <v>554</v>
      </c>
    </row>
    <row r="136" spans="2:5" x14ac:dyDescent="0.25">
      <c r="B136" t="s">
        <v>385</v>
      </c>
      <c r="C136" s="1" t="s">
        <v>190</v>
      </c>
      <c r="D136" s="1" t="str">
        <f>TRIM(_xlfn.XLOOKUP('Результат (Save 2)'!C136,Таблица!A:A,Таблица!B:B,"Ошибка",0))</f>
        <v>S, M, L, XL</v>
      </c>
      <c r="E136" s="1" t="s">
        <v>547</v>
      </c>
    </row>
    <row r="137" spans="2:5" x14ac:dyDescent="0.25">
      <c r="B137" t="s">
        <v>385</v>
      </c>
      <c r="C137" s="1" t="s">
        <v>190</v>
      </c>
      <c r="D137" s="1" t="str">
        <f>TRIM(_xlfn.XLOOKUP('Результат (Save 2)'!C137,Таблица!A:A,Таблица!B:B,"Ошибка",0))</f>
        <v>S, M, L, XL</v>
      </c>
      <c r="E137" s="1" t="s">
        <v>464</v>
      </c>
    </row>
    <row r="138" spans="2:5" x14ac:dyDescent="0.25">
      <c r="B138" t="s">
        <v>386</v>
      </c>
      <c r="C138" s="1" t="s">
        <v>172</v>
      </c>
      <c r="D138" s="1" t="str">
        <f>TRIM(_xlfn.XLOOKUP('Результат (Save 2)'!C138,Таблица!A:A,Таблица!B:B,"Ошибка",0))</f>
        <v>S, M, L, XL, XXL</v>
      </c>
      <c r="E138" s="1" t="s">
        <v>474</v>
      </c>
    </row>
    <row r="139" spans="2:5" x14ac:dyDescent="0.25">
      <c r="B139" t="s">
        <v>386</v>
      </c>
      <c r="C139" s="1" t="s">
        <v>172</v>
      </c>
      <c r="D139" s="1" t="str">
        <f>TRIM(_xlfn.XLOOKUP('Результат (Save 2)'!C139,Таблица!A:A,Таблица!B:B,"Ошибка",0))</f>
        <v>S, M, L, XL, XXL</v>
      </c>
      <c r="E139" s="1" t="s">
        <v>547</v>
      </c>
    </row>
    <row r="140" spans="2:5" x14ac:dyDescent="0.25">
      <c r="B140" t="s">
        <v>386</v>
      </c>
      <c r="C140" s="1" t="s">
        <v>172</v>
      </c>
      <c r="D140" s="1" t="str">
        <f>TRIM(_xlfn.XLOOKUP('Результат (Save 2)'!C140,Таблица!A:A,Таблица!B:B,"Ошибка",0))</f>
        <v>S, M, L, XL, XXL</v>
      </c>
      <c r="E140" s="1" t="s">
        <v>467</v>
      </c>
    </row>
    <row r="141" spans="2:5" x14ac:dyDescent="0.25">
      <c r="B141" t="s">
        <v>386</v>
      </c>
      <c r="C141" s="1" t="s">
        <v>172</v>
      </c>
      <c r="D141" s="1" t="str">
        <f>TRIM(_xlfn.XLOOKUP('Результат (Save 2)'!C141,Таблица!A:A,Таблица!B:B,"Ошибка",0))</f>
        <v>S, M, L, XL, XXL</v>
      </c>
      <c r="E141" s="1" t="s">
        <v>456</v>
      </c>
    </row>
    <row r="142" spans="2:5" x14ac:dyDescent="0.25">
      <c r="B142" t="s">
        <v>386</v>
      </c>
      <c r="C142" s="1" t="s">
        <v>172</v>
      </c>
      <c r="D142" s="1" t="str">
        <f>TRIM(_xlfn.XLOOKUP('Результат (Save 2)'!C142,Таблица!A:A,Таблица!B:B,"Ошибка",0))</f>
        <v>S, M, L, XL, XXL</v>
      </c>
      <c r="E142" s="1" t="s">
        <v>466</v>
      </c>
    </row>
    <row r="143" spans="2:5" x14ac:dyDescent="0.25">
      <c r="B143" t="s">
        <v>386</v>
      </c>
      <c r="C143" s="1" t="s">
        <v>172</v>
      </c>
      <c r="D143" s="1" t="str">
        <f>TRIM(_xlfn.XLOOKUP('Результат (Save 2)'!C143,Таблица!A:A,Таблица!B:B,"Ошибка",0))</f>
        <v>S, M, L, XL, XXL</v>
      </c>
      <c r="E143" s="1" t="s">
        <v>553</v>
      </c>
    </row>
    <row r="144" spans="2:5" x14ac:dyDescent="0.25">
      <c r="B144" t="s">
        <v>386</v>
      </c>
      <c r="C144" s="1" t="s">
        <v>172</v>
      </c>
      <c r="D144" s="1" t="str">
        <f>TRIM(_xlfn.XLOOKUP('Результат (Save 2)'!C144,Таблица!A:A,Таблица!B:B,"Ошибка",0))</f>
        <v>S, M, L, XL, XXL</v>
      </c>
      <c r="E144" s="1" t="s">
        <v>9</v>
      </c>
    </row>
    <row r="145" spans="2:5" x14ac:dyDescent="0.25">
      <c r="B145" t="s">
        <v>386</v>
      </c>
      <c r="C145" s="1" t="s">
        <v>172</v>
      </c>
      <c r="D145" s="1" t="str">
        <f>TRIM(_xlfn.XLOOKUP('Результат (Save 2)'!C145,Таблица!A:A,Таблица!B:B,"Ошибка",0))</f>
        <v>S, M, L, XL, XXL</v>
      </c>
      <c r="E145" s="1" t="s">
        <v>545</v>
      </c>
    </row>
    <row r="146" spans="2:5" x14ac:dyDescent="0.25">
      <c r="B146" t="s">
        <v>386</v>
      </c>
      <c r="C146" s="1" t="s">
        <v>172</v>
      </c>
      <c r="D146" s="1" t="str">
        <f>TRIM(_xlfn.XLOOKUP('Результат (Save 2)'!C146,Таблица!A:A,Таблица!B:B,"Ошибка",0))</f>
        <v>S, M, L, XL, XXL</v>
      </c>
      <c r="E146" s="1" t="s">
        <v>516</v>
      </c>
    </row>
    <row r="147" spans="2:5" x14ac:dyDescent="0.25">
      <c r="B147" t="s">
        <v>386</v>
      </c>
      <c r="C147" s="1" t="s">
        <v>172</v>
      </c>
      <c r="D147" s="1" t="str">
        <f>TRIM(_xlfn.XLOOKUP('Результат (Save 2)'!C147,Таблица!A:A,Таблица!B:B,"Ошибка",0))</f>
        <v>S, M, L, XL, XXL</v>
      </c>
      <c r="E147" s="1" t="s">
        <v>509</v>
      </c>
    </row>
    <row r="148" spans="2:5" x14ac:dyDescent="0.25">
      <c r="B148" t="s">
        <v>387</v>
      </c>
      <c r="C148" s="1" t="s">
        <v>168</v>
      </c>
      <c r="D148" s="1" t="str">
        <f>TRIM(_xlfn.XLOOKUP('Результат (Save 2)'!C148,Таблица!A:A,Таблица!B:B,"Ошибка",0))</f>
        <v>S, M, L, XL, XXL</v>
      </c>
      <c r="E148" s="1" t="s">
        <v>9</v>
      </c>
    </row>
    <row r="149" spans="2:5" x14ac:dyDescent="0.25">
      <c r="B149" t="s">
        <v>387</v>
      </c>
      <c r="C149" s="1" t="s">
        <v>168</v>
      </c>
      <c r="D149" s="1" t="str">
        <f>TRIM(_xlfn.XLOOKUP('Результат (Save 2)'!C149,Таблица!A:A,Таблица!B:B,"Ошибка",0))</f>
        <v>S, M, L, XL, XXL</v>
      </c>
      <c r="E149" s="1" t="s">
        <v>532</v>
      </c>
    </row>
    <row r="150" spans="2:5" x14ac:dyDescent="0.25">
      <c r="B150" t="s">
        <v>387</v>
      </c>
      <c r="C150" s="1" t="s">
        <v>168</v>
      </c>
      <c r="D150" s="1" t="str">
        <f>TRIM(_xlfn.XLOOKUP('Результат (Save 2)'!C150,Таблица!A:A,Таблица!B:B,"Ошибка",0))</f>
        <v>S, M, L, XL, XXL</v>
      </c>
      <c r="E150" s="1" t="s">
        <v>470</v>
      </c>
    </row>
    <row r="151" spans="2:5" x14ac:dyDescent="0.25">
      <c r="B151" t="s">
        <v>387</v>
      </c>
      <c r="C151" s="1" t="s">
        <v>168</v>
      </c>
      <c r="D151" s="1" t="str">
        <f>TRIM(_xlfn.XLOOKUP('Результат (Save 2)'!C151,Таблица!A:A,Таблица!B:B,"Ошибка",0))</f>
        <v>S, M, L, XL, XXL</v>
      </c>
      <c r="E151" s="1" t="s">
        <v>465</v>
      </c>
    </row>
    <row r="152" spans="2:5" x14ac:dyDescent="0.25">
      <c r="B152" t="s">
        <v>387</v>
      </c>
      <c r="C152" s="1" t="s">
        <v>168</v>
      </c>
      <c r="D152" s="1" t="str">
        <f>TRIM(_xlfn.XLOOKUP('Результат (Save 2)'!C152,Таблица!A:A,Таблица!B:B,"Ошибка",0))</f>
        <v>S, M, L, XL, XXL</v>
      </c>
      <c r="E152" s="1" t="s">
        <v>458</v>
      </c>
    </row>
    <row r="153" spans="2:5" x14ac:dyDescent="0.25">
      <c r="B153" t="s">
        <v>388</v>
      </c>
      <c r="C153" s="1" t="s">
        <v>192</v>
      </c>
      <c r="D153" s="1" t="str">
        <f>TRIM(_xlfn.XLOOKUP('Результат (Save 2)'!C153,Таблица!A:A,Таблица!B:B,"Ошибка",0))</f>
        <v>S, M, L, XL</v>
      </c>
      <c r="E153" s="1" t="s">
        <v>472</v>
      </c>
    </row>
    <row r="154" spans="2:5" x14ac:dyDescent="0.25">
      <c r="B154" t="s">
        <v>388</v>
      </c>
      <c r="C154" s="1" t="s">
        <v>192</v>
      </c>
      <c r="D154" s="1" t="str">
        <f>TRIM(_xlfn.XLOOKUP('Результат (Save 2)'!C154,Таблица!A:A,Таблица!B:B,"Ошибка",0))</f>
        <v>S, M, L, XL</v>
      </c>
      <c r="E154" s="1" t="s">
        <v>513</v>
      </c>
    </row>
    <row r="155" spans="2:5" x14ac:dyDescent="0.25">
      <c r="B155" t="s">
        <v>389</v>
      </c>
      <c r="C155" s="1" t="s">
        <v>188</v>
      </c>
      <c r="D155" s="1" t="str">
        <f>TRIM(_xlfn.XLOOKUP('Результат (Save 2)'!C155,Таблица!A:A,Таблица!B:B,"Ошибка",0))</f>
        <v>S, M, L, XL</v>
      </c>
      <c r="E155" s="1" t="s">
        <v>9</v>
      </c>
    </row>
    <row r="156" spans="2:5" x14ac:dyDescent="0.25">
      <c r="B156" t="s">
        <v>389</v>
      </c>
      <c r="C156" s="1" t="s">
        <v>188</v>
      </c>
      <c r="D156" s="1" t="str">
        <f>TRIM(_xlfn.XLOOKUP('Результат (Save 2)'!C156,Таблица!A:A,Таблица!B:B,"Ошибка",0))</f>
        <v>S, M, L, XL</v>
      </c>
      <c r="E156" s="1" t="s">
        <v>552</v>
      </c>
    </row>
    <row r="157" spans="2:5" x14ac:dyDescent="0.25">
      <c r="B157" t="s">
        <v>389</v>
      </c>
      <c r="C157" s="1" t="s">
        <v>188</v>
      </c>
      <c r="D157" s="1" t="str">
        <f>TRIM(_xlfn.XLOOKUP('Результат (Save 2)'!C157,Таблица!A:A,Таблица!B:B,"Ошибка",0))</f>
        <v>S, M, L, XL</v>
      </c>
      <c r="E157" s="1" t="s">
        <v>537</v>
      </c>
    </row>
    <row r="158" spans="2:5" x14ac:dyDescent="0.25">
      <c r="B158" t="s">
        <v>389</v>
      </c>
      <c r="C158" s="1" t="s">
        <v>188</v>
      </c>
      <c r="D158" s="1" t="str">
        <f>TRIM(_xlfn.XLOOKUP('Результат (Save 2)'!C158,Таблица!A:A,Таблица!B:B,"Ошибка",0))</f>
        <v>S, M, L, XL</v>
      </c>
      <c r="E158" s="1" t="s">
        <v>542</v>
      </c>
    </row>
    <row r="159" spans="2:5" x14ac:dyDescent="0.25">
      <c r="B159" t="s">
        <v>390</v>
      </c>
      <c r="C159" s="1" t="s">
        <v>185</v>
      </c>
      <c r="D159" s="1" t="str">
        <f>TRIM(_xlfn.XLOOKUP('Результат (Save 2)'!C159,Таблица!A:A,Таблица!B:B,"Ошибка",0))</f>
        <v>S, M, L, XL</v>
      </c>
      <c r="E159" s="1" t="s">
        <v>468</v>
      </c>
    </row>
    <row r="160" spans="2:5" x14ac:dyDescent="0.25">
      <c r="B160" t="s">
        <v>390</v>
      </c>
      <c r="C160" s="1" t="s">
        <v>185</v>
      </c>
      <c r="D160" s="1" t="str">
        <f>TRIM(_xlfn.XLOOKUP('Результат (Save 2)'!C160,Таблица!A:A,Таблица!B:B,"Ошибка",0))</f>
        <v>S, M, L, XL</v>
      </c>
      <c r="E160" s="1" t="s">
        <v>469</v>
      </c>
    </row>
    <row r="161" spans="2:5" x14ac:dyDescent="0.25">
      <c r="B161" t="s">
        <v>390</v>
      </c>
      <c r="C161" s="1" t="s">
        <v>185</v>
      </c>
      <c r="D161" s="1" t="str">
        <f>TRIM(_xlfn.XLOOKUP('Результат (Save 2)'!C161,Таблица!A:A,Таблица!B:B,"Ошибка",0))</f>
        <v>S, M, L, XL</v>
      </c>
      <c r="E161" s="1" t="s">
        <v>551</v>
      </c>
    </row>
    <row r="162" spans="2:5" x14ac:dyDescent="0.25">
      <c r="B162" t="s">
        <v>391</v>
      </c>
      <c r="C162" s="1" t="s">
        <v>180</v>
      </c>
      <c r="D162" s="1" t="str">
        <f>TRIM(_xlfn.XLOOKUP('Результат (Save 2)'!C162,Таблица!A:A,Таблица!B:B,"Ошибка",0))</f>
        <v>S, M, L, XL</v>
      </c>
      <c r="E162" s="1" t="s">
        <v>9</v>
      </c>
    </row>
    <row r="163" spans="2:5" x14ac:dyDescent="0.25">
      <c r="B163" t="s">
        <v>391</v>
      </c>
      <c r="C163" s="1" t="s">
        <v>180</v>
      </c>
      <c r="D163" s="1" t="str">
        <f>TRIM(_xlfn.XLOOKUP('Результат (Save 2)'!C163,Таблица!A:A,Таблица!B:B,"Ошибка",0))</f>
        <v>S, M, L, XL</v>
      </c>
      <c r="E163" s="1" t="s">
        <v>550</v>
      </c>
    </row>
    <row r="164" spans="2:5" x14ac:dyDescent="0.25">
      <c r="B164" t="s">
        <v>391</v>
      </c>
      <c r="C164" s="1" t="s">
        <v>180</v>
      </c>
      <c r="D164" s="1" t="str">
        <f>TRIM(_xlfn.XLOOKUP('Результат (Save 2)'!C164,Таблица!A:A,Таблица!B:B,"Ошибка",0))</f>
        <v>S, M, L, XL</v>
      </c>
      <c r="E164" s="1" t="s">
        <v>471</v>
      </c>
    </row>
    <row r="165" spans="2:5" x14ac:dyDescent="0.25">
      <c r="B165" t="s">
        <v>391</v>
      </c>
      <c r="C165" s="1" t="s">
        <v>180</v>
      </c>
      <c r="D165" s="1" t="str">
        <f>TRIM(_xlfn.XLOOKUP('Результат (Save 2)'!C165,Таблица!A:A,Таблица!B:B,"Ошибка",0))</f>
        <v>S, M, L, XL</v>
      </c>
      <c r="E165" s="1" t="s">
        <v>538</v>
      </c>
    </row>
    <row r="166" spans="2:5" x14ac:dyDescent="0.25">
      <c r="B166" t="s">
        <v>392</v>
      </c>
      <c r="C166" s="1" t="s">
        <v>177</v>
      </c>
      <c r="D166" s="1" t="str">
        <f>TRIM(_xlfn.XLOOKUP('Результат (Save 2)'!C166,Таблица!A:A,Таблица!B:B,"Ошибка",0))</f>
        <v>S, M, L, XL</v>
      </c>
      <c r="E166" s="1" t="s">
        <v>9</v>
      </c>
    </row>
    <row r="167" spans="2:5" x14ac:dyDescent="0.25">
      <c r="B167" t="s">
        <v>392</v>
      </c>
      <c r="C167" s="1" t="s">
        <v>177</v>
      </c>
      <c r="D167" s="1" t="str">
        <f>TRIM(_xlfn.XLOOKUP('Результат (Save 2)'!C167,Таблица!A:A,Таблица!B:B,"Ошибка",0))</f>
        <v>S, M, L, XL</v>
      </c>
      <c r="E167" s="1" t="s">
        <v>473</v>
      </c>
    </row>
    <row r="168" spans="2:5" x14ac:dyDescent="0.25">
      <c r="B168" t="s">
        <v>393</v>
      </c>
      <c r="C168" s="1" t="s">
        <v>196</v>
      </c>
      <c r="D168" s="1" t="str">
        <f>TRIM(_xlfn.XLOOKUP('Результат (Save 2)'!C168,Таблица!A:A,Таблица!B:B,"Ошибка",0))</f>
        <v>S, M, L, XL</v>
      </c>
      <c r="E168" s="1" t="s">
        <v>549</v>
      </c>
    </row>
    <row r="169" spans="2:5" x14ac:dyDescent="0.25">
      <c r="B169" t="s">
        <v>393</v>
      </c>
      <c r="C169" s="1" t="s">
        <v>196</v>
      </c>
      <c r="D169" s="1" t="str">
        <f>TRIM(_xlfn.XLOOKUP('Результат (Save 2)'!C169,Таблица!A:A,Таблица!B:B,"Ошибка",0))</f>
        <v>S, M, L, XL</v>
      </c>
      <c r="E169" s="1" t="s">
        <v>546</v>
      </c>
    </row>
    <row r="170" spans="2:5" x14ac:dyDescent="0.25">
      <c r="B170" t="s">
        <v>393</v>
      </c>
      <c r="C170" s="1" t="s">
        <v>196</v>
      </c>
      <c r="D170" s="1" t="str">
        <f>TRIM(_xlfn.XLOOKUP('Результат (Save 2)'!C170,Таблица!A:A,Таблица!B:B,"Ошибка",0))</f>
        <v>S, M, L, XL</v>
      </c>
      <c r="E170" s="1" t="s">
        <v>547</v>
      </c>
    </row>
    <row r="171" spans="2:5" x14ac:dyDescent="0.25">
      <c r="B171" t="s">
        <v>393</v>
      </c>
      <c r="C171" s="1" t="s">
        <v>196</v>
      </c>
      <c r="D171" s="1" t="str">
        <f>TRIM(_xlfn.XLOOKUP('Результат (Save 2)'!C171,Таблица!A:A,Таблица!B:B,"Ошибка",0))</f>
        <v>S, M, L, XL</v>
      </c>
      <c r="E171" s="1" t="s">
        <v>548</v>
      </c>
    </row>
    <row r="172" spans="2:5" x14ac:dyDescent="0.25">
      <c r="B172" t="s">
        <v>393</v>
      </c>
      <c r="C172" s="1" t="s">
        <v>196</v>
      </c>
      <c r="D172" s="1" t="str">
        <f>TRIM(_xlfn.XLOOKUP('Результат (Save 2)'!C172,Таблица!A:A,Таблица!B:B,"Ошибка",0))</f>
        <v>S, M, L, XL</v>
      </c>
      <c r="E172" s="1" t="s">
        <v>9</v>
      </c>
    </row>
    <row r="173" spans="2:5" x14ac:dyDescent="0.25">
      <c r="B173" t="s">
        <v>393</v>
      </c>
      <c r="C173" s="1" t="s">
        <v>196</v>
      </c>
      <c r="D173" s="1" t="str">
        <f>TRIM(_xlfn.XLOOKUP('Результат (Save 2)'!C173,Таблица!A:A,Таблица!B:B,"Ошибка",0))</f>
        <v>S, M, L, XL</v>
      </c>
      <c r="E173" s="1" t="s">
        <v>539</v>
      </c>
    </row>
    <row r="174" spans="2:5" x14ac:dyDescent="0.25">
      <c r="B174" t="s">
        <v>393</v>
      </c>
      <c r="C174" s="1" t="s">
        <v>196</v>
      </c>
      <c r="D174" s="1" t="str">
        <f>TRIM(_xlfn.XLOOKUP('Результат (Save 2)'!C174,Таблица!A:A,Таблица!B:B,"Ошибка",0))</f>
        <v>S, M, L, XL</v>
      </c>
      <c r="E174" s="1" t="s">
        <v>469</v>
      </c>
    </row>
    <row r="175" spans="2:5" x14ac:dyDescent="0.25">
      <c r="B175" t="s">
        <v>394</v>
      </c>
      <c r="C175" s="1" t="s">
        <v>200</v>
      </c>
      <c r="D175" s="1" t="str">
        <f>TRIM(_xlfn.XLOOKUP('Результат (Save 2)'!C175,Таблица!A:A,Таблица!B:B,"Ошибка",0))</f>
        <v>S, M, L, XL</v>
      </c>
      <c r="E175" s="1" t="str">
        <f>TRIM(_xlfn.XLOOKUP('Результат (Save 2)'!C175,Таблица!A:A,Таблица!E:E,"Ошибка",0))</f>
        <v>Medium Brown Mix</v>
      </c>
    </row>
    <row r="176" spans="2:5" x14ac:dyDescent="0.25">
      <c r="B176" t="s">
        <v>395</v>
      </c>
      <c r="C176" s="1" t="s">
        <v>204</v>
      </c>
      <c r="D176" s="1" t="str">
        <f>TRIM(_xlfn.XLOOKUP('Результат (Save 2)'!C176,Таблица!A:A,Таблица!B:B,"Ошибка",0))</f>
        <v>S, M, L, XL, XXL</v>
      </c>
      <c r="E176" s="1" t="s">
        <v>545</v>
      </c>
    </row>
    <row r="177" spans="2:5" x14ac:dyDescent="0.25">
      <c r="B177" t="s">
        <v>395</v>
      </c>
      <c r="C177" s="1" t="s">
        <v>204</v>
      </c>
      <c r="D177" s="1" t="str">
        <f>TRIM(_xlfn.XLOOKUP('Результат (Save 2)'!C177,Таблица!A:A,Таблица!B:B,"Ошибка",0))</f>
        <v>S, M, L, XL, XXL</v>
      </c>
      <c r="E177" s="1" t="s">
        <v>514</v>
      </c>
    </row>
    <row r="178" spans="2:5" x14ac:dyDescent="0.25">
      <c r="B178" t="s">
        <v>395</v>
      </c>
      <c r="C178" s="1" t="s">
        <v>204</v>
      </c>
      <c r="D178" s="1" t="str">
        <f>TRIM(_xlfn.XLOOKUP('Результат (Save 2)'!C178,Таблица!A:A,Таблица!B:B,"Ошибка",0))</f>
        <v>S, M, L, XL, XXL</v>
      </c>
      <c r="E178" s="1" t="s">
        <v>472</v>
      </c>
    </row>
    <row r="179" spans="2:5" x14ac:dyDescent="0.25">
      <c r="B179" t="s">
        <v>395</v>
      </c>
      <c r="C179" s="1" t="s">
        <v>204</v>
      </c>
      <c r="D179" s="1" t="str">
        <f>TRIM(_xlfn.XLOOKUP('Результат (Save 2)'!C179,Таблица!A:A,Таблица!B:B,"Ошибка",0))</f>
        <v>S, M, L, XL, XXL</v>
      </c>
      <c r="E179" s="1" t="s">
        <v>509</v>
      </c>
    </row>
    <row r="180" spans="2:5" x14ac:dyDescent="0.25">
      <c r="B180" t="s">
        <v>395</v>
      </c>
      <c r="C180" s="1" t="s">
        <v>204</v>
      </c>
      <c r="D180" s="1" t="str">
        <f>TRIM(_xlfn.XLOOKUP('Результат (Save 2)'!C180,Таблица!A:A,Таблица!B:B,"Ошибка",0))</f>
        <v>S, M, L, XL, XXL</v>
      </c>
      <c r="E180" s="1" t="s">
        <v>541</v>
      </c>
    </row>
    <row r="181" spans="2:5" x14ac:dyDescent="0.25">
      <c r="B181" t="s">
        <v>395</v>
      </c>
      <c r="C181" s="1" t="s">
        <v>204</v>
      </c>
      <c r="D181" s="1" t="str">
        <f>TRIM(_xlfn.XLOOKUP('Результат (Save 2)'!C181,Таблица!A:A,Таблица!B:B,"Ошибка",0))</f>
        <v>S, M, L, XL, XXL</v>
      </c>
      <c r="E181" s="1" t="s">
        <v>542</v>
      </c>
    </row>
    <row r="182" spans="2:5" x14ac:dyDescent="0.25">
      <c r="B182" t="s">
        <v>395</v>
      </c>
      <c r="C182" s="1" t="s">
        <v>204</v>
      </c>
      <c r="D182" s="1" t="str">
        <f>TRIM(_xlfn.XLOOKUP('Результат (Save 2)'!C182,Таблица!A:A,Таблица!B:B,"Ошибка",0))</f>
        <v>S, M, L, XL, XXL</v>
      </c>
      <c r="E182" s="1" t="s">
        <v>465</v>
      </c>
    </row>
    <row r="183" spans="2:5" x14ac:dyDescent="0.25">
      <c r="B183" t="s">
        <v>395</v>
      </c>
      <c r="C183" s="1" t="s">
        <v>204</v>
      </c>
      <c r="D183" s="1" t="str">
        <f>TRIM(_xlfn.XLOOKUP('Результат (Save 2)'!C183,Таблица!A:A,Таблица!B:B,"Ошибка",0))</f>
        <v>S, M, L, XL, XXL</v>
      </c>
      <c r="E183" s="1" t="s">
        <v>474</v>
      </c>
    </row>
    <row r="184" spans="2:5" x14ac:dyDescent="0.25">
      <c r="B184" t="s">
        <v>395</v>
      </c>
      <c r="C184" s="1" t="s">
        <v>204</v>
      </c>
      <c r="D184" s="1" t="str">
        <f>TRIM(_xlfn.XLOOKUP('Результат (Save 2)'!C184,Таблица!A:A,Таблица!B:B,"Ошибка",0))</f>
        <v>S, M, L, XL, XXL</v>
      </c>
      <c r="E184" s="1" t="s">
        <v>543</v>
      </c>
    </row>
    <row r="185" spans="2:5" x14ac:dyDescent="0.25">
      <c r="B185" t="s">
        <v>395</v>
      </c>
      <c r="C185" s="1" t="s">
        <v>204</v>
      </c>
      <c r="D185" s="1" t="str">
        <f>TRIM(_xlfn.XLOOKUP('Результат (Save 2)'!C185,Таблица!A:A,Таблица!B:B,"Ошибка",0))</f>
        <v>S, M, L, XL, XXL</v>
      </c>
      <c r="E185" s="1" t="s">
        <v>466</v>
      </c>
    </row>
    <row r="186" spans="2:5" x14ac:dyDescent="0.25">
      <c r="B186" t="s">
        <v>395</v>
      </c>
      <c r="C186" s="1" t="s">
        <v>204</v>
      </c>
      <c r="D186" s="1" t="str">
        <f>TRIM(_xlfn.XLOOKUP('Результат (Save 2)'!C186,Таблица!A:A,Таблица!B:B,"Ошибка",0))</f>
        <v>S, M, L, XL, XXL</v>
      </c>
      <c r="E186" s="1" t="s">
        <v>544</v>
      </c>
    </row>
    <row r="187" spans="2:5" x14ac:dyDescent="0.25">
      <c r="B187" t="s">
        <v>395</v>
      </c>
      <c r="C187" s="1" t="s">
        <v>204</v>
      </c>
      <c r="D187" s="1" t="str">
        <f>TRIM(_xlfn.XLOOKUP('Результат (Save 2)'!C187,Таблица!A:A,Таблица!B:B,"Ошибка",0))</f>
        <v>S, M, L, XL, XXL</v>
      </c>
      <c r="E187" s="1" t="s">
        <v>9</v>
      </c>
    </row>
    <row r="188" spans="2:5" x14ac:dyDescent="0.25">
      <c r="B188" t="s">
        <v>395</v>
      </c>
      <c r="C188" s="1" t="s">
        <v>204</v>
      </c>
      <c r="D188" s="1" t="str">
        <f>TRIM(_xlfn.XLOOKUP('Результат (Save 2)'!C188,Таблица!A:A,Таблица!B:B,"Ошибка",0))</f>
        <v>S, M, L, XL, XXL</v>
      </c>
      <c r="E188" s="1" t="s">
        <v>463</v>
      </c>
    </row>
    <row r="189" spans="2:5" x14ac:dyDescent="0.25">
      <c r="B189" t="s">
        <v>395</v>
      </c>
      <c r="C189" s="1" t="s">
        <v>204</v>
      </c>
      <c r="D189" s="1" t="str">
        <f>TRIM(_xlfn.XLOOKUP('Результат (Save 2)'!C189,Таблица!A:A,Таблица!B:B,"Ошибка",0))</f>
        <v>S, M, L, XL, XXL</v>
      </c>
      <c r="E189" s="1" t="s">
        <v>317</v>
      </c>
    </row>
    <row r="190" spans="2:5" x14ac:dyDescent="0.25">
      <c r="B190" t="s">
        <v>396</v>
      </c>
      <c r="C190" s="1" t="s">
        <v>208</v>
      </c>
      <c r="D190" s="1" t="str">
        <f>TRIM(_xlfn.XLOOKUP('Результат (Save 2)'!C190,Таблица!A:A,Таблица!B:B,"Ошибка",0))</f>
        <v>S, M, L, XL</v>
      </c>
      <c r="E190" s="1" t="s">
        <v>9</v>
      </c>
    </row>
    <row r="191" spans="2:5" x14ac:dyDescent="0.25">
      <c r="B191" t="s">
        <v>396</v>
      </c>
      <c r="C191" s="1" t="s">
        <v>208</v>
      </c>
      <c r="D191" s="1" t="str">
        <f>TRIM(_xlfn.XLOOKUP('Результат (Save 2)'!C191,Таблица!A:A,Таблица!B:B,"Ошибка",0))</f>
        <v>S, M, L, XL</v>
      </c>
      <c r="E191" s="1" t="s">
        <v>539</v>
      </c>
    </row>
    <row r="192" spans="2:5" x14ac:dyDescent="0.25">
      <c r="B192" t="s">
        <v>396</v>
      </c>
      <c r="C192" s="1" t="s">
        <v>208</v>
      </c>
      <c r="D192" s="1" t="str">
        <f>TRIM(_xlfn.XLOOKUP('Результат (Save 2)'!C192,Таблица!A:A,Таблица!B:B,"Ошибка",0))</f>
        <v>S, M, L, XL</v>
      </c>
      <c r="E192" s="1" t="s">
        <v>540</v>
      </c>
    </row>
    <row r="193" spans="2:5" x14ac:dyDescent="0.25">
      <c r="B193" t="s">
        <v>397</v>
      </c>
      <c r="C193" s="1" t="s">
        <v>213</v>
      </c>
      <c r="D193" s="1" t="str">
        <f>TRIM(_xlfn.XLOOKUP('Результат (Save 2)'!C193,Таблица!A:A,Таблица!B:B,"Ошибка",0))</f>
        <v>S, M, L, XL</v>
      </c>
      <c r="E193" s="1" t="s">
        <v>9</v>
      </c>
    </row>
    <row r="194" spans="2:5" x14ac:dyDescent="0.25">
      <c r="B194" t="s">
        <v>397</v>
      </c>
      <c r="C194" s="1" t="s">
        <v>213</v>
      </c>
      <c r="D194" s="1" t="str">
        <f>TRIM(_xlfn.XLOOKUP('Результат (Save 2)'!C194,Таблица!A:A,Таблица!B:B,"Ошибка",0))</f>
        <v>S, M, L, XL</v>
      </c>
      <c r="E194" s="1" t="s">
        <v>456</v>
      </c>
    </row>
    <row r="195" spans="2:5" x14ac:dyDescent="0.25">
      <c r="B195" t="s">
        <v>398</v>
      </c>
      <c r="C195" s="1" t="s">
        <v>218</v>
      </c>
      <c r="D195" s="1" t="str">
        <f>TRIM(_xlfn.XLOOKUP('Результат (Save 2)'!C195,Таблица!A:A,Таблица!B:B,"Ошибка",0))</f>
        <v>S, M, L, XL</v>
      </c>
      <c r="E195" s="1" t="s">
        <v>517</v>
      </c>
    </row>
    <row r="196" spans="2:5" x14ac:dyDescent="0.25">
      <c r="B196" t="s">
        <v>398</v>
      </c>
      <c r="C196" s="1" t="s">
        <v>218</v>
      </c>
      <c r="D196" s="1" t="str">
        <f>TRIM(_xlfn.XLOOKUP('Результат (Save 2)'!C196,Таблица!A:A,Таблица!B:B,"Ошибка",0))</f>
        <v>S, M, L, XL</v>
      </c>
      <c r="E196" s="1" t="s">
        <v>9</v>
      </c>
    </row>
    <row r="197" spans="2:5" x14ac:dyDescent="0.25">
      <c r="B197" t="s">
        <v>398</v>
      </c>
      <c r="C197" s="1" t="s">
        <v>218</v>
      </c>
      <c r="D197" s="1" t="str">
        <f>TRIM(_xlfn.XLOOKUP('Результат (Save 2)'!C197,Таблица!A:A,Таблица!B:B,"Ошибка",0))</f>
        <v>S, M, L, XL</v>
      </c>
      <c r="E197" s="1" t="s">
        <v>538</v>
      </c>
    </row>
    <row r="198" spans="2:5" x14ac:dyDescent="0.25">
      <c r="B198" t="s">
        <v>399</v>
      </c>
      <c r="C198" s="1" t="s">
        <v>220</v>
      </c>
      <c r="D198" s="1" t="str">
        <f>TRIM(_xlfn.XLOOKUP('Результат (Save 2)'!C198,Таблица!A:A,Таблица!B:B,"Ошибка",0))</f>
        <v>S, M, L, XL</v>
      </c>
      <c r="E198" s="1" t="s">
        <v>9</v>
      </c>
    </row>
    <row r="199" spans="2:5" x14ac:dyDescent="0.25">
      <c r="B199" t="s">
        <v>399</v>
      </c>
      <c r="C199" s="1" t="s">
        <v>220</v>
      </c>
      <c r="D199" s="1" t="str">
        <f>TRIM(_xlfn.XLOOKUP('Результат (Save 2)'!C199,Таблица!A:A,Таблица!B:B,"Ошибка",0))</f>
        <v>S, M, L, XL</v>
      </c>
      <c r="E199" s="1" t="s">
        <v>537</v>
      </c>
    </row>
    <row r="200" spans="2:5" x14ac:dyDescent="0.25">
      <c r="B200" t="s">
        <v>399</v>
      </c>
      <c r="C200" s="1" t="s">
        <v>220</v>
      </c>
      <c r="D200" s="1" t="str">
        <f>TRIM(_xlfn.XLOOKUP('Результат (Save 2)'!C200,Таблица!A:A,Таблица!B:B,"Ошибка",0))</f>
        <v>S, M, L, XL</v>
      </c>
      <c r="E200" s="1" t="s">
        <v>456</v>
      </c>
    </row>
    <row r="201" spans="2:5" x14ac:dyDescent="0.25">
      <c r="B201" t="s">
        <v>400</v>
      </c>
      <c r="C201" s="1" t="s">
        <v>231</v>
      </c>
      <c r="D201" s="1" t="str">
        <f>TRIM(_xlfn.XLOOKUP('Результат (Save 2)'!C201,Таблица!A:A,Таблица!B:B,"Ошибка",0))</f>
        <v>S, M, L, XL, XXL</v>
      </c>
      <c r="E201" s="1" t="s">
        <v>9</v>
      </c>
    </row>
    <row r="202" spans="2:5" x14ac:dyDescent="0.25">
      <c r="B202" t="s">
        <v>400</v>
      </c>
      <c r="C202" s="1" t="s">
        <v>231</v>
      </c>
      <c r="D202" s="1" t="str">
        <f>TRIM(_xlfn.XLOOKUP('Результат (Save 2)'!C202,Таблица!A:A,Таблица!B:B,"Ошибка",0))</f>
        <v>S, M, L, XL, XXL</v>
      </c>
      <c r="E202" s="1" t="s">
        <v>459</v>
      </c>
    </row>
    <row r="203" spans="2:5" x14ac:dyDescent="0.25">
      <c r="B203" t="s">
        <v>400</v>
      </c>
      <c r="C203" s="1" t="s">
        <v>231</v>
      </c>
      <c r="D203" s="1" t="str">
        <f>TRIM(_xlfn.XLOOKUP('Результат (Save 2)'!C203,Таблица!A:A,Таблица!B:B,"Ошибка",0))</f>
        <v>S, M, L, XL, XXL</v>
      </c>
      <c r="E203" s="1" t="s">
        <v>534</v>
      </c>
    </row>
    <row r="204" spans="2:5" x14ac:dyDescent="0.25">
      <c r="B204" t="s">
        <v>400</v>
      </c>
      <c r="C204" s="1" t="s">
        <v>231</v>
      </c>
      <c r="D204" s="1" t="str">
        <f>TRIM(_xlfn.XLOOKUP('Результат (Save 2)'!C204,Таблица!A:A,Таблица!B:B,"Ошибка",0))</f>
        <v>S, M, L, XL, XXL</v>
      </c>
      <c r="E204" s="1" t="s">
        <v>513</v>
      </c>
    </row>
    <row r="205" spans="2:5" x14ac:dyDescent="0.25">
      <c r="B205" t="s">
        <v>401</v>
      </c>
      <c r="C205" s="1" t="s">
        <v>226</v>
      </c>
      <c r="D205" s="1" t="str">
        <f>TRIM(_xlfn.XLOOKUP('Результат (Save 2)'!C205,Таблица!A:A,Таблица!B:B,"Ошибка",0))</f>
        <v>S, M, L, XL, XXL</v>
      </c>
      <c r="E205" s="1" t="str">
        <f>TRIM(_xlfn.XLOOKUP('Результат (Save 2)'!C205,Таблица!A:A,Таблица!E:E,"Ошибка",0))</f>
        <v>Black</v>
      </c>
    </row>
    <row r="206" spans="2:5" x14ac:dyDescent="0.25">
      <c r="B206" t="s">
        <v>402</v>
      </c>
      <c r="C206" s="1" t="s">
        <v>227</v>
      </c>
      <c r="D206" s="1" t="str">
        <f>TRIM(_xlfn.XLOOKUP('Результат (Save 2)'!C206,Таблица!A:A,Таблица!B:B,"Ошибка",0))</f>
        <v>S, M, L, XL</v>
      </c>
      <c r="E206" s="1" t="s">
        <v>9</v>
      </c>
    </row>
    <row r="207" spans="2:5" x14ac:dyDescent="0.25">
      <c r="B207" t="s">
        <v>402</v>
      </c>
      <c r="C207" s="1" t="s">
        <v>227</v>
      </c>
      <c r="D207" s="1" t="str">
        <f>TRIM(_xlfn.XLOOKUP('Результат (Save 2)'!C207,Таблица!A:A,Таблица!B:B,"Ошибка",0))</f>
        <v>S, M, L, XL</v>
      </c>
      <c r="E207" s="1" t="s">
        <v>535</v>
      </c>
    </row>
    <row r="208" spans="2:5" x14ac:dyDescent="0.25">
      <c r="B208" t="s">
        <v>402</v>
      </c>
      <c r="C208" s="1" t="s">
        <v>227</v>
      </c>
      <c r="D208" s="1" t="str">
        <f>TRIM(_xlfn.XLOOKUP('Результат (Save 2)'!C208,Таблица!A:A,Таблица!B:B,"Ошибка",0))</f>
        <v>S, M, L, XL</v>
      </c>
      <c r="E208" s="1" t="s">
        <v>536</v>
      </c>
    </row>
    <row r="209" spans="2:5" x14ac:dyDescent="0.25">
      <c r="B209" t="s">
        <v>402</v>
      </c>
      <c r="C209" s="1" t="s">
        <v>227</v>
      </c>
      <c r="D209" s="1" t="str">
        <f>TRIM(_xlfn.XLOOKUP('Результат (Save 2)'!C209,Таблица!A:A,Таблица!B:B,"Ошибка",0))</f>
        <v>S, M, L, XL</v>
      </c>
      <c r="E209" s="1" t="s">
        <v>509</v>
      </c>
    </row>
    <row r="210" spans="2:5" x14ac:dyDescent="0.25">
      <c r="B210" t="s">
        <v>403</v>
      </c>
      <c r="C210" s="1" t="s">
        <v>223</v>
      </c>
      <c r="D210" s="1" t="str">
        <f>TRIM(_xlfn.XLOOKUP('Результат (Save 2)'!C210,Таблица!A:A,Таблица!B:B,"Ошибка",0))</f>
        <v>S, M, L, XL, XXL</v>
      </c>
      <c r="E210" s="1" t="str">
        <f>TRIM(_xlfn.XLOOKUP('Результат (Save 2)'!C210,Таблица!A:A,Таблица!E:E,"Ошибка",0))</f>
        <v>Black</v>
      </c>
    </row>
    <row r="211" spans="2:5" x14ac:dyDescent="0.25">
      <c r="B211" t="s">
        <v>404</v>
      </c>
      <c r="C211" s="1" t="s">
        <v>244</v>
      </c>
      <c r="D211" s="1" t="str">
        <f>TRIM(_xlfn.XLOOKUP('Результат (Save 2)'!C211,Таблица!A:A,Таблица!B:B,"Ошибка",0))</f>
        <v>S, M, L, XL</v>
      </c>
      <c r="E211" s="1" t="s">
        <v>475</v>
      </c>
    </row>
    <row r="212" spans="2:5" x14ac:dyDescent="0.25">
      <c r="B212" t="s">
        <v>404</v>
      </c>
      <c r="C212" s="1" t="s">
        <v>244</v>
      </c>
      <c r="D212" s="1" t="str">
        <f>TRIM(_xlfn.XLOOKUP('Результат (Save 2)'!C212,Таблица!A:A,Таблица!B:B,"Ошибка",0))</f>
        <v>S, M, L, XL</v>
      </c>
      <c r="E212" s="1" t="s">
        <v>9</v>
      </c>
    </row>
    <row r="213" spans="2:5" x14ac:dyDescent="0.25">
      <c r="B213" t="s">
        <v>404</v>
      </c>
      <c r="C213" s="1" t="s">
        <v>244</v>
      </c>
      <c r="D213" s="1" t="str">
        <f>TRIM(_xlfn.XLOOKUP('Результат (Save 2)'!C213,Таблица!A:A,Таблица!B:B,"Ошибка",0))</f>
        <v>S, M, L, XL</v>
      </c>
      <c r="E213" s="1" t="s">
        <v>534</v>
      </c>
    </row>
    <row r="214" spans="2:5" x14ac:dyDescent="0.25">
      <c r="B214" t="s">
        <v>404</v>
      </c>
      <c r="C214" s="1" t="s">
        <v>244</v>
      </c>
      <c r="D214" s="1" t="str">
        <f>TRIM(_xlfn.XLOOKUP('Результат (Save 2)'!C214,Таблица!A:A,Таблица!B:B,"Ошибка",0))</f>
        <v>S, M, L, XL</v>
      </c>
      <c r="E214" s="1" t="s">
        <v>476</v>
      </c>
    </row>
    <row r="215" spans="2:5" x14ac:dyDescent="0.25">
      <c r="B215" t="s">
        <v>404</v>
      </c>
      <c r="C215" s="1" t="s">
        <v>244</v>
      </c>
      <c r="D215" s="1" t="str">
        <f>TRIM(_xlfn.XLOOKUP('Результат (Save 2)'!C215,Таблица!A:A,Таблица!B:B,"Ошибка",0))</f>
        <v>S, M, L, XL</v>
      </c>
      <c r="E215" s="1" t="s">
        <v>509</v>
      </c>
    </row>
    <row r="216" spans="2:5" x14ac:dyDescent="0.25">
      <c r="B216" t="s">
        <v>405</v>
      </c>
      <c r="C216" s="1" t="s">
        <v>238</v>
      </c>
      <c r="D216" s="1" t="str">
        <f>TRIM(_xlfn.XLOOKUP('Результат (Save 2)'!C216,Таблица!A:A,Таблица!B:B,"Ошибка",0))</f>
        <v>S, M, L, XL</v>
      </c>
      <c r="E216" s="1" t="s">
        <v>9</v>
      </c>
    </row>
    <row r="217" spans="2:5" x14ac:dyDescent="0.25">
      <c r="B217" t="s">
        <v>405</v>
      </c>
      <c r="C217" s="1" t="s">
        <v>238</v>
      </c>
      <c r="D217" s="1" t="str">
        <f>TRIM(_xlfn.XLOOKUP('Результат (Save 2)'!C217,Таблица!A:A,Таблица!B:B,"Ошибка",0))</f>
        <v>S, M, L, XL</v>
      </c>
      <c r="E217" s="1" t="s">
        <v>477</v>
      </c>
    </row>
    <row r="218" spans="2:5" x14ac:dyDescent="0.25">
      <c r="B218" t="s">
        <v>406</v>
      </c>
      <c r="C218" s="1" t="s">
        <v>234</v>
      </c>
      <c r="D218" s="1" t="str">
        <f>TRIM(_xlfn.XLOOKUP('Результат (Save 2)'!C218,Таблица!A:A,Таблица!B:B,"Ошибка",0))</f>
        <v>S, M, L, XL</v>
      </c>
      <c r="E218" s="1" t="s">
        <v>9</v>
      </c>
    </row>
    <row r="219" spans="2:5" x14ac:dyDescent="0.25">
      <c r="B219" t="s">
        <v>406</v>
      </c>
      <c r="C219" s="1" t="s">
        <v>234</v>
      </c>
      <c r="D219" s="1" t="str">
        <f>TRIM(_xlfn.XLOOKUP('Результат (Save 2)'!C219,Таблица!A:A,Таблица!B:B,"Ошибка",0))</f>
        <v>S, M, L, XL</v>
      </c>
      <c r="E219" s="1" t="s">
        <v>532</v>
      </c>
    </row>
    <row r="220" spans="2:5" x14ac:dyDescent="0.25">
      <c r="B220" t="s">
        <v>406</v>
      </c>
      <c r="C220" s="1" t="s">
        <v>234</v>
      </c>
      <c r="D220" s="1" t="str">
        <f>TRIM(_xlfn.XLOOKUP('Результат (Save 2)'!C220,Таблица!A:A,Таблица!B:B,"Ошибка",0))</f>
        <v>S, M, L, XL</v>
      </c>
      <c r="E220" s="1" t="s">
        <v>509</v>
      </c>
    </row>
    <row r="221" spans="2:5" x14ac:dyDescent="0.25">
      <c r="B221" t="s">
        <v>406</v>
      </c>
      <c r="C221" s="1" t="s">
        <v>234</v>
      </c>
      <c r="D221" s="1" t="str">
        <f>TRIM(_xlfn.XLOOKUP('Результат (Save 2)'!C221,Таблица!A:A,Таблица!B:B,"Ошибка",0))</f>
        <v>S, M, L, XL</v>
      </c>
      <c r="E221" s="1" t="s">
        <v>533</v>
      </c>
    </row>
    <row r="222" spans="2:5" x14ac:dyDescent="0.25">
      <c r="B222" t="s">
        <v>407</v>
      </c>
      <c r="C222" s="1" t="s">
        <v>246</v>
      </c>
      <c r="D222" s="1" t="str">
        <f>TRIM(_xlfn.XLOOKUP('Результат (Save 2)'!C222,Таблица!A:A,Таблица!B:B,"Ошибка",0))</f>
        <v>S, M, L, XL</v>
      </c>
      <c r="E222" s="1" t="s">
        <v>9</v>
      </c>
    </row>
    <row r="223" spans="2:5" x14ac:dyDescent="0.25">
      <c r="B223" t="s">
        <v>407</v>
      </c>
      <c r="C223" s="1" t="s">
        <v>246</v>
      </c>
      <c r="D223" s="1" t="str">
        <f>TRIM(_xlfn.XLOOKUP('Результат (Save 2)'!C223,Таблица!A:A,Таблица!B:B,"Ошибка",0))</f>
        <v>S, M, L, XL</v>
      </c>
      <c r="E223" s="1" t="s">
        <v>478</v>
      </c>
    </row>
    <row r="224" spans="2:5" x14ac:dyDescent="0.25">
      <c r="B224" t="s">
        <v>407</v>
      </c>
      <c r="C224" s="1" t="s">
        <v>246</v>
      </c>
      <c r="D224" s="1" t="str">
        <f>TRIM(_xlfn.XLOOKUP('Результат (Save 2)'!C224,Таблица!A:A,Таблица!B:B,"Ошибка",0))</f>
        <v>S, M, L, XL</v>
      </c>
      <c r="E224" s="1" t="s">
        <v>461</v>
      </c>
    </row>
    <row r="225" spans="2:5" x14ac:dyDescent="0.25">
      <c r="B225" t="s">
        <v>408</v>
      </c>
      <c r="C225" s="1" t="s">
        <v>253</v>
      </c>
      <c r="D225" s="1" t="str">
        <f>TRIM(_xlfn.XLOOKUP('Результат (Save 2)'!C225,Таблица!A:A,Таблица!B:B,"Ошибка",0))</f>
        <v>S, M, L, XL</v>
      </c>
      <c r="E225" s="1" t="s">
        <v>513</v>
      </c>
    </row>
    <row r="226" spans="2:5" x14ac:dyDescent="0.25">
      <c r="B226" t="s">
        <v>408</v>
      </c>
      <c r="C226" s="1" t="s">
        <v>253</v>
      </c>
      <c r="D226" s="1" t="str">
        <f>TRIM(_xlfn.XLOOKUP('Результат (Save 2)'!C226,Таблица!A:A,Таблица!B:B,"Ошибка",0))</f>
        <v>S, M, L, XL</v>
      </c>
      <c r="E226" s="1" t="s">
        <v>458</v>
      </c>
    </row>
    <row r="227" spans="2:5" x14ac:dyDescent="0.25">
      <c r="B227" t="s">
        <v>409</v>
      </c>
      <c r="C227" s="1" t="s">
        <v>257</v>
      </c>
      <c r="D227" s="1" t="str">
        <f>TRIM(_xlfn.XLOOKUP('Результат (Save 2)'!C227,Таблица!A:A,Таблица!B:B,"Ошибка",0))</f>
        <v>S, M, L, XL</v>
      </c>
      <c r="E227" s="1" t="s">
        <v>9</v>
      </c>
    </row>
    <row r="228" spans="2:5" x14ac:dyDescent="0.25">
      <c r="B228" t="s">
        <v>409</v>
      </c>
      <c r="C228" s="1" t="s">
        <v>257</v>
      </c>
      <c r="D228" s="1" t="str">
        <f>TRIM(_xlfn.XLOOKUP('Результат (Save 2)'!C228,Таблица!A:A,Таблица!B:B,"Ошибка",0))</f>
        <v>S, M, L, XL</v>
      </c>
      <c r="E228" s="1" t="s">
        <v>509</v>
      </c>
    </row>
    <row r="229" spans="2:5" x14ac:dyDescent="0.25">
      <c r="B229" t="s">
        <v>410</v>
      </c>
      <c r="C229" s="1" t="s">
        <v>260</v>
      </c>
      <c r="D229" s="1" t="str">
        <f>TRIM(_xlfn.XLOOKUP('Результат (Save 2)'!C229,Таблица!A:A,Таблица!B:B,"Ошибка",0))</f>
        <v>6 3/4, 6 7/8, 7, 7 1/8, 7 1/4, 7 3/8, 7 1/2, 7 5/8</v>
      </c>
      <c r="E229" s="1" t="str">
        <f>TRIM(_xlfn.XLOOKUP('Результат (Save 2)'!C229,Таблица!A:A,Таблица!E:E,"Ошибка",0))</f>
        <v>Black</v>
      </c>
    </row>
    <row r="230" spans="2:5" x14ac:dyDescent="0.25">
      <c r="B230" t="s">
        <v>411</v>
      </c>
      <c r="C230" s="1" t="s">
        <v>270</v>
      </c>
      <c r="D230" s="1" t="str">
        <f>TRIM(_xlfn.XLOOKUP('Результат (Save 2)'!C230,Таблица!A:A,Таблица!B:B,"Ошибка",0))</f>
        <v>S, M, L, XL, XXL</v>
      </c>
      <c r="E230" s="1" t="s">
        <v>9</v>
      </c>
    </row>
    <row r="231" spans="2:5" x14ac:dyDescent="0.25">
      <c r="B231" t="s">
        <v>411</v>
      </c>
      <c r="C231" s="1" t="s">
        <v>270</v>
      </c>
      <c r="D231" s="1" t="str">
        <f>TRIM(_xlfn.XLOOKUP('Результат (Save 2)'!C231,Таблица!A:A,Таблица!B:B,"Ошибка",0))</f>
        <v>S, M, L, XL, XXL</v>
      </c>
      <c r="E231" s="1" t="s">
        <v>317</v>
      </c>
    </row>
    <row r="232" spans="2:5" x14ac:dyDescent="0.25">
      <c r="B232" t="s">
        <v>411</v>
      </c>
      <c r="C232" s="1" t="s">
        <v>270</v>
      </c>
      <c r="D232" s="1" t="str">
        <f>TRIM(_xlfn.XLOOKUP('Результат (Save 2)'!C232,Таблица!A:A,Таблица!B:B,"Ошибка",0))</f>
        <v>S, M, L, XL, XXL</v>
      </c>
      <c r="E232" s="1" t="s">
        <v>531</v>
      </c>
    </row>
    <row r="233" spans="2:5" x14ac:dyDescent="0.25">
      <c r="B233" t="s">
        <v>412</v>
      </c>
      <c r="C233" s="1" t="s">
        <v>263</v>
      </c>
      <c r="D233" s="1" t="str">
        <f>TRIM(_xlfn.XLOOKUP('Результат (Save 2)'!C233,Таблица!A:A,Таблица!B:B,"Ошибка",0))</f>
        <v>6 3/4, 6 7/8, 7, 7 1/8, 7 1/4, 7 3/8, 7 1/2, 7 5/8</v>
      </c>
      <c r="E233" s="1" t="s">
        <v>9</v>
      </c>
    </row>
    <row r="234" spans="2:5" x14ac:dyDescent="0.25">
      <c r="B234" t="s">
        <v>412</v>
      </c>
      <c r="C234" s="1" t="s">
        <v>263</v>
      </c>
      <c r="D234" s="1" t="str">
        <f>TRIM(_xlfn.XLOOKUP('Результат (Save 2)'!C234,Таблица!A:A,Таблица!B:B,"Ошибка",0))</f>
        <v>6 3/4, 6 7/8, 7, 7 1/8, 7 1/4, 7 3/8, 7 1/2, 7 5/8</v>
      </c>
      <c r="E234" s="1" t="s">
        <v>530</v>
      </c>
    </row>
    <row r="235" spans="2:5" x14ac:dyDescent="0.25">
      <c r="B235" t="s">
        <v>413</v>
      </c>
      <c r="C235" s="1" t="s">
        <v>267</v>
      </c>
      <c r="D235" s="1" t="str">
        <f>TRIM(_xlfn.XLOOKUP('Результат (Save 2)'!C235,Таблица!A:A,Таблица!B:B,"Ошибка",0))</f>
        <v>S, M, L, XL</v>
      </c>
      <c r="E235" s="1" t="str">
        <f>TRIM(_xlfn.XLOOKUP('Результат (Save 2)'!C235,Таблица!A:A,Таблица!E:E,"Ошибка",0))</f>
        <v>Black</v>
      </c>
    </row>
    <row r="236" spans="2:5" x14ac:dyDescent="0.25">
      <c r="B236" t="s">
        <v>414</v>
      </c>
      <c r="C236" s="1" t="s">
        <v>272</v>
      </c>
      <c r="D236" s="1" t="str">
        <f>TRIM(_xlfn.XLOOKUP('Результат (Save 2)'!C236,Таблица!A:A,Таблица!B:B,"Ошибка",0))</f>
        <v>S, M, L, XL, XXL</v>
      </c>
      <c r="E236" s="1" t="s">
        <v>529</v>
      </c>
    </row>
    <row r="237" spans="2:5" x14ac:dyDescent="0.25">
      <c r="B237" t="s">
        <v>414</v>
      </c>
      <c r="C237" s="1" t="s">
        <v>272</v>
      </c>
      <c r="D237" s="1" t="str">
        <f>TRIM(_xlfn.XLOOKUP('Результат (Save 2)'!C237,Таблица!A:A,Таблица!B:B,"Ошибка",0))</f>
        <v>S, M, L, XL, XXL</v>
      </c>
      <c r="E237" s="1" t="s">
        <v>524</v>
      </c>
    </row>
    <row r="238" spans="2:5" x14ac:dyDescent="0.25">
      <c r="B238" t="s">
        <v>414</v>
      </c>
      <c r="C238" s="1" t="s">
        <v>272</v>
      </c>
      <c r="D238" s="1" t="str">
        <f>TRIM(_xlfn.XLOOKUP('Результат (Save 2)'!C238,Таблица!A:A,Таблица!B:B,"Ошибка",0))</f>
        <v>S, M, L, XL, XXL</v>
      </c>
      <c r="E238" s="1" t="s">
        <v>509</v>
      </c>
    </row>
    <row r="239" spans="2:5" x14ac:dyDescent="0.25">
      <c r="B239" t="s">
        <v>414</v>
      </c>
      <c r="C239" s="1" t="s">
        <v>272</v>
      </c>
      <c r="D239" s="1" t="str">
        <f>TRIM(_xlfn.XLOOKUP('Результат (Save 2)'!C239,Таблица!A:A,Таблица!B:B,"Ошибка",0))</f>
        <v>S, M, L, XL, XXL</v>
      </c>
      <c r="E239" s="1" t="s">
        <v>525</v>
      </c>
    </row>
    <row r="240" spans="2:5" x14ac:dyDescent="0.25">
      <c r="B240" t="s">
        <v>414</v>
      </c>
      <c r="C240" s="1" t="s">
        <v>272</v>
      </c>
      <c r="D240" s="1" t="str">
        <f>TRIM(_xlfn.XLOOKUP('Результат (Save 2)'!C240,Таблица!A:A,Таблица!B:B,"Ошибка",0))</f>
        <v>S, M, L, XL, XXL</v>
      </c>
      <c r="E240" s="1" t="s">
        <v>510</v>
      </c>
    </row>
    <row r="241" spans="2:5" x14ac:dyDescent="0.25">
      <c r="B241" t="s">
        <v>414</v>
      </c>
      <c r="C241" s="1" t="s">
        <v>272</v>
      </c>
      <c r="D241" s="1" t="str">
        <f>TRIM(_xlfn.XLOOKUP('Результат (Save 2)'!C241,Таблица!A:A,Таблица!B:B,"Ошибка",0))</f>
        <v>S, M, L, XL, XXL</v>
      </c>
      <c r="E241" s="1" t="s">
        <v>526</v>
      </c>
    </row>
    <row r="242" spans="2:5" x14ac:dyDescent="0.25">
      <c r="B242" t="s">
        <v>414</v>
      </c>
      <c r="C242" s="1" t="s">
        <v>272</v>
      </c>
      <c r="D242" s="1" t="str">
        <f>TRIM(_xlfn.XLOOKUP('Результат (Save 2)'!C242,Таблица!A:A,Таблица!B:B,"Ошибка",0))</f>
        <v>S, M, L, XL, XXL</v>
      </c>
      <c r="E242" s="1" t="s">
        <v>9</v>
      </c>
    </row>
    <row r="243" spans="2:5" x14ac:dyDescent="0.25">
      <c r="B243" t="s">
        <v>414</v>
      </c>
      <c r="C243" s="1" t="s">
        <v>272</v>
      </c>
      <c r="D243" s="1" t="str">
        <f>TRIM(_xlfn.XLOOKUP('Результат (Save 2)'!C243,Таблица!A:A,Таблица!B:B,"Ошибка",0))</f>
        <v>S, M, L, XL, XXL</v>
      </c>
      <c r="E243" s="1" t="s">
        <v>527</v>
      </c>
    </row>
    <row r="244" spans="2:5" x14ac:dyDescent="0.25">
      <c r="B244" t="s">
        <v>414</v>
      </c>
      <c r="C244" s="1" t="s">
        <v>272</v>
      </c>
      <c r="D244" s="1" t="str">
        <f>TRIM(_xlfn.XLOOKUP('Результат (Save 2)'!C244,Таблица!A:A,Таблица!B:B,"Ошибка",0))</f>
        <v>S, M, L, XL, XXL</v>
      </c>
      <c r="E244" s="1" t="s">
        <v>479</v>
      </c>
    </row>
    <row r="245" spans="2:5" x14ac:dyDescent="0.25">
      <c r="B245" t="s">
        <v>414</v>
      </c>
      <c r="C245" s="1" t="s">
        <v>272</v>
      </c>
      <c r="D245" s="1" t="str">
        <f>TRIM(_xlfn.XLOOKUP('Результат (Save 2)'!C245,Таблица!A:A,Таблица!B:B,"Ошибка",0))</f>
        <v>S, M, L, XL, XXL</v>
      </c>
      <c r="E245" s="1" t="s">
        <v>528</v>
      </c>
    </row>
    <row r="246" spans="2:5" x14ac:dyDescent="0.25">
      <c r="B246" t="s">
        <v>415</v>
      </c>
      <c r="C246" s="1" t="s">
        <v>278</v>
      </c>
      <c r="D246" s="1" t="str">
        <f>TRIM(_xlfn.XLOOKUP('Результат (Save 2)'!C246,Таблица!A:A,Таблица!B:B,"Ошибка",0))</f>
        <v>S, M, L, XL, XXL</v>
      </c>
      <c r="E246" s="1" t="s">
        <v>483</v>
      </c>
    </row>
    <row r="247" spans="2:5" x14ac:dyDescent="0.25">
      <c r="B247" t="s">
        <v>415</v>
      </c>
      <c r="C247" s="1" t="s">
        <v>278</v>
      </c>
      <c r="D247" s="1" t="str">
        <f>TRIM(_xlfn.XLOOKUP('Результат (Save 2)'!C247,Таблица!A:A,Таблица!B:B,"Ошибка",0))</f>
        <v>S, M, L, XL, XXL</v>
      </c>
      <c r="E247" s="1" t="s">
        <v>484</v>
      </c>
    </row>
    <row r="248" spans="2:5" x14ac:dyDescent="0.25">
      <c r="B248" t="s">
        <v>415</v>
      </c>
      <c r="C248" s="1" t="s">
        <v>278</v>
      </c>
      <c r="D248" s="1" t="str">
        <f>TRIM(_xlfn.XLOOKUP('Результат (Save 2)'!C248,Таблица!A:A,Таблица!B:B,"Ошибка",0))</f>
        <v>S, M, L, XL, XXL</v>
      </c>
      <c r="E248" s="1" t="s">
        <v>522</v>
      </c>
    </row>
    <row r="249" spans="2:5" x14ac:dyDescent="0.25">
      <c r="B249" t="s">
        <v>415</v>
      </c>
      <c r="C249" s="1" t="s">
        <v>278</v>
      </c>
      <c r="D249" s="1" t="str">
        <f>TRIM(_xlfn.XLOOKUP('Результат (Save 2)'!C249,Таблица!A:A,Таблица!B:B,"Ошибка",0))</f>
        <v>S, M, L, XL, XXL</v>
      </c>
      <c r="E249" s="1" t="s">
        <v>523</v>
      </c>
    </row>
    <row r="250" spans="2:5" x14ac:dyDescent="0.25">
      <c r="B250" t="s">
        <v>415</v>
      </c>
      <c r="C250" s="1" t="s">
        <v>278</v>
      </c>
      <c r="D250" s="1" t="str">
        <f>TRIM(_xlfn.XLOOKUP('Результат (Save 2)'!C250,Таблица!A:A,Таблица!B:B,"Ошибка",0))</f>
        <v>S, M, L, XL, XXL</v>
      </c>
      <c r="E250" s="1" t="s">
        <v>482</v>
      </c>
    </row>
    <row r="251" spans="2:5" x14ac:dyDescent="0.25">
      <c r="B251" t="s">
        <v>415</v>
      </c>
      <c r="C251" s="1" t="s">
        <v>278</v>
      </c>
      <c r="D251" s="1" t="str">
        <f>TRIM(_xlfn.XLOOKUP('Результат (Save 2)'!C251,Таблица!A:A,Таблица!B:B,"Ошибка",0))</f>
        <v>S, M, L, XL, XXL</v>
      </c>
      <c r="E251" s="1" t="s">
        <v>485</v>
      </c>
    </row>
    <row r="252" spans="2:5" x14ac:dyDescent="0.25">
      <c r="B252" t="s">
        <v>415</v>
      </c>
      <c r="C252" s="1" t="s">
        <v>278</v>
      </c>
      <c r="D252" s="1" t="str">
        <f>TRIM(_xlfn.XLOOKUP('Результат (Save 2)'!C252,Таблица!A:A,Таблица!B:B,"Ошибка",0))</f>
        <v>S, M, L, XL, XXL</v>
      </c>
      <c r="E252" s="1" t="s">
        <v>479</v>
      </c>
    </row>
    <row r="253" spans="2:5" x14ac:dyDescent="0.25">
      <c r="B253" t="s">
        <v>415</v>
      </c>
      <c r="C253" s="1" t="s">
        <v>278</v>
      </c>
      <c r="D253" s="1" t="str">
        <f>TRIM(_xlfn.XLOOKUP('Результат (Save 2)'!C253,Таблица!A:A,Таблица!B:B,"Ошибка",0))</f>
        <v>S, M, L, XL, XXL</v>
      </c>
      <c r="E253" s="1" t="s">
        <v>486</v>
      </c>
    </row>
    <row r="254" spans="2:5" x14ac:dyDescent="0.25">
      <c r="B254" t="s">
        <v>415</v>
      </c>
      <c r="C254" s="1" t="s">
        <v>278</v>
      </c>
      <c r="D254" s="1" t="str">
        <f>TRIM(_xlfn.XLOOKUP('Результат (Save 2)'!C254,Таблица!A:A,Таблица!B:B,"Ошибка",0))</f>
        <v>S, M, L, XL, XXL</v>
      </c>
      <c r="E254" s="1" t="s">
        <v>488</v>
      </c>
    </row>
    <row r="255" spans="2:5" x14ac:dyDescent="0.25">
      <c r="B255" t="s">
        <v>415</v>
      </c>
      <c r="C255" s="1" t="s">
        <v>278</v>
      </c>
      <c r="D255" s="1" t="str">
        <f>TRIM(_xlfn.XLOOKUP('Результат (Save 2)'!C255,Таблица!A:A,Таблица!B:B,"Ошибка",0))</f>
        <v>S, M, L, XL, XXL</v>
      </c>
      <c r="E255" s="1" t="s">
        <v>487</v>
      </c>
    </row>
    <row r="256" spans="2:5" x14ac:dyDescent="0.25">
      <c r="B256" t="s">
        <v>415</v>
      </c>
      <c r="C256" s="1" t="s">
        <v>278</v>
      </c>
      <c r="D256" s="1" t="str">
        <f>TRIM(_xlfn.XLOOKUP('Результат (Save 2)'!C256,Таблица!A:A,Таблица!B:B,"Ошибка",0))</f>
        <v>S, M, L, XL, XXL</v>
      </c>
      <c r="E256" s="1" t="s">
        <v>480</v>
      </c>
    </row>
    <row r="257" spans="2:5" x14ac:dyDescent="0.25">
      <c r="B257" t="s">
        <v>415</v>
      </c>
      <c r="C257" s="1" t="s">
        <v>278</v>
      </c>
      <c r="D257" s="1" t="str">
        <f>TRIM(_xlfn.XLOOKUP('Результат (Save 2)'!C257,Таблица!A:A,Таблица!B:B,"Ошибка",0))</f>
        <v>S, M, L, XL, XXL</v>
      </c>
      <c r="E257" s="1" t="s">
        <v>481</v>
      </c>
    </row>
    <row r="258" spans="2:5" x14ac:dyDescent="0.25">
      <c r="B258" t="s">
        <v>416</v>
      </c>
      <c r="C258" s="1" t="s">
        <v>281</v>
      </c>
      <c r="D258" s="1" t="str">
        <f>TRIM(_xlfn.XLOOKUP('Результат (Save 2)'!C258,Таблица!A:A,Таблица!B:B,"Ошибка",0))</f>
        <v>S, M, L, XL</v>
      </c>
      <c r="E258" s="1" t="s">
        <v>9</v>
      </c>
    </row>
    <row r="259" spans="2:5" x14ac:dyDescent="0.25">
      <c r="B259" t="s">
        <v>416</v>
      </c>
      <c r="C259" s="1" t="s">
        <v>281</v>
      </c>
      <c r="D259" s="1" t="str">
        <f>TRIM(_xlfn.XLOOKUP('Результат (Save 2)'!C259,Таблица!A:A,Таблица!B:B,"Ошибка",0))</f>
        <v>S, M, L, XL</v>
      </c>
      <c r="E259" s="1" t="s">
        <v>520</v>
      </c>
    </row>
    <row r="260" spans="2:5" x14ac:dyDescent="0.25">
      <c r="B260" t="s">
        <v>416</v>
      </c>
      <c r="C260" s="1" t="s">
        <v>281</v>
      </c>
      <c r="D260" s="1" t="str">
        <f>TRIM(_xlfn.XLOOKUP('Результат (Save 2)'!C260,Таблица!A:A,Таблица!B:B,"Ошибка",0))</f>
        <v>S, M, L, XL</v>
      </c>
      <c r="E260" s="1" t="s">
        <v>521</v>
      </c>
    </row>
    <row r="261" spans="2:5" x14ac:dyDescent="0.25">
      <c r="B261" t="s">
        <v>417</v>
      </c>
      <c r="C261" s="1" t="s">
        <v>289</v>
      </c>
      <c r="D261" s="1" t="str">
        <f>TRIM(_xlfn.XLOOKUP('Результат (Save 2)'!C261,Таблица!A:A,Таблица!B:B,"Ошибка",0))</f>
        <v>S, M, L, XL</v>
      </c>
      <c r="E261" s="1" t="s">
        <v>9</v>
      </c>
    </row>
    <row r="262" spans="2:5" x14ac:dyDescent="0.25">
      <c r="B262" t="s">
        <v>417</v>
      </c>
      <c r="C262" s="1" t="s">
        <v>289</v>
      </c>
      <c r="D262" s="1" t="str">
        <f>TRIM(_xlfn.XLOOKUP('Результат (Save 2)'!C262,Таблица!A:A,Таблица!B:B,"Ошибка",0))</f>
        <v>S, M, L, XL</v>
      </c>
      <c r="E262" s="1" t="s">
        <v>520</v>
      </c>
    </row>
    <row r="263" spans="2:5" x14ac:dyDescent="0.25">
      <c r="B263" t="s">
        <v>417</v>
      </c>
      <c r="C263" s="1" t="s">
        <v>289</v>
      </c>
      <c r="D263" s="1" t="str">
        <f>TRIM(_xlfn.XLOOKUP('Результат (Save 2)'!C263,Таблица!A:A,Таблица!B:B,"Ошибка",0))</f>
        <v>S, M, L, XL</v>
      </c>
      <c r="E263" s="1" t="s">
        <v>521</v>
      </c>
    </row>
    <row r="264" spans="2:5" x14ac:dyDescent="0.25">
      <c r="B264" t="s">
        <v>418</v>
      </c>
      <c r="C264" s="1" t="s">
        <v>284</v>
      </c>
      <c r="D264" s="1" t="str">
        <f>TRIM(_xlfn.XLOOKUP('Результат (Save 2)'!C264,Таблица!A:A,Таблица!B:B,"Ошибка",0))</f>
        <v>S, M, L, XL</v>
      </c>
      <c r="E264" s="1" t="s">
        <v>514</v>
      </c>
    </row>
    <row r="265" spans="2:5" x14ac:dyDescent="0.25">
      <c r="B265" t="s">
        <v>418</v>
      </c>
      <c r="C265" s="1" t="s">
        <v>284</v>
      </c>
      <c r="D265" s="1" t="str">
        <f>TRIM(_xlfn.XLOOKUP('Результат (Save 2)'!C265,Таблица!A:A,Таблица!B:B,"Ошибка",0))</f>
        <v>S, M, L, XL</v>
      </c>
      <c r="E265" s="1" t="s">
        <v>519</v>
      </c>
    </row>
    <row r="266" spans="2:5" x14ac:dyDescent="0.25">
      <c r="B266" t="s">
        <v>418</v>
      </c>
      <c r="C266" s="1" t="s">
        <v>284</v>
      </c>
      <c r="D266" s="1" t="str">
        <f>TRIM(_xlfn.XLOOKUP('Результат (Save 2)'!C266,Таблица!A:A,Таблица!B:B,"Ошибка",0))</f>
        <v>S, M, L, XL</v>
      </c>
      <c r="E266" s="1" t="s">
        <v>516</v>
      </c>
    </row>
    <row r="267" spans="2:5" x14ac:dyDescent="0.25">
      <c r="B267" t="s">
        <v>419</v>
      </c>
      <c r="C267" s="1" t="s">
        <v>296</v>
      </c>
      <c r="D267" s="1" t="str">
        <f>TRIM(_xlfn.XLOOKUP('Результат (Save 2)'!C267,Таблица!A:A,Таблица!B:B,"Ошибка",0))</f>
        <v>S, M, L, XL</v>
      </c>
      <c r="E267" s="1" t="str">
        <f>TRIM(_xlfn.XLOOKUP('Результат (Save 2)'!C267,Таблица!A:A,Таблица!E:E,"Ошибка",0))</f>
        <v>Oak Plaid</v>
      </c>
    </row>
    <row r="268" spans="2:5" x14ac:dyDescent="0.25">
      <c r="B268" t="s">
        <v>420</v>
      </c>
      <c r="C268" s="1" t="s">
        <v>294</v>
      </c>
      <c r="D268" s="1" t="str">
        <f>TRIM(_xlfn.XLOOKUP('Результат (Save 2)'!C268,Таблица!A:A,Таблица!B:B,"Ошибка",0))</f>
        <v>S, M, L, XL</v>
      </c>
      <c r="E268" s="1" t="s">
        <v>489</v>
      </c>
    </row>
    <row r="269" spans="2:5" x14ac:dyDescent="0.25">
      <c r="B269" t="s">
        <v>420</v>
      </c>
      <c r="C269" s="1" t="s">
        <v>294</v>
      </c>
      <c r="D269" s="1" t="str">
        <f>TRIM(_xlfn.XLOOKUP('Результат (Save 2)'!C269,Таблица!A:A,Таблица!B:B,"Ошибка",0))</f>
        <v>S, M, L, XL</v>
      </c>
      <c r="E269" s="1" t="s">
        <v>490</v>
      </c>
    </row>
    <row r="270" spans="2:5" x14ac:dyDescent="0.25">
      <c r="B270" t="s">
        <v>420</v>
      </c>
      <c r="C270" s="1" t="s">
        <v>294</v>
      </c>
      <c r="D270" s="1" t="str">
        <f>TRIM(_xlfn.XLOOKUP('Результат (Save 2)'!C270,Таблица!A:A,Таблица!B:B,"Ошибка",0))</f>
        <v>S, M, L, XL</v>
      </c>
      <c r="E270" s="1" t="s">
        <v>491</v>
      </c>
    </row>
    <row r="271" spans="2:5" x14ac:dyDescent="0.25">
      <c r="B271" t="s">
        <v>421</v>
      </c>
      <c r="C271" s="1" t="s">
        <v>291</v>
      </c>
      <c r="D271" s="1" t="str">
        <f>TRIM(_xlfn.XLOOKUP('Результат (Save 2)'!C271,Таблица!A:A,Таблица!B:B,"Ошибка",0))</f>
        <v>S, M, L, XL</v>
      </c>
      <c r="E271" s="1" t="s">
        <v>517</v>
      </c>
    </row>
    <row r="272" spans="2:5" x14ac:dyDescent="0.25">
      <c r="B272" t="s">
        <v>421</v>
      </c>
      <c r="C272" s="1" t="s">
        <v>291</v>
      </c>
      <c r="D272" s="1" t="str">
        <f>TRIM(_xlfn.XLOOKUP('Результат (Save 2)'!C272,Таблица!A:A,Таблица!B:B,"Ошибка",0))</f>
        <v>S, M, L, XL</v>
      </c>
      <c r="E272" s="1" t="s">
        <v>9</v>
      </c>
    </row>
    <row r="273" spans="2:5" x14ac:dyDescent="0.25">
      <c r="B273" t="s">
        <v>421</v>
      </c>
      <c r="C273" s="1" t="s">
        <v>291</v>
      </c>
      <c r="D273" s="1" t="str">
        <f>TRIM(_xlfn.XLOOKUP('Результат (Save 2)'!C273,Таблица!A:A,Таблица!B:B,"Ошибка",0))</f>
        <v>S, M, L, XL</v>
      </c>
      <c r="E273" s="1" t="s">
        <v>518</v>
      </c>
    </row>
    <row r="274" spans="2:5" x14ac:dyDescent="0.25">
      <c r="B274" t="s">
        <v>422</v>
      </c>
      <c r="C274" s="1" t="s">
        <v>307</v>
      </c>
      <c r="D274" s="1" t="str">
        <f>TRIM(_xlfn.XLOOKUP('Результат (Save 2)'!C274,Таблица!A:A,Таблица!B:B,"Ошибка",0))</f>
        <v>S, M, L, XL</v>
      </c>
      <c r="E274" s="1" t="s">
        <v>493</v>
      </c>
    </row>
    <row r="275" spans="2:5" x14ac:dyDescent="0.25">
      <c r="B275" t="s">
        <v>422</v>
      </c>
      <c r="C275" s="1" t="s">
        <v>307</v>
      </c>
      <c r="D275" s="1" t="str">
        <f>TRIM(_xlfn.XLOOKUP('Результат (Save 2)'!C275,Таблица!A:A,Таблица!B:B,"Ошибка",0))</f>
        <v>S, M, L, XL</v>
      </c>
      <c r="E275" s="1" t="s">
        <v>495</v>
      </c>
    </row>
    <row r="276" spans="2:5" x14ac:dyDescent="0.25">
      <c r="B276" t="s">
        <v>422</v>
      </c>
      <c r="C276" s="1" t="s">
        <v>307</v>
      </c>
      <c r="D276" s="1" t="str">
        <f>TRIM(_xlfn.XLOOKUP('Результат (Save 2)'!C276,Таблица!A:A,Таблица!B:B,"Ошибка",0))</f>
        <v>S, M, L, XL</v>
      </c>
      <c r="E276" s="1" t="s">
        <v>456</v>
      </c>
    </row>
    <row r="277" spans="2:5" x14ac:dyDescent="0.25">
      <c r="B277" t="s">
        <v>422</v>
      </c>
      <c r="C277" s="1" t="s">
        <v>307</v>
      </c>
      <c r="D277" s="1" t="str">
        <f>TRIM(_xlfn.XLOOKUP('Результат (Save 2)'!C277,Таблица!A:A,Таблица!B:B,"Ошибка",0))</f>
        <v>S, M, L, XL</v>
      </c>
      <c r="E277" s="1" t="s">
        <v>515</v>
      </c>
    </row>
    <row r="278" spans="2:5" x14ac:dyDescent="0.25">
      <c r="B278" t="s">
        <v>423</v>
      </c>
      <c r="C278" s="1" t="s">
        <v>305</v>
      </c>
      <c r="D278" s="1" t="str">
        <f>TRIM(_xlfn.XLOOKUP('Результат (Save 2)'!C278,Таблица!A:A,Таблица!B:B,"Ошибка",0))</f>
        <v>S, M, L, XL</v>
      </c>
      <c r="E278" s="1" t="s">
        <v>517</v>
      </c>
    </row>
    <row r="279" spans="2:5" x14ac:dyDescent="0.25">
      <c r="B279" t="s">
        <v>423</v>
      </c>
      <c r="C279" s="1" t="s">
        <v>305</v>
      </c>
      <c r="D279" s="1" t="str">
        <f>TRIM(_xlfn.XLOOKUP('Результат (Save 2)'!C279,Таблица!A:A,Таблица!B:B,"Ошибка",0))</f>
        <v>S, M, L, XL</v>
      </c>
      <c r="E279" s="1" t="s">
        <v>516</v>
      </c>
    </row>
    <row r="280" spans="2:5" x14ac:dyDescent="0.25">
      <c r="B280" t="s">
        <v>424</v>
      </c>
      <c r="C280" s="1" t="s">
        <v>299</v>
      </c>
      <c r="D280" s="1" t="str">
        <f>TRIM(_xlfn.XLOOKUP('Результат (Save 2)'!C280,Таблица!A:A,Таблица!B:B,"Ошибка",0))</f>
        <v>S, M, L, XL</v>
      </c>
      <c r="E280" s="1" t="s">
        <v>497</v>
      </c>
    </row>
    <row r="281" spans="2:5" x14ac:dyDescent="0.25">
      <c r="B281" t="s">
        <v>424</v>
      </c>
      <c r="C281" s="1" t="s">
        <v>299</v>
      </c>
      <c r="D281" s="1" t="str">
        <f>TRIM(_xlfn.XLOOKUP('Результат (Save 2)'!C281,Таблица!A:A,Таблица!B:B,"Ошибка",0))</f>
        <v>S, M, L, XL</v>
      </c>
      <c r="E281" s="1" t="s">
        <v>496</v>
      </c>
    </row>
    <row r="282" spans="2:5" x14ac:dyDescent="0.25">
      <c r="B282" t="s">
        <v>424</v>
      </c>
      <c r="C282" s="1" t="s">
        <v>299</v>
      </c>
      <c r="D282" s="1" t="str">
        <f>TRIM(_xlfn.XLOOKUP('Результат (Save 2)'!C282,Таблица!A:A,Таблица!B:B,"Ошибка",0))</f>
        <v>S, M, L, XL</v>
      </c>
      <c r="E282" s="1" t="s">
        <v>456</v>
      </c>
    </row>
    <row r="283" spans="2:5" x14ac:dyDescent="0.25">
      <c r="B283" t="s">
        <v>424</v>
      </c>
      <c r="C283" s="1" t="s">
        <v>299</v>
      </c>
      <c r="D283" s="1" t="str">
        <f>TRIM(_xlfn.XLOOKUP('Результат (Save 2)'!C283,Таблица!A:A,Таблица!B:B,"Ошибка",0))</f>
        <v>S, M, L, XL</v>
      </c>
      <c r="E283" s="1" t="s">
        <v>515</v>
      </c>
    </row>
    <row r="284" spans="2:5" x14ac:dyDescent="0.25">
      <c r="B284" t="s">
        <v>425</v>
      </c>
      <c r="C284" s="1" t="s">
        <v>312</v>
      </c>
      <c r="D284" s="1" t="str">
        <f>TRIM(_xlfn.XLOOKUP('Результат (Save 2)'!C284,Таблица!A:A,Таблица!B:B,"Ошибка",0))</f>
        <v>S, M, L, XL</v>
      </c>
      <c r="E284" s="1" t="s">
        <v>9</v>
      </c>
    </row>
    <row r="285" spans="2:5" x14ac:dyDescent="0.25">
      <c r="B285" t="s">
        <v>425</v>
      </c>
      <c r="C285" s="1" t="s">
        <v>312</v>
      </c>
      <c r="D285" s="1" t="str">
        <f>TRIM(_xlfn.XLOOKUP('Результат (Save 2)'!C285,Таблица!A:A,Таблица!B:B,"Ошибка",0))</f>
        <v>S, M, L, XL</v>
      </c>
      <c r="E285" s="1" t="s">
        <v>514</v>
      </c>
    </row>
    <row r="286" spans="2:5" x14ac:dyDescent="0.25">
      <c r="B286" t="s">
        <v>426</v>
      </c>
      <c r="C286" s="1" t="s">
        <v>304</v>
      </c>
      <c r="D286" s="1" t="str">
        <f>TRIM(_xlfn.XLOOKUP('Результат (Save 2)'!C286,Таблица!A:A,Таблица!B:B,"Ошибка",0))</f>
        <v>S, M, L, XL</v>
      </c>
      <c r="E286" s="1" t="s">
        <v>9</v>
      </c>
    </row>
    <row r="287" spans="2:5" x14ac:dyDescent="0.25">
      <c r="B287" t="s">
        <v>426</v>
      </c>
      <c r="C287" s="1" t="s">
        <v>304</v>
      </c>
      <c r="D287" s="1" t="str">
        <f>TRIM(_xlfn.XLOOKUP('Результат (Save 2)'!C287,Таблица!A:A,Таблица!B:B,"Ошибка",0))</f>
        <v>S, M, L, XL</v>
      </c>
      <c r="E287" s="1" t="s">
        <v>513</v>
      </c>
    </row>
    <row r="288" spans="2:5" x14ac:dyDescent="0.25">
      <c r="B288" t="s">
        <v>427</v>
      </c>
      <c r="C288" s="1" t="s">
        <v>309</v>
      </c>
      <c r="D288" s="1" t="str">
        <f>TRIM(_xlfn.XLOOKUP('Результат (Save 2)'!C288,Таблица!A:A,Таблица!B:B,"Ошибка",0))</f>
        <v>S, M, L, XL, XXL</v>
      </c>
      <c r="E288" s="1" t="s">
        <v>9</v>
      </c>
    </row>
    <row r="289" spans="2:5" x14ac:dyDescent="0.25">
      <c r="B289" t="s">
        <v>427</v>
      </c>
      <c r="C289" s="1" t="s">
        <v>309</v>
      </c>
      <c r="D289" s="1" t="str">
        <f>TRIM(_xlfn.XLOOKUP('Результат (Save 2)'!C289,Таблица!A:A,Таблица!B:B,"Ошибка",0))</f>
        <v>S, M, L, XL, XXL</v>
      </c>
      <c r="E289" s="1" t="s">
        <v>508</v>
      </c>
    </row>
    <row r="290" spans="2:5" x14ac:dyDescent="0.25">
      <c r="B290" t="s">
        <v>427</v>
      </c>
      <c r="C290" s="1" t="s">
        <v>309</v>
      </c>
      <c r="D290" s="1" t="str">
        <f>TRIM(_xlfn.XLOOKUP('Результат (Save 2)'!C290,Таблица!A:A,Таблица!B:B,"Ошибка",0))</f>
        <v>S, M, L, XL, XXL</v>
      </c>
      <c r="E290" s="1" t="s">
        <v>509</v>
      </c>
    </row>
    <row r="291" spans="2:5" x14ac:dyDescent="0.25">
      <c r="B291" t="s">
        <v>427</v>
      </c>
      <c r="C291" s="1" t="s">
        <v>309</v>
      </c>
      <c r="D291" s="1" t="str">
        <f>TRIM(_xlfn.XLOOKUP('Результат (Save 2)'!C291,Таблица!A:A,Таблица!B:B,"Ошибка",0))</f>
        <v>S, M, L, XL, XXL</v>
      </c>
      <c r="E291" s="1" t="s">
        <v>510</v>
      </c>
    </row>
    <row r="292" spans="2:5" x14ac:dyDescent="0.25">
      <c r="B292" t="s">
        <v>428</v>
      </c>
      <c r="C292" s="1" t="s">
        <v>302</v>
      </c>
      <c r="D292" s="1" t="str">
        <f>TRIM(_xlfn.XLOOKUP('Результат (Save 2)'!C292,Таблица!A:A,Таблица!B:B,"Ошибка",0))</f>
        <v>S, M, L, XL, XXL</v>
      </c>
      <c r="E292" s="1" t="s">
        <v>498</v>
      </c>
    </row>
    <row r="293" spans="2:5" x14ac:dyDescent="0.25">
      <c r="B293" t="s">
        <v>428</v>
      </c>
      <c r="C293" s="1" t="s">
        <v>302</v>
      </c>
      <c r="D293" s="1" t="str">
        <f>TRIM(_xlfn.XLOOKUP('Результат (Save 2)'!C293,Таблица!A:A,Таблица!B:B,"Ошибка",0))</f>
        <v>S, M, L, XL, XXL</v>
      </c>
      <c r="E293" s="1" t="s">
        <v>499</v>
      </c>
    </row>
    <row r="294" spans="2:5" x14ac:dyDescent="0.25">
      <c r="B294" t="s">
        <v>429</v>
      </c>
      <c r="C294" s="1" t="s">
        <v>322</v>
      </c>
      <c r="D294" s="1" t="str">
        <f>TRIM(_xlfn.XLOOKUP('Результат (Save 2)'!C294,Таблица!A:A,Таблица!B:B,"Ошибка",0))</f>
        <v>S, M, L, XL</v>
      </c>
      <c r="E294" s="1" t="str">
        <f>TRIM(_xlfn.XLOOKUP('Результат (Save 2)'!C294,Таблица!A:A,Таблица!E:E,"Ошибка",0))</f>
        <v>Dark Coffee</v>
      </c>
    </row>
    <row r="295" spans="2:5" x14ac:dyDescent="0.25">
      <c r="B295" t="s">
        <v>430</v>
      </c>
      <c r="C295" s="1" t="s">
        <v>318</v>
      </c>
      <c r="D295" s="1" t="str">
        <f>TRIM(_xlfn.XLOOKUP('Результат (Save 2)'!C295,Таблица!A:A,Таблица!B:B,"Ошибка",0))</f>
        <v>S, M, L, XL</v>
      </c>
      <c r="E295" s="1" t="str">
        <f>TRIM(_xlfn.XLOOKUP('Результат (Save 2)'!C295,Таблица!A:A,Таблица!E:E,"Ошибка",0))</f>
        <v>Black</v>
      </c>
    </row>
    <row r="296" spans="2:5" x14ac:dyDescent="0.25">
      <c r="B296" t="s">
        <v>431</v>
      </c>
      <c r="C296" s="1" t="s">
        <v>315</v>
      </c>
      <c r="D296" s="1" t="str">
        <f>TRIM(_xlfn.XLOOKUP('Результат (Save 2)'!C296,Таблица!A:A,Таблица!B:B,"Ошибка",0))</f>
        <v>S, M, L, XL</v>
      </c>
      <c r="E296" s="1" t="str">
        <f>TRIM(_xlfn.XLOOKUP('Результат (Save 2)'!C296,Таблица!A:A,Таблица!E:E,"Ошибка",0))</f>
        <v>Brown</v>
      </c>
    </row>
    <row r="297" spans="2:5" x14ac:dyDescent="0.25">
      <c r="B297" t="s">
        <v>432</v>
      </c>
      <c r="C297" s="1" t="s">
        <v>324</v>
      </c>
      <c r="D297" s="1" t="str">
        <f>TRIM(_xlfn.XLOOKUP('Результат (Save 2)'!C297,Таблица!A:A,Таблица!B:B,"Ошибка",0))</f>
        <v>S, M, L, XL</v>
      </c>
      <c r="E297" s="1" t="str">
        <f>TRIM(_xlfn.XLOOKUP('Результат (Save 2)'!C297,Таблица!A:A,Таблица!E:E,"Ошибка",0))</f>
        <v>Black</v>
      </c>
    </row>
    <row r="298" spans="2:5" x14ac:dyDescent="0.25">
      <c r="B298" t="s">
        <v>433</v>
      </c>
      <c r="C298" s="1" t="s">
        <v>328</v>
      </c>
      <c r="D298" s="1" t="str">
        <f>TRIM(_xlfn.XLOOKUP('Результат (Save 2)'!C298,Таблица!A:A,Таблица!B:B,"Ошибка",0))</f>
        <v>S, M, L, XL</v>
      </c>
      <c r="E298" s="1" t="s">
        <v>500</v>
      </c>
    </row>
    <row r="299" spans="2:5" x14ac:dyDescent="0.25">
      <c r="B299" t="s">
        <v>433</v>
      </c>
      <c r="C299" s="1" t="s">
        <v>328</v>
      </c>
      <c r="D299" s="1" t="str">
        <f>TRIM(_xlfn.XLOOKUP('Результат (Save 2)'!C299,Таблица!A:A,Таблица!B:B,"Ошибка",0))</f>
        <v>S, M, L, XL</v>
      </c>
      <c r="E299" s="1" t="s">
        <v>501</v>
      </c>
    </row>
    <row r="300" spans="2:5" x14ac:dyDescent="0.25">
      <c r="B300" t="s">
        <v>434</v>
      </c>
      <c r="C300" s="1" t="s">
        <v>331</v>
      </c>
      <c r="D300" s="1" t="str">
        <f>TRIM(_xlfn.XLOOKUP('Результат (Save 2)'!C300,Таблица!A:A,Таблица!B:B,"Ошибка",0))</f>
        <v>S, M, L, XL</v>
      </c>
      <c r="E300" s="1" t="s">
        <v>9</v>
      </c>
    </row>
    <row r="301" spans="2:5" x14ac:dyDescent="0.25">
      <c r="B301" t="s">
        <v>434</v>
      </c>
      <c r="C301" s="1" t="s">
        <v>331</v>
      </c>
      <c r="D301" s="1" t="str">
        <f>TRIM(_xlfn.XLOOKUP('Результат (Save 2)'!C301,Таблица!A:A,Таблица!B:B,"Ошибка",0))</f>
        <v>S, M, L, XL</v>
      </c>
      <c r="E301" s="1" t="s">
        <v>317</v>
      </c>
    </row>
    <row r="302" spans="2:5" x14ac:dyDescent="0.25">
      <c r="B302" t="s">
        <v>435</v>
      </c>
      <c r="C302" s="1" t="s">
        <v>325</v>
      </c>
      <c r="D302" s="1" t="str">
        <f>TRIM(_xlfn.XLOOKUP('Результат (Save 2)'!C302,Таблица!A:A,Таблица!B:B,"Ошибка",0))</f>
        <v>S, M, L, XL</v>
      </c>
      <c r="E302" s="1" t="str">
        <f>TRIM(_xlfn.XLOOKUP('Результат (Save 2)'!C302,Таблица!A:A,Таблица!E:E,"Ошибка",0))</f>
        <v>Black</v>
      </c>
    </row>
    <row r="303" spans="2:5" x14ac:dyDescent="0.25">
      <c r="B303" t="s">
        <v>436</v>
      </c>
      <c r="C303" s="1" t="s">
        <v>338</v>
      </c>
      <c r="D303" s="1" t="str">
        <f>TRIM(_xlfn.XLOOKUP('Результат (Save 2)'!C303,Таблица!A:A,Таблица!B:B,"Ошибка",0))</f>
        <v>S, M, L, XL, XXL</v>
      </c>
      <c r="E303" s="1" t="s">
        <v>512</v>
      </c>
    </row>
    <row r="304" spans="2:5" x14ac:dyDescent="0.25">
      <c r="B304" t="s">
        <v>436</v>
      </c>
      <c r="C304" s="1" t="s">
        <v>338</v>
      </c>
      <c r="D304" s="1" t="str">
        <f>TRIM(_xlfn.XLOOKUP('Результат (Save 2)'!C304,Таблица!A:A,Таблица!B:B,"Ошибка",0))</f>
        <v>S, M, L, XL, XXL</v>
      </c>
      <c r="E304" s="1" t="s">
        <v>492</v>
      </c>
    </row>
    <row r="305" spans="2:5" x14ac:dyDescent="0.25">
      <c r="B305" t="s">
        <v>436</v>
      </c>
      <c r="C305" s="1" t="s">
        <v>338</v>
      </c>
      <c r="D305" s="1" t="str">
        <f>TRIM(_xlfn.XLOOKUP('Результат (Save 2)'!C305,Таблица!A:A,Таблица!B:B,"Ошибка",0))</f>
        <v>S, M, L, XL, XXL</v>
      </c>
      <c r="E305" s="1" t="s">
        <v>509</v>
      </c>
    </row>
    <row r="306" spans="2:5" x14ac:dyDescent="0.25">
      <c r="B306" t="s">
        <v>436</v>
      </c>
      <c r="C306" s="1" t="s">
        <v>338</v>
      </c>
      <c r="D306" s="1" t="str">
        <f>TRIM(_xlfn.XLOOKUP('Результат (Save 2)'!C306,Таблица!A:A,Таблица!B:B,"Ошибка",0))</f>
        <v>S, M, L, XL, XXL</v>
      </c>
      <c r="E306" s="1" t="s">
        <v>9</v>
      </c>
    </row>
    <row r="307" spans="2:5" x14ac:dyDescent="0.25">
      <c r="B307" t="s">
        <v>436</v>
      </c>
      <c r="C307" s="1" t="s">
        <v>338</v>
      </c>
      <c r="D307" s="1" t="str">
        <f>TRIM(_xlfn.XLOOKUP('Результат (Save 2)'!C307,Таблица!A:A,Таблица!B:B,"Ошибка",0))</f>
        <v>S, M, L, XL, XXL</v>
      </c>
      <c r="E307" s="1" t="s">
        <v>511</v>
      </c>
    </row>
    <row r="308" spans="2:5" x14ac:dyDescent="0.25">
      <c r="B308" t="s">
        <v>437</v>
      </c>
      <c r="C308" s="1" t="s">
        <v>335</v>
      </c>
      <c r="D308" s="1" t="str">
        <f>TRIM(_xlfn.XLOOKUP('Результат (Save 2)'!C308,Таблица!A:A,Таблица!B:B,"Ошибка",0))</f>
        <v>S, M, L, XL, XXL</v>
      </c>
      <c r="E308" s="1" t="s">
        <v>9</v>
      </c>
    </row>
    <row r="309" spans="2:5" x14ac:dyDescent="0.25">
      <c r="B309" t="s">
        <v>437</v>
      </c>
      <c r="C309" s="1" t="s">
        <v>335</v>
      </c>
      <c r="D309" s="1" t="str">
        <f>TRIM(_xlfn.XLOOKUP('Результат (Save 2)'!C309,Таблица!A:A,Таблица!B:B,"Ошибка",0))</f>
        <v>S, M, L, XL, XXL</v>
      </c>
      <c r="E309" s="1" t="s">
        <v>508</v>
      </c>
    </row>
    <row r="310" spans="2:5" x14ac:dyDescent="0.25">
      <c r="B310" t="s">
        <v>437</v>
      </c>
      <c r="C310" s="1" t="s">
        <v>335</v>
      </c>
      <c r="D310" s="1" t="str">
        <f>TRIM(_xlfn.XLOOKUP('Результат (Save 2)'!C310,Таблица!A:A,Таблица!B:B,"Ошибка",0))</f>
        <v>S, M, L, XL, XXL</v>
      </c>
      <c r="E310" s="1" t="s">
        <v>509</v>
      </c>
    </row>
    <row r="311" spans="2:5" x14ac:dyDescent="0.25">
      <c r="B311" t="s">
        <v>437</v>
      </c>
      <c r="C311" s="1" t="s">
        <v>335</v>
      </c>
      <c r="D311" s="1" t="str">
        <f>TRIM(_xlfn.XLOOKUP('Результат (Save 2)'!C311,Таблица!A:A,Таблица!B:B,"Ошибка",0))</f>
        <v>S, M, L, XL, XXL</v>
      </c>
      <c r="E311" s="1" t="s">
        <v>510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84BB2-3A5F-432E-AB62-74F56E366BD6}">
  <sheetPr codeName="Лист7"/>
  <dimension ref="A1:E92"/>
  <sheetViews>
    <sheetView workbookViewId="0">
      <pane ySplit="1" topLeftCell="A2" activePane="bottomLeft" state="frozen"/>
      <selection pane="bottomLeft" activeCell="C92" sqref="C92"/>
    </sheetView>
  </sheetViews>
  <sheetFormatPr defaultRowHeight="15" x14ac:dyDescent="0.25"/>
  <cols>
    <col min="1" max="1" width="21.42578125" customWidth="1"/>
    <col min="2" max="2" width="14.42578125" customWidth="1"/>
    <col min="3" max="3" width="22.5703125" style="1" bestFit="1" customWidth="1"/>
    <col min="4" max="4" width="40" style="1" bestFit="1" customWidth="1"/>
    <col min="5" max="5" width="60.7109375" style="1" bestFit="1" customWidth="1"/>
  </cols>
  <sheetData>
    <row r="1" spans="1:5" s="2" customFormat="1" x14ac:dyDescent="0.25">
      <c r="A1" s="2" t="s">
        <v>505</v>
      </c>
      <c r="C1" s="3" t="s">
        <v>440</v>
      </c>
      <c r="D1" s="3" t="s">
        <v>441</v>
      </c>
      <c r="E1" s="3" t="s">
        <v>442</v>
      </c>
    </row>
    <row r="2" spans="1:5" ht="74.45" customHeight="1" x14ac:dyDescent="0.25">
      <c r="B2" t="s">
        <v>347</v>
      </c>
      <c r="C2" s="1" t="s">
        <v>28</v>
      </c>
      <c r="D2" s="1" t="str">
        <f>TRIM(_xlfn.XLOOKUP('Результат (Save)'!C2,Таблица!A:A,Таблица!B:B,"Ошибка",0))</f>
        <v>S, M, L, XL</v>
      </c>
      <c r="E2" s="1" t="str">
        <f>TRIM(_xlfn.XLOOKUP('Результат (Save)'!C2,Таблица!A:A,Таблица!E:E,"Ошибка",0))</f>
        <v>Copper, Slate, Uniform Green</v>
      </c>
    </row>
    <row r="3" spans="1:5" ht="68.849999999999994" customHeight="1" x14ac:dyDescent="0.25">
      <c r="B3" t="s">
        <v>348</v>
      </c>
      <c r="C3" s="1" t="s">
        <v>21</v>
      </c>
      <c r="D3" s="1" t="str">
        <f>TRIM(_xlfn.XLOOKUP('Результат (Save)'!C3,Таблица!A:A,Таблица!B:B,"Ошибка",0))</f>
        <v>S, M, L, XL</v>
      </c>
      <c r="E3" s="1" t="str">
        <f>TRIM(_xlfn.XLOOKUP('Результат (Save)'!C3,Таблица!A:A,Таблица!E:E,"Ошибка",0))</f>
        <v>Black, Charcoal</v>
      </c>
    </row>
    <row r="4" spans="1:5" ht="80.45" customHeight="1" x14ac:dyDescent="0.25">
      <c r="B4" t="s">
        <v>349</v>
      </c>
      <c r="C4" s="1" t="s">
        <v>2</v>
      </c>
      <c r="D4" s="1" t="str">
        <f>TRIM(_xlfn.XLOOKUP('Результат (Save)'!C4,Таблица!A:A,Таблица!B:B,"Ошибка",0))</f>
        <v>S, M, L, XL</v>
      </c>
      <c r="E4" s="1" t="str">
        <f>TRIM(_xlfn.XLOOKUP('Результат (Save)'!C4,Таблица!A:A,Таблица!E:E,"Ошибка",0))</f>
        <v>Black, Buckskin</v>
      </c>
    </row>
    <row r="5" spans="1:5" ht="76.349999999999994" customHeight="1" x14ac:dyDescent="0.25">
      <c r="B5" t="s">
        <v>350</v>
      </c>
      <c r="C5" s="1" t="s">
        <v>4</v>
      </c>
      <c r="D5" s="1" t="str">
        <f>TRIM(_xlfn.XLOOKUP('Результат (Save)'!C5,Таблица!A:A,Таблица!B:B,"Ошибка",0))</f>
        <v>S, M, L, XL</v>
      </c>
      <c r="E5" s="1" t="str">
        <f>TRIM(_xlfn.XLOOKUP('Результат (Save)'!C5,Таблица!A:A,Таблица!E:E,"Ошибка",0))</f>
        <v>Black, Light Mink</v>
      </c>
    </row>
    <row r="6" spans="1:5" ht="78.75" customHeight="1" x14ac:dyDescent="0.25">
      <c r="B6" t="s">
        <v>351</v>
      </c>
      <c r="C6" s="1" t="s">
        <v>37</v>
      </c>
      <c r="D6" s="1" t="str">
        <f>TRIM(_xlfn.XLOOKUP('Результат (Save)'!C6,Таблица!A:A,Таблица!B:B,"Ошибка",0))</f>
        <v>S, M, L, XL</v>
      </c>
      <c r="E6" s="1" t="str">
        <f>TRIM(_xlfn.XLOOKUP('Результат (Save)'!C6,Таблица!A:A,Таблица!E:E,"Ошибка",0))</f>
        <v>Black, Chocolate</v>
      </c>
    </row>
    <row r="7" spans="1:5" ht="77.099999999999994" customHeight="1" x14ac:dyDescent="0.25">
      <c r="B7" t="s">
        <v>352</v>
      </c>
      <c r="C7" s="1" t="s">
        <v>17</v>
      </c>
      <c r="D7" s="1" t="str">
        <f>TRIM(_xlfn.XLOOKUP('Результат (Save)'!C7,Таблица!A:A,Таблица!B:B,"Ошибка",0))</f>
        <v>S, M, L, XL</v>
      </c>
      <c r="E7" s="1" t="str">
        <f>TRIM(_xlfn.XLOOKUP('Результат (Save)'!C7,Таблица!A:A,Таблица!E:E,"Ошибка",0))</f>
        <v>Black, Maple</v>
      </c>
    </row>
    <row r="8" spans="1:5" ht="84.6" customHeight="1" x14ac:dyDescent="0.25">
      <c r="B8" t="s">
        <v>353</v>
      </c>
      <c r="C8" s="1" t="s">
        <v>10</v>
      </c>
      <c r="D8" s="1" t="str">
        <f>TRIM(_xlfn.XLOOKUP('Результат (Save)'!C8,Таблица!A:A,Таблица!B:B,"Ошибка",0))</f>
        <v>6 7/8, 7, 7 1/8, 7 1/4, 7 3/8, 7 1/2, 7 5/8</v>
      </c>
      <c r="E8" s="1" t="str">
        <f>TRIM(_xlfn.XLOOKUP('Результат (Save)'!C8,Таблица!A:A,Таблица!E:E,"Ошибка",0))</f>
        <v>Black, Charcoal, Cognac, Olive</v>
      </c>
    </row>
    <row r="9" spans="1:5" ht="76.900000000000006" customHeight="1" x14ac:dyDescent="0.25">
      <c r="B9" t="s">
        <v>354</v>
      </c>
      <c r="C9" s="1" t="s">
        <v>41</v>
      </c>
      <c r="D9" s="1" t="str">
        <f>TRIM(_xlfn.XLOOKUP('Результат (Save)'!C9,Таблица!A:A,Таблица!B:B,"Ошибка",0))</f>
        <v>S, M, L, XL</v>
      </c>
      <c r="E9" s="1" t="str">
        <f>TRIM(_xlfn.XLOOKUP('Результат (Save)'!C9,Таблица!A:A,Таблица!E:E,"Ошибка",0))</f>
        <v>Aubergine, Black, Mink</v>
      </c>
    </row>
    <row r="10" spans="1:5" ht="72.599999999999994" customHeight="1" x14ac:dyDescent="0.25">
      <c r="B10" t="s">
        <v>355</v>
      </c>
      <c r="C10" s="1" t="s">
        <v>45</v>
      </c>
      <c r="D10" s="1" t="str">
        <f>TRIM(_xlfn.XLOOKUP('Результат (Save)'!C10,Таблица!A:A,Таблица!B:B,"Ошибка",0))</f>
        <v>S, M, L, XL</v>
      </c>
      <c r="E10" s="1" t="str">
        <f>TRIM(_xlfn.XLOOKUP('Результат (Save)'!C10,Таблица!A:A,Таблица!E:E,"Ошибка",0))</f>
        <v>Black</v>
      </c>
    </row>
    <row r="11" spans="1:5" ht="79.349999999999994" customHeight="1" x14ac:dyDescent="0.25">
      <c r="B11" t="s">
        <v>356</v>
      </c>
      <c r="C11" s="1" t="s">
        <v>47</v>
      </c>
      <c r="D11" s="1" t="str">
        <f>TRIM(_xlfn.XLOOKUP('Результат (Save)'!C11,Таблица!A:A,Таблица!B:B,"Ошибка",0))</f>
        <v>S, M, L, XL</v>
      </c>
      <c r="E11" s="1" t="str">
        <f>TRIM(_xlfn.XLOOKUP('Результат (Save)'!C11,Таблица!A:A,Таблица!E:E,"Ошибка",0))</f>
        <v>Black, Nickel, Soft Khaki, Stucco</v>
      </c>
    </row>
    <row r="12" spans="1:5" ht="78.400000000000006" customHeight="1" x14ac:dyDescent="0.25">
      <c r="B12" t="s">
        <v>357</v>
      </c>
      <c r="C12" s="1" t="s">
        <v>54</v>
      </c>
      <c r="D12" s="1" t="str">
        <f>TRIM(_xlfn.XLOOKUP('Результат (Save)'!C12,Таблица!A:A,Таблица!B:B,"Ошибка",0))</f>
        <v>S, M, L, XL</v>
      </c>
      <c r="E12" s="1" t="str">
        <f>TRIM(_xlfn.XLOOKUP('Результат (Save)'!C12,Таблица!A:A,Таблица!E:E,"Ошибка",0))</f>
        <v>Black, Eggplant, Lazuli Blue, Oak, Taupe</v>
      </c>
    </row>
    <row r="13" spans="1:5" ht="77.099999999999994" customHeight="1" x14ac:dyDescent="0.25">
      <c r="B13" t="s">
        <v>358</v>
      </c>
      <c r="C13" s="1" t="s">
        <v>58</v>
      </c>
      <c r="D13" s="1" t="str">
        <f>TRIM(_xlfn.XLOOKUP('Результат (Save)'!C13,Таблица!A:A,Таблица!B:B,"Ошибка",0))</f>
        <v>S, M, L, XL</v>
      </c>
      <c r="E13" s="1" t="str">
        <f>TRIM(_xlfn.XLOOKUP('Результат (Save)'!C13,Таблица!A:A,Таблица!E:E,"Ошибка",0))</f>
        <v>Black, Copper, Nickel</v>
      </c>
    </row>
    <row r="14" spans="1:5" ht="78.599999999999994" customHeight="1" x14ac:dyDescent="0.25">
      <c r="B14" t="s">
        <v>359</v>
      </c>
      <c r="C14" s="1" t="s">
        <v>88</v>
      </c>
      <c r="D14" s="1" t="str">
        <f>TRIM(_xlfn.XLOOKUP('Результат (Save)'!C14,Таблица!A:A,Таблица!B:B,"Ошибка",0))</f>
        <v>S, M, L, XL</v>
      </c>
      <c r="E14" s="1" t="str">
        <f>TRIM(_xlfn.XLOOKUP('Результат (Save)'!C14,Таблица!A:A,Таблица!E:E,"Ошибка",0))</f>
        <v>Black, Nickel, Oak</v>
      </c>
    </row>
    <row r="15" spans="1:5" ht="76.7" customHeight="1" x14ac:dyDescent="0.25">
      <c r="B15" t="s">
        <v>360</v>
      </c>
      <c r="C15" s="1" t="s">
        <v>93</v>
      </c>
      <c r="D15" s="1" t="str">
        <f>TRIM(_xlfn.XLOOKUP('Результат (Save)'!C15,Таблица!A:A,Таблица!B:B,"Ошибка",0))</f>
        <v>S, M, L, XL</v>
      </c>
      <c r="E15" s="1" t="str">
        <f>TRIM(_xlfn.XLOOKUP('Результат (Save)'!C15,Таблица!A:A,Таблица!E:E,"Ошибка",0))</f>
        <v>Avion, Black, Uniform Green</v>
      </c>
    </row>
    <row r="16" spans="1:5" ht="72.95" customHeight="1" x14ac:dyDescent="0.25">
      <c r="B16" t="s">
        <v>361</v>
      </c>
      <c r="C16" s="1" t="s">
        <v>79</v>
      </c>
      <c r="D16" s="1" t="str">
        <f>TRIM(_xlfn.XLOOKUP('Результат (Save)'!C16,Таблица!A:A,Таблица!B:B,"Ошибка",0))</f>
        <v>S, M, L, XL</v>
      </c>
      <c r="E16" s="1" t="str">
        <f>TRIM(_xlfn.XLOOKUP('Результат (Save)'!C16,Таблица!A:A,Таблица!E:E,"Ошибка",0))</f>
        <v>Black, Copper, Taupe</v>
      </c>
    </row>
    <row r="17" spans="2:5" ht="81.95" customHeight="1" x14ac:dyDescent="0.25">
      <c r="B17" t="s">
        <v>362</v>
      </c>
      <c r="C17" s="1" t="s">
        <v>98</v>
      </c>
      <c r="D17" s="1" t="str">
        <f>TRIM(_xlfn.XLOOKUP('Результат (Save)'!C17,Таблица!A:A,Таблица!B:B,"Ошибка",0))</f>
        <v>S, M, L, XL</v>
      </c>
      <c r="E17" s="1" t="str">
        <f>TRIM(_xlfn.XLOOKUP('Результат (Save)'!C17,Таблица!A:A,Таблица!E:E,"Ошибка",0))</f>
        <v>Black, Lazuli Blue, Oak</v>
      </c>
    </row>
    <row r="18" spans="2:5" ht="74.650000000000006" customHeight="1" x14ac:dyDescent="0.25">
      <c r="B18" t="s">
        <v>363</v>
      </c>
      <c r="C18" s="1" t="s">
        <v>74</v>
      </c>
      <c r="D18" s="1" t="str">
        <f>TRIM(_xlfn.XLOOKUP('Результат (Save)'!C18,Таблица!A:A,Таблица!B:B,"Ошибка",0))</f>
        <v>S, M, L, XL</v>
      </c>
      <c r="E18" s="1" t="str">
        <f>TRIM(_xlfn.XLOOKUP('Результат (Save)'!C18,Таблица!A:A,Таблица!E:E,"Ошибка",0))</f>
        <v>Black, Lazuli Blue, Uniform Green</v>
      </c>
    </row>
    <row r="19" spans="2:5" ht="74.849999999999994" customHeight="1" x14ac:dyDescent="0.25">
      <c r="B19" t="s">
        <v>364</v>
      </c>
      <c r="C19" s="1" t="s">
        <v>83</v>
      </c>
      <c r="D19" s="1" t="str">
        <f>TRIM(_xlfn.XLOOKUP('Результат (Save)'!C19,Таблица!A:A,Таблица!B:B,"Ошибка",0))</f>
        <v>S, M, L, XL</v>
      </c>
      <c r="E19" s="1" t="str">
        <f>TRIM(_xlfn.XLOOKUP('Результат (Save)'!C19,Таблица!A:A,Таблица!E:E,"Ошибка",0))</f>
        <v>Greige, Honey, Ochre, Silver Lining, Avion, Black, Chestnut</v>
      </c>
    </row>
    <row r="20" spans="2:5" ht="78.400000000000006" customHeight="1" x14ac:dyDescent="0.25">
      <c r="B20" t="s">
        <v>365</v>
      </c>
      <c r="C20" s="1" t="s">
        <v>61</v>
      </c>
      <c r="D20" s="1" t="str">
        <f>TRIM(_xlfn.XLOOKUP('Результат (Save)'!C20,Таблица!A:A,Таблица!B:B,"Ошибка",0))</f>
        <v>S, M, L, XL</v>
      </c>
      <c r="E20" s="1" t="str">
        <f>TRIM(_xlfn.XLOOKUP('Результат (Save)'!C20,Таблица!A:A,Таблица!E:E,"Ошибка",0))</f>
        <v>Peacoat, Plaza Taupe, Saddle, Steel, Almond, Black, Camel</v>
      </c>
    </row>
    <row r="21" spans="2:5" ht="74.25" customHeight="1" x14ac:dyDescent="0.25">
      <c r="B21" t="s">
        <v>366</v>
      </c>
      <c r="C21" s="1" t="s">
        <v>67</v>
      </c>
      <c r="D21" s="1" t="str">
        <f>TRIM(_xlfn.XLOOKUP('Результат (Save)'!C21,Таблица!A:A,Таблица!B:B,"Ошибка",0))</f>
        <v>S, M, L, XL</v>
      </c>
      <c r="E21" s="1" t="str">
        <f>TRIM(_xlfn.XLOOKUP('Результат (Save)'!C21,Таблица!A:A,Таблица!E:E,"Ошибка",0))</f>
        <v>Black, Unbleached</v>
      </c>
    </row>
    <row r="22" spans="2:5" ht="81.95" customHeight="1" x14ac:dyDescent="0.25">
      <c r="B22" t="s">
        <v>367</v>
      </c>
      <c r="C22" s="1" t="s">
        <v>103</v>
      </c>
      <c r="D22" s="1" t="str">
        <f>TRIM(_xlfn.XLOOKUP('Результат (Save)'!C22,Таблица!A:A,Таблица!B:B,"Ошибка",0))</f>
        <v>S, M, L, XL, XXL</v>
      </c>
      <c r="E22" s="1" t="str">
        <f>TRIM(_xlfn.XLOOKUP('Результат (Save)'!C22,Таблица!A:A,Таблица!E:E,"Ошибка",0))</f>
        <v>Black, Camel, Oak, Stucco</v>
      </c>
    </row>
    <row r="23" spans="2:5" ht="71.45" customHeight="1" x14ac:dyDescent="0.25">
      <c r="B23" t="s">
        <v>368</v>
      </c>
      <c r="C23" s="1" t="s">
        <v>123</v>
      </c>
      <c r="D23" s="1" t="str">
        <f>TRIM(_xlfn.XLOOKUP('Результат (Save)'!C23,Таблица!A:A,Таблица!B:B,"Ошибка",0))</f>
        <v>S, M, L, XL</v>
      </c>
      <c r="E23" s="1" t="str">
        <f>TRIM(_xlfn.XLOOKUP('Результат (Save)'!C23,Таблица!A:A,Таблица!E:E,"Ошибка",0))</f>
        <v>Beech, Black, Whiskey</v>
      </c>
    </row>
    <row r="24" spans="2:5" ht="70.900000000000006" customHeight="1" x14ac:dyDescent="0.25">
      <c r="B24" t="s">
        <v>369</v>
      </c>
      <c r="C24" s="1" t="s">
        <v>7</v>
      </c>
      <c r="D24" s="1" t="str">
        <f>TRIM(_xlfn.XLOOKUP('Результат (Save)'!C24,Таблица!A:A,Таблица!B:B,"Ошибка",0))</f>
        <v>S, M, L, XL</v>
      </c>
      <c r="E24" s="1" t="str">
        <f>TRIM(_xlfn.XLOOKUP('Результат (Save)'!C24,Таблица!A:A,Таблица!E:E,"Ошибка",0))</f>
        <v>Black, Plaza Taupe</v>
      </c>
    </row>
    <row r="25" spans="2:5" ht="72.400000000000006" customHeight="1" x14ac:dyDescent="0.25">
      <c r="B25" t="s">
        <v>370</v>
      </c>
      <c r="C25" s="1" t="s">
        <v>115</v>
      </c>
      <c r="D25" s="1" t="str">
        <f>TRIM(_xlfn.XLOOKUP('Результат (Save)'!C25,Таблица!A:A,Таблица!B:B,"Ошибка",0))</f>
        <v>S, M, L, XL</v>
      </c>
      <c r="E25" s="1" t="str">
        <f>TRIM(_xlfn.XLOOKUP('Результат (Save)'!C25,Таблица!A:A,Таблица!E:E,"Ошибка",0))</f>
        <v>Black, Midnight Brown, Unbleached</v>
      </c>
    </row>
    <row r="26" spans="2:5" ht="76.349999999999994" customHeight="1" x14ac:dyDescent="0.25">
      <c r="B26" t="s">
        <v>371</v>
      </c>
      <c r="C26" s="1" t="s">
        <v>110</v>
      </c>
      <c r="D26" s="1" t="str">
        <f>TRIM(_xlfn.XLOOKUP('Результат (Save)'!C26,Таблица!A:A,Таблица!B:B,"Ошибка",0))</f>
        <v>S, M, L, XL</v>
      </c>
      <c r="E26" s="1" t="str">
        <f>TRIM(_xlfn.XLOOKUP('Результат (Save)'!C26,Таблица!A:A,Таблица!E:E,"Ошибка",0))</f>
        <v>Avion, Black, Soft Khaki</v>
      </c>
    </row>
    <row r="27" spans="2:5" ht="77.849999999999994" customHeight="1" x14ac:dyDescent="0.25">
      <c r="B27" t="s">
        <v>372</v>
      </c>
      <c r="C27" s="1" t="s">
        <v>127</v>
      </c>
      <c r="D27" s="1" t="str">
        <f>TRIM(_xlfn.XLOOKUP('Результат (Save)'!C27,Таблица!A:A,Таблица!B:B,"Ошибка",0))</f>
        <v>S, M, L, XL</v>
      </c>
      <c r="E27" s="1" t="str">
        <f>TRIM(_xlfn.XLOOKUP('Результат (Save)'!C27,Таблица!A:A,Таблица!E:E,"Ошибка",0))</f>
        <v>Ink Blue, Plaza Taupe</v>
      </c>
    </row>
    <row r="28" spans="2:5" ht="78.400000000000006" customHeight="1" x14ac:dyDescent="0.25">
      <c r="B28" t="s">
        <v>373</v>
      </c>
      <c r="C28" s="1" t="s">
        <v>6</v>
      </c>
      <c r="D28" s="1" t="str">
        <f>TRIM(_xlfn.XLOOKUP('Результат (Save)'!C28,Таблица!A:A,Таблица!B:B,"Ошибка",0))</f>
        <v>S, M, L, XL</v>
      </c>
      <c r="E28" s="1" t="str">
        <f>TRIM(_xlfn.XLOOKUP('Результат (Save)'!C28,Таблица!A:A,Таблица!E:E,"Ошибка",0))</f>
        <v>Peacoat, Plaza Taupe, Saddle, Steel, Almond, Black, Camel, Henna</v>
      </c>
    </row>
    <row r="29" spans="2:5" ht="90.75" customHeight="1" x14ac:dyDescent="0.25">
      <c r="B29" t="s">
        <v>374</v>
      </c>
      <c r="C29" s="1" t="s">
        <v>8</v>
      </c>
      <c r="D29" s="1" t="str">
        <f>TRIM(_xlfn.XLOOKUP('Результат (Save)'!C29,Таблица!A:A,Таблица!B:B,"Ошибка",0))</f>
        <v>S, M, L, XL</v>
      </c>
      <c r="E29" s="1" t="str">
        <f>TRIM(_xlfn.XLOOKUP('Результат (Save)'!C29,Таблица!A:A,Таблица!E:E,"Ошибка",0))</f>
        <v>Peacoat, Plaza Taupe, Saddle, Steel, Almond, Black, Camel</v>
      </c>
    </row>
    <row r="30" spans="2:5" ht="94.35" customHeight="1" x14ac:dyDescent="0.25">
      <c r="B30" t="s">
        <v>375</v>
      </c>
      <c r="C30" s="1" t="s">
        <v>136</v>
      </c>
      <c r="D30" s="1" t="str">
        <f>TRIM(_xlfn.XLOOKUP('Результат (Save)'!C30,Таблица!A:A,Таблица!B:B,"Ошибка",0))</f>
        <v>S, M, L, XL</v>
      </c>
      <c r="E30" s="1" t="str">
        <f>TRIM(_xlfn.XLOOKUP('Результат (Save)'!C30,Таблица!A:A,Таблица!E:E,"Ошибка",0))</f>
        <v>Navy, Serpent, Walnut</v>
      </c>
    </row>
    <row r="31" spans="2:5" ht="75.599999999999994" customHeight="1" x14ac:dyDescent="0.25">
      <c r="B31" t="s">
        <v>376</v>
      </c>
      <c r="C31" s="1" t="s">
        <v>130</v>
      </c>
      <c r="D31" s="1" t="str">
        <f>TRIM(_xlfn.XLOOKUP('Результат (Save)'!C31,Таблица!A:A,Таблица!B:B,"Ошибка",0))</f>
        <v>S, M, L, XL, XXL, XXXL</v>
      </c>
      <c r="E31" s="1" t="str">
        <f>TRIM(_xlfn.XLOOKUP('Результат (Save)'!C31,Таблица!A:A,Таблица!E:E,"Ошибка",0))</f>
        <v>Black, Black Mix, Bluestone, Walnut</v>
      </c>
    </row>
    <row r="32" spans="2:5" ht="81.95" customHeight="1" x14ac:dyDescent="0.25">
      <c r="B32" t="s">
        <v>377</v>
      </c>
      <c r="C32" s="1" t="s">
        <v>156</v>
      </c>
      <c r="D32" s="1" t="str">
        <f>TRIM(_xlfn.XLOOKUP('Результат (Save)'!C32,Таблица!A:A,Таблица!B:B,"Ошибка",0))</f>
        <v>S, M, L, XL</v>
      </c>
      <c r="E32" s="1" t="str">
        <f>TRIM(_xlfn.XLOOKUP('Результат (Save)'!C32,Таблица!A:A,Таблица!E:E,"Ошибка",0))</f>
        <v>Avion, Black</v>
      </c>
    </row>
    <row r="33" spans="2:5" ht="81" customHeight="1" x14ac:dyDescent="0.25">
      <c r="B33" t="s">
        <v>378</v>
      </c>
      <c r="C33" s="1" t="s">
        <v>152</v>
      </c>
      <c r="D33" s="1" t="str">
        <f>TRIM(_xlfn.XLOOKUP('Результат (Save)'!C33,Таблица!A:A,Таблица!B:B,"Ошибка",0))</f>
        <v>S, M, L, XL</v>
      </c>
      <c r="E33" s="1" t="str">
        <f>TRIM(_xlfn.XLOOKUP('Результат (Save)'!C33,Таблица!A:A,Таблица!E:E,"Ошибка",0))</f>
        <v>Black, Oak</v>
      </c>
    </row>
    <row r="34" spans="2:5" ht="81.95" customHeight="1" x14ac:dyDescent="0.25">
      <c r="B34" t="s">
        <v>379</v>
      </c>
      <c r="C34" s="1" t="s">
        <v>160</v>
      </c>
      <c r="D34" s="1" t="str">
        <f>TRIM(_xlfn.XLOOKUP('Результат (Save)'!C34,Таблица!A:A,Таблица!B:B,"Ошибка",0))</f>
        <v>S, M, L, XL</v>
      </c>
      <c r="E34" s="1" t="str">
        <f>TRIM(_xlfn.XLOOKUP('Результат (Save)'!C34,Таблица!A:A,Таблица!E:E,"Ошибка",0))</f>
        <v>Black, Honey, Uniform Green</v>
      </c>
    </row>
    <row r="35" spans="2:5" ht="79.900000000000006" customHeight="1" x14ac:dyDescent="0.25">
      <c r="B35" t="s">
        <v>380</v>
      </c>
      <c r="C35" s="1" t="s">
        <v>163</v>
      </c>
      <c r="D35" s="1" t="str">
        <f>TRIM(_xlfn.XLOOKUP('Результат (Save)'!C35,Таблица!A:A,Таблица!B:B,"Ошибка",0))</f>
        <v>S, M, L, XL</v>
      </c>
      <c r="E35" s="1" t="str">
        <f>TRIM(_xlfn.XLOOKUP('Результат (Save)'!C35,Таблица!A:A,Таблица!E:E,"Ошибка",0))</f>
        <v>Black, Nickel, Satin Brass, Uniform Green</v>
      </c>
    </row>
    <row r="36" spans="2:5" ht="79.150000000000006" customHeight="1" x14ac:dyDescent="0.25">
      <c r="B36" t="s">
        <v>381</v>
      </c>
      <c r="C36" s="1" t="s">
        <v>138</v>
      </c>
      <c r="D36" s="1" t="str">
        <f>TRIM(_xlfn.XLOOKUP('Результат (Save)'!C36,Таблица!A:A,Таблица!B:B,"Ошибка",0))</f>
        <v>S, M, L, XL</v>
      </c>
      <c r="E36" s="1" t="str">
        <f>TRIM(_xlfn.XLOOKUP('Результат (Save)'!C36,Таблица!A:A,Таблица!E:E,"Ошибка",0))</f>
        <v>Black, Midnight Brown, Unbleached</v>
      </c>
    </row>
    <row r="37" spans="2:5" ht="88.9" customHeight="1" x14ac:dyDescent="0.25">
      <c r="B37" t="s">
        <v>382</v>
      </c>
      <c r="C37" s="1" t="s">
        <v>149</v>
      </c>
      <c r="D37" s="1" t="str">
        <f>TRIM(_xlfn.XLOOKUP('Результат (Save)'!C37,Таблица!A:A,Таблица!B:B,"Ошибка",0))</f>
        <v>S, M, L, XL</v>
      </c>
      <c r="E37" s="1" t="str">
        <f>TRIM(_xlfn.XLOOKUP('Результат (Save)'!C37,Таблица!A:A,Таблица!E:E,"Ошибка",0))</f>
        <v>Black, Ochre</v>
      </c>
    </row>
    <row r="38" spans="2:5" ht="79.349999999999994" customHeight="1" x14ac:dyDescent="0.25">
      <c r="B38" t="s">
        <v>383</v>
      </c>
      <c r="C38" s="1" t="s">
        <v>146</v>
      </c>
      <c r="D38" s="1" t="str">
        <f>TRIM(_xlfn.XLOOKUP('Результат (Save)'!C38,Таблица!A:A,Таблица!B:B,"Ошибка",0))</f>
        <v>S, M, L, XL</v>
      </c>
      <c r="E38" s="1" t="str">
        <f>TRIM(_xlfn.XLOOKUP('Результат (Save)'!C38,Таблица!A:A,Таблица!E:E,"Ошибка",0))</f>
        <v>Black, Unbleached, Woodland Mix</v>
      </c>
    </row>
    <row r="39" spans="2:5" ht="78" customHeight="1" x14ac:dyDescent="0.25">
      <c r="B39" t="s">
        <v>384</v>
      </c>
      <c r="C39" s="1" t="s">
        <v>144</v>
      </c>
      <c r="D39" s="1" t="str">
        <f>TRIM(_xlfn.XLOOKUP('Результат (Save)'!C39,Таблица!A:A,Таблица!B:B,"Ошибка",0))</f>
        <v>S, M, L, XL, XXL</v>
      </c>
      <c r="E39" s="1" t="str">
        <f>TRIM(_xlfn.XLOOKUP('Результат (Save)'!C39,Таблица!A:A,Таблица!E:E,"Ошибка",0))</f>
        <v>Navy, Nickel, Satin Brass, Silverbelly, Vintage Blue, Black, Cognac, Copper, Medium Brown Mix, Basalt, Avion</v>
      </c>
    </row>
    <row r="40" spans="2:5" ht="87.2" customHeight="1" x14ac:dyDescent="0.25">
      <c r="B40" t="s">
        <v>385</v>
      </c>
      <c r="C40" s="1" t="s">
        <v>190</v>
      </c>
      <c r="D40" s="1" t="str">
        <f>TRIM(_xlfn.XLOOKUP('Результат (Save)'!C40,Таблица!A:A,Таблица!B:B,"Ошибка",0))</f>
        <v>S, M, L, XL</v>
      </c>
      <c r="E40" s="1" t="str">
        <f>TRIM(_xlfn.XLOOKUP('Результат (Save)'!C40,Таблица!A:A,Таблица!E:E,"Ошибка",0))</f>
        <v>Bluestone, Serpent, Woodland Mix</v>
      </c>
    </row>
    <row r="41" spans="2:5" ht="82.9" customHeight="1" x14ac:dyDescent="0.25">
      <c r="B41" t="s">
        <v>386</v>
      </c>
      <c r="C41" s="1" t="s">
        <v>172</v>
      </c>
      <c r="D41" s="1" t="str">
        <f>TRIM(_xlfn.XLOOKUP('Результат (Save)'!C41,Таблица!A:A,Таблица!B:B,"Ошибка",0))</f>
        <v>S, M, L, XL, XXL</v>
      </c>
      <c r="E41" s="1" t="str">
        <f>TRIM(_xlfn.XLOOKUP('Результат (Save)'!C41,Таблица!A:A,Таблица!E:E,"Ошибка",0))</f>
        <v>Sea Breeze, Serpent, Speckled Egg Mix, Uniform Green, Vintage Blue, Antique, Black, Contrapposto, Grey, Navy</v>
      </c>
    </row>
    <row r="42" spans="2:5" ht="77.45" customHeight="1" x14ac:dyDescent="0.25">
      <c r="B42" t="s">
        <v>387</v>
      </c>
      <c r="C42" s="1" t="s">
        <v>168</v>
      </c>
      <c r="D42" s="1" t="str">
        <f>TRIM(_xlfn.XLOOKUP('Результат (Save)'!C42,Таблица!A:A,Таблица!B:B,"Ошибка",0))</f>
        <v>S, M, L, XL, XXL</v>
      </c>
      <c r="E42" s="1" t="str">
        <f>TRIM(_xlfn.XLOOKUP('Результат (Save)'!C42,Таблица!A:A,Таблица!E:E,"Ошибка",0))</f>
        <v>Black, Caramel, Gun Metal, Satin Brass, Soft Khaki</v>
      </c>
    </row>
    <row r="43" spans="2:5" ht="73.150000000000006" customHeight="1" x14ac:dyDescent="0.25">
      <c r="B43" t="s">
        <v>388</v>
      </c>
      <c r="C43" s="1" t="s">
        <v>192</v>
      </c>
      <c r="D43" s="1" t="str">
        <f>TRIM(_xlfn.XLOOKUP('Результат (Save)'!C43,Таблица!A:A,Таблица!B:B,"Ошибка",0))</f>
        <v>S, M, L, XL</v>
      </c>
      <c r="E43" s="1" t="str">
        <f>TRIM(_xlfn.XLOOKUP('Результат (Save)'!C43,Таблица!A:A,Таблица!E:E,"Ошибка",0))</f>
        <v>Natural Mix, Ochre</v>
      </c>
    </row>
    <row r="44" spans="2:5" ht="75.599999999999994" customHeight="1" x14ac:dyDescent="0.25">
      <c r="B44" t="s">
        <v>389</v>
      </c>
      <c r="C44" s="1" t="s">
        <v>188</v>
      </c>
      <c r="D44" s="1" t="str">
        <f>TRIM(_xlfn.XLOOKUP('Результат (Save)'!C44,Таблица!A:A,Таблица!B:B,"Ошибка",0))</f>
        <v>S, M, L, XL</v>
      </c>
      <c r="E44" s="1" t="str">
        <f>TRIM(_xlfn.XLOOKUP('Результат (Save)'!C44,Таблица!A:A,Таблица!E:E,"Ошибка",0))</f>
        <v>Black, Graphite, Nickel, Red</v>
      </c>
    </row>
    <row r="45" spans="2:5" ht="73.7" customHeight="1" x14ac:dyDescent="0.25">
      <c r="B45" t="s">
        <v>390</v>
      </c>
      <c r="C45" s="1" t="s">
        <v>185</v>
      </c>
      <c r="D45" s="1" t="str">
        <f>TRIM(_xlfn.XLOOKUP('Результат (Save)'!C45,Таблица!A:A,Таблица!B:B,"Ошибка",0))</f>
        <v>S, M, L, XL</v>
      </c>
      <c r="E45" s="1" t="str">
        <f>TRIM(_xlfn.XLOOKUP('Результат (Save)'!C45,Таблица!A:A,Таблица!E:E,"Ошибка",0))</f>
        <v>Ink Blue, Olive Mix, Rust</v>
      </c>
    </row>
    <row r="46" spans="2:5" ht="79.7" customHeight="1" x14ac:dyDescent="0.25">
      <c r="B46" t="s">
        <v>391</v>
      </c>
      <c r="C46" s="1" t="s">
        <v>180</v>
      </c>
      <c r="D46" s="1" t="str">
        <f>TRIM(_xlfn.XLOOKUP('Результат (Save)'!C46,Таблица!A:A,Таблица!B:B,"Ошибка",0))</f>
        <v>S, M, L, XL</v>
      </c>
      <c r="E46" s="1" t="str">
        <f>TRIM(_xlfn.XLOOKUP('Результат (Save)'!C46,Таблица!A:A,Таблица!E:E,"Ошибка",0))</f>
        <v>Black, Camel, Pale Olive, Whiskey</v>
      </c>
    </row>
    <row r="47" spans="2:5" ht="78.599999999999994" customHeight="1" x14ac:dyDescent="0.25">
      <c r="B47" t="s">
        <v>392</v>
      </c>
      <c r="C47" s="1" t="s">
        <v>177</v>
      </c>
      <c r="D47" s="1" t="str">
        <f>TRIM(_xlfn.XLOOKUP('Результат (Save)'!C47,Таблица!A:A,Таблица!B:B,"Ошибка",0))</f>
        <v>S, M, L, XL</v>
      </c>
      <c r="E47" s="1" t="str">
        <f>TRIM(_xlfn.XLOOKUP('Результат (Save)'!C47,Таблица!A:A,Таблица!E:E,"Ошибка",0))</f>
        <v>Black, Oxford Mix</v>
      </c>
    </row>
    <row r="48" spans="2:5" ht="88.5" customHeight="1" x14ac:dyDescent="0.25">
      <c r="B48" t="s">
        <v>393</v>
      </c>
      <c r="C48" s="1" t="s">
        <v>196</v>
      </c>
      <c r="D48" s="1" t="str">
        <f>TRIM(_xlfn.XLOOKUP('Результат (Save)'!C48,Таблица!A:A,Таблица!B:B,"Ошибка",0))</f>
        <v>S, M, L, XL</v>
      </c>
      <c r="E48" s="1" t="str">
        <f>TRIM(_xlfn.XLOOKUP('Результат (Save)'!C48,Таблица!A:A,Таблица!E:E,"Ошибка",0))</f>
        <v>Oxblood, Pewter, Serpent, Silverbelly, Black, Cognac, Olive Mix</v>
      </c>
    </row>
    <row r="49" spans="2:5" ht="75.95" customHeight="1" x14ac:dyDescent="0.25">
      <c r="B49" t="s">
        <v>394</v>
      </c>
      <c r="C49" s="1" t="s">
        <v>200</v>
      </c>
      <c r="D49" s="1" t="str">
        <f>TRIM(_xlfn.XLOOKUP('Результат (Save)'!C49,Таблица!A:A,Таблица!B:B,"Ошибка",0))</f>
        <v>S, M, L, XL</v>
      </c>
      <c r="E49" s="1" t="str">
        <f>TRIM(_xlfn.XLOOKUP('Результат (Save)'!C49,Таблица!A:A,Таблица!E:E,"Ошибка",0))</f>
        <v>Medium Brown Mix</v>
      </c>
    </row>
    <row r="50" spans="2:5" ht="95.65" customHeight="1" x14ac:dyDescent="0.25">
      <c r="B50" t="s">
        <v>395</v>
      </c>
      <c r="C50" s="1" t="s">
        <v>204</v>
      </c>
      <c r="D50" s="1" t="str">
        <f>TRIM(_xlfn.XLOOKUP('Результат (Save)'!C50,Таблица!A:A,Таблица!B:B,"Ошибка",0))</f>
        <v>S, M, L, XL, XXL</v>
      </c>
      <c r="E50" s="1" t="str">
        <f>TRIM(_xlfn.XLOOKUP('Результат (Save)'!C50,Таблица!A:A,Таблица!E:E,"Ошибка",0))</f>
        <v>Contrapposto, Copper, Natural Mix, Navy, Port, Red, Satin Brass, Sea Breeze, Unbleached, Vintage Blue, Basalt, Black, Black Mix, Brown</v>
      </c>
    </row>
    <row r="51" spans="2:5" ht="73.349999999999994" customHeight="1" x14ac:dyDescent="0.25">
      <c r="B51" t="s">
        <v>396</v>
      </c>
      <c r="C51" s="1" t="s">
        <v>208</v>
      </c>
      <c r="D51" s="1" t="str">
        <f>TRIM(_xlfn.XLOOKUP('Результат (Save)'!C51,Таблица!A:A,Таблица!B:B,"Ошибка",0))</f>
        <v>S, M, L, XL</v>
      </c>
      <c r="E51" s="1" t="str">
        <f>TRIM(_xlfn.XLOOKUP('Результат (Save)'!C51,Таблица!A:A,Таблица!E:E,"Ошибка",0))</f>
        <v>Black, Cognac, Fawn</v>
      </c>
    </row>
    <row r="52" spans="2:5" ht="77.25" customHeight="1" x14ac:dyDescent="0.25">
      <c r="B52" t="s">
        <v>397</v>
      </c>
      <c r="C52" s="1" t="s">
        <v>213</v>
      </c>
      <c r="D52" s="1" t="str">
        <f>TRIM(_xlfn.XLOOKUP('Результат (Save)'!C52,Таблица!A:A,Таблица!B:B,"Ошибка",0))</f>
        <v>S, M, L, XL</v>
      </c>
      <c r="E52" s="1" t="str">
        <f>TRIM(_xlfn.XLOOKUP('Результат (Save)'!C52,Таблица!A:A,Таблица!E:E,"Ошибка",0))</f>
        <v>Black, Uniform Green</v>
      </c>
    </row>
    <row r="53" spans="2:5" ht="80.25" customHeight="1" x14ac:dyDescent="0.25">
      <c r="B53" t="s">
        <v>398</v>
      </c>
      <c r="C53" s="1" t="s">
        <v>218</v>
      </c>
      <c r="D53" s="1" t="str">
        <f>TRIM(_xlfn.XLOOKUP('Результат (Save)'!C53,Таблица!A:A,Таблица!B:B,"Ошибка",0))</f>
        <v>S, M, L, XL</v>
      </c>
      <c r="E53" s="1" t="str">
        <f>TRIM(_xlfn.XLOOKUP('Результат (Save)'!C53,Таблица!A:A,Таблица!E:E,"Ошибка",0))</f>
        <v>Avion, Black, Whiskey</v>
      </c>
    </row>
    <row r="54" spans="2:5" ht="77.25" customHeight="1" x14ac:dyDescent="0.25">
      <c r="B54" t="s">
        <v>399</v>
      </c>
      <c r="C54" s="1" t="s">
        <v>220</v>
      </c>
      <c r="D54" s="1" t="str">
        <f>TRIM(_xlfn.XLOOKUP('Результат (Save)'!C54,Таблица!A:A,Таблица!B:B,"Ошибка",0))</f>
        <v>S, M, L, XL</v>
      </c>
      <c r="E54" s="1" t="str">
        <f>TRIM(_xlfn.XLOOKUP('Результат (Save)'!C54,Таблица!A:A,Таблица!E:E,"Ошибка",0))</f>
        <v>Black, Nickel, Uniform Green</v>
      </c>
    </row>
    <row r="55" spans="2:5" ht="81.400000000000006" customHeight="1" x14ac:dyDescent="0.25">
      <c r="B55" t="s">
        <v>400</v>
      </c>
      <c r="C55" s="1" t="s">
        <v>231</v>
      </c>
      <c r="D55" s="1" t="str">
        <f>TRIM(_xlfn.XLOOKUP('Результат (Save)'!C55,Таблица!A:A,Таблица!B:B,"Ошибка",0))</f>
        <v>S, M, L, XL, XXL</v>
      </c>
      <c r="E55" s="1" t="str">
        <f>TRIM(_xlfn.XLOOKUP('Результат (Save)'!C55,Таблица!A:A,Таблица!E:E,"Ошибка",0))</f>
        <v>Black, Lazuli Blue, Mink, Ochre</v>
      </c>
    </row>
    <row r="56" spans="2:5" ht="84.2" customHeight="1" x14ac:dyDescent="0.25">
      <c r="B56" t="s">
        <v>401</v>
      </c>
      <c r="C56" s="1" t="s">
        <v>226</v>
      </c>
      <c r="D56" s="1" t="str">
        <f>TRIM(_xlfn.XLOOKUP('Результат (Save)'!C56,Таблица!A:A,Таблица!B:B,"Ошибка",0))</f>
        <v>S, M, L, XL, XXL</v>
      </c>
      <c r="E56" s="1" t="str">
        <f>TRIM(_xlfn.XLOOKUP('Результат (Save)'!C56,Таблица!A:A,Таблица!E:E,"Ошибка",0))</f>
        <v>Black</v>
      </c>
    </row>
    <row r="57" spans="2:5" ht="84.95" customHeight="1" x14ac:dyDescent="0.25">
      <c r="B57" t="s">
        <v>402</v>
      </c>
      <c r="C57" s="1" t="s">
        <v>227</v>
      </c>
      <c r="D57" s="1" t="str">
        <f>TRIM(_xlfn.XLOOKUP('Результат (Save)'!C57,Таблица!A:A,Таблица!B:B,"Ошибка",0))</f>
        <v>S, M, L, XL</v>
      </c>
      <c r="E57" s="1" t="str">
        <f>TRIM(_xlfn.XLOOKUP('Результат (Save)'!C57,Таблица!A:A,Таблица!E:E,"Ошибка",0))</f>
        <v>Black, Chocolate, Forest, Navy</v>
      </c>
    </row>
    <row r="58" spans="2:5" ht="80.25" customHeight="1" x14ac:dyDescent="0.25">
      <c r="B58" t="s">
        <v>403</v>
      </c>
      <c r="C58" s="1" t="s">
        <v>223</v>
      </c>
      <c r="D58" s="1" t="str">
        <f>TRIM(_xlfn.XLOOKUP('Результат (Save)'!C58,Таблица!A:A,Таблица!B:B,"Ошибка",0))</f>
        <v>S, M, L, XL, XXL</v>
      </c>
      <c r="E58" s="1" t="str">
        <f>TRIM(_xlfn.XLOOKUP('Результат (Save)'!C58,Таблица!A:A,Таблица!E:E,"Ошибка",0))</f>
        <v>Black</v>
      </c>
    </row>
    <row r="59" spans="2:5" ht="83.25" customHeight="1" x14ac:dyDescent="0.25">
      <c r="B59" t="s">
        <v>404</v>
      </c>
      <c r="C59" s="1" t="s">
        <v>244</v>
      </c>
      <c r="D59" s="1" t="str">
        <f>TRIM(_xlfn.XLOOKUP('Результат (Save)'!C59,Таблица!A:A,Таблица!B:B,"Ошибка",0))</f>
        <v>S, M, L, XL</v>
      </c>
      <c r="E59" s="1" t="str">
        <f>TRIM(_xlfn.XLOOKUP('Результат (Save)'!C59,Таблица!A:A,Таблица!E:E,"Ошибка",0))</f>
        <v>Bitter Chocolate, Black, Mink, Night Shade, Navy</v>
      </c>
    </row>
    <row r="60" spans="2:5" ht="69" customHeight="1" x14ac:dyDescent="0.25">
      <c r="B60" t="s">
        <v>405</v>
      </c>
      <c r="C60" s="1" t="s">
        <v>238</v>
      </c>
      <c r="D60" s="1" t="str">
        <f>TRIM(_xlfn.XLOOKUP('Результат (Save)'!C60,Таблица!A:A,Таблица!B:B,"Ошибка",0))</f>
        <v>S, M, L, XL</v>
      </c>
      <c r="E60" s="1" t="str">
        <f>TRIM(_xlfn.XLOOKUP('Результат (Save)'!C60,Таблица!A:A,Таблица!E:E,"Ошибка",0))</f>
        <v>Black, Silver Sand</v>
      </c>
    </row>
    <row r="61" spans="2:5" ht="73.5" customHeight="1" x14ac:dyDescent="0.25">
      <c r="B61" t="s">
        <v>406</v>
      </c>
      <c r="C61" s="1" t="s">
        <v>234</v>
      </c>
      <c r="D61" s="1" t="str">
        <f>TRIM(_xlfn.XLOOKUP('Результат (Save)'!C61,Таблица!A:A,Таблица!B:B,"Ошибка",0))</f>
        <v>S, M, L, XL</v>
      </c>
      <c r="E61" s="1" t="str">
        <f>TRIM(_xlfn.XLOOKUP('Результат (Save)'!C61,Таблица!A:A,Таблица!E:E,"Ошибка",0))</f>
        <v>Black, Caramel, Navy, Olive</v>
      </c>
    </row>
    <row r="62" spans="2:5" ht="65.849999999999994" customHeight="1" x14ac:dyDescent="0.25">
      <c r="B62" t="s">
        <v>407</v>
      </c>
      <c r="C62" s="1" t="s">
        <v>246</v>
      </c>
      <c r="D62" s="1" t="str">
        <f>TRIM(_xlfn.XLOOKUP('Результат (Save)'!C62,Таблица!A:A,Таблица!B:B,"Ошибка",0))</f>
        <v>S, M, L, XL</v>
      </c>
      <c r="E62" s="1" t="str">
        <f>TRIM(_xlfn.XLOOKUP('Результат (Save)'!C62,Таблица!A:A,Таблица!E:E,"Ошибка",0))</f>
        <v>Black, Olive Oil, Plaza Taupe</v>
      </c>
    </row>
    <row r="63" spans="2:5" ht="76.349999999999994" customHeight="1" x14ac:dyDescent="0.25">
      <c r="B63" t="s">
        <v>408</v>
      </c>
      <c r="C63" s="1" t="s">
        <v>253</v>
      </c>
      <c r="D63" s="1" t="str">
        <f>TRIM(_xlfn.XLOOKUP('Результат (Save)'!C63,Таблица!A:A,Таблица!B:B,"Ошибка",0))</f>
        <v>S, M, L, XL</v>
      </c>
      <c r="E63" s="1" t="str">
        <f>TRIM(_xlfn.XLOOKUP('Результат (Save)'!C63,Таблица!A:A,Таблица!E:E,"Ошибка",0))</f>
        <v>Ochre, Soft Khaki</v>
      </c>
    </row>
    <row r="64" spans="2:5" ht="75.95" customHeight="1" x14ac:dyDescent="0.25">
      <c r="B64" t="s">
        <v>409</v>
      </c>
      <c r="C64" s="1" t="s">
        <v>257</v>
      </c>
      <c r="D64" s="1" t="str">
        <f>TRIM(_xlfn.XLOOKUP('Результат (Save)'!C64,Таблица!A:A,Таблица!B:B,"Ошибка",0))</f>
        <v>S, M, L, XL</v>
      </c>
      <c r="E64" s="1" t="str">
        <f>TRIM(_xlfn.XLOOKUP('Результат (Save)'!C64,Таблица!A:A,Таблица!E:E,"Ошибка",0))</f>
        <v>Black, Navy</v>
      </c>
    </row>
    <row r="65" spans="2:5" ht="71.650000000000006" customHeight="1" x14ac:dyDescent="0.25">
      <c r="B65" t="s">
        <v>410</v>
      </c>
      <c r="C65" s="1" t="s">
        <v>260</v>
      </c>
      <c r="D65" s="1" t="str">
        <f>TRIM(_xlfn.XLOOKUP('Результат (Save)'!C65,Таблица!A:A,Таблица!B:B,"Ошибка",0))</f>
        <v>6 3/4, 6 7/8, 7, 7 1/8, 7 1/4, 7 3/8, 7 1/2, 7 5/8</v>
      </c>
      <c r="E65" s="1" t="str">
        <f>TRIM(_xlfn.XLOOKUP('Результат (Save)'!C65,Таблица!A:A,Таблица!E:E,"Ошибка",0))</f>
        <v>Black</v>
      </c>
    </row>
    <row r="66" spans="2:5" ht="84.2" customHeight="1" x14ac:dyDescent="0.25">
      <c r="B66" t="s">
        <v>411</v>
      </c>
      <c r="C66" s="1" t="s">
        <v>270</v>
      </c>
      <c r="D66" s="1" t="str">
        <f>TRIM(_xlfn.XLOOKUP('Результат (Save)'!C66,Таблица!A:A,Таблица!B:B,"Ошибка",0))</f>
        <v>S, M, L, XL, XXL</v>
      </c>
      <c r="E66" s="1" t="str">
        <f>TRIM(_xlfn.XLOOKUP('Результат (Save)'!C66,Таблица!A:A,Таблица!E:E,"Ошибка",0))</f>
        <v>Black, Brown, White</v>
      </c>
    </row>
    <row r="67" spans="2:5" ht="82.9" customHeight="1" x14ac:dyDescent="0.25">
      <c r="B67" t="s">
        <v>412</v>
      </c>
      <c r="C67" s="1" t="s">
        <v>263</v>
      </c>
      <c r="D67" s="1" t="str">
        <f>TRIM(_xlfn.XLOOKUP('Результат (Save)'!C67,Таблица!A:A,Таблица!B:B,"Ошибка",0))</f>
        <v>6 3/4, 6 7/8, 7, 7 1/8, 7 1/4, 7 3/8, 7 1/2, 7 5/8</v>
      </c>
      <c r="E67" s="1" t="str">
        <f>TRIM(_xlfn.XLOOKUP('Результат (Save)'!C67,Таблица!A:A,Таблица!E:E,"Ошибка",0))</f>
        <v>Black, Hemlock</v>
      </c>
    </row>
    <row r="68" spans="2:5" ht="91.9" customHeight="1" x14ac:dyDescent="0.25">
      <c r="B68" t="s">
        <v>413</v>
      </c>
      <c r="C68" s="1" t="s">
        <v>267</v>
      </c>
      <c r="D68" s="1" t="str">
        <f>TRIM(_xlfn.XLOOKUP('Результат (Save)'!C68,Таблица!A:A,Таблица!B:B,"Ошибка",0))</f>
        <v>S, M, L, XL</v>
      </c>
      <c r="E68" s="1" t="str">
        <f>TRIM(_xlfn.XLOOKUP('Результат (Save)'!C68,Таблица!A:A,Таблица!E:E,"Ошибка",0))</f>
        <v>Black</v>
      </c>
    </row>
    <row r="69" spans="2:5" ht="79.150000000000006" customHeight="1" x14ac:dyDescent="0.25">
      <c r="B69" t="s">
        <v>414</v>
      </c>
      <c r="C69" s="1" t="s">
        <v>272</v>
      </c>
      <c r="D69" s="1" t="str">
        <f>TRIM(_xlfn.XLOOKUP('Результат (Save)'!C69,Таблица!A:A,Таблица!B:B,"Ошибка",0))</f>
        <v>S, M, L, XL, XXL</v>
      </c>
      <c r="E69" s="1" t="str">
        <f>TRIM(_xlfn.XLOOKUP('Результат (Save)'!C69,Таблица!A:A,Таблица!E:E,"Ошибка",0))</f>
        <v>Fog, Latte, Navy, Static, Tan, Birch, Black, Coconut, Deep Red, Espresso</v>
      </c>
    </row>
    <row r="70" spans="2:5" ht="79.7" customHeight="1" x14ac:dyDescent="0.25">
      <c r="B70" t="s">
        <v>415</v>
      </c>
      <c r="C70" s="1" t="s">
        <v>278</v>
      </c>
      <c r="D70" s="1" t="str">
        <f>TRIM(_xlfn.XLOOKUP('Результат (Save)'!C70,Таблица!A:A,Таблица!B:B,"Ошибка",0))</f>
        <v>S, M, L, XL, XXL</v>
      </c>
      <c r="E70" s="1" t="str">
        <f>TRIM(_xlfn.XLOOKUP('Результат (Save)'!C70,Таблица!A:A,Таблица!E:E,"Ошибка",0))</f>
        <v>Navy Multi, Nordic Multi, Overcast, Skydiver, Woods Multi, Cement Multi, Deep Red, Multi Light, Grey Multi, Natural Multi, Brown Multi, Charcoal Multi</v>
      </c>
    </row>
    <row r="71" spans="2:5" ht="72.2" customHeight="1" x14ac:dyDescent="0.25">
      <c r="B71" t="s">
        <v>416</v>
      </c>
      <c r="C71" s="1" t="s">
        <v>281</v>
      </c>
      <c r="D71" s="1" t="str">
        <f>TRIM(_xlfn.XLOOKUP('Результат (Save)'!C71,Таблица!A:A,Таблица!B:B,"Ошибка",0))</f>
        <v>S, M, L, XL</v>
      </c>
      <c r="E71" s="1" t="str">
        <f>TRIM(_xlfn.XLOOKUP('Результат (Save)'!C71,Таблица!A:A,Таблица!E:E,"Ошибка",0))</f>
        <v>Black, Blue, Bronze</v>
      </c>
    </row>
    <row r="72" spans="2:5" ht="74.45" customHeight="1" x14ac:dyDescent="0.25">
      <c r="B72" t="s">
        <v>417</v>
      </c>
      <c r="C72" s="1" t="s">
        <v>289</v>
      </c>
      <c r="D72" s="1" t="str">
        <f>TRIM(_xlfn.XLOOKUP('Результат (Save)'!C72,Таблица!A:A,Таблица!B:B,"Ошибка",0))</f>
        <v>S, M, L, XL</v>
      </c>
      <c r="E72" s="1" t="str">
        <f>TRIM(_xlfn.XLOOKUP('Результат (Save)'!C72,Таблица!A:A,Таблица!E:E,"Ошибка",0))</f>
        <v>Black, Blue, Bronze</v>
      </c>
    </row>
    <row r="73" spans="2:5" ht="74.45" customHeight="1" x14ac:dyDescent="0.25">
      <c r="B73" t="s">
        <v>418</v>
      </c>
      <c r="C73" s="1" t="s">
        <v>284</v>
      </c>
      <c r="D73" s="1" t="str">
        <f>TRIM(_xlfn.XLOOKUP('Результат (Save)'!C73,Таблица!A:A,Таблица!B:B,"Ошибка",0))</f>
        <v>S, M, L, XL</v>
      </c>
      <c r="E73" s="1" t="str">
        <f>TRIM(_xlfn.XLOOKUP('Результат (Save)'!C73,Таблица!A:A,Таблица!E:E,"Ошибка",0))</f>
        <v>Copper, Green, Grey</v>
      </c>
    </row>
    <row r="74" spans="2:5" ht="72.75" customHeight="1" x14ac:dyDescent="0.25">
      <c r="B74" t="s">
        <v>419</v>
      </c>
      <c r="C74" s="1" t="s">
        <v>296</v>
      </c>
      <c r="D74" s="1" t="str">
        <f>TRIM(_xlfn.XLOOKUP('Результат (Save)'!C74,Таблица!A:A,Таблица!B:B,"Ошибка",0))</f>
        <v>S, M, L, XL</v>
      </c>
      <c r="E74" s="1" t="str">
        <f>TRIM(_xlfn.XLOOKUP('Результат (Save)'!C74,Таблица!A:A,Таблица!E:E,"Ошибка",0))</f>
        <v>Oak Plaid</v>
      </c>
    </row>
    <row r="75" spans="2:5" ht="74.849999999999994" customHeight="1" x14ac:dyDescent="0.25">
      <c r="B75" t="s">
        <v>420</v>
      </c>
      <c r="C75" s="1" t="s">
        <v>294</v>
      </c>
      <c r="D75" s="1" t="str">
        <f>TRIM(_xlfn.XLOOKUP('Результат (Save)'!C75,Таблица!A:A,Таблица!B:B,"Ошибка",0))</f>
        <v>S, M, L, XL</v>
      </c>
      <c r="E75" s="1" t="str">
        <f>TRIM(_xlfn.XLOOKUP('Результат (Save)'!C75,Таблица!A:A,Таблица!E:E,"Ошибка",0))</f>
        <v>Beige Stripe, Black Stripe, Avion Stripe</v>
      </c>
    </row>
    <row r="76" spans="2:5" ht="58.7" customHeight="1" x14ac:dyDescent="0.25">
      <c r="B76" t="s">
        <v>421</v>
      </c>
      <c r="C76" s="1" t="s">
        <v>291</v>
      </c>
      <c r="D76" s="1" t="str">
        <f>TRIM(_xlfn.XLOOKUP('Результат (Save)'!C76,Таблица!A:A,Таблица!B:B,"Ошибка",0))</f>
        <v>S, M, L, XL</v>
      </c>
      <c r="E76" s="1" t="str">
        <f>TRIM(_xlfn.XLOOKUP('Результат (Save)'!C76,Таблица!A:A,Таблица!E:E,"Ошибка",0))</f>
        <v>Avion, Black, Oak</v>
      </c>
    </row>
    <row r="77" spans="2:5" ht="72.95" customHeight="1" x14ac:dyDescent="0.25">
      <c r="B77" t="s">
        <v>422</v>
      </c>
      <c r="C77" s="1" t="s">
        <v>307</v>
      </c>
      <c r="D77" s="1" t="str">
        <f>TRIM(_xlfn.XLOOKUP('Результат (Save)'!C77,Таблица!A:A,Таблица!B:B,"Ошибка",0))</f>
        <v>S, M, L, XL</v>
      </c>
      <c r="E77" s="1" t="str">
        <f>TRIM(_xlfn.XLOOKUP('Результат (Save)'!C77,Таблица!A:A,Таблица!E:E,"Ошибка",0))</f>
        <v>Avion Plaid, Oak Twill, Uniform Green, Plaid</v>
      </c>
    </row>
    <row r="78" spans="2:5" ht="72.2" customHeight="1" x14ac:dyDescent="0.25">
      <c r="B78" t="s">
        <v>423</v>
      </c>
      <c r="C78" s="1" t="s">
        <v>305</v>
      </c>
      <c r="D78" s="1" t="str">
        <f>TRIM(_xlfn.XLOOKUP('Результат (Save)'!C78,Таблица!A:A,Таблица!B:B,"Ошибка",0))</f>
        <v>S, M, L, XL</v>
      </c>
      <c r="E78" s="1" t="str">
        <f>TRIM(_xlfn.XLOOKUP('Результат (Save)'!C78,Таблица!A:A,Таблица!E:E,"Ошибка",0))</f>
        <v>Avion, Grey</v>
      </c>
    </row>
    <row r="79" spans="2:5" ht="71.849999999999994" customHeight="1" x14ac:dyDescent="0.25">
      <c r="B79" t="s">
        <v>424</v>
      </c>
      <c r="C79" s="1" t="s">
        <v>299</v>
      </c>
      <c r="D79" s="1" t="str">
        <f>TRIM(_xlfn.XLOOKUP('Результат (Save)'!C79,Таблица!A:A,Таблица!B:B,"Ошибка",0))</f>
        <v>S, M, L, XL</v>
      </c>
      <c r="E79" s="1" t="str">
        <f>TRIM(_xlfn.XLOOKUP('Результат (Save)'!C79,Таблица!A:A,Таблица!E:E,"Ошибка",0))</f>
        <v>Blue Plaid, Copper Plaid, Uniform Green, Plaid</v>
      </c>
    </row>
    <row r="80" spans="2:5" ht="70.349999999999994" customHeight="1" x14ac:dyDescent="0.25">
      <c r="B80" t="s">
        <v>425</v>
      </c>
      <c r="C80" s="1" t="s">
        <v>312</v>
      </c>
      <c r="D80" s="1" t="str">
        <f>TRIM(_xlfn.XLOOKUP('Результат (Save)'!C80,Таблица!A:A,Таблица!B:B,"Ошибка",0))</f>
        <v>S, M, L, XL</v>
      </c>
      <c r="E80" s="1" t="str">
        <f>TRIM(_xlfn.XLOOKUP('Результат (Save)'!C80,Таблица!A:A,Таблица!E:E,"Ошибка",0))</f>
        <v>Black, Copper</v>
      </c>
    </row>
    <row r="81" spans="2:5" ht="68.45" customHeight="1" x14ac:dyDescent="0.25">
      <c r="B81" t="s">
        <v>426</v>
      </c>
      <c r="C81" s="1" t="s">
        <v>304</v>
      </c>
      <c r="D81" s="1" t="str">
        <f>TRIM(_xlfn.XLOOKUP('Результат (Save)'!C81,Таблица!A:A,Таблица!B:B,"Ошибка",0))</f>
        <v>S, M, L, XL</v>
      </c>
      <c r="E81" s="1" t="str">
        <f>TRIM(_xlfn.XLOOKUP('Результат (Save)'!C81,Таблица!A:A,Таблица!E:E,"Ошибка",0))</f>
        <v>Black, Ochre</v>
      </c>
    </row>
    <row r="82" spans="2:5" ht="71.099999999999994" customHeight="1" x14ac:dyDescent="0.25">
      <c r="B82" t="s">
        <v>427</v>
      </c>
      <c r="C82" s="1" t="s">
        <v>309</v>
      </c>
      <c r="D82" s="1" t="str">
        <f>TRIM(_xlfn.XLOOKUP('Результат (Save)'!C82,Таблица!A:A,Таблица!B:B,"Ошибка",0))</f>
        <v>S, M, L, XL, XXL</v>
      </c>
      <c r="E82" s="1" t="str">
        <f>TRIM(_xlfn.XLOOKUP('Результат (Save)'!C82,Таблица!A:A,Таблица!E:E,"Ошибка",0))</f>
        <v>Black, Chino, Navy, Tan</v>
      </c>
    </row>
    <row r="83" spans="2:5" ht="72.599999999999994" customHeight="1" x14ac:dyDescent="0.25">
      <c r="B83" t="s">
        <v>428</v>
      </c>
      <c r="C83" s="1" t="s">
        <v>302</v>
      </c>
      <c r="D83" s="1" t="str">
        <f>TRIM(_xlfn.XLOOKUP('Результат (Save)'!C83,Таблица!A:A,Таблица!B:B,"Ошибка",0))</f>
        <v>S, M, L, XL, XXL</v>
      </c>
      <c r="E83" s="1" t="str">
        <f>TRIM(_xlfn.XLOOKUP('Результат (Save)'!C83,Таблица!A:A,Таблица!E:E,"Ошибка",0))</f>
        <v>Black Paid, Brown Herringbone</v>
      </c>
    </row>
    <row r="84" spans="2:5" ht="67.7" customHeight="1" x14ac:dyDescent="0.25">
      <c r="B84" t="s">
        <v>429</v>
      </c>
      <c r="C84" s="1" t="s">
        <v>322</v>
      </c>
      <c r="D84" s="1" t="str">
        <f>TRIM(_xlfn.XLOOKUP('Результат (Save)'!C84,Таблица!A:A,Таблица!B:B,"Ошибка",0))</f>
        <v>S, M, L, XL</v>
      </c>
      <c r="E84" s="1" t="str">
        <f>TRIM(_xlfn.XLOOKUP('Результат (Save)'!C84,Таблица!A:A,Таблица!E:E,"Ошибка",0))</f>
        <v>Dark Coffee</v>
      </c>
    </row>
    <row r="85" spans="2:5" ht="74.45" customHeight="1" x14ac:dyDescent="0.25">
      <c r="B85" t="s">
        <v>430</v>
      </c>
      <c r="C85" s="1" t="s">
        <v>318</v>
      </c>
      <c r="D85" s="1" t="str">
        <f>TRIM(_xlfn.XLOOKUP('Результат (Save)'!C85,Таблица!A:A,Таблица!B:B,"Ошибка",0))</f>
        <v>S, M, L, XL</v>
      </c>
      <c r="E85" s="1" t="str">
        <f>TRIM(_xlfn.XLOOKUP('Результат (Save)'!C85,Таблица!A:A,Таблица!E:E,"Ошибка",0))</f>
        <v>Black</v>
      </c>
    </row>
    <row r="86" spans="2:5" ht="68.650000000000006" customHeight="1" x14ac:dyDescent="0.25">
      <c r="B86" t="s">
        <v>431</v>
      </c>
      <c r="C86" s="1" t="s">
        <v>315</v>
      </c>
      <c r="D86" s="1" t="str">
        <f>TRIM(_xlfn.XLOOKUP('Результат (Save)'!C86,Таблица!A:A,Таблица!B:B,"Ошибка",0))</f>
        <v>S, M, L, XL</v>
      </c>
      <c r="E86" s="1" t="str">
        <f>TRIM(_xlfn.XLOOKUP('Результат (Save)'!C86,Таблица!A:A,Таблица!E:E,"Ошибка",0))</f>
        <v>Brown</v>
      </c>
    </row>
    <row r="87" spans="2:5" ht="69.95" customHeight="1" x14ac:dyDescent="0.25">
      <c r="B87" t="s">
        <v>432</v>
      </c>
      <c r="C87" s="1" t="s">
        <v>324</v>
      </c>
      <c r="D87" s="1" t="str">
        <f>TRIM(_xlfn.XLOOKUP('Результат (Save)'!C87,Таблица!A:A,Таблица!B:B,"Ошибка",0))</f>
        <v>S, M, L, XL</v>
      </c>
      <c r="E87" s="1" t="str">
        <f>TRIM(_xlfn.XLOOKUP('Результат (Save)'!C87,Таблица!A:A,Таблица!E:E,"Ошибка",0))</f>
        <v>Black</v>
      </c>
    </row>
    <row r="88" spans="2:5" ht="66.400000000000006" customHeight="1" x14ac:dyDescent="0.25">
      <c r="B88" t="s">
        <v>433</v>
      </c>
      <c r="C88" s="1" t="s">
        <v>328</v>
      </c>
      <c r="D88" s="1" t="str">
        <f>TRIM(_xlfn.XLOOKUP('Результат (Save)'!C88,Таблица!A:A,Таблица!B:B,"Ошибка",0))</f>
        <v>S, M, L, XL</v>
      </c>
      <c r="E88" s="1" t="str">
        <f>TRIM(_xlfn.XLOOKUP('Результат (Save)'!C88,Таблица!A:A,Таблица!E:E,"Ошибка",0))</f>
        <v>Marl Black, Navy Plaid</v>
      </c>
    </row>
    <row r="89" spans="2:5" ht="65.650000000000006" customHeight="1" x14ac:dyDescent="0.25">
      <c r="B89" t="s">
        <v>434</v>
      </c>
      <c r="C89" s="1" t="s">
        <v>331</v>
      </c>
      <c r="D89" s="1" t="str">
        <f>TRIM(_xlfn.XLOOKUP('Результат (Save)'!C89,Таблица!A:A,Таблица!B:B,"Ошибка",0))</f>
        <v>S, M, L, XL</v>
      </c>
      <c r="E89" s="1" t="str">
        <f>TRIM(_xlfn.XLOOKUP('Результат (Save)'!C89,Таблица!A:A,Таблица!E:E,"Ошибка",0))</f>
        <v>Black, Brown</v>
      </c>
    </row>
    <row r="90" spans="2:5" ht="68.099999999999994" customHeight="1" x14ac:dyDescent="0.25">
      <c r="B90" t="s">
        <v>435</v>
      </c>
      <c r="C90" s="1" t="s">
        <v>325</v>
      </c>
      <c r="D90" s="1" t="str">
        <f>TRIM(_xlfn.XLOOKUP('Результат (Save)'!C90,Таблица!A:A,Таблица!B:B,"Ошибка",0))</f>
        <v>S, M, L, XL</v>
      </c>
      <c r="E90" s="1" t="str">
        <f>TRIM(_xlfn.XLOOKUP('Результат (Save)'!C90,Таблица!A:A,Таблица!E:E,"Ошибка",0))</f>
        <v>Black</v>
      </c>
    </row>
    <row r="91" spans="2:5" ht="80.099999999999994" customHeight="1" x14ac:dyDescent="0.25">
      <c r="B91" t="s">
        <v>436</v>
      </c>
      <c r="C91" s="1" t="s">
        <v>338</v>
      </c>
      <c r="D91" s="1" t="str">
        <f>TRIM(_xlfn.XLOOKUP('Результат (Save)'!C91,Таблица!A:A,Таблица!B:B,"Ошибка",0))</f>
        <v>S, M, L, XL, XXL</v>
      </c>
      <c r="E91" s="1" t="str">
        <f>TRIM(_xlfn.XLOOKUP('Результат (Save)'!C91,Таблица!A:A,Таблица!E:E,"Ошибка",0))</f>
        <v>Charcoal, Dk. Brown, Navy, Black, Burgundy</v>
      </c>
    </row>
    <row r="92" spans="2:5" ht="83.1" customHeight="1" x14ac:dyDescent="0.25">
      <c r="B92" t="s">
        <v>437</v>
      </c>
      <c r="C92" s="1" t="s">
        <v>335</v>
      </c>
      <c r="D92" s="1" t="str">
        <f>TRIM(_xlfn.XLOOKUP('Результат (Save)'!C92,Таблица!A:A,Таблица!B:B,"Ошибка",0))</f>
        <v>S, M, L, XL, XXL</v>
      </c>
      <c r="E92" s="1" t="str">
        <f>TRIM(_xlfn.XLOOKUP('Результат (Save)'!C92,Таблица!A:A,Таблица!E:E,"Ошибка",0))</f>
        <v>Black, Chino, Navy, Tan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</vt:i4>
      </vt:variant>
    </vt:vector>
  </HeadingPairs>
  <TitlesOfParts>
    <vt:vector size="9" baseType="lpstr">
      <vt:lpstr>Подготовка</vt:lpstr>
      <vt:lpstr>Вычисление</vt:lpstr>
      <vt:lpstr>Подготовка(Save)</vt:lpstr>
      <vt:lpstr>Таблица</vt:lpstr>
      <vt:lpstr>Цвета</vt:lpstr>
      <vt:lpstr>Результат</vt:lpstr>
      <vt:lpstr>Результат (Save 2)</vt:lpstr>
      <vt:lpstr>Результат (Save)</vt:lpstr>
      <vt:lpstr>DoubleColors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2022-01-24T07:06:12Z</dcterms:created>
  <dcterms:modified xsi:type="dcterms:W3CDTF">2022-01-25T11:32:45Z</dcterms:modified>
</cp:coreProperties>
</file>