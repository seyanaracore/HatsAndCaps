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6.30\"/>
    </mc:Choice>
  </mc:AlternateContent>
  <xr:revisionPtr revIDLastSave="0" documentId="13_ncr:1_{F083703B-3345-44A2-8ECD-641E65F39724}" xr6:coauthVersionLast="47" xr6:coauthVersionMax="47" xr10:uidLastSave="{00000000-0000-0000-0000-000000000000}"/>
  <bookViews>
    <workbookView xWindow="-120" yWindow="-120" windowWidth="29040" windowHeight="15840" activeTab="3" xr2:uid="{3A48B2BB-835E-4247-BB6E-D08F5B3ED053}"/>
  </bookViews>
  <sheets>
    <sheet name="Справочник" sheetId="2" r:id="rId1"/>
    <sheet name="Data" sheetId="3" r:id="rId2"/>
    <sheet name="КомандыИзНазвания" sheetId="4" r:id="rId3"/>
    <sheet name="Транспонирование" sheetId="6" r:id="rId4"/>
    <sheet name="Transposed" sheetId="5" r:id="rId5"/>
  </sheets>
  <functionGroups builtInGroupCount="19"/>
  <definedNames>
    <definedName name="_xlpm.sizeCol" hidden="1" xlm="1">#NAME?</definedName>
    <definedName name="_xlnm._FilterDatabase" localSheetId="1" hidden="1">Data!$A$1:$N$99</definedName>
    <definedName name="_xlnm._FilterDatabase" localSheetId="4" hidden="1">Transposed!$B$1:$Q$7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1" i="6" l="1" a="1"/>
  <c r="AI1" i="6" s="1"/>
  <c r="S1" i="6" a="1"/>
  <c r="S1" i="6" s="1"/>
  <c r="A7" i="6"/>
  <c r="A6" i="6"/>
  <c r="A5" i="6"/>
  <c r="A4" i="6"/>
  <c r="A3" i="6"/>
  <c r="A2" i="6"/>
  <c r="S8" i="3"/>
  <c r="Q8" i="3"/>
  <c r="R8" i="3"/>
  <c r="A8" i="3"/>
  <c r="S7" i="3"/>
  <c r="Q7" i="3"/>
  <c r="R7" i="3"/>
  <c r="A7" i="3"/>
  <c r="P7" i="3" s="1"/>
  <c r="T7" i="3" s="1"/>
  <c r="S6" i="3"/>
  <c r="Q6" i="3"/>
  <c r="R6" i="3"/>
  <c r="A6" i="3"/>
  <c r="S5" i="3"/>
  <c r="Q5" i="3"/>
  <c r="R5" i="3"/>
  <c r="A5" i="3"/>
  <c r="S4" i="3"/>
  <c r="Q4" i="3"/>
  <c r="R4" i="3"/>
  <c r="A4" i="3"/>
  <c r="S3" i="3"/>
  <c r="Q3" i="3"/>
  <c r="R3" i="3"/>
  <c r="A3" i="3"/>
  <c r="P6" i="3" s="1"/>
  <c r="T6" i="3" s="1"/>
  <c r="S2" i="3"/>
  <c r="Q2" i="3"/>
  <c r="R2" i="3"/>
  <c r="A2" i="3"/>
  <c r="P2" i="3" l="1"/>
  <c r="T2" i="3" s="1"/>
  <c r="P4" i="3"/>
  <c r="T4" i="3" s="1"/>
  <c r="P8" i="3"/>
  <c r="T8" i="3" s="1"/>
  <c r="P3" i="3"/>
  <c r="T3" i="3" s="1"/>
  <c r="P5" i="3"/>
  <c r="T5" i="3" s="1"/>
  <c r="J5" i="5"/>
  <c r="R5" i="5" s="1"/>
  <c r="J2" i="5"/>
  <c r="R2" i="5" s="1"/>
  <c r="J6" i="5"/>
  <c r="R6" i="5" s="1"/>
  <c r="J3" i="5"/>
  <c r="R3" i="5" s="1"/>
  <c r="J7" i="5"/>
  <c r="R7" i="5" s="1"/>
  <c r="J4" i="5"/>
  <c r="R4" i="5" s="1"/>
  <c r="U1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<sst xmlns="http://schemas.openxmlformats.org/spreadsheetml/2006/main" count="394" uniqueCount="118">
  <si>
    <t>Style/Color</t>
  </si>
  <si>
    <t>Size</t>
  </si>
  <si>
    <t>Count</t>
  </si>
  <si>
    <t>Color</t>
  </si>
  <si>
    <t>Style</t>
  </si>
  <si>
    <t>Цена</t>
  </si>
  <si>
    <t>O/S</t>
  </si>
  <si>
    <t>BLKWHI</t>
  </si>
  <si>
    <t>OTC</t>
  </si>
  <si>
    <t>BLK</t>
  </si>
  <si>
    <t>NAVY</t>
  </si>
  <si>
    <t>GM</t>
  </si>
  <si>
    <t>GRN</t>
  </si>
  <si>
    <t>Код команды</t>
  </si>
  <si>
    <t>Название</t>
  </si>
  <si>
    <t>Лига</t>
  </si>
  <si>
    <t>Команды</t>
  </si>
  <si>
    <t>Лиги</t>
  </si>
  <si>
    <t>Размер их</t>
  </si>
  <si>
    <t>Наш</t>
  </si>
  <si>
    <t>NEYYAN</t>
  </si>
  <si>
    <t>New York Yankees</t>
  </si>
  <si>
    <t>MLB</t>
  </si>
  <si>
    <t>Los Angeles Dodgers</t>
  </si>
  <si>
    <t>L/XL</t>
  </si>
  <si>
    <t>LOSDOD</t>
  </si>
  <si>
    <t>o/s</t>
  </si>
  <si>
    <t>CHIBUL</t>
  </si>
  <si>
    <t>Chicago Bulls</t>
  </si>
  <si>
    <t>NBA</t>
  </si>
  <si>
    <t>M/L</t>
  </si>
  <si>
    <t>LOSLAK</t>
  </si>
  <si>
    <t>Los Angeles Lakers</t>
  </si>
  <si>
    <t>S/M</t>
  </si>
  <si>
    <t>OAKATH</t>
  </si>
  <si>
    <t>Oakland Athletics</t>
  </si>
  <si>
    <t>Boston Red Sox</t>
  </si>
  <si>
    <t>7 1/2</t>
  </si>
  <si>
    <t>BOSRED</t>
  </si>
  <si>
    <t>Las Vegas Raiders</t>
  </si>
  <si>
    <t>NFL</t>
  </si>
  <si>
    <t>L</t>
  </si>
  <si>
    <t>LOSCLI</t>
  </si>
  <si>
    <t>Los Angeles Clippers</t>
  </si>
  <si>
    <t>M</t>
  </si>
  <si>
    <t>OTCBROOKLYN</t>
  </si>
  <si>
    <t>Brooklyn Nets</t>
  </si>
  <si>
    <t>S</t>
  </si>
  <si>
    <t>MIAHEA</t>
  </si>
  <si>
    <t>Miami Heat</t>
  </si>
  <si>
    <t>LASRAI</t>
  </si>
  <si>
    <t>CHELFC</t>
  </si>
  <si>
    <t>Chelsea</t>
  </si>
  <si>
    <t>EPL</t>
  </si>
  <si>
    <t>MANUTD</t>
  </si>
  <si>
    <t>Manchester United</t>
  </si>
  <si>
    <t>NEYGIA</t>
  </si>
  <si>
    <t>New York Giants</t>
  </si>
  <si>
    <t>TOTHAT</t>
  </si>
  <si>
    <t>Tottenham Hotspur</t>
  </si>
  <si>
    <t>CRYPAL</t>
  </si>
  <si>
    <t>Crystal Palace</t>
  </si>
  <si>
    <t>ATHMAD</t>
  </si>
  <si>
    <t>Atletico Madrid</t>
  </si>
  <si>
    <t>LaLiga</t>
  </si>
  <si>
    <t>FAI</t>
  </si>
  <si>
    <t>FA Ireland</t>
  </si>
  <si>
    <t>UEFA</t>
  </si>
  <si>
    <t>ATLBRA</t>
  </si>
  <si>
    <t>Atlanta Braves</t>
  </si>
  <si>
    <t>CHIWHI</t>
  </si>
  <si>
    <t>Chicago White Socks</t>
  </si>
  <si>
    <t>PITPIR</t>
  </si>
  <si>
    <t>Pittsburgh Pirates</t>
  </si>
  <si>
    <t>Средняя цена</t>
  </si>
  <si>
    <t>Name</t>
  </si>
  <si>
    <t>Рос</t>
  </si>
  <si>
    <t>Наш размер</t>
  </si>
  <si>
    <t>Страна по ГТД</t>
  </si>
  <si>
    <t>Кол-во</t>
  </si>
  <si>
    <t>ГТД</t>
  </si>
  <si>
    <t>Состав</t>
  </si>
  <si>
    <t>Описание</t>
  </si>
  <si>
    <t>Пол</t>
  </si>
  <si>
    <t>Команда</t>
  </si>
  <si>
    <t>Сумма</t>
  </si>
  <si>
    <t>Сумма по средней</t>
  </si>
  <si>
    <t>Б/р</t>
  </si>
  <si>
    <t>БАНГЛАДЕШ</t>
  </si>
  <si>
    <t>10013160/090622/3291500/1</t>
  </si>
  <si>
    <t>100% Полиэстер</t>
  </si>
  <si>
    <t>унисекс</t>
  </si>
  <si>
    <t>10047531-GM o/s  Бейсболка THE LEAGUE LOSDOD GM синий р. o/s</t>
  </si>
  <si>
    <t>КИТАЙ</t>
  </si>
  <si>
    <t>женский</t>
  </si>
  <si>
    <t>100% хлопок</t>
  </si>
  <si>
    <t>100% полиэстер</t>
  </si>
  <si>
    <t>Группа</t>
  </si>
  <si>
    <t>СУММА</t>
  </si>
  <si>
    <t>10047507NAVY</t>
  </si>
  <si>
    <t>10047511OTC</t>
  </si>
  <si>
    <t>10047515BLKWHI</t>
  </si>
  <si>
    <t>10047531GM</t>
  </si>
  <si>
    <t>10047538NAVY</t>
  </si>
  <si>
    <t>10047540GRN</t>
  </si>
  <si>
    <t>Формула</t>
  </si>
  <si>
    <t>PEA</t>
  </si>
  <si>
    <t>11198850-BLK o/s  Бейсболка MLB FLAWLESS LOGO BASIC 940 NEYYAN BLK чёрный р. o/s</t>
  </si>
  <si>
    <t>12523907-BLKWHI o/s  Бейсболка DIAMOND ERA 9FORTY NEYYAN BLKWHT черный р. o/s</t>
  </si>
  <si>
    <t>60222234-OTC o/s  Бейсболка DIAMOND ERA 9FORTY LOSLAK   BLKOTC черный р. o/s</t>
  </si>
  <si>
    <t>60222253-BLK o/s  Бейсболка DIAMOND ERA 9FORTY CHIBUL  BLK черный р. o/s</t>
  </si>
  <si>
    <t>60222404-PEA o/s  Бейсболка WMNS JERSEY 9FORTY NEYYAN  BLKPEA серый р. o/s</t>
  </si>
  <si>
    <t>10013160/160622/3303126/1</t>
  </si>
  <si>
    <t>10216170/170322/3071306/3</t>
  </si>
  <si>
    <t>10013160/050522/3233670/14</t>
  </si>
  <si>
    <t>10216170/040522/3090058/1</t>
  </si>
  <si>
    <t>10013160/060522/3236120/1</t>
  </si>
  <si>
    <t>53% хлопок - 47% полиэстер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</si>
</sst>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1" xfId="0" applyFont="1" applyBorder="1"/>
    <xf numFmtId="0" fontId="0" fillId="0" borderId="1" xfId="0" applyBorder="1"/>
    <xf numFmtId="0" fontId="2" fillId="0" borderId="1" xfId="0" applyFont="1" applyBorder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/>
    <xf numFmtId="0" fontId="0" fillId="0" borderId="7" xfId="0" applyBorder="1"/>
    <xf numFmtId="0" fontId="0" fillId="0" borderId="6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1" fillId="0" borderId="0" xfId="0" applyFont="1" applyBorder="1"/>
    <xf numFmtId="0" fontId="1" fillId="2" borderId="3" xfId="0" applyFont="1" applyFill="1" applyBorder="1" applyAlignment="1">
      <alignment horizontal="center" vertical="center"/>
    </xf>
    <xf numFmtId="0" fontId="1" fillId="3" borderId="4" xfId="0" applyNumberFormat="1" applyFont="1" applyFill="1" applyBorder="1" applyAlignment="1">
      <alignment horizontal="center" vertical="center"/>
    </xf>
    <xf numFmtId="1" fontId="1" fillId="3" borderId="5" xfId="0" applyNumberFormat="1" applyFont="1" applyFill="1" applyBorder="1" applyAlignment="1">
      <alignment horizontal="center" vertical="center"/>
    </xf>
    <xf numFmtId="0" fontId="1" fillId="5" borderId="2" xfId="0" applyFont="1" applyFill="1" applyBorder="1"/>
  </cellXfs>
  <cellStyles count="1">
    <cellStyle name="Обычный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333375</xdr:colOff>
          <xdr:row>1</xdr:row>
          <xdr:rowOff>57150</xdr:rowOff>
        </xdr:from>
        <xdr:to>
          <xdr:col>34</xdr:col>
          <xdr:colOff>114300</xdr:colOff>
          <xdr:row>3</xdr:row>
          <xdr:rowOff>95250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5896E-AED8-46D7-99E5-2E8D359DA3D0}">
  <sheetPr codeName="Лист1">
    <tabColor theme="0" tint="-4.9989318521683403E-2"/>
  </sheetPr>
  <dimension ref="A1:I21"/>
  <sheetViews>
    <sheetView showGridLines="0" workbookViewId="0">
      <selection sqref="A1:C1"/>
    </sheetView>
  </sheetViews>
  <sheetFormatPr defaultRowHeight="15" x14ac:dyDescent="0.25"/>
  <cols>
    <col min="1" max="1" width="13.28515625" bestFit="1" customWidth="1"/>
    <col min="2" max="2" width="19.42578125" bestFit="1" customWidth="1"/>
    <col min="5" max="5" width="19.42578125" bestFit="1" customWidth="1"/>
    <col min="8" max="8" width="10.28515625" bestFit="1" customWidth="1"/>
    <col min="9" max="9" width="4.85546875" bestFit="1" customWidth="1"/>
  </cols>
  <sheetData>
    <row r="1" spans="1:9" s="1" customFormat="1" x14ac:dyDescent="0.25">
      <c r="A1" s="4" t="s">
        <v>13</v>
      </c>
      <c r="B1" s="4" t="s">
        <v>14</v>
      </c>
      <c r="C1" s="4" t="s">
        <v>15</v>
      </c>
      <c r="E1" s="4" t="s">
        <v>16</v>
      </c>
      <c r="F1" s="4" t="s">
        <v>17</v>
      </c>
      <c r="H1" s="4" t="s">
        <v>18</v>
      </c>
      <c r="I1" s="4" t="s">
        <v>19</v>
      </c>
    </row>
    <row r="2" spans="1:9" x14ac:dyDescent="0.25">
      <c r="A2" s="5" t="s">
        <v>20</v>
      </c>
      <c r="B2" s="5" t="s">
        <v>21</v>
      </c>
      <c r="C2" s="5" t="s">
        <v>22</v>
      </c>
      <c r="E2" s="5" t="s">
        <v>23</v>
      </c>
      <c r="F2" s="5" t="s">
        <v>22</v>
      </c>
      <c r="H2" s="5" t="s">
        <v>24</v>
      </c>
      <c r="I2" s="5">
        <v>60</v>
      </c>
    </row>
    <row r="3" spans="1:9" x14ac:dyDescent="0.25">
      <c r="A3" s="5" t="s">
        <v>25</v>
      </c>
      <c r="B3" s="5" t="s">
        <v>23</v>
      </c>
      <c r="C3" s="5" t="s">
        <v>22</v>
      </c>
      <c r="E3" s="5" t="s">
        <v>21</v>
      </c>
      <c r="F3" s="5" t="s">
        <v>22</v>
      </c>
      <c r="H3" s="5" t="s">
        <v>26</v>
      </c>
      <c r="I3" s="5" t="s">
        <v>6</v>
      </c>
    </row>
    <row r="4" spans="1:9" x14ac:dyDescent="0.25">
      <c r="A4" s="5" t="s">
        <v>27</v>
      </c>
      <c r="B4" s="5" t="s">
        <v>28</v>
      </c>
      <c r="C4" s="5" t="s">
        <v>29</v>
      </c>
      <c r="E4" s="5" t="s">
        <v>28</v>
      </c>
      <c r="F4" s="5" t="s">
        <v>29</v>
      </c>
      <c r="H4" s="5" t="s">
        <v>30</v>
      </c>
      <c r="I4" s="5">
        <v>58</v>
      </c>
    </row>
    <row r="5" spans="1:9" x14ac:dyDescent="0.25">
      <c r="A5" s="5" t="s">
        <v>31</v>
      </c>
      <c r="B5" s="5" t="s">
        <v>32</v>
      </c>
      <c r="C5" s="5" t="s">
        <v>29</v>
      </c>
      <c r="E5" s="5" t="s">
        <v>32</v>
      </c>
      <c r="F5" s="5" t="s">
        <v>29</v>
      </c>
      <c r="H5" s="5" t="s">
        <v>33</v>
      </c>
      <c r="I5" s="5">
        <v>56</v>
      </c>
    </row>
    <row r="6" spans="1:9" x14ac:dyDescent="0.25">
      <c r="A6" s="5" t="s">
        <v>34</v>
      </c>
      <c r="B6" s="5" t="s">
        <v>35</v>
      </c>
      <c r="C6" s="5" t="s">
        <v>22</v>
      </c>
      <c r="E6" s="5" t="s">
        <v>36</v>
      </c>
      <c r="F6" s="5" t="s">
        <v>22</v>
      </c>
      <c r="H6" s="5" t="s">
        <v>37</v>
      </c>
      <c r="I6" s="5">
        <v>60</v>
      </c>
    </row>
    <row r="7" spans="1:9" x14ac:dyDescent="0.25">
      <c r="A7" s="5" t="s">
        <v>38</v>
      </c>
      <c r="B7" s="5" t="s">
        <v>36</v>
      </c>
      <c r="C7" s="5" t="s">
        <v>22</v>
      </c>
      <c r="E7" s="5" t="s">
        <v>39</v>
      </c>
      <c r="F7" s="5" t="s">
        <v>40</v>
      </c>
      <c r="H7" s="5" t="s">
        <v>41</v>
      </c>
      <c r="I7" s="5">
        <v>59</v>
      </c>
    </row>
    <row r="8" spans="1:9" x14ac:dyDescent="0.25">
      <c r="A8" s="5" t="s">
        <v>42</v>
      </c>
      <c r="B8" s="5" t="s">
        <v>43</v>
      </c>
      <c r="C8" s="5" t="s">
        <v>29</v>
      </c>
      <c r="H8" s="5" t="s">
        <v>44</v>
      </c>
      <c r="I8" s="5">
        <v>57</v>
      </c>
    </row>
    <row r="9" spans="1:9" x14ac:dyDescent="0.25">
      <c r="A9" s="5" t="s">
        <v>45</v>
      </c>
      <c r="B9" s="5" t="s">
        <v>46</v>
      </c>
      <c r="C9" s="5" t="s">
        <v>29</v>
      </c>
      <c r="H9" s="5" t="s">
        <v>47</v>
      </c>
      <c r="I9" s="5">
        <v>55</v>
      </c>
    </row>
    <row r="10" spans="1:9" x14ac:dyDescent="0.25">
      <c r="A10" s="5" t="s">
        <v>48</v>
      </c>
      <c r="B10" s="5" t="s">
        <v>49</v>
      </c>
      <c r="C10" s="5" t="s">
        <v>29</v>
      </c>
    </row>
    <row r="11" spans="1:9" x14ac:dyDescent="0.25">
      <c r="A11" s="5" t="s">
        <v>50</v>
      </c>
      <c r="B11" s="5" t="s">
        <v>39</v>
      </c>
      <c r="C11" s="5" t="s">
        <v>40</v>
      </c>
    </row>
    <row r="12" spans="1:9" x14ac:dyDescent="0.25">
      <c r="A12" s="5" t="s">
        <v>51</v>
      </c>
      <c r="B12" s="5" t="s">
        <v>52</v>
      </c>
      <c r="C12" s="5" t="s">
        <v>53</v>
      </c>
    </row>
    <row r="13" spans="1:9" x14ac:dyDescent="0.25">
      <c r="A13" s="5" t="s">
        <v>54</v>
      </c>
      <c r="B13" s="5" t="s">
        <v>55</v>
      </c>
      <c r="C13" s="5" t="s">
        <v>53</v>
      </c>
    </row>
    <row r="14" spans="1:9" x14ac:dyDescent="0.25">
      <c r="A14" s="5" t="s">
        <v>56</v>
      </c>
      <c r="B14" s="5" t="s">
        <v>57</v>
      </c>
      <c r="C14" s="5" t="s">
        <v>40</v>
      </c>
    </row>
    <row r="15" spans="1:9" x14ac:dyDescent="0.25">
      <c r="A15" s="5" t="s">
        <v>58</v>
      </c>
      <c r="B15" s="5" t="s">
        <v>59</v>
      </c>
      <c r="C15" s="5" t="s">
        <v>53</v>
      </c>
    </row>
    <row r="16" spans="1:9" x14ac:dyDescent="0.25">
      <c r="A16" s="5" t="s">
        <v>60</v>
      </c>
      <c r="B16" s="5" t="s">
        <v>61</v>
      </c>
      <c r="C16" s="5" t="s">
        <v>53</v>
      </c>
    </row>
    <row r="17" spans="1:3" x14ac:dyDescent="0.25">
      <c r="A17" s="5" t="s">
        <v>62</v>
      </c>
      <c r="B17" s="5" t="s">
        <v>63</v>
      </c>
      <c r="C17" s="6" t="s">
        <v>64</v>
      </c>
    </row>
    <row r="18" spans="1:3" x14ac:dyDescent="0.25">
      <c r="A18" s="5" t="s">
        <v>65</v>
      </c>
      <c r="B18" s="5" t="s">
        <v>66</v>
      </c>
      <c r="C18" s="6" t="s">
        <v>67</v>
      </c>
    </row>
    <row r="19" spans="1:3" x14ac:dyDescent="0.25">
      <c r="A19" s="5" t="s">
        <v>68</v>
      </c>
      <c r="B19" s="5" t="s">
        <v>69</v>
      </c>
      <c r="C19" s="5" t="s">
        <v>22</v>
      </c>
    </row>
    <row r="20" spans="1:3" x14ac:dyDescent="0.25">
      <c r="A20" s="5" t="s">
        <v>70</v>
      </c>
      <c r="B20" s="5" t="s">
        <v>71</v>
      </c>
      <c r="C20" s="5" t="s">
        <v>22</v>
      </c>
    </row>
    <row r="21" spans="1:3" x14ac:dyDescent="0.25">
      <c r="A21" s="5" t="s">
        <v>72</v>
      </c>
      <c r="B21" s="5" t="s">
        <v>73</v>
      </c>
      <c r="C21" s="5" t="s">
        <v>22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58FB4-F2AB-4AE6-B62B-F50433A3610B}">
  <sheetPr codeName="Лист3">
    <tabColor rgb="FFFFFF00"/>
  </sheetPr>
  <dimension ref="A1:U8"/>
  <sheetViews>
    <sheetView topLeftCell="E1" workbookViewId="0">
      <selection activeCell="S2" sqref="S2:S8"/>
    </sheetView>
  </sheetViews>
  <sheetFormatPr defaultRowHeight="15" x14ac:dyDescent="0.25"/>
  <cols>
    <col min="1" max="1" width="17" style="3" bestFit="1" customWidth="1"/>
    <col min="2" max="2" width="9" style="3" bestFit="1" customWidth="1"/>
    <col min="3" max="3" width="8.85546875" style="3" bestFit="1" customWidth="1"/>
    <col min="4" max="4" width="91.5703125" style="3" bestFit="1" customWidth="1"/>
    <col min="5" max="5" width="6.85546875" style="3" bestFit="1" customWidth="1"/>
    <col min="6" max="6" width="6.42578125" style="3" bestFit="1" customWidth="1"/>
    <col min="7" max="7" width="14.42578125" style="3" bestFit="1" customWidth="1"/>
    <col min="8" max="8" width="16.140625" style="3" bestFit="1" customWidth="1"/>
    <col min="9" max="9" width="9.5703125" style="3" customWidth="1"/>
    <col min="10" max="10" width="26.140625" style="3" bestFit="1" customWidth="1"/>
    <col min="11" max="11" width="27" style="3" bestFit="1" customWidth="1"/>
    <col min="12" max="12" width="15.7109375" style="3" customWidth="1"/>
    <col min="13" max="13" width="8.85546875" style="3" bestFit="1" customWidth="1"/>
    <col min="14" max="14" width="8" style="3" bestFit="1" customWidth="1"/>
    <col min="15" max="15" width="13.85546875" style="3" bestFit="1" customWidth="1"/>
    <col min="16" max="16" width="16.140625" style="3" bestFit="1" customWidth="1"/>
    <col min="17" max="17" width="5.140625" style="3" bestFit="1" customWidth="1"/>
    <col min="18" max="18" width="19.42578125" style="3" bestFit="1" customWidth="1"/>
    <col min="19" max="19" width="9" style="3" bestFit="1" customWidth="1"/>
    <col min="20" max="20" width="18.5703125" style="3" bestFit="1" customWidth="1"/>
    <col min="21" max="21" width="25.28515625" style="3" bestFit="1" customWidth="1"/>
  </cols>
  <sheetData>
    <row r="1" spans="1:21" s="1" customFormat="1" x14ac:dyDescent="0.25">
      <c r="A1" s="13" t="s">
        <v>0</v>
      </c>
      <c r="B1" s="12" t="s">
        <v>4</v>
      </c>
      <c r="C1" s="12" t="s">
        <v>3</v>
      </c>
      <c r="D1" s="25" t="s">
        <v>75</v>
      </c>
      <c r="E1" s="25" t="s">
        <v>1</v>
      </c>
      <c r="F1" s="25" t="s">
        <v>76</v>
      </c>
      <c r="G1" s="25" t="s">
        <v>77</v>
      </c>
      <c r="H1" s="25" t="s">
        <v>78</v>
      </c>
      <c r="I1" s="25" t="s">
        <v>79</v>
      </c>
      <c r="J1" s="25" t="s">
        <v>80</v>
      </c>
      <c r="K1" s="25" t="s">
        <v>81</v>
      </c>
      <c r="L1" s="25" t="s">
        <v>82</v>
      </c>
      <c r="M1" s="25" t="s">
        <v>83</v>
      </c>
      <c r="N1" s="25" t="s">
        <v>5</v>
      </c>
      <c r="O1" s="25" t="s">
        <v>13</v>
      </c>
      <c r="P1" s="13" t="s">
        <v>74</v>
      </c>
      <c r="Q1" s="13" t="s">
        <v>15</v>
      </c>
      <c r="R1" s="13" t="s">
        <v>84</v>
      </c>
      <c r="S1" s="13" t="s">
        <v>85</v>
      </c>
      <c r="T1" s="13" t="s">
        <v>86</v>
      </c>
      <c r="U1" s="2" t="str">
        <f>CONCATENATE("Суммы сходятся: ",SUM(S:S)=SUM(T:T))</f>
        <v>Суммы сходятся: ИСТИНА</v>
      </c>
    </row>
    <row r="2" spans="1:21" x14ac:dyDescent="0.25">
      <c r="A2" s="3" t="str">
        <f t="shared" ref="A2:A65" si="0">B2&amp;C2</f>
        <v>10047531GM</v>
      </c>
      <c r="B2" s="3">
        <v>10047531</v>
      </c>
      <c r="C2" s="3" t="s">
        <v>11</v>
      </c>
      <c r="D2" s="3" t="s">
        <v>92</v>
      </c>
      <c r="E2" s="3" t="s">
        <v>26</v>
      </c>
      <c r="F2" s="3" t="s">
        <v>87</v>
      </c>
      <c r="G2" s="3" t="s">
        <v>6</v>
      </c>
      <c r="H2" s="3" t="s">
        <v>88</v>
      </c>
      <c r="I2" s="3">
        <v>4</v>
      </c>
      <c r="J2" s="3" t="s">
        <v>89</v>
      </c>
      <c r="K2" s="3" t="s">
        <v>96</v>
      </c>
      <c r="M2" s="3" t="s">
        <v>91</v>
      </c>
      <c r="N2" s="3">
        <v>1442.76</v>
      </c>
      <c r="O2" s="3" t="s">
        <v>25</v>
      </c>
      <c r="P2" s="3">
        <f>SUMIF(A:A,A2,S:S)/SUMIF(A:A,A2,I:I)</f>
        <v>1442.76</v>
      </c>
      <c r="Q2" s="3" t="str">
        <f>VLOOKUP(O2,Справочник!A:C,3,0)</f>
        <v>MLB</v>
      </c>
      <c r="R2" s="3" t="str">
        <f>VLOOKUP(O2,Справочник!A:B,2,0)</f>
        <v>Los Angeles Dodgers</v>
      </c>
      <c r="S2" s="3">
        <f>N2*I2</f>
        <v>5771.04</v>
      </c>
      <c r="T2" s="3">
        <f t="shared" ref="T2:T33" si="1">P2*I2</f>
        <v>5771.04</v>
      </c>
    </row>
    <row r="3" spans="1:21" x14ac:dyDescent="0.25">
      <c r="A3" s="3" t="str">
        <f t="shared" si="0"/>
        <v>11198850BLK</v>
      </c>
      <c r="B3" s="3">
        <v>11198850</v>
      </c>
      <c r="C3" s="3" t="s">
        <v>9</v>
      </c>
      <c r="D3" s="3" t="s">
        <v>107</v>
      </c>
      <c r="E3" s="3" t="s">
        <v>26</v>
      </c>
      <c r="F3" s="3" t="s">
        <v>87</v>
      </c>
      <c r="G3" s="3" t="s">
        <v>6</v>
      </c>
      <c r="H3" s="3" t="s">
        <v>93</v>
      </c>
      <c r="I3" s="3">
        <v>10</v>
      </c>
      <c r="J3" s="3" t="s">
        <v>112</v>
      </c>
      <c r="K3" s="3" t="s">
        <v>117</v>
      </c>
      <c r="M3" s="3" t="s">
        <v>91</v>
      </c>
      <c r="N3" s="3">
        <v>1144.1600000000001</v>
      </c>
      <c r="O3" s="3" t="s">
        <v>20</v>
      </c>
      <c r="P3" s="3">
        <f>SUMIF(A:A,A3,S:S)/SUMIF(A:A,A3,I:I)</f>
        <v>1144.1600000000001</v>
      </c>
      <c r="Q3" s="3" t="str">
        <f>VLOOKUP(O3,Справочник!A:C,3,0)</f>
        <v>MLB</v>
      </c>
      <c r="R3" s="3" t="str">
        <f>VLOOKUP(O3,Справочник!A:B,2,0)</f>
        <v>New York Yankees</v>
      </c>
      <c r="S3" s="3">
        <f t="shared" ref="S3:S66" si="2">N3*I3</f>
        <v>11441.6</v>
      </c>
      <c r="T3" s="3">
        <f t="shared" si="1"/>
        <v>11441.6</v>
      </c>
    </row>
    <row r="4" spans="1:21" x14ac:dyDescent="0.25">
      <c r="A4" s="3" t="str">
        <f t="shared" si="0"/>
        <v>12523907BLKWHI</v>
      </c>
      <c r="B4" s="3">
        <v>12523907</v>
      </c>
      <c r="C4" s="3" t="s">
        <v>7</v>
      </c>
      <c r="D4" s="3" t="s">
        <v>108</v>
      </c>
      <c r="E4" s="3" t="s">
        <v>26</v>
      </c>
      <c r="F4" s="3" t="s">
        <v>87</v>
      </c>
      <c r="G4" s="3" t="s">
        <v>6</v>
      </c>
      <c r="H4" s="3" t="s">
        <v>88</v>
      </c>
      <c r="I4" s="3">
        <v>16</v>
      </c>
      <c r="J4" s="3" t="s">
        <v>89</v>
      </c>
      <c r="K4" s="3" t="s">
        <v>96</v>
      </c>
      <c r="M4" s="3" t="s">
        <v>91</v>
      </c>
      <c r="N4" s="3">
        <v>1862.06</v>
      </c>
      <c r="O4" s="3" t="s">
        <v>20</v>
      </c>
      <c r="P4" s="3">
        <f>SUMIF(A:A,A4,S:S)/SUMIF(A:A,A4,I:I)</f>
        <v>1862.06</v>
      </c>
      <c r="Q4" s="3" t="str">
        <f>VLOOKUP(O4,Справочник!A:C,3,0)</f>
        <v>MLB</v>
      </c>
      <c r="R4" s="3" t="str">
        <f>VLOOKUP(O4,Справочник!A:B,2,0)</f>
        <v>New York Yankees</v>
      </c>
      <c r="S4" s="3">
        <f t="shared" si="2"/>
        <v>29792.959999999999</v>
      </c>
      <c r="T4" s="3">
        <f t="shared" si="1"/>
        <v>29792.959999999999</v>
      </c>
    </row>
    <row r="5" spans="1:21" x14ac:dyDescent="0.25">
      <c r="A5" s="3" t="str">
        <f t="shared" si="0"/>
        <v>60222234OTC</v>
      </c>
      <c r="B5" s="3">
        <v>60222234</v>
      </c>
      <c r="C5" s="3" t="s">
        <v>8</v>
      </c>
      <c r="D5" s="3" t="s">
        <v>109</v>
      </c>
      <c r="E5" s="3" t="s">
        <v>26</v>
      </c>
      <c r="F5" s="3" t="s">
        <v>87</v>
      </c>
      <c r="G5" s="3" t="s">
        <v>6</v>
      </c>
      <c r="H5" s="3" t="s">
        <v>88</v>
      </c>
      <c r="I5" s="3">
        <v>3</v>
      </c>
      <c r="J5" s="3" t="s">
        <v>113</v>
      </c>
      <c r="K5" s="3" t="s">
        <v>96</v>
      </c>
      <c r="M5" s="3" t="s">
        <v>91</v>
      </c>
      <c r="N5" s="3">
        <v>1862.06</v>
      </c>
      <c r="O5" s="3" t="s">
        <v>31</v>
      </c>
      <c r="P5" s="3">
        <f>SUMIF(A:A,A5,S:S)/SUMIF(A:A,A5,I:I)</f>
        <v>1862.06</v>
      </c>
      <c r="Q5" s="3" t="str">
        <f>VLOOKUP(O5,Справочник!A:C,3,0)</f>
        <v>NBA</v>
      </c>
      <c r="R5" s="3" t="str">
        <f>VLOOKUP(O5,Справочник!A:B,2,0)</f>
        <v>Los Angeles Lakers</v>
      </c>
      <c r="S5" s="3">
        <f t="shared" si="2"/>
        <v>5586.18</v>
      </c>
      <c r="T5" s="3">
        <f t="shared" si="1"/>
        <v>5586.18</v>
      </c>
    </row>
    <row r="6" spans="1:21" x14ac:dyDescent="0.25">
      <c r="A6" s="3" t="str">
        <f t="shared" si="0"/>
        <v>60222234OTC</v>
      </c>
      <c r="B6" s="3">
        <v>60222234</v>
      </c>
      <c r="C6" s="3" t="s">
        <v>8</v>
      </c>
      <c r="D6" s="3" t="s">
        <v>109</v>
      </c>
      <c r="E6" s="3" t="s">
        <v>26</v>
      </c>
      <c r="F6" s="3" t="s">
        <v>87</v>
      </c>
      <c r="G6" s="3" t="s">
        <v>6</v>
      </c>
      <c r="H6" s="3" t="s">
        <v>88</v>
      </c>
      <c r="I6" s="3">
        <v>2</v>
      </c>
      <c r="J6" s="3" t="s">
        <v>114</v>
      </c>
      <c r="K6" s="3" t="s">
        <v>96</v>
      </c>
      <c r="M6" s="3" t="s">
        <v>91</v>
      </c>
      <c r="N6" s="3">
        <v>1862.06</v>
      </c>
      <c r="O6" s="3" t="s">
        <v>31</v>
      </c>
      <c r="P6" s="3">
        <f>SUMIF(A:A,A6,S:S)/SUMIF(A:A,A6,I:I)</f>
        <v>1862.06</v>
      </c>
      <c r="Q6" s="3" t="str">
        <f>VLOOKUP(O6,Справочник!A:C,3,0)</f>
        <v>NBA</v>
      </c>
      <c r="R6" s="3" t="str">
        <f>VLOOKUP(O6,Справочник!A:B,2,0)</f>
        <v>Los Angeles Lakers</v>
      </c>
      <c r="S6" s="3">
        <f t="shared" si="2"/>
        <v>3724.12</v>
      </c>
      <c r="T6" s="3">
        <f t="shared" si="1"/>
        <v>3724.12</v>
      </c>
    </row>
    <row r="7" spans="1:21" x14ac:dyDescent="0.25">
      <c r="A7" s="3" t="str">
        <f t="shared" si="0"/>
        <v>60222253BLK</v>
      </c>
      <c r="B7" s="3">
        <v>60222253</v>
      </c>
      <c r="C7" s="3" t="s">
        <v>9</v>
      </c>
      <c r="D7" s="3" t="s">
        <v>110</v>
      </c>
      <c r="E7" s="3" t="s">
        <v>26</v>
      </c>
      <c r="F7" s="3" t="s">
        <v>87</v>
      </c>
      <c r="G7" s="3" t="s">
        <v>6</v>
      </c>
      <c r="H7" s="3" t="s">
        <v>88</v>
      </c>
      <c r="I7" s="3">
        <v>9</v>
      </c>
      <c r="J7" s="3" t="s">
        <v>115</v>
      </c>
      <c r="K7" s="3" t="s">
        <v>96</v>
      </c>
      <c r="M7" s="3" t="s">
        <v>91</v>
      </c>
      <c r="N7" s="3">
        <v>1862.06</v>
      </c>
      <c r="O7" s="3" t="s">
        <v>27</v>
      </c>
      <c r="P7" s="3">
        <f>SUMIF(A:A,A7,S:S)/SUMIF(A:A,A7,I:I)</f>
        <v>1862.0600000000002</v>
      </c>
      <c r="Q7" s="3" t="str">
        <f>VLOOKUP(O7,Справочник!A:C,3,0)</f>
        <v>NBA</v>
      </c>
      <c r="R7" s="3" t="str">
        <f>VLOOKUP(O7,Справочник!A:B,2,0)</f>
        <v>Chicago Bulls</v>
      </c>
      <c r="S7" s="3">
        <f t="shared" si="2"/>
        <v>16758.54</v>
      </c>
      <c r="T7" s="3">
        <f t="shared" si="1"/>
        <v>16758.54</v>
      </c>
    </row>
    <row r="8" spans="1:21" x14ac:dyDescent="0.25">
      <c r="A8" s="3" t="str">
        <f t="shared" si="0"/>
        <v>60222404PEA</v>
      </c>
      <c r="B8" s="3">
        <v>60222404</v>
      </c>
      <c r="C8" s="3" t="s">
        <v>106</v>
      </c>
      <c r="D8" s="3" t="s">
        <v>111</v>
      </c>
      <c r="E8" s="3" t="s">
        <v>26</v>
      </c>
      <c r="F8" s="3" t="s">
        <v>87</v>
      </c>
      <c r="G8" s="3" t="s">
        <v>6</v>
      </c>
      <c r="H8" s="3" t="s">
        <v>93</v>
      </c>
      <c r="I8" s="3">
        <v>9</v>
      </c>
      <c r="J8" s="3" t="s">
        <v>116</v>
      </c>
      <c r="K8" s="3" t="s">
        <v>95</v>
      </c>
      <c r="M8" s="3" t="s">
        <v>94</v>
      </c>
      <c r="N8" s="3">
        <v>1687.44</v>
      </c>
      <c r="O8" s="3" t="s">
        <v>20</v>
      </c>
      <c r="P8" s="3">
        <f>SUMIF(A:A,A8,S:S)/SUMIF(A:A,A8,I:I)</f>
        <v>1687.44</v>
      </c>
      <c r="Q8" s="3" t="str">
        <f>VLOOKUP(O8,Справочник!A:C,3,0)</f>
        <v>MLB</v>
      </c>
      <c r="R8" s="3" t="str">
        <f>VLOOKUP(O8,Справочник!A:B,2,0)</f>
        <v>New York Yankees</v>
      </c>
      <c r="S8" s="3">
        <f t="shared" si="2"/>
        <v>15186.960000000001</v>
      </c>
      <c r="T8" s="3">
        <f t="shared" si="1"/>
        <v>15186.960000000001</v>
      </c>
    </row>
  </sheetData>
  <autoFilter ref="A1:N99" xr:uid="{4F2EB173-0EDC-4F0F-9B37-5860C9D8972C}"/>
  <conditionalFormatting sqref="A1:A1048576">
    <cfRule type="duplicateValues" dxfId="2" priority="3"/>
  </conditionalFormatting>
  <conditionalFormatting sqref="U1">
    <cfRule type="containsText" dxfId="1" priority="1" operator="containsText" text="ИСТИНА">
      <formula>NOT(ISERROR(SEARCH("ИСТИНА",U1)))</formula>
    </cfRule>
    <cfRule type="containsText" dxfId="0" priority="2" operator="containsText" text="ЛОЖЬ">
      <formula>NOT(ISERROR(SEARCH("ЛОЖЬ",U1)))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7F24A-E13E-47B6-8553-86BABA76D193}">
  <sheetPr codeName="Лист4">
    <tabColor theme="7" tint="0.39997558519241921"/>
  </sheetPr>
  <dimension ref="A1:B99"/>
  <sheetViews>
    <sheetView workbookViewId="0">
      <selection activeCell="B2" sqref="B2:B8"/>
    </sheetView>
  </sheetViews>
  <sheetFormatPr defaultRowHeight="15" x14ac:dyDescent="0.25"/>
  <cols>
    <col min="1" max="1" width="96" bestFit="1" customWidth="1"/>
    <col min="2" max="2" width="19.7109375" customWidth="1"/>
  </cols>
  <sheetData>
    <row r="1" spans="1:2" x14ac:dyDescent="0.25">
      <c r="A1" t="s">
        <v>75</v>
      </c>
      <c r="B1" t="s">
        <v>13</v>
      </c>
    </row>
    <row r="2" spans="1:2" x14ac:dyDescent="0.25">
      <c r="A2" t="s">
        <v>92</v>
      </c>
      <c r="B2" t="s">
        <v>25</v>
      </c>
    </row>
    <row r="3" spans="1:2" x14ac:dyDescent="0.25">
      <c r="A3" t="s">
        <v>107</v>
      </c>
      <c r="B3" t="s">
        <v>20</v>
      </c>
    </row>
    <row r="4" spans="1:2" x14ac:dyDescent="0.25">
      <c r="A4" t="s">
        <v>108</v>
      </c>
      <c r="B4" t="s">
        <v>20</v>
      </c>
    </row>
    <row r="5" spans="1:2" x14ac:dyDescent="0.25">
      <c r="A5" t="s">
        <v>109</v>
      </c>
      <c r="B5" t="s">
        <v>31</v>
      </c>
    </row>
    <row r="6" spans="1:2" x14ac:dyDescent="0.25">
      <c r="A6" t="s">
        <v>109</v>
      </c>
      <c r="B6" t="s">
        <v>31</v>
      </c>
    </row>
    <row r="7" spans="1:2" x14ac:dyDescent="0.25">
      <c r="A7" t="s">
        <v>110</v>
      </c>
      <c r="B7" t="s">
        <v>27</v>
      </c>
    </row>
    <row r="8" spans="1:2" x14ac:dyDescent="0.25">
      <c r="A8" t="s">
        <v>111</v>
      </c>
      <c r="B8" t="s">
        <v>20</v>
      </c>
    </row>
    <row r="59" spans="2:2" x14ac:dyDescent="0.25">
      <c r="B59" t="s">
        <v>20</v>
      </c>
    </row>
    <row r="60" spans="2:2" x14ac:dyDescent="0.25">
      <c r="B60" t="s">
        <v>20</v>
      </c>
    </row>
    <row r="61" spans="2:2" x14ac:dyDescent="0.25">
      <c r="B61" t="s">
        <v>20</v>
      </c>
    </row>
    <row r="62" spans="2:2" x14ac:dyDescent="0.25">
      <c r="B62" t="s">
        <v>20</v>
      </c>
    </row>
    <row r="63" spans="2:2" x14ac:dyDescent="0.25">
      <c r="B63" t="s">
        <v>20</v>
      </c>
    </row>
    <row r="64" spans="2:2" x14ac:dyDescent="0.25">
      <c r="B64" t="s">
        <v>20</v>
      </c>
    </row>
    <row r="65" spans="2:2" x14ac:dyDescent="0.25">
      <c r="B65" t="s">
        <v>20</v>
      </c>
    </row>
    <row r="66" spans="2:2" x14ac:dyDescent="0.25">
      <c r="B66" t="s">
        <v>20</v>
      </c>
    </row>
    <row r="67" spans="2:2" x14ac:dyDescent="0.25">
      <c r="B67" t="s">
        <v>20</v>
      </c>
    </row>
    <row r="68" spans="2:2" x14ac:dyDescent="0.25">
      <c r="B68" t="s">
        <v>20</v>
      </c>
    </row>
    <row r="69" spans="2:2" x14ac:dyDescent="0.25">
      <c r="B69" t="s">
        <v>20</v>
      </c>
    </row>
    <row r="70" spans="2:2" x14ac:dyDescent="0.25">
      <c r="B70" t="s">
        <v>20</v>
      </c>
    </row>
    <row r="71" spans="2:2" x14ac:dyDescent="0.25">
      <c r="B71" t="s">
        <v>25</v>
      </c>
    </row>
    <row r="72" spans="2:2" x14ac:dyDescent="0.25">
      <c r="B72" t="s">
        <v>25</v>
      </c>
    </row>
    <row r="73" spans="2:2" x14ac:dyDescent="0.25">
      <c r="B73" t="s">
        <v>20</v>
      </c>
    </row>
    <row r="74" spans="2:2" x14ac:dyDescent="0.25">
      <c r="B74" t="s">
        <v>20</v>
      </c>
    </row>
    <row r="75" spans="2:2" x14ac:dyDescent="0.25">
      <c r="B75" t="s">
        <v>20</v>
      </c>
    </row>
    <row r="76" spans="2:2" x14ac:dyDescent="0.25">
      <c r="B76" t="s">
        <v>20</v>
      </c>
    </row>
    <row r="77" spans="2:2" x14ac:dyDescent="0.25">
      <c r="B77" t="s">
        <v>20</v>
      </c>
    </row>
    <row r="78" spans="2:2" x14ac:dyDescent="0.25">
      <c r="B78" t="s">
        <v>20</v>
      </c>
    </row>
    <row r="79" spans="2:2" x14ac:dyDescent="0.25">
      <c r="B79" t="s">
        <v>20</v>
      </c>
    </row>
    <row r="80" spans="2:2" x14ac:dyDescent="0.25">
      <c r="B80" t="s">
        <v>20</v>
      </c>
    </row>
    <row r="81" spans="2:2" x14ac:dyDescent="0.25">
      <c r="B81" t="s">
        <v>20</v>
      </c>
    </row>
    <row r="82" spans="2:2" x14ac:dyDescent="0.25">
      <c r="B82" t="s">
        <v>20</v>
      </c>
    </row>
    <row r="83" spans="2:2" x14ac:dyDescent="0.25">
      <c r="B83" t="s">
        <v>20</v>
      </c>
    </row>
    <row r="84" spans="2:2" x14ac:dyDescent="0.25">
      <c r="B84" t="s">
        <v>20</v>
      </c>
    </row>
    <row r="85" spans="2:2" x14ac:dyDescent="0.25">
      <c r="B85" t="s">
        <v>20</v>
      </c>
    </row>
    <row r="86" spans="2:2" x14ac:dyDescent="0.25">
      <c r="B86" t="s">
        <v>20</v>
      </c>
    </row>
    <row r="87" spans="2:2" x14ac:dyDescent="0.25">
      <c r="B87" t="s">
        <v>20</v>
      </c>
    </row>
    <row r="88" spans="2:2" x14ac:dyDescent="0.25">
      <c r="B88" t="s">
        <v>20</v>
      </c>
    </row>
    <row r="89" spans="2:2" x14ac:dyDescent="0.25">
      <c r="B89" t="s">
        <v>25</v>
      </c>
    </row>
    <row r="90" spans="2:2" x14ac:dyDescent="0.25">
      <c r="B90" t="s">
        <v>25</v>
      </c>
    </row>
    <row r="91" spans="2:2" x14ac:dyDescent="0.25">
      <c r="B91" t="s">
        <v>70</v>
      </c>
    </row>
    <row r="92" spans="2:2" x14ac:dyDescent="0.25">
      <c r="B92" t="s">
        <v>20</v>
      </c>
    </row>
    <row r="93" spans="2:2" x14ac:dyDescent="0.25">
      <c r="B93" t="s">
        <v>20</v>
      </c>
    </row>
    <row r="94" spans="2:2" x14ac:dyDescent="0.25">
      <c r="B94" t="s">
        <v>20</v>
      </c>
    </row>
    <row r="95" spans="2:2" x14ac:dyDescent="0.25">
      <c r="B95" t="s">
        <v>20</v>
      </c>
    </row>
    <row r="96" spans="2:2" x14ac:dyDescent="0.25">
      <c r="B96" t="s">
        <v>20</v>
      </c>
    </row>
    <row r="97" spans="2:2" x14ac:dyDescent="0.25">
      <c r="B97" t="s">
        <v>20</v>
      </c>
    </row>
    <row r="98" spans="2:2" x14ac:dyDescent="0.25">
      <c r="B98" t="s">
        <v>20</v>
      </c>
    </row>
    <row r="99" spans="2:2" x14ac:dyDescent="0.25">
      <c r="B99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D9D7E-459B-4304-AFE6-BF8FDDBFC251}">
  <sheetPr codeName="Лист2"/>
  <dimension ref="A1:AI7"/>
  <sheetViews>
    <sheetView showGridLines="0" tabSelected="1" topLeftCell="G1" workbookViewId="0">
      <pane ySplit="1" topLeftCell="A2" activePane="bottomLeft" state="frozen"/>
      <selection pane="bottomLeft" activeCell="X7" sqref="X7"/>
    </sheetView>
  </sheetViews>
  <sheetFormatPr defaultRowHeight="15" x14ac:dyDescent="0.25"/>
  <cols>
    <col min="1" max="1" width="38.85546875" style="22" bestFit="1" customWidth="1"/>
    <col min="2" max="2" width="4.5703125" style="23" bestFit="1" customWidth="1"/>
    <col min="3" max="3" width="6.28515625" style="24" bestFit="1" customWidth="1"/>
    <col min="4" max="4" width="9.140625" style="19" customWidth="1"/>
    <col min="5" max="5" width="10.85546875" style="19" bestFit="1" customWidth="1"/>
    <col min="6" max="6" width="91.5703125" style="3" bestFit="1" customWidth="1"/>
    <col min="7" max="7" width="6.85546875" style="3" bestFit="1" customWidth="1"/>
    <col min="8" max="8" width="6.42578125" style="3" bestFit="1" customWidth="1"/>
    <col min="9" max="9" width="14.42578125" style="3" bestFit="1" customWidth="1"/>
    <col min="10" max="10" width="16.140625" style="3" bestFit="1" customWidth="1"/>
    <col min="11" max="11" width="9.5703125" style="3" customWidth="1"/>
    <col min="12" max="12" width="26.140625" style="3" bestFit="1" customWidth="1"/>
    <col min="13" max="13" width="27" style="3" bestFit="1" customWidth="1"/>
    <col min="14" max="14" width="15.7109375" style="3" customWidth="1"/>
    <col min="15" max="15" width="8.85546875" style="3" bestFit="1" customWidth="1"/>
    <col min="16" max="16" width="8" style="3" bestFit="1" customWidth="1"/>
    <col min="17" max="18" width="8" style="3" customWidth="1"/>
    <col min="19" max="19" width="9.140625" style="18"/>
    <col min="20" max="23" width="9.140625" style="19"/>
    <col min="24" max="29" width="9.140625" style="20"/>
    <col min="30" max="30" width="9.140625" style="21"/>
    <col min="31" max="33" width="9.140625" style="20"/>
    <col min="34" max="34" width="9.5703125" style="20" bestFit="1" customWidth="1"/>
    <col min="35" max="35" width="34.28515625" style="20" customWidth="1"/>
    <col min="36" max="16384" width="9.140625" style="20"/>
  </cols>
  <sheetData>
    <row r="1" spans="1:35" s="27" customFormat="1" ht="15.75" thickBot="1" x14ac:dyDescent="0.3">
      <c r="A1" s="28" t="s">
        <v>0</v>
      </c>
      <c r="B1" s="29" t="s">
        <v>1</v>
      </c>
      <c r="C1" s="30" t="s">
        <v>2</v>
      </c>
      <c r="D1" s="26" t="s">
        <v>4</v>
      </c>
      <c r="E1" s="26" t="s">
        <v>3</v>
      </c>
      <c r="F1" s="25" t="s">
        <v>75</v>
      </c>
      <c r="G1" s="25" t="s">
        <v>1</v>
      </c>
      <c r="H1" s="25" t="s">
        <v>76</v>
      </c>
      <c r="I1" s="25" t="s">
        <v>77</v>
      </c>
      <c r="J1" s="25" t="s">
        <v>78</v>
      </c>
      <c r="K1" s="25" t="s">
        <v>79</v>
      </c>
      <c r="L1" s="25" t="s">
        <v>80</v>
      </c>
      <c r="M1" s="25" t="s">
        <v>81</v>
      </c>
      <c r="N1" s="25" t="s">
        <v>82</v>
      </c>
      <c r="O1" s="25" t="s">
        <v>83</v>
      </c>
      <c r="P1" s="25" t="s">
        <v>5</v>
      </c>
      <c r="Q1" s="25" t="s">
        <v>15</v>
      </c>
      <c r="R1" s="25" t="s">
        <v>84</v>
      </c>
      <c r="S1" s="14" t="str" cm="1">
        <f t="array" ref="S1">_xlfn.LET(_xlpm.sizeCol,B2:B451,TRANSPOSE(_xlfn._xlws.SORT(_xlfn.UNIQUE(_xlfn._xlws.FILTER(_xlpm.sizeCol,_xlpm.sizeCol&lt;&gt;"","")))))</f>
        <v>O/S</v>
      </c>
      <c r="T1" s="15"/>
      <c r="U1" s="15"/>
      <c r="V1" s="15"/>
      <c r="W1" s="15"/>
      <c r="X1" s="16"/>
      <c r="Y1" s="16"/>
      <c r="Z1" s="16"/>
      <c r="AA1" s="16"/>
      <c r="AB1" s="16"/>
      <c r="AC1" s="16"/>
      <c r="AD1" s="17"/>
      <c r="AH1" s="27" t="s">
        <v>105</v>
      </c>
      <c r="AI1" s="31" t="str" cm="1">
        <f t="array" ref="AI1">_xlfn.LET(_xlpm.sizeCol,B2:B451,TRANSPOSE(_xlfn._xlws.SORT(_xlfn.UNIQUE(_xlfn._xlws.FILTER(_xlpm.sizeCol,_xlpm.sizeCol&lt;&gt;"","")))))</f>
        <v>O/S</v>
      </c>
    </row>
    <row r="2" spans="1:35" x14ac:dyDescent="0.25">
      <c r="A2" s="22" t="str">
        <f t="shared" ref="A2:A7" si="0">D2&amp;E2</f>
        <v>10047531GM</v>
      </c>
      <c r="B2" s="23" t="s">
        <v>6</v>
      </c>
      <c r="C2" s="24">
        <v>4</v>
      </c>
      <c r="D2" s="19">
        <v>10047531</v>
      </c>
      <c r="E2" s="19" t="s">
        <v>11</v>
      </c>
      <c r="F2" s="3" t="s">
        <v>92</v>
      </c>
      <c r="G2" s="3" t="s">
        <v>26</v>
      </c>
      <c r="H2" s="3" t="s">
        <v>87</v>
      </c>
      <c r="I2" s="3" t="s">
        <v>6</v>
      </c>
      <c r="J2" s="3" t="s">
        <v>88</v>
      </c>
      <c r="K2" s="3">
        <v>4</v>
      </c>
      <c r="L2" s="3" t="s">
        <v>89</v>
      </c>
      <c r="M2" s="3" t="s">
        <v>96</v>
      </c>
      <c r="O2" s="3" t="s">
        <v>91</v>
      </c>
      <c r="P2" s="3">
        <v>1442.76</v>
      </c>
      <c r="Q2" s="3" t="s">
        <v>22</v>
      </c>
      <c r="R2" s="3" t="s">
        <v>23</v>
      </c>
      <c r="S2" s="18">
        <v>4</v>
      </c>
    </row>
    <row r="3" spans="1:35" x14ac:dyDescent="0.25">
      <c r="A3" s="22" t="str">
        <f t="shared" si="0"/>
        <v>11198850BLK</v>
      </c>
      <c r="B3" s="23" t="s">
        <v>6</v>
      </c>
      <c r="C3" s="24">
        <v>10</v>
      </c>
      <c r="D3" s="19">
        <v>11198850</v>
      </c>
      <c r="E3" s="19" t="s">
        <v>9</v>
      </c>
      <c r="F3" s="3" t="s">
        <v>107</v>
      </c>
      <c r="G3" s="3" t="s">
        <v>26</v>
      </c>
      <c r="H3" s="3" t="s">
        <v>87</v>
      </c>
      <c r="I3" s="3" t="s">
        <v>6</v>
      </c>
      <c r="J3" s="3" t="s">
        <v>93</v>
      </c>
      <c r="K3" s="3">
        <v>10</v>
      </c>
      <c r="L3" s="3" t="s">
        <v>112</v>
      </c>
      <c r="M3" s="3" t="s">
        <v>117</v>
      </c>
      <c r="O3" s="3" t="s">
        <v>91</v>
      </c>
      <c r="P3" s="3">
        <v>1144.1600000000001</v>
      </c>
      <c r="Q3" s="3" t="s">
        <v>22</v>
      </c>
      <c r="R3" s="3" t="s">
        <v>21</v>
      </c>
      <c r="S3" s="18">
        <v>10</v>
      </c>
    </row>
    <row r="4" spans="1:35" x14ac:dyDescent="0.25">
      <c r="A4" s="22" t="str">
        <f t="shared" si="0"/>
        <v>12523907BLKWHI</v>
      </c>
      <c r="B4" s="23" t="s">
        <v>6</v>
      </c>
      <c r="C4" s="24">
        <v>16</v>
      </c>
      <c r="D4" s="19">
        <v>12523907</v>
      </c>
      <c r="E4" s="19" t="s">
        <v>7</v>
      </c>
      <c r="F4" s="3" t="s">
        <v>108</v>
      </c>
      <c r="G4" s="3" t="s">
        <v>26</v>
      </c>
      <c r="H4" s="3" t="s">
        <v>87</v>
      </c>
      <c r="I4" s="3" t="s">
        <v>6</v>
      </c>
      <c r="J4" s="3" t="s">
        <v>88</v>
      </c>
      <c r="K4" s="3">
        <v>16</v>
      </c>
      <c r="L4" s="3" t="s">
        <v>89</v>
      </c>
      <c r="M4" s="3" t="s">
        <v>96</v>
      </c>
      <c r="O4" s="3" t="s">
        <v>91</v>
      </c>
      <c r="P4" s="3">
        <v>1862.06</v>
      </c>
      <c r="Q4" s="3" t="s">
        <v>22</v>
      </c>
      <c r="R4" s="3" t="s">
        <v>21</v>
      </c>
      <c r="S4" s="18">
        <v>16</v>
      </c>
    </row>
    <row r="5" spans="1:35" x14ac:dyDescent="0.25">
      <c r="A5" s="22" t="str">
        <f t="shared" si="0"/>
        <v>60222234OTC</v>
      </c>
      <c r="B5" s="23" t="s">
        <v>6</v>
      </c>
      <c r="C5" s="24">
        <v>3</v>
      </c>
      <c r="D5" s="19">
        <v>60222234</v>
      </c>
      <c r="E5" s="19" t="s">
        <v>8</v>
      </c>
      <c r="F5" s="3" t="s">
        <v>109</v>
      </c>
      <c r="G5" s="3" t="s">
        <v>26</v>
      </c>
      <c r="H5" s="3" t="s">
        <v>87</v>
      </c>
      <c r="I5" s="3" t="s">
        <v>6</v>
      </c>
      <c r="J5" s="3" t="s">
        <v>88</v>
      </c>
      <c r="K5" s="3">
        <v>3</v>
      </c>
      <c r="L5" s="3" t="s">
        <v>113</v>
      </c>
      <c r="M5" s="3" t="s">
        <v>96</v>
      </c>
      <c r="O5" s="3" t="s">
        <v>91</v>
      </c>
      <c r="P5" s="3">
        <v>1862.06</v>
      </c>
      <c r="Q5" s="3" t="s">
        <v>29</v>
      </c>
      <c r="R5" s="3" t="s">
        <v>32</v>
      </c>
      <c r="S5" s="18">
        <v>5</v>
      </c>
    </row>
    <row r="6" spans="1:35" s="19" customFormat="1" x14ac:dyDescent="0.25">
      <c r="A6" s="22" t="str">
        <f t="shared" si="0"/>
        <v>60222253BLK</v>
      </c>
      <c r="B6" s="23" t="s">
        <v>6</v>
      </c>
      <c r="C6" s="24">
        <v>9</v>
      </c>
      <c r="D6" s="19">
        <v>60222253</v>
      </c>
      <c r="E6" s="19" t="s">
        <v>9</v>
      </c>
      <c r="F6" s="3" t="s">
        <v>110</v>
      </c>
      <c r="G6" s="3" t="s">
        <v>26</v>
      </c>
      <c r="H6" s="3" t="s">
        <v>87</v>
      </c>
      <c r="I6" s="3" t="s">
        <v>6</v>
      </c>
      <c r="J6" s="3" t="s">
        <v>88</v>
      </c>
      <c r="K6" s="3">
        <v>9</v>
      </c>
      <c r="L6" s="3" t="s">
        <v>115</v>
      </c>
      <c r="M6" s="3" t="s">
        <v>96</v>
      </c>
      <c r="N6" s="3"/>
      <c r="O6" s="3" t="s">
        <v>91</v>
      </c>
      <c r="P6" s="3">
        <v>1862.06</v>
      </c>
      <c r="Q6" s="3" t="s">
        <v>29</v>
      </c>
      <c r="R6" s="3" t="s">
        <v>28</v>
      </c>
      <c r="S6" s="18">
        <v>9</v>
      </c>
      <c r="X6" s="20"/>
      <c r="Y6" s="20"/>
      <c r="Z6" s="20"/>
      <c r="AA6" s="20"/>
      <c r="AB6" s="20"/>
      <c r="AC6" s="20"/>
      <c r="AD6" s="21"/>
    </row>
    <row r="7" spans="1:35" s="19" customFormat="1" x14ac:dyDescent="0.25">
      <c r="A7" s="22" t="str">
        <f t="shared" si="0"/>
        <v>60222404PEA</v>
      </c>
      <c r="B7" s="23" t="s">
        <v>6</v>
      </c>
      <c r="C7" s="24">
        <v>9</v>
      </c>
      <c r="D7" s="19">
        <v>60222404</v>
      </c>
      <c r="E7" s="19" t="s">
        <v>106</v>
      </c>
      <c r="F7" s="3" t="s">
        <v>111</v>
      </c>
      <c r="G7" s="3" t="s">
        <v>26</v>
      </c>
      <c r="H7" s="3" t="s">
        <v>87</v>
      </c>
      <c r="I7" s="3" t="s">
        <v>6</v>
      </c>
      <c r="J7" s="3" t="s">
        <v>93</v>
      </c>
      <c r="K7" s="3">
        <v>9</v>
      </c>
      <c r="L7" s="3" t="s">
        <v>116</v>
      </c>
      <c r="M7" s="3" t="s">
        <v>95</v>
      </c>
      <c r="N7" s="3"/>
      <c r="O7" s="3" t="s">
        <v>94</v>
      </c>
      <c r="P7" s="3">
        <v>1687.44</v>
      </c>
      <c r="Q7" s="3" t="s">
        <v>22</v>
      </c>
      <c r="R7" s="3" t="s">
        <v>21</v>
      </c>
      <c r="S7" s="18">
        <v>9</v>
      </c>
      <c r="X7" s="20"/>
      <c r="Y7" s="20"/>
      <c r="Z7" s="20"/>
      <c r="AA7" s="20"/>
      <c r="AB7" s="20"/>
      <c r="AC7" s="20"/>
      <c r="AD7" s="2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ОбратноеТранспонирование">
                <anchor moveWithCells="1" sizeWithCells="1">
                  <from>
                    <xdr:col>30</xdr:col>
                    <xdr:colOff>333375</xdr:colOff>
                    <xdr:row>1</xdr:row>
                    <xdr:rowOff>57150</xdr:rowOff>
                  </from>
                  <to>
                    <xdr:col>34</xdr:col>
                    <xdr:colOff>114300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7DB48-8FCF-40CB-8A9D-7117B5058BFD}">
  <sheetPr codeName="Лист5"/>
  <dimension ref="A1:R7"/>
  <sheetViews>
    <sheetView zoomScale="85" zoomScaleNormal="85" workbookViewId="0">
      <pane ySplit="1" topLeftCell="A2" activePane="bottomLeft" state="frozen"/>
      <selection sqref="A1:C1"/>
      <selection pane="bottomLeft" activeCell="A8" sqref="A8:XFD1048576"/>
    </sheetView>
  </sheetViews>
  <sheetFormatPr defaultRowHeight="15" x14ac:dyDescent="0.25"/>
  <cols>
    <col min="1" max="2" width="30.28515625" customWidth="1"/>
    <col min="3" max="3" width="17.85546875" bestFit="1" customWidth="1"/>
    <col min="4" max="4" width="9.5703125" bestFit="1" customWidth="1"/>
    <col min="5" max="5" width="8.85546875" bestFit="1" customWidth="1"/>
    <col min="6" max="6" width="13.85546875" bestFit="1" customWidth="1"/>
    <col min="7" max="7" width="27.140625" bestFit="1" customWidth="1"/>
    <col min="8" max="8" width="27" bestFit="1" customWidth="1"/>
    <col min="9" max="9" width="8.85546875" bestFit="1" customWidth="1"/>
    <col min="10" max="10" width="8" bestFit="1" customWidth="1"/>
    <col min="11" max="11" width="13.85546875" bestFit="1" customWidth="1"/>
    <col min="12" max="12" width="20.42578125" bestFit="1" customWidth="1"/>
    <col min="13" max="13" width="8" bestFit="1" customWidth="1"/>
    <col min="14" max="14" width="9.7109375" style="11" bestFit="1" customWidth="1"/>
    <col min="15" max="18" width="8.5703125" style="11" bestFit="1" customWidth="1"/>
  </cols>
  <sheetData>
    <row r="1" spans="1:18" s="1" customFormat="1" x14ac:dyDescent="0.25">
      <c r="A1" s="7"/>
      <c r="B1" s="7" t="s">
        <v>97</v>
      </c>
      <c r="C1" s="7" t="s">
        <v>0</v>
      </c>
      <c r="D1" s="7" t="s">
        <v>4</v>
      </c>
      <c r="E1" s="7" t="s">
        <v>3</v>
      </c>
      <c r="F1" s="7" t="s">
        <v>78</v>
      </c>
      <c r="G1" s="7" t="s">
        <v>80</v>
      </c>
      <c r="H1" s="7" t="s">
        <v>81</v>
      </c>
      <c r="I1" s="7" t="s">
        <v>83</v>
      </c>
      <c r="J1" s="7" t="s">
        <v>5</v>
      </c>
      <c r="K1" s="7" t="s">
        <v>13</v>
      </c>
      <c r="L1" s="7" t="s">
        <v>84</v>
      </c>
      <c r="M1" s="7" t="s">
        <v>15</v>
      </c>
      <c r="N1" s="8" t="s">
        <v>6</v>
      </c>
      <c r="O1" s="8">
        <v>56</v>
      </c>
      <c r="P1" s="8">
        <v>57</v>
      </c>
      <c r="Q1" s="8">
        <v>58</v>
      </c>
      <c r="R1" s="8" t="s">
        <v>98</v>
      </c>
    </row>
    <row r="2" spans="1:18" x14ac:dyDescent="0.25">
      <c r="A2" s="9"/>
      <c r="B2" s="9"/>
      <c r="C2" s="9" t="s">
        <v>99</v>
      </c>
      <c r="D2" s="9">
        <v>10047507</v>
      </c>
      <c r="E2" s="9" t="s">
        <v>10</v>
      </c>
      <c r="F2" s="9" t="s">
        <v>88</v>
      </c>
      <c r="G2" s="9" t="s">
        <v>89</v>
      </c>
      <c r="H2" s="9" t="s">
        <v>90</v>
      </c>
      <c r="I2" s="9" t="s">
        <v>91</v>
      </c>
      <c r="J2" s="9" t="e">
        <f>VLOOKUP(C2,Data!A:P,4,0)</f>
        <v>#N/A</v>
      </c>
      <c r="K2" s="9" t="s">
        <v>68</v>
      </c>
      <c r="L2" s="9" t="s">
        <v>69</v>
      </c>
      <c r="M2" s="9" t="s">
        <v>22</v>
      </c>
      <c r="N2" s="10">
        <v>24</v>
      </c>
      <c r="O2" s="10"/>
      <c r="P2" s="10"/>
      <c r="Q2" s="10"/>
      <c r="R2" s="10" t="e">
        <f>SUM(N2:Q2)*J2</f>
        <v>#N/A</v>
      </c>
    </row>
    <row r="3" spans="1:18" x14ac:dyDescent="0.25">
      <c r="A3" s="9"/>
      <c r="B3" s="9"/>
      <c r="C3" s="9" t="s">
        <v>100</v>
      </c>
      <c r="D3" s="9">
        <v>10047511</v>
      </c>
      <c r="E3" s="9" t="s">
        <v>8</v>
      </c>
      <c r="F3" s="9" t="s">
        <v>88</v>
      </c>
      <c r="G3" s="9" t="s">
        <v>89</v>
      </c>
      <c r="H3" s="9" t="s">
        <v>90</v>
      </c>
      <c r="I3" s="9" t="s">
        <v>91</v>
      </c>
      <c r="J3" s="9" t="e">
        <f>VLOOKUP(C3,Data!A:P,4,0)</f>
        <v>#N/A</v>
      </c>
      <c r="K3" s="9" t="s">
        <v>38</v>
      </c>
      <c r="L3" s="9" t="s">
        <v>36</v>
      </c>
      <c r="M3" s="9" t="s">
        <v>22</v>
      </c>
      <c r="N3" s="10">
        <v>18</v>
      </c>
      <c r="O3" s="10"/>
      <c r="P3" s="10"/>
      <c r="Q3" s="10"/>
      <c r="R3" s="10" t="e">
        <f t="shared" ref="R3:R7" si="0">SUM(N3:Q3)*J3</f>
        <v>#N/A</v>
      </c>
    </row>
    <row r="4" spans="1:18" x14ac:dyDescent="0.25">
      <c r="A4" s="9"/>
      <c r="B4" s="9"/>
      <c r="C4" s="9" t="s">
        <v>101</v>
      </c>
      <c r="D4" s="9">
        <v>10047515</v>
      </c>
      <c r="E4" s="9" t="s">
        <v>7</v>
      </c>
      <c r="F4" s="9" t="s">
        <v>88</v>
      </c>
      <c r="G4" s="9" t="s">
        <v>89</v>
      </c>
      <c r="H4" s="9" t="s">
        <v>90</v>
      </c>
      <c r="I4" s="9" t="s">
        <v>91</v>
      </c>
      <c r="J4" s="9" t="e">
        <f>VLOOKUP(C4,Data!A:P,4,0)</f>
        <v>#N/A</v>
      </c>
      <c r="K4" s="9" t="s">
        <v>70</v>
      </c>
      <c r="L4" s="9" t="s">
        <v>71</v>
      </c>
      <c r="M4" s="9" t="s">
        <v>22</v>
      </c>
      <c r="N4" s="10">
        <v>18</v>
      </c>
      <c r="O4" s="10"/>
      <c r="P4" s="10"/>
      <c r="Q4" s="10"/>
      <c r="R4" s="10" t="e">
        <f t="shared" si="0"/>
        <v>#N/A</v>
      </c>
    </row>
    <row r="5" spans="1:18" x14ac:dyDescent="0.25">
      <c r="A5" s="9"/>
      <c r="B5" s="9"/>
      <c r="C5" s="9" t="s">
        <v>102</v>
      </c>
      <c r="D5" s="9">
        <v>10047531</v>
      </c>
      <c r="E5" s="9" t="s">
        <v>11</v>
      </c>
      <c r="F5" s="9" t="s">
        <v>88</v>
      </c>
      <c r="G5" s="9" t="s">
        <v>89</v>
      </c>
      <c r="H5" s="9" t="s">
        <v>90</v>
      </c>
      <c r="I5" s="9" t="s">
        <v>91</v>
      </c>
      <c r="J5" s="9" t="str">
        <f>VLOOKUP(C5,Data!A:P,4,0)</f>
        <v>10047531-GM o/s  Бейсболка THE LEAGUE LOSDOD GM синий р. o/s</v>
      </c>
      <c r="K5" s="9" t="s">
        <v>25</v>
      </c>
      <c r="L5" s="9" t="s">
        <v>23</v>
      </c>
      <c r="M5" s="9" t="s">
        <v>22</v>
      </c>
      <c r="N5" s="10">
        <v>26</v>
      </c>
      <c r="O5" s="10"/>
      <c r="P5" s="10"/>
      <c r="Q5" s="10"/>
      <c r="R5" s="10" t="e">
        <f t="shared" si="0"/>
        <v>#VALUE!</v>
      </c>
    </row>
    <row r="6" spans="1:18" x14ac:dyDescent="0.25">
      <c r="A6" s="9"/>
      <c r="B6" s="9"/>
      <c r="C6" s="9" t="s">
        <v>103</v>
      </c>
      <c r="D6" s="9">
        <v>10047538</v>
      </c>
      <c r="E6" s="9" t="s">
        <v>10</v>
      </c>
      <c r="F6" s="9" t="s">
        <v>88</v>
      </c>
      <c r="G6" s="9" t="s">
        <v>89</v>
      </c>
      <c r="H6" s="9" t="s">
        <v>90</v>
      </c>
      <c r="I6" s="9" t="s">
        <v>91</v>
      </c>
      <c r="J6" s="9" t="e">
        <f>VLOOKUP(C6,Data!A:P,4,0)</f>
        <v>#N/A</v>
      </c>
      <c r="K6" s="9" t="s">
        <v>20</v>
      </c>
      <c r="L6" s="9" t="s">
        <v>21</v>
      </c>
      <c r="M6" s="9" t="s">
        <v>22</v>
      </c>
      <c r="N6" s="10">
        <v>62</v>
      </c>
      <c r="O6" s="10"/>
      <c r="P6" s="10"/>
      <c r="Q6" s="10"/>
      <c r="R6" s="10" t="e">
        <f t="shared" si="0"/>
        <v>#N/A</v>
      </c>
    </row>
    <row r="7" spans="1:18" x14ac:dyDescent="0.25">
      <c r="A7" s="9"/>
      <c r="B7" s="9"/>
      <c r="C7" s="9" t="s">
        <v>104</v>
      </c>
      <c r="D7" s="9">
        <v>10047540</v>
      </c>
      <c r="E7" s="9" t="s">
        <v>12</v>
      </c>
      <c r="F7" s="9" t="s">
        <v>88</v>
      </c>
      <c r="G7" s="9" t="s">
        <v>89</v>
      </c>
      <c r="H7" s="9" t="s">
        <v>90</v>
      </c>
      <c r="I7" s="9" t="s">
        <v>91</v>
      </c>
      <c r="J7" s="9" t="e">
        <f>VLOOKUP(C7,Data!A:P,4,0)</f>
        <v>#N/A</v>
      </c>
      <c r="K7" s="9" t="s">
        <v>34</v>
      </c>
      <c r="L7" s="9" t="s">
        <v>35</v>
      </c>
      <c r="M7" s="9" t="s">
        <v>22</v>
      </c>
      <c r="N7" s="10">
        <v>30</v>
      </c>
      <c r="O7" s="10"/>
      <c r="P7" s="10"/>
      <c r="Q7" s="10"/>
      <c r="R7" s="10" t="e">
        <f t="shared" si="0"/>
        <v>#N/A</v>
      </c>
    </row>
  </sheetData>
  <autoFilter ref="B1:Q7" xr:uid="{A67EDA83-0A66-4259-A28B-23FB20048171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Справочник</vt:lpstr>
      <vt:lpstr>Data</vt:lpstr>
      <vt:lpstr>КомандыИзНазвания</vt:lpstr>
      <vt:lpstr>Транспонирование</vt:lpstr>
      <vt:lpstr>Transposed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2022-05-11T08:43:27Z</dcterms:created>
  <dcterms:modified xsi:type="dcterms:W3CDTF">2022-07-01T08:57:32Z</dcterms:modified>
</cp:coreProperties>
</file>