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"/>
    </mc:Choice>
  </mc:AlternateContent>
  <xr:revisionPtr revIDLastSave="0" documentId="13_ncr:1_{32D10260-83AC-4544-B421-DBEAAD421B4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Table!$A$2:$BD$287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Settings!$L$2:$L$23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J4" i="1"/>
  <c r="T4" i="1"/>
  <c r="AT4" i="1"/>
  <c r="AV4" i="1"/>
  <c r="AW4" i="1"/>
  <c r="AX4" i="1" l="1"/>
  <c r="AY4" i="1"/>
  <c r="BA4" i="1" s="1"/>
  <c r="AZ4" i="1"/>
  <c r="BC4" i="1"/>
  <c r="E5" i="1"/>
  <c r="J5" i="1"/>
  <c r="T5" i="1"/>
  <c r="AT5" i="1"/>
  <c r="AV5" i="1"/>
  <c r="AW5" i="1"/>
  <c r="AX5" i="1"/>
  <c r="AY5" i="1"/>
  <c r="BA5" i="1" s="1"/>
  <c r="AZ5" i="1"/>
  <c r="BC5" i="1"/>
  <c r="E6" i="1"/>
  <c r="J6" i="1"/>
  <c r="T6" i="1"/>
  <c r="AT6" i="1"/>
  <c r="AV6" i="1"/>
  <c r="AW6" i="1"/>
  <c r="AX6" i="1"/>
  <c r="AY6" i="1"/>
  <c r="AZ6" i="1"/>
  <c r="BA6" i="1"/>
  <c r="BC6" i="1"/>
  <c r="E7" i="1"/>
  <c r="J7" i="1"/>
  <c r="T7" i="1"/>
  <c r="AT7" i="1"/>
  <c r="AV7" i="1"/>
  <c r="AW7" i="1"/>
  <c r="AX7" i="1"/>
  <c r="AY7" i="1"/>
  <c r="AZ7" i="1"/>
  <c r="BA7" i="1"/>
  <c r="BC7" i="1"/>
  <c r="E8" i="1"/>
  <c r="J8" i="1"/>
  <c r="T8" i="1"/>
  <c r="AT8" i="1"/>
  <c r="AV8" i="1"/>
  <c r="AW8" i="1"/>
  <c r="AX8" i="1"/>
  <c r="AY8" i="1"/>
  <c r="AZ8" i="1"/>
  <c r="BA8" i="1"/>
  <c r="BC8" i="1"/>
  <c r="E9" i="1"/>
  <c r="J9" i="1"/>
  <c r="T9" i="1"/>
  <c r="AT9" i="1"/>
  <c r="AV9" i="1"/>
  <c r="AW9" i="1"/>
  <c r="AX9" i="1"/>
  <c r="AY9" i="1"/>
  <c r="AZ9" i="1"/>
  <c r="BA9" i="1"/>
  <c r="BC9" i="1"/>
  <c r="E10" i="1"/>
  <c r="J10" i="1"/>
  <c r="T10" i="1"/>
  <c r="AT10" i="1"/>
  <c r="AV10" i="1"/>
  <c r="AW10" i="1"/>
  <c r="AX10" i="1"/>
  <c r="AY10" i="1" s="1"/>
  <c r="BA10" i="1" s="1"/>
  <c r="AZ10" i="1"/>
  <c r="BC10" i="1"/>
  <c r="E11" i="1"/>
  <c r="J11" i="1"/>
  <c r="T11" i="1"/>
  <c r="AT11" i="1"/>
  <c r="AV11" i="1"/>
  <c r="AW11" i="1"/>
  <c r="AX11" i="1"/>
  <c r="AY11" i="1"/>
  <c r="AZ11" i="1"/>
  <c r="BA11" i="1"/>
  <c r="BC11" i="1"/>
  <c r="E12" i="1"/>
  <c r="J12" i="1"/>
  <c r="T12" i="1"/>
  <c r="AT12" i="1"/>
  <c r="AV12" i="1"/>
  <c r="AW12" i="1"/>
  <c r="AX12" i="1"/>
  <c r="AY12" i="1"/>
  <c r="AZ12" i="1"/>
  <c r="BA12" i="1"/>
  <c r="BC12" i="1"/>
  <c r="E13" i="1"/>
  <c r="J13" i="1"/>
  <c r="T13" i="1"/>
  <c r="AT13" i="1"/>
  <c r="AV13" i="1"/>
  <c r="AW13" i="1"/>
  <c r="AX13" i="1"/>
  <c r="AY13" i="1"/>
  <c r="AZ13" i="1"/>
  <c r="BA13" i="1"/>
  <c r="BC13" i="1"/>
  <c r="E14" i="1"/>
  <c r="J14" i="1"/>
  <c r="T14" i="1"/>
  <c r="AT14" i="1"/>
  <c r="AV14" i="1"/>
  <c r="AW14" i="1"/>
  <c r="AX14" i="1"/>
  <c r="AY14" i="1"/>
  <c r="AZ14" i="1"/>
  <c r="BA14" i="1"/>
  <c r="BC14" i="1"/>
  <c r="T15" i="1" l="1"/>
  <c r="T3" i="1"/>
  <c r="BE2" i="1"/>
  <c r="AX15" i="1" l="1"/>
  <c r="AY15" i="1" s="1"/>
  <c r="AX3" i="1"/>
  <c r="AY3" i="1" s="1"/>
  <c r="AT15" i="1"/>
  <c r="AZ15" i="1" s="1"/>
  <c r="AT3" i="1"/>
  <c r="J15" i="1"/>
  <c r="J3" i="1"/>
  <c r="E15" i="1"/>
  <c r="E3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D37" i="4"/>
  <c r="D36" i="4"/>
  <c r="D35" i="4"/>
  <c r="D34" i="4"/>
  <c r="D33" i="4"/>
  <c r="D32" i="4"/>
  <c r="D31" i="4"/>
  <c r="D38" i="4"/>
  <c r="AV3" i="1"/>
  <c r="AW3" i="1"/>
  <c r="AV15" i="1"/>
  <c r="AW15" i="1"/>
  <c r="BA3" i="1" l="1"/>
  <c r="BC15" i="1"/>
  <c r="AZ3" i="1"/>
  <c r="BC3" i="1"/>
  <c r="BA15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V9749" i="8" s="1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V9918" i="8" s="1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V9926" i="8" s="1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V9942" i="8" s="1"/>
  <c r="W9943" i="8"/>
  <c r="V9943" i="8" s="1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V9958" i="8" s="1"/>
  <c r="W9959" i="8"/>
  <c r="V9959" i="8" s="1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W9971" i="8"/>
  <c r="V9971" i="8" s="1"/>
  <c r="W9972" i="8"/>
  <c r="W9973" i="8"/>
  <c r="V9973" i="8" s="1"/>
  <c r="W9974" i="8"/>
  <c r="V9974" i="8" s="1"/>
  <c r="W9975" i="8"/>
  <c r="V9975" i="8" s="1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V9990" i="8" s="1"/>
  <c r="W9991" i="8"/>
  <c r="W9992" i="8"/>
  <c r="V9992" i="8" s="1"/>
  <c r="W9993" i="8"/>
  <c r="W9994" i="8"/>
  <c r="W9995" i="8"/>
  <c r="V9995" i="8" s="1"/>
  <c r="W9996" i="8"/>
  <c r="W9997" i="8"/>
  <c r="V9997" i="8" s="1"/>
  <c r="W9998" i="8"/>
  <c r="V9998" i="8" s="1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21" i="8"/>
  <c r="V9922" i="8"/>
  <c r="V9923" i="8"/>
  <c r="V9924" i="8"/>
  <c r="V9929" i="8"/>
  <c r="V9930" i="8"/>
  <c r="V9932" i="8"/>
  <c r="V9934" i="8"/>
  <c r="V9937" i="8"/>
  <c r="V9938" i="8"/>
  <c r="V9940" i="8"/>
  <c r="V9945" i="8"/>
  <c r="V9946" i="8"/>
  <c r="V9948" i="8"/>
  <c r="V9950" i="8"/>
  <c r="V9951" i="8"/>
  <c r="V9953" i="8"/>
  <c r="V9954" i="8"/>
  <c r="V9956" i="8"/>
  <c r="V9961" i="8"/>
  <c r="V9962" i="8"/>
  <c r="V9964" i="8"/>
  <c r="V9966" i="8"/>
  <c r="V9969" i="8"/>
  <c r="V9970" i="8"/>
  <c r="V9972" i="8"/>
  <c r="V9977" i="8"/>
  <c r="V9978" i="8"/>
  <c r="V9980" i="8"/>
  <c r="V9982" i="8"/>
  <c r="V9985" i="8"/>
  <c r="V9986" i="8"/>
  <c r="V9988" i="8"/>
  <c r="V9991" i="8"/>
  <c r="V9993" i="8"/>
  <c r="V9994" i="8"/>
  <c r="V9996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4" i="1" l="1"/>
  <c r="BF4" i="1" s="1"/>
  <c r="BE5" i="1"/>
  <c r="BF5" i="1" s="1"/>
  <c r="BE6" i="1"/>
  <c r="BF6" i="1" s="1"/>
  <c r="BE7" i="1"/>
  <c r="BF7" i="1" s="1"/>
  <c r="BE8" i="1"/>
  <c r="BF8" i="1" s="1"/>
  <c r="BE9" i="1"/>
  <c r="BF9" i="1" s="1"/>
  <c r="BE10" i="1"/>
  <c r="BF10" i="1" s="1"/>
  <c r="BE11" i="1"/>
  <c r="BF11" i="1" s="1"/>
  <c r="BE12" i="1"/>
  <c r="BF12" i="1" s="1"/>
  <c r="BE13" i="1"/>
  <c r="BF13" i="1" s="1"/>
  <c r="BE14" i="1"/>
  <c r="BF14" i="1" s="1"/>
  <c r="BE15" i="1"/>
  <c r="BF15" i="1" s="1"/>
  <c r="BE3" i="1"/>
  <c r="BF3" i="1" s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3" i="1" l="1"/>
  <c r="B12" i="1"/>
  <c r="BD11" i="1"/>
  <c r="BD14" i="1"/>
  <c r="BD12" i="1"/>
  <c r="BD13" i="1"/>
  <c r="B10" i="1"/>
  <c r="B6" i="1"/>
  <c r="BD8" i="1"/>
  <c r="BD4" i="1"/>
  <c r="B11" i="1"/>
  <c r="BD6" i="1"/>
  <c r="B7" i="1"/>
  <c r="B4" i="1"/>
  <c r="BD9" i="1"/>
  <c r="B8" i="1"/>
  <c r="BD7" i="1"/>
  <c r="B5" i="1"/>
  <c r="BD10" i="1"/>
  <c r="B9" i="1"/>
  <c r="B14" i="1"/>
  <c r="BD5" i="1"/>
  <c r="B15" i="1"/>
  <c r="B3" i="1"/>
  <c r="BD3" i="1"/>
  <c r="BD15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<sst xmlns="http://schemas.openxmlformats.org/spreadsheetml/2006/main" count="2625" uniqueCount="930">
  <si>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</si>
  <si>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</si>
  <si>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</si>
  <si>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</si>
  <si>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</si>
  <si>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</si>
  <si>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</si>
  <si>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</si>
  <si>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</si>
  <si>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</si>
  <si>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</si>
  <si>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</si>
  <si>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</si>
  <si>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</si>
  <si>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</si>
  <si>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</si>
  <si>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</si>
  <si>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</si>
  <si>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</si>
  <si>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</si>
  <si>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</si>
  <si>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</si>
  <si>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</si>
  <si>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</si>
  <si>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</si>
  <si>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</si>
  <si>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</si>
  <si>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</si>
  <si>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</si>
  <si>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</si>
  <si>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</si>
  <si>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</si>
  <si>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</si>
  <si>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</si>
  <si>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</si>
  <si>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</si>
  <si>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</si>
  <si>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</si>
  <si>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</si>
  <si>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</si>
  <si>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</si>
  <si>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</si>
  <si>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</si>
  <si>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</si>
  <si>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</si>
  <si>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</si>
  <si>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</si>
  <si>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</si>
  <si>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</si>
  <si>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</si>
  <si>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</si>
  <si>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</si>
  <si>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</si>
  <si>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</si>
  <si>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</si>
  <si>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</si>
  <si>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</si>
  <si>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</si>
  <si>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</si>
  <si>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</si>
  <si>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</si>
  <si>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</si>
  <si>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</si>
  <si>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</si>
  <si>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</si>
  <si>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</si>
  <si>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</si>
  <si>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</si>
  <si>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</si>
  <si>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</si>
  <si>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</si>
  <si>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</si>
  <si>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</si>
  <si>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</si>
  <si>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</si>
  <si>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</si>
  <si>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</si>
  <si>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</si>
  <si>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</si>
  <si>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</si>
  <si>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</si>
  <si>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</si>
  <si>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</si>
  <si>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</si>
  <si>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</si>
  <si>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</si>
  <si>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</si>
  <si>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</si>
  <si>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</si>
  <si>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</si>
  <si>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</si>
  <si>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</si>
  <si>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</si>
  <si>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</si>
  <si>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</si>
  <si>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</si>
  <si>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</si>
  <si>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</si>
  <si>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</si>
  <si>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</si>
  <si>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</si>
  <si>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</si>
  <si>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</si>
  <si>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</si>
  <si>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</si>
  <si>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</si>
  <si>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</si>
  <si>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</si>
  <si>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</si>
  <si>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</si>
  <si>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</si>
  <si>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</si>
  <si>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</si>
  <si>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</si>
  <si>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</si>
  <si>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</si>
  <si>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</si>
  <si>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</si>
  <si>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</si>
  <si>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</si>
  <si>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</si>
  <si>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</si>
  <si>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</si>
  <si>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</si>
  <si>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</si>
  <si>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</si>
  <si>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</si>
  <si>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</si>
  <si>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</si>
  <si>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</si>
  <si>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</si>
  <si>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</si>
  <si>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</si>
  <si>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</si>
  <si>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</si>
  <si>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</si>
  <si>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</si>
  <si>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</si>
  <si>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</si>
  <si>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</si>
  <si>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</si>
  <si>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</si>
  <si>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</si>
  <si>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</si>
  <si>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</si>
  <si>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</si>
  <si>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</si>
  <si>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</si>
  <si>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</si>
  <si>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</si>
  <si>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</si>
  <si>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</si>
  <si>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</si>
  <si>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</si>
  <si>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</si>
  <si>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</si>
  <si>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</si>
  <si>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</si>
  <si>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</si>
  <si>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</si>
  <si>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</si>
  <si>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</si>
  <si>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</si>
  <si>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</si>
  <si>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</si>
  <si>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</si>
  <si>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</si>
  <si>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</si>
  <si>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</si>
  <si>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</si>
  <si>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</si>
  <si>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</si>
  <si>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</si>
  <si>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</si>
  <si>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</si>
  <si>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</si>
  <si>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</si>
  <si>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</si>
  <si>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</si>
  <si>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</si>
  <si>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</si>
  <si>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</si>
  <si>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</si>
  <si>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</si>
  <si>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</si>
  <si>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</si>
  <si>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</si>
  <si>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</si>
  <si>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</si>
  <si>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</si>
  <si>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</si>
  <si>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</si>
  <si>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</si>
  <si>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</si>
  <si>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</si>
  <si>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</si>
  <si>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</si>
  <si>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</si>
  <si>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</si>
  <si>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</si>
  <si>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</si>
  <si>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</si>
  <si>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</si>
  <si>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</si>
  <si>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</si>
  <si>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</si>
  <si>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</si>
  <si>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</si>
  <si>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</si>
  <si>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</si>
  <si>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</si>
  <si>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</si>
  <si>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</si>
  <si>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</si>
  <si>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</si>
  <si>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</si>
  <si>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</si>
  <si>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</si>
  <si>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</si>
  <si>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</si>
  <si>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</si>
  <si>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</si>
  <si>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</si>
  <si>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</si>
  <si>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</si>
  <si>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</si>
  <si>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</si>
  <si>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</si>
  <si>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</si>
  <si>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</si>
  <si>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</si>
  <si>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</si>
  <si>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</si>
  <si>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</si>
  <si>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</si>
  <si>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</si>
  <si>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</si>
  <si>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</si>
  <si>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</si>
  <si>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</si>
  <si>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</si>
  <si>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</si>
  <si>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</si>
  <si>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</si>
  <si>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</si>
  <si>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</si>
  <si>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</si>
  <si>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</si>
  <si>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</si>
  <si>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</si>
  <si>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</si>
  <si>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</si>
  <si>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</si>
  <si>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</si>
  <si>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</si>
  <si>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</si>
  <si>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</si>
  <si>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</si>
  <si>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</si>
  <si>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</si>
  <si>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</si>
  <si>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</si>
  <si>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</si>
  <si>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</si>
  <si>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</si>
  <si>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</si>
  <si>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</si>
  <si>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</si>
  <si>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</si>
  <si>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</si>
  <si>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</si>
  <si>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</si>
  <si>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</si>
  <si>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</si>
  <si>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</si>
  <si>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</si>
  <si>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</si>
  <si>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</si>
  <si>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</si>
  <si>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</si>
  <si>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</si>
  <si>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</si>
  <si>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</si>
  <si>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</si>
  <si>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</si>
  <si>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</si>
  <si>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</si>
  <si>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</si>
  <si>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</si>
  <si>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</si>
  <si>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</si>
  <si>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</si>
  <si>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</si>
  <si>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</si>
  <si>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</si>
  <si>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</si>
  <si>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</si>
  <si>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</si>
  <si>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</si>
  <si>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</si>
  <si>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</si>
  <si>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</si>
  <si>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</si>
  <si>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</si>
  <si>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</si>
  <si>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</si>
  <si>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</si>
  <si>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</si>
  <si>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</si>
  <si>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</si>
  <si>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</si>
  <si>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</si>
  <si>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</si>
  <si>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</si>
  <si>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</si>
  <si>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</si>
  <si>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</si>
  <si>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</si>
  <si>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</si>
  <si>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</si>
  <si>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</si>
  <si>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</si>
  <si>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</si>
  <si>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</si>
  <si>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</si>
  <si>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</si>
  <si>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</si>
  <si>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</si>
  <si>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</si>
  <si>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</si>
  <si>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</si>
  <si>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</si>
  <si>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</si>
  <si>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</si>
  <si>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</si>
  <si>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</si>
  <si>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</si>
  <si>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</si>
  <si>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</si>
  <si>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</si>
  <si>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</si>
  <si>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</si>
  <si>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</si>
  <si>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</si>
  <si>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</si>
  <si>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</si>
  <si>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</si>
  <si>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</si>
  <si>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</si>
  <si>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</si>
  <si>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</si>
  <si>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</si>
  <si>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</si>
  <si>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</si>
  <si>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</si>
  <si>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</si>
  <si>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</si>
  <si>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</si>
  <si>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</si>
  <si>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</si>
  <si>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</si>
  <si>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</si>
  <si>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</si>
  <si>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</si>
  <si>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</si>
  <si>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</si>
  <si>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</si>
  <si>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</si>
  <si>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</si>
  <si>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</si>
  <si>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</si>
  <si>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</si>
  <si>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</si>
  <si>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</si>
  <si>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</si>
  <si>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</si>
  <si>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</si>
  <si>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</si>
  <si>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</si>
  <si>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</si>
  <si>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</si>
  <si>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</si>
  <si>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</si>
  <si>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</si>
  <si>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</si>
  <si>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</si>
  <si>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</si>
  <si>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</si>
  <si>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</si>
  <si>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</si>
  <si>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</si>
  <si>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</si>
  <si>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</si>
  <si>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</si>
  <si>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</si>
  <si>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</si>
  <si>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</si>
  <si>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</si>
  <si>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</si>
  <si>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</si>
  <si>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</si>
  <si>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</si>
  <si>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</si>
  <si>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</si>
  <si>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</si>
  <si>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</si>
  <si>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</si>
  <si>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</si>
  <si>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</si>
  <si>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</si>
  <si>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</si>
  <si>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</si>
  <si>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</si>
  <si>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</si>
  <si>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</si>
  <si>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</si>
  <si>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</si>
  <si>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</si>
  <si>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</si>
  <si>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</si>
  <si>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</si>
  <si>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</si>
  <si>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</si>
  <si>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</si>
  <si>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</si>
  <si>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</si>
  <si>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</si>
  <si>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</si>
  <si>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</si>
  <si>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</si>
  <si>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</si>
  <si>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</si>
  <si>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</si>
  <si>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</si>
  <si>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</si>
  <si>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</si>
  <si>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</si>
  <si>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</si>
  <si>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</si>
  <si>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</si>
  <si>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</si>
  <si>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</si>
  <si>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</si>
  <si>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</si>
  <si>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</si>
  <si>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</si>
  <si>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</si>
  <si>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</si>
  <si>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</si>
  <si>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</si>
  <si>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</si>
  <si>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</si>
  <si>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</si>
  <si>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</si>
  <si>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</si>
  <si>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</si>
  <si>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</si>
  <si>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</si>
  <si>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</si>
  <si>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</si>
  <si>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</si>
  <si>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</si>
  <si>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</si>
  <si>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</si>
  <si>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</si>
  <si>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</si>
  <si>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</si>
  <si>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</si>
  <si>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</si>
  <si>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</si>
  <si>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</si>
  <si>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</si>
  <si>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</si>
  <si>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</si>
  <si>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</si>
  <si>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</si>
  <si>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</si>
  <si>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</si>
  <si>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</si>
  <si>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</si>
  <si>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</si>
  <si>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</si>
  <si>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</si>
  <si>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</si>
  <si>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</si>
  <si>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</si>
  <si>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</si>
  <si>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</si>
  <si>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</si>
  <si>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</si>
  <si>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</si>
  <si>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</si>
  <si>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</si>
  <si>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</si>
  <si>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</si>
  <si>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</si>
  <si>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</si>
  <si>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</si>
  <si>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</si>
  <si>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</si>
  <si>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</si>
  <si>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</si>
  <si>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</si>
  <si>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</si>
  <si>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</si>
  <si>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</si>
  <si>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</si>
  <si>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</si>
  <si>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</si>
  <si>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</si>
  <si>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</si>
  <si>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</si>
  <si>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</si>
  <si>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</si>
  <si>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</si>
  <si>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</si>
  <si>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</si>
  <si>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</si>
  <si>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</si>
  <si>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</si>
  <si>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</si>
  <si>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</si>
  <si>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</si>
  <si>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</si>
  <si>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</si>
  <si>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</si>
  <si>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</si>
  <si>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</si>
  <si>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</si>
  <si>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</si>
  <si>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</si>
  <si>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</si>
  <si>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</si>
  <si>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</si>
  <si>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</si>
  <si>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</si>
  <si>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</si>
  <si>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</si>
  <si>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</si>
  <si>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</si>
  <si>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</si>
  <si>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</si>
  <si>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</si>
  <si>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</si>
  <si>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</si>
  <si>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</si>
  <si>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</si>
  <si>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</si>
  <si>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</si>
  <si>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</si>
  <si>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</si>
  <si>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</si>
  <si>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</si>
  <si>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</si>
  <si>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</si>
  <si>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</si>
  <si>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</si>
  <si>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</si>
  <si>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</si>
  <si>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</si>
  <si>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</si>
  <si>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</si>
  <si>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</si>
  <si>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</si>
  <si>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</si>
  <si>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</si>
  <si>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</si>
  <si>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</si>
  <si>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</si>
  <si>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</si>
  <si>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</si>
  <si>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</si>
  <si>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</si>
  <si>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</si>
  <si>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</si>
  <si>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</si>
  <si>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</si>
  <si>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</si>
  <si>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</si>
  <si>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</si>
  <si>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</si>
  <si>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</si>
  <si>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</si>
  <si>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</si>
  <si>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</si>
  <si>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</si>
  <si>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</si>
  <si>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</si>
  <si>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</si>
  <si>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</si>
  <si>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</si>
  <si>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</si>
  <si>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</si>
  <si>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</si>
  <si>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</si>
  <si>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</si>
  <si>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</si>
  <si>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</si>
  <si>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</si>
  <si>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</si>
  <si>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</si>
  <si>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</si>
  <si>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</si>
  <si>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</si>
  <si>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</si>
  <si>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</si>
  <si>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</si>
  <si>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</si>
  <si>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</si>
  <si>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</si>
  <si>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</si>
  <si>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</si>
  <si>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</si>
  <si>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</si>
  <si>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</si>
  <si>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</si>
  <si>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</si>
  <si>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</si>
  <si>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</si>
  <si>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</si>
  <si>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</si>
  <si>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</si>
  <si>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</si>
  <si>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</si>
  <si>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</si>
  <si>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</si>
  <si>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</si>
  <si>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</si>
  <si>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</si>
  <si>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</si>
  <si>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</si>
  <si>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</si>
  <si>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</si>
  <si>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</si>
  <si>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</si>
  <si>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</si>
  <si>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</si>
  <si>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</si>
  <si>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</si>
  <si>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</si>
  <si>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</si>
  <si>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</si>
  <si>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</si>
  <si>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</si>
  <si>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</si>
  <si>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</si>
  <si>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</si>
  <si>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</si>
  <si>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</si>
  <si>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</si>
  <si>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</si>
  <si>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</si>
  <si>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</si>
  <si>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</si>
  <si>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</si>
  <si>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</si>
  <si>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</si>
  <si>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</si>
  <si>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</si>
  <si>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</si>
  <si>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</si>
  <si>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</si>
  <si>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</si>
  <si>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</si>
  <si>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</si>
  <si>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</si>
  <si>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</si>
  <si>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</si>
  <si>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</si>
  <si>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</si>
  <si>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</si>
  <si>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</si>
  <si>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</si>
  <si>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</si>
  <si>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</si>
  <si>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</si>
  <si>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</si>
  <si>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</si>
  <si>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</si>
  <si>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</si>
  <si>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</si>
  <si>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</si>
  <si>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</si>
  <si>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</si>
  <si>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</si>
  <si>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</si>
  <si>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</si>
  <si>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</si>
  <si>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</si>
  <si>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</si>
  <si>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</si>
  <si>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</si>
  <si>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</si>
  <si>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</si>
  <si>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</si>
  <si>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</si>
  <si>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</si>
  <si>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</si>
  <si>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</si>
  <si>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</si>
  <si>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</si>
  <si>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</si>
  <si>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</si>
  <si>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</si>
  <si>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</si>
  <si>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</si>
  <si>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</si>
  <si>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</si>
  <si>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</si>
  <si>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</si>
  <si>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</si>
  <si>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</si>
  <si>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</si>
  <si>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</si>
  <si>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</si>
  <si>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</si>
  <si>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</si>
  <si>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</si>
  <si>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</si>
  <si>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</si>
  <si>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</si>
  <si>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</si>
  <si>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</si>
  <si>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</si>
  <si>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</si>
  <si>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</si>
  <si>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</si>
  <si>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</si>
  <si>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</si>
  <si>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</si>
  <si>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</si>
  <si>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</si>
  <si>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</si>
  <si>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</si>
  <si>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</si>
  <si>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</si>
  <si>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</si>
  <si>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</si>
  <si>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</si>
  <si>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</si>
  <si>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</si>
  <si>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</si>
  <si>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</si>
  <si>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</si>
  <si>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</si>
  <si>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</si>
  <si>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</si>
  <si>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</si>
  <si>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</si>
  <si>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</si>
  <si>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</si>
  <si>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</si>
  <si>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</si>
  <si>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</si>
  <si>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</si>
  <si>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</si>
  <si>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</si>
  <si>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</si>
  <si>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</si>
  <si>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</si>
  <si>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</si>
  <si>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</si>
  <si>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</si>
  <si>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</si>
  <si>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</si>
  <si>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</si>
  <si>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</si>
  <si>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</si>
  <si>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</si>
  <si>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</si>
  <si>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</si>
  <si>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</si>
  <si>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</si>
  <si>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</si>
  <si>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</si>
  <si>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</si>
  <si>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</si>
  <si>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</si>
  <si>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</si>
  <si>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</si>
  <si>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</si>
  <si>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</si>
  <si>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</si>
  <si>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</si>
  <si>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</si>
  <si>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</si>
  <si>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</si>
  <si>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</si>
  <si>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</si>
  <si>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</si>
  <si>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</si>
  <si>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</si>
  <si>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</si>
  <si>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</si>
  <si>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</si>
  <si>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</si>
  <si>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</si>
  <si>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</si>
  <si>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</si>
  <si>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</si>
  <si>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</si>
  <si>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</si>
  <si>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</si>
  <si>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</si>
  <si>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</si>
  <si>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</si>
  <si>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</si>
  <si>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</si>
  <si>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</si>
  <si>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</si>
  <si>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</si>
  <si>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</si>
  <si>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</si>
  <si>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</si>
  <si>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</si>
  <si>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</si>
  <si>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</si>
  <si>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</si>
  <si>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</si>
  <si>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</si>
  <si>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</si>
  <si>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</si>
  <si>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</si>
  <si>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</si>
  <si>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</si>
  <si>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</si>
  <si>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</si>
  <si>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</si>
  <si>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</si>
  <si>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</si>
  <si>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</si>
  <si>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</si>
  <si>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</si>
  <si>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</si>
  <si>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</si>
  <si>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</si>
  <si>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</si>
  <si>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</si>
  <si>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</si>
  <si>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</si>
  <si>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</si>
  <si>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</si>
  <si>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</si>
  <si>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</si>
  <si>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</si>
  <si>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</si>
  <si>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</si>
  <si>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</si>
  <si>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</si>
  <si>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</si>
  <si>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</si>
  <si>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</si>
  <si>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</si>
  <si>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</si>
  <si>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</si>
  <si>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</si>
  <si>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</si>
  <si>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</si>
  <si>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</si>
  <si>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</si>
  <si>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</si>
  <si>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</si>
  <si>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</si>
  <si>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</si>
  <si>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</si>
  <si>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</si>
  <si>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</si>
  <si>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</si>
  <si>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</si>
  <si>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</si>
  <si>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</si>
  <si>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</si>
  <si>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</si>
  <si>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</si>
  <si>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</si>
  <si>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</si>
  <si>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</si>
  <si>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</si>
  <si>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</si>
  <si>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</si>
  <si>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</si>
  <si>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</si>
  <si>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</si>
  <si>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</si>
  <si>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</si>
  <si>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96-001-</t>
  </si>
  <si>
    <t>TEAM</t>
  </si>
  <si>
    <t>IRF</t>
  </si>
  <si>
    <t>TOF</t>
  </si>
  <si>
    <t>NVY</t>
  </si>
  <si>
    <t>WHI</t>
  </si>
  <si>
    <t>BLK</t>
  </si>
  <si>
    <t>RGD</t>
  </si>
  <si>
    <t>PNK</t>
  </si>
  <si>
    <t>NOV</t>
  </si>
  <si>
    <t>GRAPNK</t>
  </si>
  <si>
    <t>TOFWHI</t>
  </si>
  <si>
    <t>10531954</t>
  </si>
  <si>
    <t>60222282</t>
  </si>
  <si>
    <t>60222321</t>
  </si>
  <si>
    <t>60222348</t>
  </si>
  <si>
    <t>60222351</t>
  </si>
  <si>
    <t>60222444</t>
  </si>
  <si>
    <t>60222456</t>
  </si>
  <si>
    <t>60222457</t>
  </si>
  <si>
    <t>60222523</t>
  </si>
  <si>
    <t>60222525</t>
  </si>
  <si>
    <t>60222546</t>
  </si>
  <si>
    <t>80489231</t>
  </si>
  <si>
    <t>60112610</t>
  </si>
  <si>
    <t>100% Хлопок</t>
  </si>
  <si>
    <t>MLB</t>
  </si>
  <si>
    <t>New York Yankees</t>
  </si>
  <si>
    <t>Los Angeles Dodgers</t>
  </si>
  <si>
    <t>Изображение</t>
  </si>
  <si>
    <t>Заказ_Hatsandcaps_NewEra_SS22_02.11.xlsx</t>
  </si>
  <si>
    <t>96-002-</t>
  </si>
  <si>
    <t>96-003-</t>
  </si>
  <si>
    <t>96-004-</t>
  </si>
  <si>
    <t>96-005-</t>
  </si>
  <si>
    <t>96-006-</t>
  </si>
  <si>
    <t>96-007-</t>
  </si>
  <si>
    <t>96-008-</t>
  </si>
  <si>
    <t>96-009-</t>
  </si>
  <si>
    <t>96-010-</t>
  </si>
  <si>
    <t>96-011-</t>
  </si>
  <si>
    <t>96-012-</t>
  </si>
  <si>
    <t>96-013-</t>
  </si>
  <si>
    <t>Los Angeles Dodgers MLB</t>
  </si>
  <si>
    <t>New York Yankees 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</si>
</sst>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6"/>
  <sheetViews>
    <sheetView tabSelected="1" zoomScale="55" zoomScaleNormal="55" workbookViewId="0">
      <pane ySplit="1" topLeftCell="A14" activePane="bottomLeft" state="frozen"/>
      <selection pane="bottomLeft" activeCell="V3" sqref="V3:AI15"/>
    </sheetView>
  </sheetViews>
  <sheetFormatPr defaultColWidth="9" defaultRowHeight="98.1" customHeight="1"/>
  <cols>
    <col min="1" max="1" width="9" style="44" customWidth="1"/>
    <col min="2" max="2" width="12.140625" style="45" customWidth="1"/>
    <col min="3" max="3" width="13.28515625" style="44" bestFit="1" customWidth="1"/>
    <col min="4" max="4" width="8.8554687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4" width="6.7109375" style="58" customWidth="1"/>
    <col min="15" max="15" width="13.140625" style="58" bestFit="1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1" width="6.7109375" style="44" customWidth="1"/>
    <col min="22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840</v>
      </c>
      <c r="O1" s="61" t="s">
        <v>838</v>
      </c>
      <c r="P1" s="61" t="s">
        <v>839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818</v>
      </c>
      <c r="AK1" s="133" t="s">
        <v>819</v>
      </c>
      <c r="AL1" s="133" t="s">
        <v>820</v>
      </c>
      <c r="AM1" s="133" t="s">
        <v>821</v>
      </c>
      <c r="AN1" s="133" t="s">
        <v>822</v>
      </c>
      <c r="AO1" s="133" t="s">
        <v>823</v>
      </c>
      <c r="AP1" s="133" t="s">
        <v>824</v>
      </c>
      <c r="AQ1" s="133" t="s">
        <v>825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848</v>
      </c>
    </row>
    <row r="2" spans="1:59" s="42" customFormat="1" ht="22.15" hidden="1" customHeight="1">
      <c r="A2" s="65" t="str">
        <f t="shared" ref="A2:A1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New Era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5" ca="1" si="3">IF(AU2&lt;&gt;"",VLOOKUP(AU2,INDIRECT(SUBSTITUTE($J2," ","")&amp;"Manufactures"),2,0),"Требуется код страны")</f>
        <v>Требуется код страны</v>
      </c>
      <c r="AX2" s="141">
        <f t="shared" ref="AX2:AX15" si="4">0.05+0.05</f>
        <v>0.1</v>
      </c>
      <c r="AY2" s="56">
        <f t="shared" ref="AY2:AY15" si="5">IF(AX2&lt;&gt;"",AX2*1.5,"Требуется нетто")</f>
        <v>0.15000000000000002</v>
      </c>
      <c r="AZ2" s="56" t="str">
        <f t="shared" ref="AZ2:AZ1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5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1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15" si="9">IFERROR(IF(BE2,"-",IFERROR(IF(BD2&gt;0,0,1),"")),"")</f>
        <v/>
      </c>
      <c r="BG2" s="88"/>
    </row>
    <row r="3" spans="1:59" ht="98.1" customHeight="1">
      <c r="A3" s="43" t="str">
        <f t="shared" si="0"/>
        <v>10531954TEAM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96-001-18</v>
      </c>
      <c r="C3" s="145" t="s">
        <v>897</v>
      </c>
      <c r="D3" s="44" t="s">
        <v>928</v>
      </c>
      <c r="E3" s="43" t="str">
        <f>IF(F3&lt;&gt;"",IFERROR(VLOOKUP(F3,Категории!A:B,2,0),""),"Требуется категория")</f>
        <v>Бейсболки</v>
      </c>
      <c r="F3" s="43" t="s">
        <v>783</v>
      </c>
      <c r="G3" s="62" t="s">
        <v>884</v>
      </c>
      <c r="H3" s="43" t="s">
        <v>388</v>
      </c>
      <c r="I3" s="134"/>
      <c r="J3" s="57" t="str">
        <f>'1C'!$AJ$1</f>
        <v>New Era</v>
      </c>
      <c r="K3" s="99" t="s">
        <v>886</v>
      </c>
      <c r="L3" s="150" t="s">
        <v>78</v>
      </c>
      <c r="M3" s="62"/>
      <c r="N3" s="62"/>
      <c r="O3" s="56" t="s">
        <v>911</v>
      </c>
      <c r="P3" s="56" t="s">
        <v>913</v>
      </c>
      <c r="Q3" s="170" t="s">
        <v>910</v>
      </c>
      <c r="R3" s="64"/>
      <c r="S3" s="56" t="s">
        <v>43</v>
      </c>
      <c r="T3" s="59" t="str">
        <f>IF(S3&lt;&gt;"",IFERROR(VLOOKUP(S3,MaterialsTypes!F:G,2,0),IFERROR(VLOOKUP(Q3,MaterialsTypes100,2,0),"")),IFERROR(VLOOKUP(Q3,MaterialsTypes100,2,0),""))</f>
        <v>Текстиль, ткань</v>
      </c>
      <c r="U3" s="59" t="s">
        <v>382</v>
      </c>
      <c r="V3" s="58"/>
      <c r="Y3" s="58"/>
      <c r="Z3" s="44">
        <v>3</v>
      </c>
      <c r="AA3" s="58"/>
      <c r="AB3" s="44">
        <v>3</v>
      </c>
      <c r="AC3" s="58"/>
      <c r="AE3" s="58"/>
      <c r="AG3" s="58"/>
      <c r="AT3" s="57">
        <f t="shared" si="1"/>
        <v>6</v>
      </c>
      <c r="AU3" s="171" t="s">
        <v>571</v>
      </c>
      <c r="AV3" s="56">
        <f t="shared" ca="1" si="2"/>
        <v>0</v>
      </c>
      <c r="AW3" s="43" t="str">
        <f t="shared" ca="1" si="3"/>
        <v>Бангладеш</v>
      </c>
      <c r="AX3" s="74">
        <f t="shared" si="4"/>
        <v>0.1</v>
      </c>
      <c r="AY3" s="43">
        <f t="shared" si="5"/>
        <v>0.15000000000000002</v>
      </c>
      <c r="AZ3" s="43">
        <f t="shared" si="6"/>
        <v>0.60000000000000009</v>
      </c>
      <c r="BA3" s="43">
        <f t="shared" si="7"/>
        <v>0.90000000000000013</v>
      </c>
      <c r="BB3" s="139">
        <v>1890.67</v>
      </c>
      <c r="BC3" s="152">
        <f t="shared" si="8"/>
        <v>11344.02</v>
      </c>
      <c r="BD3" s="45">
        <f>IF(A3&lt;&gt;"",IF(_xlfn.XLOOKUP(A3,'1C'!A:A,'1C'!A:A,0,0)&gt;0,1,0),"")</f>
        <v>0</v>
      </c>
      <c r="BE3" s="153">
        <f>IF(C3&lt;&gt;"",IF(_xlfn.XLOOKUP(TEXT(C3,"###"),'1C'!W:W,'1C'!D:D,0,0)&gt;0,0,1),"")</f>
        <v>1</v>
      </c>
      <c r="BF3" s="72" t="str">
        <f t="shared" si="9"/>
        <v>-</v>
      </c>
    </row>
    <row r="4" spans="1:59" ht="98.1" customHeight="1">
      <c r="A4" s="43" t="str">
        <f t="shared" si="0"/>
        <v>60222282IRF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96-002-06</v>
      </c>
      <c r="C4" s="145" t="s">
        <v>898</v>
      </c>
      <c r="D4" s="44" t="s">
        <v>928</v>
      </c>
      <c r="E4" s="43" t="str">
        <f>IF(F4&lt;&gt;"",IFERROR(VLOOKUP(F4,Категории!A:B,2,0),""),"Требуется категория")</f>
        <v>Бейсболки</v>
      </c>
      <c r="F4" s="43" t="s">
        <v>327</v>
      </c>
      <c r="G4" s="62" t="s">
        <v>884</v>
      </c>
      <c r="H4" s="43" t="s">
        <v>388</v>
      </c>
      <c r="J4" s="57" t="str">
        <f>'1C'!$AJ$1</f>
        <v>New Era</v>
      </c>
      <c r="K4" s="98" t="s">
        <v>887</v>
      </c>
      <c r="L4" s="151" t="s">
        <v>71</v>
      </c>
      <c r="M4" s="62"/>
      <c r="N4" s="62"/>
      <c r="O4" s="56" t="s">
        <v>911</v>
      </c>
      <c r="P4" s="56" t="s">
        <v>913</v>
      </c>
      <c r="Q4" s="170" t="s">
        <v>910</v>
      </c>
      <c r="R4" s="64"/>
      <c r="S4" s="56" t="s">
        <v>43</v>
      </c>
      <c r="T4" s="59" t="str">
        <f>IF(S4&lt;&gt;"",IFERROR(VLOOKUP(S4,MaterialsTypes!F:G,2,0),IFERROR(VLOOKUP(Q4,MaterialsTypes100,2,0),"")),IFERROR(VLOOKUP(Q4,MaterialsTypes100,2,0),""))</f>
        <v>Текстиль, ткань</v>
      </c>
      <c r="U4" s="59" t="s">
        <v>382</v>
      </c>
      <c r="V4" s="58">
        <v>6</v>
      </c>
      <c r="Y4" s="58"/>
      <c r="AA4" s="58"/>
      <c r="AC4" s="58"/>
      <c r="AE4" s="58"/>
      <c r="AG4" s="58"/>
      <c r="AT4" s="57">
        <f t="shared" si="1"/>
        <v>6</v>
      </c>
      <c r="AU4" s="171" t="s">
        <v>571</v>
      </c>
      <c r="AV4" s="56">
        <f t="shared" ca="1" si="2"/>
        <v>0</v>
      </c>
      <c r="AW4" s="43" t="str">
        <f t="shared" ca="1" si="3"/>
        <v>Бангладеш</v>
      </c>
      <c r="AX4" s="74">
        <f t="shared" si="4"/>
        <v>0.1</v>
      </c>
      <c r="AY4" s="43">
        <f t="shared" si="5"/>
        <v>0.15000000000000002</v>
      </c>
      <c r="AZ4" s="43">
        <f t="shared" si="6"/>
        <v>0.60000000000000009</v>
      </c>
      <c r="BA4" s="43">
        <f t="shared" si="7"/>
        <v>0.90000000000000013</v>
      </c>
      <c r="BB4" s="139">
        <v>1293.46</v>
      </c>
      <c r="BC4" s="152">
        <f t="shared" si="8"/>
        <v>7760.76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A5" s="43" t="str">
        <f t="shared" si="0"/>
        <v>60222321TOF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96-003-14</v>
      </c>
      <c r="C5" s="146" t="s">
        <v>899</v>
      </c>
      <c r="D5" s="44" t="s">
        <v>929</v>
      </c>
      <c r="E5" s="43" t="str">
        <f>IF(F5&lt;&gt;"",IFERROR(VLOOKUP(F5,Категории!A:B,2,0),""),"Требуется категория")</f>
        <v>Бейсболки</v>
      </c>
      <c r="F5" s="43" t="s">
        <v>327</v>
      </c>
      <c r="G5" s="62" t="s">
        <v>884</v>
      </c>
      <c r="H5" s="43" t="s">
        <v>388</v>
      </c>
      <c r="J5" s="57" t="str">
        <f>'1C'!$AJ$1</f>
        <v>New Era</v>
      </c>
      <c r="K5" s="100" t="s">
        <v>888</v>
      </c>
      <c r="L5" s="151" t="s">
        <v>86</v>
      </c>
      <c r="M5" s="62"/>
      <c r="N5" s="62"/>
      <c r="O5" s="56" t="s">
        <v>911</v>
      </c>
      <c r="P5" s="56" t="s">
        <v>912</v>
      </c>
      <c r="Q5" s="170" t="s">
        <v>910</v>
      </c>
      <c r="R5" s="64"/>
      <c r="S5" s="56" t="s">
        <v>43</v>
      </c>
      <c r="T5" s="59" t="str">
        <f>IF(S5&lt;&gt;"",IFERROR(VLOOKUP(S5,MaterialsTypes!F:G,2,0),IFERROR(VLOOKUP(Q5,MaterialsTypes100,2,0),"")),IFERROR(VLOOKUP(Q5,MaterialsTypes100,2,0),""))</f>
        <v>Текстиль, ткань</v>
      </c>
      <c r="U5" s="59" t="s">
        <v>382</v>
      </c>
      <c r="V5" s="58">
        <v>6</v>
      </c>
      <c r="Y5" s="58"/>
      <c r="AA5" s="58"/>
      <c r="AC5" s="58"/>
      <c r="AE5" s="58"/>
      <c r="AG5" s="58"/>
      <c r="AT5" s="57">
        <f t="shared" si="1"/>
        <v>6</v>
      </c>
      <c r="AU5" s="171" t="s">
        <v>571</v>
      </c>
      <c r="AV5" s="56">
        <f t="shared" ca="1" si="2"/>
        <v>0</v>
      </c>
      <c r="AW5" s="43" t="str">
        <f t="shared" ca="1" si="3"/>
        <v>Бангладеш</v>
      </c>
      <c r="AX5" s="74">
        <f t="shared" si="4"/>
        <v>0.1</v>
      </c>
      <c r="AY5" s="43">
        <f t="shared" si="5"/>
        <v>0.15000000000000002</v>
      </c>
      <c r="AZ5" s="43">
        <f t="shared" si="6"/>
        <v>0.60000000000000009</v>
      </c>
      <c r="BA5" s="43">
        <f t="shared" si="7"/>
        <v>0.90000000000000013</v>
      </c>
      <c r="BB5" s="139">
        <v>1293.46</v>
      </c>
      <c r="BC5" s="152">
        <f t="shared" si="8"/>
        <v>7760.76</v>
      </c>
      <c r="BD5" s="45">
        <f>IF(A5&lt;&gt;"",IF(_xlfn.XLOOKUP(A5,'1C'!A:A,'1C'!A:A,0,0)&gt;0,1,0),"")</f>
        <v>0</v>
      </c>
      <c r="BE5" s="153">
        <f>IF(C5&lt;&gt;"",IF(_xlfn.XLOOKUP(TEXT(C5,"###"),'1C'!W:W,'1C'!D:D,0,0)&gt;0,0,1),"")</f>
        <v>1</v>
      </c>
      <c r="BF5" s="72" t="str">
        <f t="shared" si="9"/>
        <v>-</v>
      </c>
    </row>
    <row r="6" spans="1:59" ht="98.1" customHeight="1">
      <c r="A6" s="43" t="str">
        <f t="shared" si="0"/>
        <v>60222348NVY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96-004-06</v>
      </c>
      <c r="C6" s="146" t="s">
        <v>900</v>
      </c>
      <c r="D6" s="44" t="s">
        <v>928</v>
      </c>
      <c r="E6" s="43" t="str">
        <f>IF(F6&lt;&gt;"",IFERROR(VLOOKUP(F6,Категории!A:B,2,0),""),"Требуется категория")</f>
        <v>Бейсболки</v>
      </c>
      <c r="F6" s="43" t="s">
        <v>327</v>
      </c>
      <c r="G6" s="62" t="s">
        <v>884</v>
      </c>
      <c r="H6" s="43" t="s">
        <v>388</v>
      </c>
      <c r="J6" s="57" t="str">
        <f>'1C'!$AJ$1</f>
        <v>New Era</v>
      </c>
      <c r="K6" s="100" t="s">
        <v>889</v>
      </c>
      <c r="L6" s="151" t="s">
        <v>71</v>
      </c>
      <c r="M6" s="62"/>
      <c r="N6" s="62"/>
      <c r="O6" s="56" t="s">
        <v>911</v>
      </c>
      <c r="P6" s="56" t="s">
        <v>913</v>
      </c>
      <c r="Q6" s="170" t="s">
        <v>910</v>
      </c>
      <c r="R6" s="64"/>
      <c r="S6" s="56" t="s">
        <v>43</v>
      </c>
      <c r="T6" s="59" t="str">
        <f>IF(S6&lt;&gt;"",IFERROR(VLOOKUP(S6,MaterialsTypes!F:G,2,0),IFERROR(VLOOKUP(Q6,MaterialsTypes100,2,0),"")),IFERROR(VLOOKUP(Q6,MaterialsTypes100,2,0),""))</f>
        <v>Текстиль, ткань</v>
      </c>
      <c r="U6" s="59" t="s">
        <v>382</v>
      </c>
      <c r="V6" s="58">
        <v>3</v>
      </c>
      <c r="Y6" s="58"/>
      <c r="AA6" s="58"/>
      <c r="AC6" s="58"/>
      <c r="AE6" s="58"/>
      <c r="AG6" s="58"/>
      <c r="AT6" s="57">
        <f t="shared" si="1"/>
        <v>3</v>
      </c>
      <c r="AU6" s="171" t="s">
        <v>571</v>
      </c>
      <c r="AV6" s="56">
        <f t="shared" ca="1" si="2"/>
        <v>0</v>
      </c>
      <c r="AW6" s="43" t="str">
        <f t="shared" ca="1" si="3"/>
        <v>Бангладеш</v>
      </c>
      <c r="AX6" s="74">
        <f t="shared" si="4"/>
        <v>0.1</v>
      </c>
      <c r="AY6" s="43">
        <f t="shared" si="5"/>
        <v>0.15000000000000002</v>
      </c>
      <c r="AZ6" s="43">
        <f t="shared" si="6"/>
        <v>0.30000000000000004</v>
      </c>
      <c r="BA6" s="43">
        <f t="shared" si="7"/>
        <v>0.45000000000000007</v>
      </c>
      <c r="BB6" s="139">
        <v>1592.06</v>
      </c>
      <c r="BC6" s="152">
        <f t="shared" si="8"/>
        <v>4776.18</v>
      </c>
      <c r="BD6" s="45">
        <f>IF(A6&lt;&gt;"",IF(_xlfn.XLOOKUP(A6,'1C'!A:A,'1C'!A:A,0,0)&gt;0,1,0),"")</f>
        <v>0</v>
      </c>
      <c r="BE6" s="153">
        <f>IF(C6&lt;&gt;"",IF(_xlfn.XLOOKUP(TEXT(C6,"###"),'1C'!W:W,'1C'!D:D,0,0)&gt;0,0,1),"")</f>
        <v>1</v>
      </c>
      <c r="BF6" s="72" t="str">
        <f t="shared" si="9"/>
        <v>-</v>
      </c>
    </row>
    <row r="7" spans="1:59" ht="98.1" customHeight="1">
      <c r="A7" s="43" t="str">
        <f t="shared" si="0"/>
        <v>60222351WHI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96-005-17</v>
      </c>
      <c r="C7" s="146" t="s">
        <v>901</v>
      </c>
      <c r="D7" s="44" t="s">
        <v>929</v>
      </c>
      <c r="E7" s="43" t="str">
        <f>IF(F7&lt;&gt;"",IFERROR(VLOOKUP(F7,Категории!A:B,2,0),""),"Требуется категория")</f>
        <v>Бейсболки</v>
      </c>
      <c r="F7" s="43" t="s">
        <v>327</v>
      </c>
      <c r="G7" s="62" t="s">
        <v>884</v>
      </c>
      <c r="H7" s="43" t="s">
        <v>388</v>
      </c>
      <c r="J7" s="57" t="str">
        <f>'1C'!$AJ$1</f>
        <v>New Era</v>
      </c>
      <c r="K7" s="100" t="s">
        <v>890</v>
      </c>
      <c r="L7" s="151" t="s">
        <v>57</v>
      </c>
      <c r="M7" s="62"/>
      <c r="N7" s="62"/>
      <c r="O7" s="56" t="s">
        <v>911</v>
      </c>
      <c r="P7" s="56" t="s">
        <v>912</v>
      </c>
      <c r="Q7" s="170" t="s">
        <v>910</v>
      </c>
      <c r="R7" s="64"/>
      <c r="S7" s="56" t="s">
        <v>43</v>
      </c>
      <c r="T7" s="59" t="str">
        <f>IF(S7&lt;&gt;"",IFERROR(VLOOKUP(S7,MaterialsTypes!F:G,2,0),IFERROR(VLOOKUP(Q7,MaterialsTypes100,2,0),"")),IFERROR(VLOOKUP(Q7,MaterialsTypes100,2,0),""))</f>
        <v>Текстиль, ткань</v>
      </c>
      <c r="U7" s="59" t="s">
        <v>387</v>
      </c>
      <c r="V7" s="58">
        <v>3</v>
      </c>
      <c r="Y7" s="58"/>
      <c r="AA7" s="58"/>
      <c r="AC7" s="58"/>
      <c r="AE7" s="58"/>
      <c r="AG7" s="58"/>
      <c r="AT7" s="57">
        <f t="shared" si="1"/>
        <v>3</v>
      </c>
      <c r="AU7" s="171" t="s">
        <v>571</v>
      </c>
      <c r="AV7" s="56">
        <f t="shared" ca="1" si="2"/>
        <v>0</v>
      </c>
      <c r="AW7" s="43" t="str">
        <f t="shared" ca="1" si="3"/>
        <v>Бангладеш</v>
      </c>
      <c r="AX7" s="74">
        <f t="shared" si="4"/>
        <v>0.1</v>
      </c>
      <c r="AY7" s="43">
        <f t="shared" si="5"/>
        <v>0.15000000000000002</v>
      </c>
      <c r="AZ7" s="43">
        <f t="shared" si="6"/>
        <v>0.30000000000000004</v>
      </c>
      <c r="BA7" s="43">
        <f t="shared" si="7"/>
        <v>0.45000000000000007</v>
      </c>
      <c r="BB7" s="139">
        <v>1293.46</v>
      </c>
      <c r="BC7" s="152">
        <f t="shared" si="8"/>
        <v>3880.38</v>
      </c>
      <c r="BD7" s="45">
        <f>IF(A7&lt;&gt;"",IF(_xlfn.XLOOKUP(A7,'1C'!A:A,'1C'!A:A,0,0)&gt;0,1,0),"")</f>
        <v>0</v>
      </c>
      <c r="BE7" s="153">
        <f>IF(C7&lt;&gt;"",IF(_xlfn.XLOOKUP(TEXT(C7,"###"),'1C'!W:W,'1C'!D:D,0,0)&gt;0,0,1),"")</f>
        <v>1</v>
      </c>
      <c r="BF7" s="72" t="str">
        <f t="shared" si="9"/>
        <v>-</v>
      </c>
    </row>
    <row r="8" spans="1:59" ht="98.1" customHeight="1">
      <c r="A8" s="43" t="str">
        <f t="shared" si="0"/>
        <v>60222444BLK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96-006-09</v>
      </c>
      <c r="C8" s="146" t="s">
        <v>902</v>
      </c>
      <c r="D8" s="44" t="s">
        <v>929</v>
      </c>
      <c r="E8" s="43" t="str">
        <f>IF(F8&lt;&gt;"",IFERROR(VLOOKUP(F8,Категории!A:B,2,0),""),"Требуется категория")</f>
        <v>Бейсболки</v>
      </c>
      <c r="F8" s="43" t="s">
        <v>327</v>
      </c>
      <c r="G8" s="62" t="s">
        <v>884</v>
      </c>
      <c r="H8" s="43" t="s">
        <v>388</v>
      </c>
      <c r="J8" s="57" t="str">
        <f>'1C'!$AJ$1</f>
        <v>New Era</v>
      </c>
      <c r="K8" s="100" t="s">
        <v>891</v>
      </c>
      <c r="L8" s="151" t="s">
        <v>53</v>
      </c>
      <c r="M8" s="62"/>
      <c r="N8" s="62"/>
      <c r="O8" s="56" t="s">
        <v>911</v>
      </c>
      <c r="P8" s="56" t="s">
        <v>912</v>
      </c>
      <c r="Q8" s="170" t="s">
        <v>910</v>
      </c>
      <c r="R8" s="64"/>
      <c r="S8" s="56" t="s">
        <v>43</v>
      </c>
      <c r="T8" s="59" t="str">
        <f>IF(S8&lt;&gt;"",IFERROR(VLOOKUP(S8,MaterialsTypes!F:G,2,0),IFERROR(VLOOKUP(Q8,MaterialsTypes100,2,0),"")),IFERROR(VLOOKUP(Q8,MaterialsTypes100,2,0),""))</f>
        <v>Текстиль, ткань</v>
      </c>
      <c r="U8" s="59" t="s">
        <v>382</v>
      </c>
      <c r="V8" s="58">
        <v>20</v>
      </c>
      <c r="Y8" s="58"/>
      <c r="AA8" s="58"/>
      <c r="AC8" s="58"/>
      <c r="AE8" s="58"/>
      <c r="AG8" s="58"/>
      <c r="AT8" s="57">
        <f t="shared" si="1"/>
        <v>20</v>
      </c>
      <c r="AU8" s="171" t="s">
        <v>571</v>
      </c>
      <c r="AV8" s="56">
        <f t="shared" ca="1" si="2"/>
        <v>0</v>
      </c>
      <c r="AW8" s="43" t="str">
        <f t="shared" ca="1" si="3"/>
        <v>Бангладеш</v>
      </c>
      <c r="AX8" s="74">
        <f t="shared" si="4"/>
        <v>0.1</v>
      </c>
      <c r="AY8" s="43">
        <f t="shared" si="5"/>
        <v>0.15000000000000002</v>
      </c>
      <c r="AZ8" s="43">
        <f t="shared" si="6"/>
        <v>2</v>
      </c>
      <c r="BA8" s="43">
        <f t="shared" si="7"/>
        <v>3.0000000000000004</v>
      </c>
      <c r="BB8" s="139">
        <v>1442.76</v>
      </c>
      <c r="BC8" s="152">
        <f t="shared" si="8"/>
        <v>28855.200000000001</v>
      </c>
      <c r="BD8" s="45">
        <f>IF(A8&lt;&gt;"",IF(_xlfn.XLOOKUP(A8,'1C'!A:A,'1C'!A:A,0,0)&gt;0,1,0),"")</f>
        <v>0</v>
      </c>
      <c r="BE8" s="153">
        <f>IF(C8&lt;&gt;"",IF(_xlfn.XLOOKUP(TEXT(C8,"###"),'1C'!W:W,'1C'!D:D,0,0)&gt;0,0,1),"")</f>
        <v>1</v>
      </c>
      <c r="BF8" s="72" t="str">
        <f t="shared" si="9"/>
        <v>-</v>
      </c>
    </row>
    <row r="9" spans="1:59" ht="98.1" customHeight="1">
      <c r="A9" s="43" t="str">
        <f t="shared" si="0"/>
        <v>60222456IRF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96-007-06</v>
      </c>
      <c r="C9" s="146" t="s">
        <v>903</v>
      </c>
      <c r="D9" s="44" t="s">
        <v>929</v>
      </c>
      <c r="E9" s="43" t="str">
        <f>IF(F9&lt;&gt;"",IFERROR(VLOOKUP(F9,Категории!A:B,2,0),""),"Требуется категория")</f>
        <v>Бейсболки</v>
      </c>
      <c r="F9" s="43" t="s">
        <v>356</v>
      </c>
      <c r="G9" s="62" t="s">
        <v>884</v>
      </c>
      <c r="H9" s="43" t="s">
        <v>388</v>
      </c>
      <c r="J9" s="57" t="str">
        <f>'1C'!$AJ$1</f>
        <v>New Era</v>
      </c>
      <c r="K9" s="100" t="s">
        <v>887</v>
      </c>
      <c r="L9" s="151" t="s">
        <v>71</v>
      </c>
      <c r="M9" s="62"/>
      <c r="N9" s="62"/>
      <c r="O9" s="56" t="s">
        <v>911</v>
      </c>
      <c r="P9" s="56" t="s">
        <v>912</v>
      </c>
      <c r="Q9" s="170" t="s">
        <v>910</v>
      </c>
      <c r="R9" s="64"/>
      <c r="S9" s="56" t="s">
        <v>43</v>
      </c>
      <c r="T9" s="59" t="str">
        <f>IF(S9&lt;&gt;"",IFERROR(VLOOKUP(S9,MaterialsTypes!F:G,2,0),IFERROR(VLOOKUP(Q9,MaterialsTypes100,2,0),"")),IFERROR(VLOOKUP(Q9,MaterialsTypes100,2,0),""))</f>
        <v>Текстиль, ткань</v>
      </c>
      <c r="U9" s="59" t="s">
        <v>382</v>
      </c>
      <c r="V9" s="58">
        <v>6</v>
      </c>
      <c r="Y9" s="58"/>
      <c r="AA9" s="58"/>
      <c r="AC9" s="58"/>
      <c r="AE9" s="58"/>
      <c r="AG9" s="58"/>
      <c r="AT9" s="57">
        <f t="shared" si="1"/>
        <v>6</v>
      </c>
      <c r="AU9" s="171" t="s">
        <v>571</v>
      </c>
      <c r="AV9" s="56">
        <f t="shared" ca="1" si="2"/>
        <v>0</v>
      </c>
      <c r="AW9" s="43" t="str">
        <f t="shared" ca="1" si="3"/>
        <v>Бангладеш</v>
      </c>
      <c r="AX9" s="74">
        <f t="shared" si="4"/>
        <v>0.1</v>
      </c>
      <c r="AY9" s="43">
        <f t="shared" si="5"/>
        <v>0.15000000000000002</v>
      </c>
      <c r="AZ9" s="43">
        <f t="shared" si="6"/>
        <v>0.60000000000000009</v>
      </c>
      <c r="BA9" s="43">
        <f t="shared" si="7"/>
        <v>0.90000000000000013</v>
      </c>
      <c r="BB9" s="139">
        <v>1592.06</v>
      </c>
      <c r="BC9" s="152">
        <f t="shared" si="8"/>
        <v>9552.36</v>
      </c>
      <c r="BD9" s="45">
        <f>IF(A9&lt;&gt;"",IF(_xlfn.XLOOKUP(A9,'1C'!A:A,'1C'!A:A,0,0)&gt;0,1,0),"")</f>
        <v>0</v>
      </c>
      <c r="BE9" s="153">
        <f>IF(C9&lt;&gt;"",IF(_xlfn.XLOOKUP(TEXT(C9,"###"),'1C'!W:W,'1C'!D:D,0,0)&gt;0,0,1),"")</f>
        <v>1</v>
      </c>
      <c r="BF9" s="72" t="str">
        <f t="shared" si="9"/>
        <v>-</v>
      </c>
    </row>
    <row r="10" spans="1:59" ht="98.1" customHeight="1">
      <c r="A10" s="43" t="str">
        <f t="shared" si="0"/>
        <v>60222457RGD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96-008-13</v>
      </c>
      <c r="C10" s="146" t="s">
        <v>904</v>
      </c>
      <c r="D10" s="44" t="s">
        <v>929</v>
      </c>
      <c r="E10" s="43" t="str">
        <f>IF(F10&lt;&gt;"",IFERROR(VLOOKUP(F10,Категории!A:B,2,0),""),"Требуется категория")</f>
        <v>Бейсболки</v>
      </c>
      <c r="F10" s="43" t="s">
        <v>356</v>
      </c>
      <c r="G10" s="62" t="s">
        <v>884</v>
      </c>
      <c r="H10" s="43" t="s">
        <v>388</v>
      </c>
      <c r="J10" s="57" t="str">
        <f>'1C'!$AJ$1</f>
        <v>New Era</v>
      </c>
      <c r="K10" s="100" t="s">
        <v>892</v>
      </c>
      <c r="L10" s="151" t="s">
        <v>199</v>
      </c>
      <c r="M10" s="62"/>
      <c r="N10" s="62"/>
      <c r="O10" s="56" t="s">
        <v>911</v>
      </c>
      <c r="P10" s="56" t="s">
        <v>912</v>
      </c>
      <c r="Q10" s="170" t="s">
        <v>910</v>
      </c>
      <c r="R10" s="64"/>
      <c r="S10" s="56" t="s">
        <v>43</v>
      </c>
      <c r="T10" s="59" t="str">
        <f>IF(S10&lt;&gt;"",IFERROR(VLOOKUP(S10,MaterialsTypes!F:G,2,0),IFERROR(VLOOKUP(Q10,MaterialsTypes100,2,0),"")),IFERROR(VLOOKUP(Q10,MaterialsTypes100,2,0),""))</f>
        <v>Текстиль, ткань</v>
      </c>
      <c r="U10" s="59" t="s">
        <v>382</v>
      </c>
      <c r="V10" s="58">
        <v>3</v>
      </c>
      <c r="Y10" s="58"/>
      <c r="AA10" s="58"/>
      <c r="AC10" s="58"/>
      <c r="AE10" s="58"/>
      <c r="AG10" s="58"/>
      <c r="AT10" s="57">
        <f t="shared" si="1"/>
        <v>3</v>
      </c>
      <c r="AU10" s="171" t="s">
        <v>571</v>
      </c>
      <c r="AV10" s="56">
        <f t="shared" ca="1" si="2"/>
        <v>0</v>
      </c>
      <c r="AW10" s="43" t="str">
        <f t="shared" ca="1" si="3"/>
        <v>Бангладеш</v>
      </c>
      <c r="AX10" s="74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B10" s="139">
        <v>1592.06</v>
      </c>
      <c r="BC10" s="152">
        <f t="shared" si="8"/>
        <v>4776.18</v>
      </c>
      <c r="BD10" s="45">
        <f>IF(A10&lt;&gt;"",IF(_xlfn.XLOOKUP(A10,'1C'!A:A,'1C'!A:A,0,0)&gt;0,1,0),"")</f>
        <v>0</v>
      </c>
      <c r="BE10" s="153">
        <f>IF(C10&lt;&gt;"",IF(_xlfn.XLOOKUP(TEXT(C10,"###"),'1C'!W:W,'1C'!D:D,0,0)&gt;0,0,1),"")</f>
        <v>1</v>
      </c>
      <c r="BF10" s="72" t="str">
        <f t="shared" si="9"/>
        <v>-</v>
      </c>
    </row>
    <row r="11" spans="1:59" ht="98.1" customHeight="1">
      <c r="A11" s="43" t="str">
        <f t="shared" si="0"/>
        <v>60222523WHI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96-009-17</v>
      </c>
      <c r="C11" s="146" t="s">
        <v>905</v>
      </c>
      <c r="D11" s="44" t="s">
        <v>929</v>
      </c>
      <c r="E11" s="43" t="str">
        <f>IF(F11&lt;&gt;"",IFERROR(VLOOKUP(F11,Категории!A:B,2,0),""),"Требуется категория")</f>
        <v>Бейсболки</v>
      </c>
      <c r="F11" s="43" t="s">
        <v>327</v>
      </c>
      <c r="G11" s="62" t="s">
        <v>884</v>
      </c>
      <c r="H11" s="43" t="s">
        <v>388</v>
      </c>
      <c r="J11" s="57" t="str">
        <f>'1C'!$AJ$1</f>
        <v>New Era</v>
      </c>
      <c r="K11" s="100" t="s">
        <v>890</v>
      </c>
      <c r="L11" s="151" t="s">
        <v>57</v>
      </c>
      <c r="M11" s="62"/>
      <c r="N11" s="62"/>
      <c r="O11" s="56" t="s">
        <v>911</v>
      </c>
      <c r="P11" s="56" t="s">
        <v>912</v>
      </c>
      <c r="Q11" s="170" t="s">
        <v>910</v>
      </c>
      <c r="R11" s="64"/>
      <c r="S11" s="56" t="s">
        <v>43</v>
      </c>
      <c r="T11" s="59" t="str">
        <f>IF(S11&lt;&gt;"",IFERROR(VLOOKUP(S11,MaterialsTypes!F:G,2,0),IFERROR(VLOOKUP(Q11,MaterialsTypes100,2,0),"")),IFERROR(VLOOKUP(Q11,MaterialsTypes100,2,0),""))</f>
        <v>Текстиль, ткань</v>
      </c>
      <c r="U11" s="59" t="s">
        <v>387</v>
      </c>
      <c r="V11" s="58">
        <v>6</v>
      </c>
      <c r="Y11" s="58"/>
      <c r="AA11" s="58"/>
      <c r="AC11" s="58"/>
      <c r="AE11" s="58"/>
      <c r="AG11" s="58"/>
      <c r="AT11" s="57">
        <f t="shared" si="1"/>
        <v>6</v>
      </c>
      <c r="AU11" s="171" t="s">
        <v>571</v>
      </c>
      <c r="AV11" s="56">
        <f t="shared" ca="1" si="2"/>
        <v>0</v>
      </c>
      <c r="AW11" s="43" t="str">
        <f t="shared" ca="1" si="3"/>
        <v>Бангладеш</v>
      </c>
      <c r="AX11" s="74">
        <f t="shared" si="4"/>
        <v>0.1</v>
      </c>
      <c r="AY11" s="43">
        <f t="shared" si="5"/>
        <v>0.15000000000000002</v>
      </c>
      <c r="AZ11" s="43">
        <f t="shared" si="6"/>
        <v>0.60000000000000009</v>
      </c>
      <c r="BA11" s="43">
        <f t="shared" si="7"/>
        <v>0.90000000000000013</v>
      </c>
      <c r="BB11" s="139">
        <v>1293.46</v>
      </c>
      <c r="BC11" s="152">
        <f t="shared" si="8"/>
        <v>7760.76</v>
      </c>
      <c r="BD11" s="45">
        <f>IF(A11&lt;&gt;"",IF(_xlfn.XLOOKUP(A11,'1C'!A:A,'1C'!A:A,0,0)&gt;0,1,0),"")</f>
        <v>0</v>
      </c>
      <c r="BE11" s="153">
        <f>IF(C11&lt;&gt;"",IF(_xlfn.XLOOKUP(TEXT(C11,"###"),'1C'!W:W,'1C'!D:D,0,0)&gt;0,0,1),"")</f>
        <v>1</v>
      </c>
      <c r="BF11" s="72" t="str">
        <f t="shared" si="9"/>
        <v>-</v>
      </c>
    </row>
    <row r="12" spans="1:59" ht="98.1" customHeight="1">
      <c r="A12" s="43" t="str">
        <f t="shared" si="0"/>
        <v>60222525PNK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96-010-34</v>
      </c>
      <c r="C12" s="146" t="s">
        <v>906</v>
      </c>
      <c r="D12" s="44" t="s">
        <v>928</v>
      </c>
      <c r="E12" s="43" t="str">
        <f>IF(F12&lt;&gt;"",IFERROR(VLOOKUP(F12,Категории!A:B,2,0),""),"Требуется категория")</f>
        <v>Бейсболки</v>
      </c>
      <c r="F12" s="43" t="s">
        <v>327</v>
      </c>
      <c r="G12" s="62" t="s">
        <v>884</v>
      </c>
      <c r="H12" s="43" t="s">
        <v>388</v>
      </c>
      <c r="J12" s="57" t="str">
        <f>'1C'!$AJ$1</f>
        <v>New Era</v>
      </c>
      <c r="K12" s="100" t="s">
        <v>893</v>
      </c>
      <c r="L12" s="151" t="s">
        <v>68</v>
      </c>
      <c r="M12" s="62"/>
      <c r="N12" s="62"/>
      <c r="O12" s="56" t="s">
        <v>911</v>
      </c>
      <c r="P12" s="56" t="s">
        <v>913</v>
      </c>
      <c r="Q12" s="170" t="s">
        <v>910</v>
      </c>
      <c r="R12" s="64"/>
      <c r="S12" s="56" t="s">
        <v>43</v>
      </c>
      <c r="T12" s="59" t="str">
        <f>IF(S12&lt;&gt;"",IFERROR(VLOOKUP(S12,MaterialsTypes!F:G,2,0),IFERROR(VLOOKUP(Q12,MaterialsTypes100,2,0),"")),IFERROR(VLOOKUP(Q12,MaterialsTypes100,2,0),""))</f>
        <v>Текстиль, ткань</v>
      </c>
      <c r="U12" s="59" t="s">
        <v>387</v>
      </c>
      <c r="V12" s="58">
        <v>6</v>
      </c>
      <c r="Y12" s="58"/>
      <c r="AA12" s="58"/>
      <c r="AC12" s="58"/>
      <c r="AE12" s="58"/>
      <c r="AG12" s="58"/>
      <c r="AT12" s="57">
        <f t="shared" si="1"/>
        <v>6</v>
      </c>
      <c r="AU12" s="171" t="s">
        <v>571</v>
      </c>
      <c r="AV12" s="56">
        <f t="shared" ca="1" si="2"/>
        <v>0</v>
      </c>
      <c r="AW12" s="43" t="str">
        <f t="shared" ca="1" si="3"/>
        <v>Бангладеш</v>
      </c>
      <c r="AX12" s="74">
        <f t="shared" si="4"/>
        <v>0.1</v>
      </c>
      <c r="AY12" s="43">
        <f t="shared" si="5"/>
        <v>0.15000000000000002</v>
      </c>
      <c r="AZ12" s="43">
        <f t="shared" si="6"/>
        <v>0.60000000000000009</v>
      </c>
      <c r="BA12" s="43">
        <f t="shared" si="7"/>
        <v>0.90000000000000013</v>
      </c>
      <c r="BB12" s="139">
        <v>1293.46</v>
      </c>
      <c r="BC12" s="152">
        <f t="shared" si="8"/>
        <v>7760.76</v>
      </c>
      <c r="BD12" s="45">
        <f>IF(A12&lt;&gt;"",IF(_xlfn.XLOOKUP(A12,'1C'!A:A,'1C'!A:A,0,0)&gt;0,1,0),"")</f>
        <v>0</v>
      </c>
      <c r="BE12" s="153">
        <f>IF(C12&lt;&gt;"",IF(_xlfn.XLOOKUP(TEXT(C12,"###"),'1C'!W:W,'1C'!D:D,0,0)&gt;0,0,1),"")</f>
        <v>1</v>
      </c>
      <c r="BF12" s="72" t="str">
        <f t="shared" si="9"/>
        <v>-</v>
      </c>
    </row>
    <row r="13" spans="1:59" ht="98.1" customHeight="1">
      <c r="A13" s="43" t="str">
        <f t="shared" si="0"/>
        <v>60222546NOV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96-011-03</v>
      </c>
      <c r="C13" s="146" t="s">
        <v>907</v>
      </c>
      <c r="D13" s="44" t="s">
        <v>928</v>
      </c>
      <c r="E13" s="43" t="str">
        <f>IF(F13&lt;&gt;"",IFERROR(VLOOKUP(F13,Категории!A:B,2,0),""),"Требуется категория")</f>
        <v>Бейсболки</v>
      </c>
      <c r="F13" s="43" t="s">
        <v>356</v>
      </c>
      <c r="G13" s="62" t="s">
        <v>884</v>
      </c>
      <c r="H13" s="43" t="s">
        <v>388</v>
      </c>
      <c r="J13" s="57" t="str">
        <f>'1C'!$AJ$1</f>
        <v>New Era</v>
      </c>
      <c r="K13" s="100" t="s">
        <v>894</v>
      </c>
      <c r="L13" s="151" t="s">
        <v>195</v>
      </c>
      <c r="M13" s="62"/>
      <c r="N13" s="62"/>
      <c r="O13" s="56" t="s">
        <v>911</v>
      </c>
      <c r="P13" s="56" t="s">
        <v>913</v>
      </c>
      <c r="Q13" s="170" t="s">
        <v>910</v>
      </c>
      <c r="R13" s="64"/>
      <c r="S13" s="56" t="s">
        <v>43</v>
      </c>
      <c r="T13" s="59" t="str">
        <f>IF(S13&lt;&gt;"",IFERROR(VLOOKUP(S13,MaterialsTypes!F:G,2,0),IFERROR(VLOOKUP(Q13,MaterialsTypes100,2,0),"")),IFERROR(VLOOKUP(Q13,MaterialsTypes100,2,0),""))</f>
        <v>Текстиль, ткань</v>
      </c>
      <c r="U13" s="59" t="s">
        <v>382</v>
      </c>
      <c r="V13" s="58">
        <v>10</v>
      </c>
      <c r="Y13" s="58"/>
      <c r="AA13" s="58"/>
      <c r="AC13" s="58"/>
      <c r="AE13" s="58"/>
      <c r="AG13" s="58"/>
      <c r="AT13" s="57">
        <f t="shared" si="1"/>
        <v>10</v>
      </c>
      <c r="AU13" s="171" t="s">
        <v>571</v>
      </c>
      <c r="AV13" s="56">
        <f t="shared" ca="1" si="2"/>
        <v>0</v>
      </c>
      <c r="AW13" s="43" t="str">
        <f t="shared" ca="1" si="3"/>
        <v>Бангладеш</v>
      </c>
      <c r="AX13" s="74">
        <f t="shared" si="4"/>
        <v>0.1</v>
      </c>
      <c r="AY13" s="43">
        <f t="shared" si="5"/>
        <v>0.15000000000000002</v>
      </c>
      <c r="AZ13" s="43">
        <f t="shared" si="6"/>
        <v>1</v>
      </c>
      <c r="BA13" s="43">
        <f t="shared" si="7"/>
        <v>1.5000000000000002</v>
      </c>
      <c r="BB13" s="139">
        <v>1592.06</v>
      </c>
      <c r="BC13" s="152">
        <f t="shared" si="8"/>
        <v>15920.599999999999</v>
      </c>
      <c r="BD13" s="45">
        <f>IF(A13&lt;&gt;"",IF(_xlfn.XLOOKUP(A13,'1C'!A:A,'1C'!A:A,0,0)&gt;0,1,0),"")</f>
        <v>0</v>
      </c>
      <c r="BE13" s="153">
        <f>IF(C13&lt;&gt;"",IF(_xlfn.XLOOKUP(TEXT(C13,"###"),'1C'!W:W,'1C'!D:D,0,0)&gt;0,0,1),"")</f>
        <v>1</v>
      </c>
      <c r="BF13" s="72" t="str">
        <f t="shared" si="9"/>
        <v>-</v>
      </c>
    </row>
    <row r="14" spans="1:59" ht="98.1" customHeight="1">
      <c r="A14" s="43" t="str">
        <f t="shared" si="0"/>
        <v>80489231GRAPNK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96-012-80</v>
      </c>
      <c r="C14" s="146" t="s">
        <v>908</v>
      </c>
      <c r="D14" s="44" t="s">
        <v>928</v>
      </c>
      <c r="E14" s="43" t="str">
        <f>IF(F14&lt;&gt;"",IFERROR(VLOOKUP(F14,Категории!A:B,2,0),""),"Требуется категория")</f>
        <v>Бейсболки</v>
      </c>
      <c r="F14" s="43" t="s">
        <v>327</v>
      </c>
      <c r="G14" s="62" t="s">
        <v>884</v>
      </c>
      <c r="H14" s="43" t="s">
        <v>388</v>
      </c>
      <c r="J14" s="57" t="str">
        <f>'1C'!$AJ$1</f>
        <v>New Era</v>
      </c>
      <c r="K14" s="100" t="s">
        <v>895</v>
      </c>
      <c r="L14" s="151" t="s">
        <v>83</v>
      </c>
      <c r="M14" s="62"/>
      <c r="N14" s="62"/>
      <c r="O14" s="56" t="s">
        <v>911</v>
      </c>
      <c r="P14" s="56" t="s">
        <v>913</v>
      </c>
      <c r="Q14" s="170" t="s">
        <v>910</v>
      </c>
      <c r="R14" s="64"/>
      <c r="S14" s="56" t="s">
        <v>43</v>
      </c>
      <c r="T14" s="59" t="str">
        <f>IF(S14&lt;&gt;"",IFERROR(VLOOKUP(S14,MaterialsTypes!F:G,2,0),IFERROR(VLOOKUP(Q14,MaterialsTypes100,2,0),"")),IFERROR(VLOOKUP(Q14,MaterialsTypes100,2,0),""))</f>
        <v>Текстиль, ткань</v>
      </c>
      <c r="U14" s="59" t="s">
        <v>387</v>
      </c>
      <c r="V14" s="58">
        <v>1</v>
      </c>
      <c r="Y14" s="58"/>
      <c r="AA14" s="58"/>
      <c r="AC14" s="58"/>
      <c r="AE14" s="58"/>
      <c r="AG14" s="58"/>
      <c r="AT14" s="57">
        <f t="shared" si="1"/>
        <v>1</v>
      </c>
      <c r="AU14" s="171" t="s">
        <v>423</v>
      </c>
      <c r="AV14" s="56">
        <f t="shared" ca="1" si="2"/>
        <v>0</v>
      </c>
      <c r="AW14" s="43" t="str">
        <f t="shared" ca="1" si="3"/>
        <v>Китай</v>
      </c>
      <c r="AX14" s="74">
        <f t="shared" si="4"/>
        <v>0.1</v>
      </c>
      <c r="AY14" s="43">
        <f t="shared" si="5"/>
        <v>0.15000000000000002</v>
      </c>
      <c r="AZ14" s="43">
        <f t="shared" si="6"/>
        <v>0.1</v>
      </c>
      <c r="BA14" s="43">
        <f t="shared" si="7"/>
        <v>0.15000000000000002</v>
      </c>
      <c r="BB14" s="139">
        <v>1442.76</v>
      </c>
      <c r="BC14" s="152">
        <f t="shared" si="8"/>
        <v>1442.76</v>
      </c>
      <c r="BD14" s="45">
        <f>IF(A14&lt;&gt;"",IF(_xlfn.XLOOKUP(A14,'1C'!A:A,'1C'!A:A,0,0)&gt;0,1,0),"")</f>
        <v>0</v>
      </c>
      <c r="BE14" s="153">
        <f>IF(C14&lt;&gt;"",IF(_xlfn.XLOOKUP(TEXT(C14,"###"),'1C'!W:W,'1C'!D:D,0,0)&gt;0,0,1),"")</f>
        <v>1</v>
      </c>
      <c r="BF14" s="72" t="str">
        <f t="shared" si="9"/>
        <v>-</v>
      </c>
    </row>
    <row r="15" spans="1:59" ht="98.1" customHeight="1">
      <c r="A15" s="43" t="str">
        <f t="shared" si="0"/>
        <v>60112610TOFWHI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96-013-80</v>
      </c>
      <c r="C15" s="146" t="s">
        <v>909</v>
      </c>
      <c r="D15" s="44" t="s">
        <v>928</v>
      </c>
      <c r="E15" s="43" t="str">
        <f>IF(F15&lt;&gt;"",IFERROR(VLOOKUP(F15,Категории!A:B,2,0),""),"Требуется категория")</f>
        <v>Бейсболки</v>
      </c>
      <c r="F15" s="43" t="s">
        <v>327</v>
      </c>
      <c r="G15" s="62" t="s">
        <v>884</v>
      </c>
      <c r="H15" s="43" t="s">
        <v>388</v>
      </c>
      <c r="J15" s="57" t="str">
        <f>'1C'!$AJ$1</f>
        <v>New Era</v>
      </c>
      <c r="K15" s="100" t="s">
        <v>896</v>
      </c>
      <c r="L15" s="151" t="s">
        <v>83</v>
      </c>
      <c r="M15" s="62"/>
      <c r="N15" s="62"/>
      <c r="O15" s="56" t="s">
        <v>911</v>
      </c>
      <c r="P15" s="56" t="s">
        <v>913</v>
      </c>
      <c r="Q15" s="170" t="s">
        <v>910</v>
      </c>
      <c r="R15" s="64"/>
      <c r="S15" s="56" t="s">
        <v>43</v>
      </c>
      <c r="T15" s="59" t="str">
        <f>IF(S15&lt;&gt;"",IFERROR(VLOOKUP(S15,MaterialsTypes!F:G,2,0),IFERROR(VLOOKUP(Q15,MaterialsTypes100,2,0),"")),IFERROR(VLOOKUP(Q15,MaterialsTypes100,2,0),""))</f>
        <v>Текстиль, ткань</v>
      </c>
      <c r="U15" s="59" t="s">
        <v>382</v>
      </c>
      <c r="V15" s="58">
        <v>6</v>
      </c>
      <c r="Y15" s="58"/>
      <c r="AA15" s="58"/>
      <c r="AC15" s="58"/>
      <c r="AE15" s="58"/>
      <c r="AG15" s="58"/>
      <c r="AT15" s="57">
        <f t="shared" si="1"/>
        <v>6</v>
      </c>
      <c r="AU15" s="171" t="s">
        <v>571</v>
      </c>
      <c r="AV15" s="56">
        <f t="shared" ca="1" si="2"/>
        <v>0</v>
      </c>
      <c r="AW15" s="43" t="str">
        <f t="shared" ca="1" si="3"/>
        <v>Бангладеш</v>
      </c>
      <c r="AX15" s="74">
        <f t="shared" si="4"/>
        <v>0.1</v>
      </c>
      <c r="AY15" s="43">
        <f t="shared" si="5"/>
        <v>0.15000000000000002</v>
      </c>
      <c r="AZ15" s="43">
        <f t="shared" si="6"/>
        <v>0.60000000000000009</v>
      </c>
      <c r="BA15" s="43">
        <f t="shared" si="7"/>
        <v>0.90000000000000013</v>
      </c>
      <c r="BB15" s="139">
        <v>1293.46</v>
      </c>
      <c r="BC15" s="152">
        <f t="shared" si="8"/>
        <v>7760.76</v>
      </c>
      <c r="BD15" s="45">
        <f>IF(A15&lt;&gt;"",IF(_xlfn.XLOOKUP(A15,'1C'!A:A,'1C'!A:A,0,0)&gt;0,1,0),"")</f>
        <v>0</v>
      </c>
      <c r="BE15" s="153">
        <f>IF(C15&lt;&gt;"",IF(_xlfn.XLOOKUP(TEXT(C15,"###"),'1C'!W:W,'1C'!D:D,0,0)&gt;0,0,1),"")</f>
        <v>1</v>
      </c>
      <c r="BF15" s="72" t="str">
        <f t="shared" si="9"/>
        <v>-</v>
      </c>
    </row>
    <row r="16" spans="1:59" ht="98.1" customHeight="1">
      <c r="C16" s="146" t="s">
        <v>47</v>
      </c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58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U35" s="65"/>
      <c r="AV35" s="56"/>
      <c r="BE35" s="102"/>
      <c r="BF35" s="72"/>
    </row>
    <row r="36" spans="3:58" ht="98.1" customHeight="1">
      <c r="C36" s="146"/>
      <c r="G36" s="56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L40" s="99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L43" s="99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L45" s="99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5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L54" s="99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L64" s="99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L76" s="99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AU83" s="65"/>
      <c r="AV83" s="56"/>
      <c r="BE83" s="10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L85" s="99"/>
      <c r="M85" s="65"/>
      <c r="N85" s="62"/>
      <c r="O85" s="62"/>
      <c r="P85" s="62"/>
      <c r="Q85" s="132"/>
      <c r="R85" s="64"/>
      <c r="S85" s="62"/>
      <c r="T85" s="58"/>
      <c r="U85" s="58"/>
      <c r="AU85" s="65"/>
      <c r="AV85" s="56"/>
      <c r="BE85" s="102"/>
    </row>
    <row r="86" spans="3:58" ht="98.1" customHeight="1">
      <c r="C86" s="146"/>
      <c r="G86" s="56"/>
      <c r="M86" s="65"/>
      <c r="N86" s="62"/>
      <c r="O86" s="62"/>
      <c r="P86" s="62"/>
      <c r="Q86" s="132"/>
      <c r="R86" s="64"/>
      <c r="S86" s="62"/>
      <c r="T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V88" s="56"/>
      <c r="BE88" s="102"/>
    </row>
    <row r="89" spans="3:58" ht="98.1" customHeight="1"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L92" s="99"/>
      <c r="M92" s="65"/>
      <c r="N92" s="62"/>
      <c r="O92" s="62"/>
      <c r="P92" s="62"/>
      <c r="Q92" s="132"/>
      <c r="R92" s="64"/>
      <c r="S92" s="62"/>
      <c r="T92" s="58"/>
      <c r="U92" s="58"/>
      <c r="AV92" s="56"/>
      <c r="BE92" s="102"/>
    </row>
    <row r="93" spans="3:58" ht="98.1" customHeight="1">
      <c r="G93" s="56"/>
      <c r="M93" s="65"/>
      <c r="N93" s="62"/>
      <c r="O93" s="62"/>
      <c r="P93" s="62"/>
      <c r="Q93" s="132"/>
      <c r="R93" s="64"/>
      <c r="S93" s="62"/>
      <c r="T93" s="58"/>
      <c r="AV93" s="56"/>
      <c r="BE93" s="102"/>
    </row>
    <row r="94" spans="3:58" ht="98.1" customHeight="1">
      <c r="G94" s="56"/>
      <c r="L94" s="99"/>
      <c r="M94" s="65"/>
      <c r="N94" s="62"/>
      <c r="O94" s="62"/>
      <c r="P94" s="62"/>
      <c r="Q94" s="132"/>
      <c r="R94" s="64"/>
      <c r="S94" s="62"/>
      <c r="T94" s="58"/>
      <c r="U94" s="58"/>
      <c r="AV94" s="56"/>
      <c r="BE94" s="102"/>
    </row>
    <row r="95" spans="3:58" ht="98.1" customHeight="1">
      <c r="G95" s="56"/>
      <c r="M95" s="65"/>
      <c r="N95" s="62"/>
      <c r="O95" s="62"/>
      <c r="P95" s="62"/>
      <c r="Q95" s="132"/>
      <c r="R95" s="64"/>
      <c r="S95" s="62"/>
      <c r="T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L97" s="99"/>
      <c r="M97" s="65"/>
      <c r="N97" s="62"/>
      <c r="O97" s="62"/>
      <c r="P97" s="62"/>
      <c r="Q97" s="62"/>
      <c r="R97" s="64"/>
      <c r="S97" s="62"/>
      <c r="T97" s="58"/>
      <c r="U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M99" s="65"/>
      <c r="N99" s="62"/>
      <c r="O99" s="62"/>
      <c r="P99" s="62"/>
      <c r="R99" s="64"/>
      <c r="S99" s="62"/>
      <c r="T99" s="58"/>
      <c r="AV99" s="56"/>
      <c r="BE99" s="102"/>
    </row>
    <row r="100" spans="7:57" ht="98.1" customHeight="1">
      <c r="G100" s="56"/>
      <c r="L100" s="99"/>
      <c r="M100" s="65"/>
      <c r="N100" s="62"/>
      <c r="O100" s="62"/>
      <c r="P100" s="62"/>
      <c r="Q100" s="13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62"/>
      <c r="R101" s="64"/>
      <c r="S101" s="62"/>
      <c r="T101" s="58"/>
      <c r="U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132"/>
      <c r="R102" s="64"/>
      <c r="S102" s="62"/>
      <c r="T102" s="58"/>
      <c r="U102" s="58"/>
      <c r="AV102" s="56"/>
      <c r="BE102" s="102"/>
    </row>
    <row r="103" spans="7:57" ht="98.1" customHeight="1">
      <c r="G103" s="56"/>
      <c r="M103" s="65"/>
      <c r="N103" s="62"/>
      <c r="O103" s="62"/>
      <c r="P103" s="62"/>
      <c r="R103" s="64"/>
      <c r="S103" s="62"/>
      <c r="T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Q104" s="132"/>
      <c r="R104" s="64"/>
      <c r="S104" s="62"/>
      <c r="T104" s="58"/>
      <c r="AV104" s="56"/>
      <c r="BE104" s="102"/>
    </row>
    <row r="105" spans="7:57" ht="98.1" customHeight="1">
      <c r="G105" s="56"/>
      <c r="L105" s="99"/>
      <c r="M105" s="65"/>
      <c r="N105" s="62"/>
      <c r="O105" s="62"/>
      <c r="P105" s="62"/>
      <c r="Q105" s="132"/>
      <c r="R105" s="64"/>
      <c r="S105" s="62"/>
      <c r="T105" s="58"/>
      <c r="U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M111" s="65"/>
      <c r="N111" s="62"/>
      <c r="O111" s="62"/>
      <c r="P111" s="62"/>
      <c r="Q111" s="132"/>
      <c r="R111" s="64"/>
      <c r="S111" s="62"/>
      <c r="T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L113" s="99"/>
      <c r="M113" s="65"/>
      <c r="N113" s="62"/>
      <c r="O113" s="62"/>
      <c r="P113" s="62"/>
      <c r="Q113" s="132"/>
      <c r="R113" s="64"/>
      <c r="S113" s="62"/>
      <c r="T113" s="58"/>
      <c r="U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M117" s="65"/>
      <c r="N117" s="62"/>
      <c r="O117" s="62"/>
      <c r="P117" s="62"/>
      <c r="Q117" s="132"/>
      <c r="R117" s="64"/>
      <c r="S117" s="62"/>
      <c r="T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L125" s="99"/>
      <c r="M125" s="65"/>
      <c r="N125" s="62"/>
      <c r="O125" s="62"/>
      <c r="P125" s="62"/>
      <c r="Q125" s="132"/>
      <c r="R125" s="64"/>
      <c r="S125" s="62"/>
      <c r="T125" s="58"/>
      <c r="U125" s="58"/>
      <c r="AV125" s="56"/>
      <c r="BE125" s="102"/>
    </row>
    <row r="126" spans="7:57" ht="98.1" customHeight="1">
      <c r="G126" s="56"/>
      <c r="M126" s="65"/>
      <c r="N126" s="62"/>
      <c r="O126" s="62"/>
      <c r="P126" s="62"/>
      <c r="Q126" s="132"/>
      <c r="R126" s="64"/>
      <c r="S126" s="62"/>
      <c r="T126" s="58"/>
      <c r="AV126" s="56"/>
      <c r="BE126" s="102"/>
    </row>
    <row r="127" spans="7:57" ht="98.1" customHeight="1">
      <c r="G127" s="56"/>
      <c r="L127" s="99"/>
      <c r="M127" s="65"/>
      <c r="N127" s="62"/>
      <c r="O127" s="62"/>
      <c r="P127" s="62"/>
      <c r="Q127" s="132"/>
      <c r="R127" s="64"/>
      <c r="S127" s="62"/>
      <c r="T127" s="58"/>
      <c r="U127" s="58"/>
      <c r="AV127" s="56"/>
      <c r="BE127" s="102"/>
    </row>
    <row r="128" spans="7:57" ht="98.1" customHeight="1">
      <c r="G128" s="56"/>
      <c r="M128" s="65"/>
      <c r="N128" s="62"/>
      <c r="O128" s="62"/>
      <c r="P128" s="62"/>
      <c r="Q128" s="132"/>
      <c r="R128" s="64"/>
      <c r="S128" s="62"/>
      <c r="T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L134" s="99"/>
      <c r="M134" s="65"/>
      <c r="N134" s="62"/>
      <c r="O134" s="62"/>
      <c r="P134" s="62"/>
      <c r="Q134" s="132"/>
      <c r="R134" s="64"/>
      <c r="S134" s="62"/>
      <c r="T134" s="58"/>
      <c r="U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62"/>
      <c r="R136" s="64"/>
      <c r="S136" s="62"/>
      <c r="T136" s="58"/>
      <c r="U136" s="58"/>
      <c r="AV136" s="56"/>
      <c r="BE136" s="102"/>
    </row>
    <row r="137" spans="7:57" ht="98.1" customHeight="1">
      <c r="G137" s="56"/>
      <c r="M137" s="65"/>
      <c r="N137" s="62"/>
      <c r="O137" s="62"/>
      <c r="P137" s="62"/>
      <c r="Q137" s="132"/>
      <c r="R137" s="64"/>
      <c r="S137" s="62"/>
      <c r="T137" s="58"/>
      <c r="AV137" s="56"/>
      <c r="BE137" s="102"/>
    </row>
    <row r="138" spans="7:57" ht="98.1" customHeight="1">
      <c r="G138" s="56"/>
      <c r="L138" s="99"/>
      <c r="M138" s="65"/>
      <c r="N138" s="62"/>
      <c r="O138" s="62"/>
      <c r="P138" s="62"/>
      <c r="Q138" s="132"/>
      <c r="R138" s="64"/>
      <c r="S138" s="62"/>
      <c r="T138" s="58"/>
      <c r="U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M140" s="65"/>
      <c r="N140" s="62"/>
      <c r="O140" s="62"/>
      <c r="P140" s="62"/>
      <c r="Q140" s="132"/>
      <c r="R140" s="64"/>
      <c r="S140" s="62"/>
      <c r="T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M143" s="65"/>
      <c r="N143" s="62"/>
      <c r="O143" s="62"/>
      <c r="P143" s="62"/>
      <c r="Q143" s="132"/>
      <c r="R143" s="64"/>
      <c r="S143" s="62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N153" s="62"/>
      <c r="O153" s="62"/>
      <c r="P153" s="62"/>
      <c r="Q153" s="132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Q162" s="13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S165" s="62"/>
      <c r="AV165" s="56"/>
      <c r="BE165" s="102"/>
    </row>
    <row r="166" spans="14:57" ht="98.1" customHeight="1">
      <c r="N166" s="62"/>
      <c r="O166" s="62"/>
      <c r="P166" s="62"/>
      <c r="Q166" s="13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S169" s="62"/>
      <c r="AV169" s="56"/>
      <c r="BE169" s="102"/>
    </row>
    <row r="170" spans="14:57" ht="98.1" customHeight="1">
      <c r="N170" s="62"/>
      <c r="O170" s="62"/>
      <c r="P170" s="62"/>
      <c r="Q170" s="13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</sheetData>
  <sheetProtection formatColumns="0" formatRows="0" sort="0" autoFilter="0"/>
  <autoFilter ref="A1:BG88" xr:uid="{00000000-0001-0000-0000-000000000000}"/>
  <conditionalFormatting sqref="V2:AT355">
    <cfRule type="expression" dxfId="28" priority="7">
      <formula>IF(УФ_Переключатель=1,IF(ISNUMBER(V2),IF(V2&gt;0,TRUE,FALSE),FALSE))</formula>
    </cfRule>
  </conditionalFormatting>
  <conditionalFormatting sqref="BF2:BF355 AT2:BD355 J2:U355 A2:H355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A1:O2 BF1:BF355 J3:O3 A3:H3 P1:BD3 A4:BD355">
    <cfRule type="expression" dxfId="25" priority="16">
      <formula>IF(УФ_Переключатель=1,IFERROR(TEXT(RIGHT(A1,255),"###"),TRUE))</formula>
    </cfRule>
  </conditionalFormatting>
  <conditionalFormatting sqref="A1:O2 J3:O3 A3:H3 P1:BF3 A4:BF355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N1 N187:N1048576 L1:M1048576" xr:uid="{00000000-0002-0000-0000-000003000000}">
      <formula1>Цвета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E18" sqref="E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I1" s="48" t="s">
        <v>847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4" t="s">
        <v>572</v>
      </c>
      <c r="C9" s="165"/>
      <c r="D9" s="166"/>
      <c r="E9" s="38" t="s">
        <v>915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49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914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474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831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852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882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884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531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865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863</v>
      </c>
      <c r="F2" s="126" t="str">
        <v>TOQUILLA PALM</v>
      </c>
      <c r="G2" s="127" t="str">
        <v>солома Токилла</v>
      </c>
      <c r="H2" s="148" t="s">
        <v>864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807</v>
      </c>
      <c r="C24" s="21" t="s">
        <v>808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809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814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815</v>
      </c>
      <c r="C27" s="21" t="s">
        <v>817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816</v>
      </c>
      <c r="C28" s="21" t="s">
        <v>829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830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842</v>
      </c>
      <c r="C30" s="21" t="s">
        <v>841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854</v>
      </c>
      <c r="C31" s="21" t="s">
        <v>855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856</v>
      </c>
      <c r="C32" s="21" t="s">
        <v>857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858</v>
      </c>
      <c r="C33" s="149" t="s">
        <v>858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859</v>
      </c>
      <c r="C34" s="149" t="s">
        <v>859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860</v>
      </c>
      <c r="C36" s="21" t="s">
        <v>861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862</v>
      </c>
      <c r="C37" s="149" t="s">
        <v>862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808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827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828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812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826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813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810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811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804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833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851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843</v>
      </c>
      <c r="B177" s="113" t="s">
        <v>632</v>
      </c>
      <c r="D177" s="14"/>
      <c r="E177" s="14"/>
    </row>
    <row r="178" spans="1:5">
      <c r="A178" s="112" t="s">
        <v>845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805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834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835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836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837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846</v>
      </c>
      <c r="B387" s="113" t="s">
        <v>612</v>
      </c>
    </row>
    <row r="388" spans="1:2">
      <c r="A388" s="112" t="s">
        <v>844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866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867</v>
      </c>
      <c r="B831" s="113" t="s">
        <v>598</v>
      </c>
    </row>
    <row r="832" spans="1:2">
      <c r="A832" s="112" t="s">
        <v>868</v>
      </c>
      <c r="B832" s="113" t="s">
        <v>605</v>
      </c>
    </row>
    <row r="833" spans="1:2">
      <c r="A833" s="112" t="s">
        <v>869</v>
      </c>
      <c r="B833" s="113" t="s">
        <v>604</v>
      </c>
    </row>
    <row r="834" spans="1:2">
      <c r="A834" s="112" t="s">
        <v>870</v>
      </c>
      <c r="B834" s="113" t="s">
        <v>603</v>
      </c>
    </row>
    <row r="835" spans="1:2">
      <c r="A835" s="112" t="s">
        <v>871</v>
      </c>
      <c r="B835" s="113" t="s">
        <v>602</v>
      </c>
    </row>
    <row r="836" spans="1:2">
      <c r="A836" s="112" t="s">
        <v>872</v>
      </c>
      <c r="B836" s="113" t="s">
        <v>598</v>
      </c>
    </row>
    <row r="837" spans="1:2">
      <c r="A837" s="112" t="s">
        <v>873</v>
      </c>
      <c r="B837" s="113" t="s">
        <v>600</v>
      </c>
    </row>
    <row r="838" spans="1:2">
      <c r="A838" s="112" t="s">
        <v>874</v>
      </c>
      <c r="B838" s="113" t="s">
        <v>599</v>
      </c>
    </row>
    <row r="839" spans="1:2">
      <c r="A839" s="112" t="s">
        <v>875</v>
      </c>
      <c r="B839" s="113" t="s">
        <v>638</v>
      </c>
    </row>
    <row r="840" spans="1:2">
      <c r="A840" s="112" t="s">
        <v>876</v>
      </c>
      <c r="B840" s="113" t="s">
        <v>779</v>
      </c>
    </row>
    <row r="841" spans="1:2">
      <c r="A841" s="112" t="s">
        <v>877</v>
      </c>
      <c r="B841" s="113" t="s">
        <v>661</v>
      </c>
    </row>
    <row r="842" spans="1:2">
      <c r="A842" s="112" t="s">
        <v>878</v>
      </c>
      <c r="B842" s="113" t="s">
        <v>686</v>
      </c>
    </row>
    <row r="843" spans="1:2">
      <c r="A843" s="112" t="s">
        <v>879</v>
      </c>
      <c r="B843" s="113" t="s">
        <v>644</v>
      </c>
    </row>
    <row r="844" spans="1:2">
      <c r="A844" s="112" t="s">
        <v>880</v>
      </c>
      <c r="B844" s="113" t="s">
        <v>764</v>
      </c>
    </row>
    <row r="845" spans="1:2">
      <c r="A845" s="112" t="s">
        <v>881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I793"/>
  <sheetViews>
    <sheetView topLeftCell="BQ1" zoomScale="70" zoomScaleNormal="70" workbookViewId="0">
      <pane ySplit="1" topLeftCell="A2" activePane="bottomLeft" state="frozen"/>
      <selection pane="bottomLeft" activeCell="CG5" sqref="CG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16384" width="12.42578125" style="29"/>
  </cols>
  <sheetData>
    <row r="1" spans="1:8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831</v>
      </c>
      <c r="BW1" s="28"/>
      <c r="BY1" s="30"/>
      <c r="BZ1" s="25" t="s">
        <v>852</v>
      </c>
      <c r="CA1" s="28"/>
      <c r="CC1" s="30"/>
      <c r="CD1" s="25" t="s">
        <v>882</v>
      </c>
      <c r="CE1" s="28"/>
      <c r="CG1" s="30"/>
      <c r="CH1" s="25" t="s">
        <v>884</v>
      </c>
      <c r="CI1" s="28"/>
    </row>
    <row r="2" spans="1:8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</row>
    <row r="3" spans="1:8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806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832</v>
      </c>
      <c r="BY3" s="32" t="s">
        <v>438</v>
      </c>
      <c r="BZ3" s="33" t="s">
        <v>542</v>
      </c>
      <c r="CA3" s="33" t="s">
        <v>853</v>
      </c>
      <c r="CC3" s="32" t="s">
        <v>565</v>
      </c>
      <c r="CD3" s="33" t="s">
        <v>537</v>
      </c>
      <c r="CE3" s="33" t="s">
        <v>883</v>
      </c>
      <c r="CG3" s="32" t="s">
        <v>571</v>
      </c>
      <c r="CH3" s="33" t="s">
        <v>541</v>
      </c>
      <c r="CI3" s="33"/>
    </row>
    <row r="4" spans="1:8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806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853</v>
      </c>
      <c r="CC4" s="32"/>
      <c r="CD4" s="33"/>
      <c r="CE4" s="33"/>
      <c r="CG4" s="32" t="s">
        <v>423</v>
      </c>
      <c r="CH4" s="33" t="s">
        <v>386</v>
      </c>
      <c r="CI4" s="33"/>
    </row>
    <row r="5" spans="1:8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806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</row>
    <row r="6" spans="1:8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806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</row>
    <row r="7" spans="1:8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806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</row>
    <row r="8" spans="1:8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806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</row>
    <row r="9" spans="1:8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</row>
    <row r="10" spans="1:8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</row>
    <row r="11" spans="1:8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</row>
    <row r="12" spans="1:8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</row>
    <row r="13" spans="1:8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</row>
    <row r="14" spans="1:8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</row>
    <row r="15" spans="1:8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</row>
    <row r="16" spans="1:8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</row>
    <row r="17" spans="2:8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</row>
    <row r="18" spans="2:8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</row>
    <row r="19" spans="2:8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</row>
    <row r="20" spans="2:86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</row>
    <row r="21" spans="2:8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</row>
    <row r="22" spans="2:8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</row>
    <row r="23" spans="2:8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</row>
    <row r="24" spans="2:8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</row>
    <row r="25" spans="2:8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</row>
    <row r="26" spans="2:8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</row>
    <row r="27" spans="2:8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</row>
    <row r="28" spans="2:8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</row>
    <row r="29" spans="2:8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</row>
    <row r="30" spans="2:8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</row>
    <row r="31" spans="2:8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</row>
    <row r="32" spans="2:8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</row>
    <row r="33" spans="2:8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</row>
    <row r="34" spans="2:8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</row>
    <row r="35" spans="2:8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</row>
    <row r="36" spans="2:8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</row>
    <row r="37" spans="2:8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</row>
    <row r="38" spans="2:8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</row>
    <row r="39" spans="2:8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</row>
    <row r="40" spans="2:8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</row>
    <row r="41" spans="2:8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</row>
    <row r="42" spans="2:8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</row>
    <row r="43" spans="2:8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</row>
    <row r="44" spans="2:8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</row>
    <row r="45" spans="2:8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</row>
    <row r="46" spans="2:8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</row>
    <row r="47" spans="2:8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</row>
    <row r="48" spans="2:8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</row>
    <row r="49" spans="2:8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</row>
    <row r="50" spans="2:8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</row>
    <row r="51" spans="2:8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</row>
    <row r="52" spans="2:8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</row>
    <row r="53" spans="2:8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</row>
    <row r="54" spans="2:8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</row>
    <row r="55" spans="2:8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</row>
    <row r="56" spans="2:8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</row>
    <row r="57" spans="2:8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</row>
    <row r="58" spans="2:8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</row>
    <row r="59" spans="2:8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</row>
    <row r="60" spans="2:8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</row>
    <row r="61" spans="2:8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</row>
    <row r="62" spans="2:8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</row>
    <row r="63" spans="2:8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</row>
    <row r="64" spans="2:8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</row>
    <row r="65" spans="2:8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</row>
    <row r="66" spans="2:8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</row>
    <row r="67" spans="2:8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</row>
    <row r="68" spans="2:8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</row>
    <row r="69" spans="2:8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</row>
    <row r="70" spans="2:8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</row>
    <row r="71" spans="2:8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</row>
    <row r="72" spans="2:8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</row>
    <row r="73" spans="2:8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</row>
    <row r="74" spans="2:8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</row>
    <row r="75" spans="2:8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</row>
    <row r="76" spans="2:8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</row>
    <row r="77" spans="2:8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</row>
    <row r="78" spans="2:8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</row>
    <row r="79" spans="2:8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</row>
    <row r="80" spans="2:8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</row>
    <row r="81" spans="2:8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</row>
    <row r="82" spans="2:8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</row>
    <row r="83" spans="2:8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</row>
    <row r="84" spans="2:8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</row>
    <row r="85" spans="2:8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</row>
    <row r="86" spans="2:8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</row>
    <row r="87" spans="2:8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</row>
    <row r="88" spans="2:8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</row>
    <row r="89" spans="2:8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</row>
    <row r="90" spans="2:8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</row>
    <row r="91" spans="2:8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</row>
    <row r="92" spans="2:8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</row>
    <row r="93" spans="2:8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</row>
    <row r="94" spans="2:8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</row>
    <row r="95" spans="2:8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</row>
    <row r="96" spans="2:8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</row>
    <row r="97" spans="2:8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</row>
    <row r="98" spans="2:8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</row>
    <row r="99" spans="2:8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</row>
    <row r="100" spans="2:8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</row>
    <row r="101" spans="2:8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</row>
    <row r="102" spans="2:8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</row>
    <row r="103" spans="2:8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</row>
    <row r="104" spans="2:8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</row>
    <row r="105" spans="2:8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</row>
    <row r="106" spans="2:8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</row>
    <row r="107" spans="2:8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</row>
    <row r="108" spans="2:8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</row>
    <row r="109" spans="2:8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</row>
    <row r="110" spans="2:8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</row>
    <row r="111" spans="2:8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</row>
    <row r="112" spans="2:8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</row>
    <row r="113" spans="2:8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</row>
    <row r="114" spans="2:8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</row>
    <row r="115" spans="2:8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</row>
    <row r="116" spans="2:8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</row>
    <row r="117" spans="2:8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</row>
    <row r="118" spans="2:8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</row>
    <row r="119" spans="2:8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</row>
    <row r="120" spans="2:8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</row>
    <row r="121" spans="2:8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</row>
    <row r="122" spans="2:8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</row>
    <row r="123" spans="2:8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</row>
    <row r="124" spans="2:8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</row>
    <row r="125" spans="2:8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</row>
    <row r="126" spans="2:8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</row>
    <row r="127" spans="2:8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</row>
    <row r="128" spans="2:8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</row>
    <row r="129" spans="2:8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</row>
    <row r="130" spans="2:8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</row>
    <row r="131" spans="2:8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</row>
    <row r="132" spans="2:8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</row>
    <row r="133" spans="2:8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</row>
    <row r="134" spans="2:8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</row>
    <row r="135" spans="2:8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</row>
    <row r="136" spans="2:8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</row>
    <row r="137" spans="2:8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</row>
    <row r="138" spans="2:8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</row>
    <row r="139" spans="2:8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</row>
    <row r="140" spans="2:8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</row>
    <row r="141" spans="2:8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</row>
    <row r="142" spans="2:8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</row>
    <row r="143" spans="2:8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</row>
    <row r="144" spans="2:8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</row>
    <row r="145" spans="2:8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</row>
    <row r="146" spans="2:8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</row>
    <row r="147" spans="2:8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</row>
    <row r="148" spans="2:8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</row>
    <row r="149" spans="2:8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</row>
    <row r="150" spans="2:8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</row>
    <row r="151" spans="2:8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</row>
    <row r="152" spans="2:8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</row>
    <row r="153" spans="2:8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</row>
    <row r="154" spans="2:8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</row>
    <row r="155" spans="2:8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</row>
    <row r="156" spans="2:8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</row>
    <row r="157" spans="2:8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</row>
    <row r="158" spans="2:8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</row>
    <row r="159" spans="2:8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</row>
    <row r="160" spans="2:8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</row>
    <row r="161" spans="2:8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</row>
    <row r="162" spans="2:8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</row>
    <row r="163" spans="2:8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</row>
    <row r="164" spans="2:8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</row>
    <row r="165" spans="2:8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</row>
    <row r="166" spans="2:8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</row>
    <row r="167" spans="2:8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</row>
    <row r="168" spans="2:8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</row>
    <row r="169" spans="2:8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</row>
    <row r="170" spans="2:8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</row>
    <row r="171" spans="2:8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</row>
    <row r="172" spans="2:8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</row>
    <row r="173" spans="2:8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</row>
    <row r="174" spans="2:8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</row>
    <row r="175" spans="2:8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</row>
    <row r="176" spans="2:8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</row>
    <row r="177" spans="2:8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</row>
    <row r="178" spans="2:8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</row>
    <row r="179" spans="2:8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</row>
    <row r="180" spans="2:8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</row>
    <row r="181" spans="2:8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</row>
    <row r="182" spans="2:8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</row>
    <row r="183" spans="2:8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</row>
    <row r="184" spans="2:8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</row>
    <row r="185" spans="2:8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</row>
    <row r="186" spans="2:8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</row>
    <row r="187" spans="2:8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</row>
    <row r="188" spans="2:8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</row>
    <row r="189" spans="2:8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</row>
    <row r="190" spans="2:8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</row>
    <row r="191" spans="2:8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</row>
    <row r="192" spans="2:8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</row>
    <row r="193" spans="2:8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</row>
    <row r="194" spans="2:8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</row>
    <row r="195" spans="2:8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</row>
    <row r="196" spans="2:8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</row>
    <row r="197" spans="2:8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</row>
    <row r="198" spans="2:8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</row>
    <row r="199" spans="2:8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</row>
    <row r="200" spans="2:8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</row>
    <row r="201" spans="2:8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</row>
    <row r="202" spans="2:8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</row>
    <row r="203" spans="2:8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</row>
    <row r="204" spans="2:8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</row>
    <row r="205" spans="2:8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</row>
    <row r="206" spans="2:8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</row>
    <row r="207" spans="2:8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</row>
    <row r="208" spans="2:8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</row>
    <row r="209" spans="2:8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</row>
    <row r="210" spans="2:8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</row>
    <row r="211" spans="2:8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</row>
    <row r="212" spans="2:8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</row>
    <row r="213" spans="2:8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</row>
    <row r="214" spans="2:8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</row>
    <row r="215" spans="2:8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</row>
    <row r="216" spans="2:8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</row>
    <row r="217" spans="2:8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</row>
    <row r="218" spans="2:8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</row>
    <row r="219" spans="2:8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</row>
    <row r="220" spans="2:8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</row>
    <row r="221" spans="2:8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</row>
    <row r="222" spans="2:8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</row>
    <row r="223" spans="2:8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</row>
    <row r="224" spans="2:8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</row>
    <row r="225" spans="2:8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</row>
    <row r="226" spans="2:8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</row>
    <row r="227" spans="2:8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</row>
    <row r="228" spans="2:8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</row>
    <row r="229" spans="2:8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</row>
    <row r="230" spans="2:8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</row>
    <row r="231" spans="2:8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</row>
    <row r="232" spans="2:8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</row>
    <row r="233" spans="2:8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</row>
    <row r="234" spans="2:8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</row>
    <row r="235" spans="2:8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</row>
    <row r="236" spans="2:8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</row>
    <row r="237" spans="2:8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</row>
    <row r="238" spans="2:8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</row>
    <row r="239" spans="2:8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</row>
    <row r="240" spans="2:8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</row>
    <row r="241" spans="2:8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</row>
    <row r="242" spans="2:8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</row>
    <row r="243" spans="2:8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</row>
    <row r="244" spans="2:8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</row>
    <row r="245" spans="2:8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</row>
    <row r="246" spans="2:8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</row>
    <row r="247" spans="2:8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</row>
    <row r="248" spans="2:8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</row>
    <row r="249" spans="2:8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</row>
    <row r="250" spans="2:8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</row>
    <row r="251" spans="2:8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</row>
    <row r="252" spans="2:8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</row>
    <row r="253" spans="2:8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</row>
    <row r="254" spans="2:8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</row>
    <row r="255" spans="2:8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</row>
    <row r="256" spans="2:8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</row>
    <row r="257" spans="2:8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</row>
    <row r="258" spans="2:8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</row>
    <row r="259" spans="2:8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</row>
    <row r="260" spans="2:8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</row>
    <row r="261" spans="2:8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</row>
    <row r="262" spans="2:8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</row>
    <row r="263" spans="2:8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</row>
    <row r="264" spans="2:8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</row>
    <row r="265" spans="2:8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</row>
    <row r="266" spans="2:8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</row>
    <row r="267" spans="2:8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</row>
    <row r="268" spans="2:8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</row>
    <row r="269" spans="2:8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</row>
    <row r="270" spans="2:8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</row>
    <row r="271" spans="2:8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</row>
    <row r="272" spans="2:8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</row>
    <row r="273" spans="2:8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</row>
    <row r="274" spans="2:8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</row>
    <row r="275" spans="2:8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</row>
    <row r="276" spans="2:8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</row>
    <row r="277" spans="2:8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</row>
    <row r="278" spans="2:8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</row>
    <row r="279" spans="2:8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</row>
    <row r="280" spans="2:8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</row>
    <row r="281" spans="2:8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</row>
    <row r="282" spans="2:8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</row>
    <row r="283" spans="2:8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</row>
    <row r="284" spans="2:8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</row>
    <row r="285" spans="2:8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</row>
    <row r="286" spans="2:8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</row>
    <row r="287" spans="2:8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</row>
    <row r="288" spans="2:8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</row>
    <row r="289" spans="2:8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</row>
    <row r="290" spans="2:8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</row>
    <row r="291" spans="2:8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</row>
    <row r="292" spans="2:8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</row>
    <row r="293" spans="2:8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</row>
    <row r="294" spans="2:8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</row>
    <row r="295" spans="2:8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</row>
    <row r="296" spans="2:8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</row>
    <row r="297" spans="2:8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</row>
    <row r="298" spans="2:8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</row>
    <row r="299" spans="2:8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</row>
    <row r="300" spans="2:8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</row>
    <row r="301" spans="2:8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</row>
    <row r="302" spans="2:8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</row>
    <row r="303" spans="2:8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</row>
    <row r="304" spans="2:8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</row>
    <row r="305" spans="2:8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</row>
    <row r="306" spans="2:8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</row>
    <row r="307" spans="2:8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</row>
    <row r="308" spans="2:8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</row>
    <row r="309" spans="2:8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</row>
    <row r="310" spans="2:8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</row>
    <row r="311" spans="2:8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</row>
    <row r="312" spans="2:8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</row>
    <row r="313" spans="2:8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</row>
    <row r="314" spans="2:8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</row>
    <row r="315" spans="2:8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</row>
    <row r="316" spans="2:8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</row>
    <row r="317" spans="2:8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</row>
    <row r="318" spans="2:8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</row>
    <row r="319" spans="2:8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</row>
    <row r="320" spans="2:8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</row>
    <row r="321" spans="2:8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</row>
    <row r="322" spans="2:8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</row>
    <row r="323" spans="2:8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</row>
    <row r="324" spans="2:8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</row>
    <row r="325" spans="2:8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</row>
    <row r="326" spans="2:8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</row>
    <row r="327" spans="2:8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</row>
    <row r="328" spans="2:8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</row>
    <row r="329" spans="2:8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</row>
    <row r="330" spans="2:8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</row>
    <row r="331" spans="2:8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</row>
    <row r="332" spans="2:8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</row>
    <row r="333" spans="2:8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</row>
    <row r="334" spans="2:8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</row>
    <row r="335" spans="2:8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</row>
    <row r="336" spans="2:8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</row>
    <row r="337" spans="2:8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</row>
    <row r="338" spans="2:8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</row>
    <row r="339" spans="2:8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</row>
    <row r="340" spans="2:8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</row>
    <row r="341" spans="2:8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</row>
    <row r="342" spans="2:8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</row>
    <row r="343" spans="2:8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</row>
    <row r="344" spans="2:8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</row>
    <row r="345" spans="2:8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</row>
    <row r="346" spans="2:8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</row>
    <row r="347" spans="2:8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</row>
    <row r="348" spans="2:8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</row>
    <row r="349" spans="2:8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</row>
    <row r="350" spans="2:8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</row>
    <row r="351" spans="2:8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</row>
    <row r="352" spans="2:8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</row>
    <row r="353" spans="2:8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</row>
    <row r="354" spans="2:8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</row>
    <row r="355" spans="2:8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</row>
    <row r="356" spans="2:8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</row>
    <row r="357" spans="2:8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</row>
    <row r="358" spans="2:8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</row>
    <row r="359" spans="2:8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</row>
    <row r="360" spans="2:8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</row>
    <row r="361" spans="2:8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</row>
    <row r="362" spans="2:8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</row>
    <row r="363" spans="2:8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</row>
    <row r="364" spans="2:8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</row>
    <row r="365" spans="2:8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</row>
    <row r="366" spans="2:8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</row>
    <row r="367" spans="2:8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</row>
    <row r="368" spans="2:8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</row>
    <row r="369" spans="2:8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</row>
    <row r="370" spans="2:8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</row>
    <row r="371" spans="2:8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</row>
    <row r="372" spans="2:8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</row>
    <row r="373" spans="2:8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</row>
    <row r="374" spans="2:8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</row>
    <row r="375" spans="2:8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</row>
    <row r="376" spans="2:8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</row>
    <row r="377" spans="2:8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</row>
    <row r="378" spans="2:8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</row>
    <row r="379" spans="2:8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</row>
    <row r="380" spans="2:8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</row>
    <row r="381" spans="2:8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</row>
    <row r="382" spans="2:8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</row>
    <row r="383" spans="2:8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</row>
    <row r="384" spans="2:8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</row>
    <row r="385" spans="2:8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</row>
    <row r="386" spans="2:8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</row>
    <row r="387" spans="2:8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</row>
    <row r="388" spans="2:8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</row>
    <row r="389" spans="2:8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</row>
    <row r="390" spans="2:8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</row>
    <row r="391" spans="2:8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</row>
    <row r="392" spans="2:8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</row>
    <row r="393" spans="2:8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</row>
    <row r="394" spans="2:8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</row>
    <row r="395" spans="2:8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</row>
    <row r="396" spans="2:8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</row>
    <row r="397" spans="2:8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</row>
    <row r="398" spans="2:8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</row>
    <row r="399" spans="2:8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</row>
    <row r="400" spans="2:8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</row>
    <row r="401" spans="2:8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</row>
    <row r="402" spans="2:8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</row>
    <row r="403" spans="2:8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</row>
    <row r="404" spans="2:8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</row>
    <row r="405" spans="2:8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</row>
    <row r="406" spans="2:8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</row>
    <row r="407" spans="2:8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</row>
    <row r="408" spans="2:8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</row>
    <row r="409" spans="2:8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</row>
    <row r="410" spans="2:8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</row>
    <row r="411" spans="2:8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</row>
    <row r="412" spans="2:8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</row>
    <row r="413" spans="2:8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</row>
    <row r="414" spans="2:8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</row>
    <row r="415" spans="2:8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</row>
    <row r="416" spans="2:8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</row>
    <row r="417" spans="2:8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</row>
    <row r="418" spans="2:8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</row>
    <row r="419" spans="2:8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</row>
    <row r="420" spans="2:8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</row>
    <row r="421" spans="2:8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</row>
    <row r="422" spans="2:8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</row>
    <row r="423" spans="2:8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</row>
    <row r="424" spans="2:8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</row>
    <row r="425" spans="2:8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</row>
    <row r="426" spans="2:8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</row>
    <row r="427" spans="2:8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</row>
    <row r="428" spans="2:8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</row>
    <row r="429" spans="2:8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</row>
    <row r="430" spans="2:8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</row>
    <row r="431" spans="2:8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</row>
    <row r="432" spans="2:8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</row>
    <row r="433" spans="2:8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</row>
    <row r="434" spans="2:8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</row>
    <row r="435" spans="2:8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</row>
    <row r="436" spans="2:8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</row>
    <row r="437" spans="2:8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</row>
    <row r="438" spans="2:8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</row>
    <row r="439" spans="2:8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</row>
    <row r="440" spans="2:8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</row>
    <row r="441" spans="2:8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</row>
    <row r="442" spans="2:8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</row>
    <row r="443" spans="2:8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</row>
    <row r="444" spans="2:8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</row>
    <row r="445" spans="2:8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</row>
    <row r="446" spans="2:8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</row>
    <row r="447" spans="2:8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</row>
    <row r="448" spans="2:8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</row>
    <row r="449" spans="2:8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</row>
    <row r="450" spans="2:8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</row>
    <row r="451" spans="2:8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</row>
    <row r="452" spans="2:8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</row>
    <row r="453" spans="2:8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</row>
    <row r="454" spans="2:8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</row>
    <row r="455" spans="2:8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</row>
    <row r="456" spans="2:8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</row>
    <row r="457" spans="2:8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</row>
    <row r="458" spans="2:8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</row>
    <row r="459" spans="2:8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</row>
    <row r="460" spans="2:8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</row>
    <row r="461" spans="2:8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</row>
    <row r="462" spans="2:8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</row>
    <row r="463" spans="2:8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</row>
    <row r="464" spans="2:8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</row>
    <row r="465" spans="2:8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</row>
    <row r="466" spans="2:8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</row>
    <row r="467" spans="2:8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</row>
    <row r="468" spans="2:8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</row>
    <row r="469" spans="2:8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</row>
    <row r="470" spans="2:8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</row>
    <row r="471" spans="2:8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</row>
    <row r="472" spans="2:8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</row>
    <row r="473" spans="2:8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</row>
    <row r="474" spans="2:8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</row>
    <row r="475" spans="2:8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</row>
    <row r="476" spans="2:8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</row>
    <row r="477" spans="2:8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</row>
    <row r="478" spans="2:8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</row>
    <row r="479" spans="2:8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</row>
    <row r="480" spans="2:8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</row>
    <row r="481" spans="2:8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</row>
    <row r="482" spans="2:8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</row>
    <row r="483" spans="2:8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</row>
    <row r="484" spans="2:8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</row>
    <row r="485" spans="2:8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</row>
    <row r="486" spans="2:8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</row>
    <row r="487" spans="2:8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</row>
    <row r="488" spans="2:8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</row>
    <row r="489" spans="2:8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</row>
    <row r="490" spans="2:8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</row>
    <row r="491" spans="2:8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</row>
    <row r="492" spans="2:8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</row>
    <row r="493" spans="2:8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</row>
    <row r="494" spans="2:8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</row>
    <row r="495" spans="2:8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</row>
    <row r="496" spans="2:8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</row>
    <row r="497" spans="2:8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</row>
    <row r="498" spans="2:8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</row>
    <row r="499" spans="2:8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</row>
    <row r="500" spans="2:8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</row>
    <row r="501" spans="2:8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</row>
    <row r="502" spans="2:8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</row>
    <row r="503" spans="2:8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</row>
    <row r="504" spans="2:8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</row>
    <row r="505" spans="2:8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</row>
    <row r="506" spans="2:8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</row>
    <row r="507" spans="2:8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</row>
    <row r="508" spans="2:8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</row>
    <row r="509" spans="2:8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</row>
    <row r="510" spans="2:8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</row>
    <row r="511" spans="2:8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</row>
    <row r="512" spans="2:8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</row>
    <row r="513" spans="2:8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</row>
    <row r="514" spans="2:8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</row>
    <row r="515" spans="2:8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</row>
    <row r="516" spans="2:8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</row>
    <row r="517" spans="2:8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</row>
    <row r="518" spans="2:8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</row>
    <row r="519" spans="2:8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</row>
    <row r="520" spans="2:8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</row>
    <row r="521" spans="2:8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</row>
    <row r="522" spans="2:8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</row>
    <row r="523" spans="2:8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</row>
    <row r="524" spans="2:8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</row>
    <row r="525" spans="2:8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</row>
    <row r="526" spans="2:8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</row>
    <row r="527" spans="2:8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</row>
    <row r="528" spans="2:8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</row>
    <row r="529" spans="2:8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</row>
    <row r="530" spans="2:8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</row>
    <row r="531" spans="2:8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</row>
    <row r="532" spans="2:8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</row>
    <row r="533" spans="2:8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</row>
    <row r="534" spans="2:8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</row>
    <row r="535" spans="2:8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</row>
    <row r="536" spans="2:8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</row>
    <row r="537" spans="2:8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</row>
    <row r="538" spans="2:8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</row>
    <row r="539" spans="2:8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</row>
    <row r="540" spans="2:8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</row>
    <row r="541" spans="2:8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</row>
    <row r="542" spans="2:8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</row>
    <row r="543" spans="2:8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</row>
    <row r="544" spans="2:8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</row>
    <row r="545" spans="2:8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</row>
    <row r="546" spans="2:8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</row>
    <row r="547" spans="2:8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</row>
    <row r="548" spans="2:8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</row>
    <row r="549" spans="2:8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</row>
    <row r="550" spans="2:8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</row>
    <row r="551" spans="2:8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</row>
    <row r="552" spans="2:8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</row>
    <row r="553" spans="2:8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</row>
    <row r="554" spans="2:8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</row>
    <row r="555" spans="2:8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</row>
    <row r="556" spans="2:8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</row>
    <row r="557" spans="2:8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</row>
    <row r="558" spans="2:8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</row>
    <row r="559" spans="2:8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</row>
    <row r="560" spans="2:8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</row>
    <row r="561" spans="2:8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</row>
    <row r="562" spans="2:8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</row>
    <row r="563" spans="2:8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</row>
    <row r="564" spans="2:8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</row>
    <row r="565" spans="2:8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</row>
    <row r="566" spans="2:8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</row>
    <row r="567" spans="2:8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</row>
    <row r="568" spans="2:8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</row>
    <row r="569" spans="2:8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</row>
    <row r="570" spans="2:8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</row>
    <row r="571" spans="2:8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</row>
    <row r="572" spans="2:8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</row>
    <row r="573" spans="2:8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</row>
    <row r="574" spans="2:8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</row>
    <row r="575" spans="2:8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</row>
    <row r="576" spans="2:8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</row>
    <row r="577" spans="2:8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</row>
    <row r="578" spans="2:8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</row>
    <row r="579" spans="2:8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</row>
    <row r="580" spans="2:8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</row>
    <row r="581" spans="2:8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</row>
    <row r="582" spans="2:8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</row>
    <row r="583" spans="2:8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</row>
    <row r="584" spans="2:8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</row>
    <row r="585" spans="2:8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</row>
    <row r="586" spans="2:8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</row>
    <row r="587" spans="2:8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</row>
    <row r="588" spans="2:8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</row>
    <row r="589" spans="2:8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</row>
    <row r="590" spans="2:8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</row>
    <row r="591" spans="2:8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</row>
    <row r="592" spans="2:8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</row>
    <row r="593" spans="2:8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</row>
    <row r="594" spans="2:8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</row>
    <row r="595" spans="2:8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</row>
    <row r="596" spans="2:8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</row>
    <row r="597" spans="2:8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</row>
    <row r="598" spans="2:8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</row>
    <row r="599" spans="2:8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</row>
    <row r="600" spans="2:8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</row>
    <row r="601" spans="2:8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</row>
    <row r="602" spans="2:8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</row>
    <row r="603" spans="2:8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</row>
    <row r="604" spans="2:8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</row>
    <row r="605" spans="2:8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</row>
    <row r="606" spans="2:8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</row>
    <row r="607" spans="2:8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</row>
    <row r="608" spans="2:8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</row>
    <row r="609" spans="2:8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</row>
    <row r="610" spans="2:8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</row>
    <row r="611" spans="2:8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</row>
    <row r="612" spans="2:8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</row>
    <row r="613" spans="2:8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</row>
    <row r="614" spans="2:8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</row>
    <row r="615" spans="2:8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</row>
    <row r="616" spans="2:8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</row>
    <row r="617" spans="2:8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</row>
    <row r="618" spans="2:8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</row>
    <row r="619" spans="2:8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</row>
    <row r="620" spans="2:8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</row>
    <row r="621" spans="2:8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</row>
    <row r="622" spans="2:8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</row>
    <row r="623" spans="2:8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</row>
    <row r="624" spans="2:8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</row>
    <row r="625" spans="2:8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</row>
    <row r="626" spans="2:8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</row>
    <row r="627" spans="2:8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</row>
    <row r="628" spans="2:8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</row>
    <row r="629" spans="2:8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</row>
    <row r="630" spans="2:8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</row>
    <row r="631" spans="2:8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</row>
    <row r="632" spans="2:8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</row>
    <row r="633" spans="2:8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</row>
    <row r="634" spans="2:8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</row>
    <row r="635" spans="2:8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</row>
    <row r="636" spans="2:8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</row>
    <row r="637" spans="2:8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</row>
    <row r="638" spans="2:8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</row>
    <row r="639" spans="2:8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</row>
    <row r="640" spans="2:8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</row>
    <row r="641" spans="2:8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</row>
    <row r="642" spans="2:8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</row>
    <row r="643" spans="2:8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</row>
    <row r="644" spans="2:8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</row>
    <row r="645" spans="2:8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</row>
    <row r="646" spans="2:8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</row>
    <row r="647" spans="2:8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</row>
    <row r="648" spans="2:8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</row>
    <row r="649" spans="2:8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</row>
    <row r="650" spans="2:8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</row>
    <row r="651" spans="2:8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</row>
    <row r="652" spans="2:8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</row>
    <row r="653" spans="2:8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</row>
    <row r="654" spans="2:8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</row>
    <row r="655" spans="2:8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</row>
    <row r="656" spans="2:8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</row>
    <row r="657" spans="2:8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</row>
    <row r="658" spans="2:8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</row>
    <row r="659" spans="2:8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</row>
    <row r="660" spans="2:8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</row>
    <row r="661" spans="2:8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</row>
    <row r="662" spans="2:8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</row>
    <row r="663" spans="2:8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</row>
    <row r="664" spans="2:8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</row>
    <row r="665" spans="2:8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</row>
    <row r="666" spans="2:8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</row>
    <row r="667" spans="2:8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</row>
    <row r="668" spans="2:8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</row>
    <row r="669" spans="2:8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</row>
    <row r="670" spans="2:8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</row>
    <row r="671" spans="2:8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</row>
    <row r="672" spans="2:8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</row>
    <row r="673" spans="2:8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</row>
    <row r="674" spans="2:8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</row>
    <row r="675" spans="2:8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</row>
    <row r="676" spans="2:8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</row>
    <row r="677" spans="2:8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</row>
    <row r="678" spans="2:8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</row>
    <row r="679" spans="2:8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</row>
    <row r="680" spans="2:8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</row>
    <row r="681" spans="2:8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</row>
    <row r="682" spans="2:8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</row>
    <row r="683" spans="2:8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</row>
    <row r="684" spans="2:8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</row>
    <row r="685" spans="2:8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</row>
    <row r="686" spans="2:8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</row>
    <row r="687" spans="2:8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</row>
    <row r="688" spans="2:8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</row>
    <row r="689" spans="2:8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</row>
    <row r="690" spans="2:8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</row>
    <row r="691" spans="2:8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</row>
    <row r="692" spans="2:8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</row>
    <row r="693" spans="2:8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</row>
    <row r="694" spans="2:8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</row>
    <row r="695" spans="2:8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</row>
    <row r="696" spans="2:8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</row>
    <row r="697" spans="2:8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</row>
    <row r="698" spans="2:8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</row>
    <row r="699" spans="2:8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</row>
    <row r="700" spans="2:8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</row>
    <row r="701" spans="2:8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</row>
    <row r="702" spans="2:8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</row>
    <row r="703" spans="2:8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</row>
    <row r="704" spans="2:8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</row>
    <row r="705" spans="2:8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</row>
    <row r="706" spans="2:8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</row>
    <row r="707" spans="2:8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</row>
    <row r="708" spans="2:8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</row>
    <row r="709" spans="2:8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</row>
    <row r="710" spans="2:8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</row>
    <row r="711" spans="2:8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</row>
    <row r="712" spans="2:8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</row>
    <row r="713" spans="2:8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</row>
    <row r="714" spans="2:8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</row>
    <row r="715" spans="2:8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</row>
    <row r="716" spans="2:8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</row>
    <row r="717" spans="2:8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</row>
    <row r="718" spans="2:8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</row>
    <row r="719" spans="2:8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</row>
    <row r="720" spans="2:8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</row>
    <row r="721" spans="2:8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</row>
    <row r="722" spans="2:8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</row>
    <row r="723" spans="2:8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</row>
    <row r="724" spans="2:8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</row>
    <row r="725" spans="2:8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</row>
    <row r="726" spans="2:8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</row>
    <row r="727" spans="2:8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</row>
    <row r="728" spans="2:8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</row>
    <row r="729" spans="2:8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</row>
    <row r="730" spans="2:8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</row>
    <row r="731" spans="2:8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</row>
    <row r="732" spans="2:8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</row>
    <row r="733" spans="2:8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</row>
    <row r="734" spans="2:8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</row>
    <row r="735" spans="2:8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</row>
    <row r="736" spans="2:8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</row>
    <row r="737" spans="2:8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</row>
    <row r="738" spans="2:8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</row>
    <row r="739" spans="2:8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</row>
    <row r="740" spans="2:8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</row>
    <row r="741" spans="2:8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</row>
    <row r="742" spans="2:8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</row>
    <row r="743" spans="2:8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</row>
    <row r="744" spans="2:8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</row>
    <row r="745" spans="2:8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</row>
    <row r="746" spans="2:8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</row>
    <row r="747" spans="2:8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</row>
    <row r="748" spans="2:8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</row>
    <row r="749" spans="2:8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</row>
    <row r="750" spans="2:8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</row>
    <row r="751" spans="2:8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</row>
    <row r="752" spans="2:8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</row>
    <row r="753" spans="2:8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</row>
    <row r="754" spans="2:8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</row>
    <row r="755" spans="2:8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</row>
    <row r="756" spans="2:8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</row>
    <row r="757" spans="2:8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</row>
    <row r="758" spans="2:8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</row>
    <row r="759" spans="2:8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</row>
    <row r="760" spans="2:8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</row>
    <row r="761" spans="2:8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</row>
    <row r="762" spans="2:8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</row>
    <row r="763" spans="2:8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</row>
    <row r="764" spans="2:8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</row>
    <row r="765" spans="2:8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</row>
    <row r="766" spans="2:8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</row>
    <row r="767" spans="2:8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</row>
    <row r="768" spans="2:8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</row>
    <row r="769" spans="2:8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</row>
    <row r="770" spans="2:8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</row>
    <row r="771" spans="2:8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</row>
    <row r="772" spans="2:8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</row>
    <row r="773" spans="2:8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</row>
    <row r="774" spans="2:8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</row>
    <row r="775" spans="2:8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</row>
    <row r="776" spans="2:8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</row>
    <row r="777" spans="2:8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</row>
    <row r="778" spans="2:8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</row>
    <row r="779" spans="2:8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</row>
    <row r="780" spans="2:8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</row>
    <row r="781" spans="2:8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</row>
    <row r="782" spans="2:8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</row>
    <row r="783" spans="2:8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</row>
    <row r="784" spans="2:8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</row>
    <row r="785" spans="2:8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</row>
    <row r="786" spans="2:8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</row>
    <row r="787" spans="2:8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</row>
    <row r="788" spans="2:8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</row>
    <row r="789" spans="2:8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</row>
    <row r="790" spans="2:8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</row>
    <row r="791" spans="2:8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</row>
    <row r="792" spans="2:8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</row>
    <row r="793" spans="2:8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2" activePane="bottomLeft" state="frozen"/>
      <selection pane="bottomLeft" activeCell="Z13" sqref="A10:Z1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840</v>
      </c>
      <c r="T1" s="79" t="s">
        <v>838</v>
      </c>
      <c r="U1" s="79" t="s">
        <v>839</v>
      </c>
      <c r="V1" s="79" t="s">
        <v>849</v>
      </c>
      <c r="W1" s="79" t="s">
        <v>474</v>
      </c>
      <c r="X1" s="79" t="s">
        <v>475</v>
      </c>
      <c r="Y1" s="80"/>
      <c r="Z1" s="77" t="s">
        <v>588</v>
      </c>
      <c r="AA1" s="144" t="s">
        <v>885</v>
      </c>
      <c r="AB1" s="77" t="s">
        <v>557</v>
      </c>
      <c r="AC1" s="75">
        <f>MAX(AC2:AC10000)</f>
        <v>96</v>
      </c>
      <c r="AD1" s="75"/>
      <c r="AE1" s="75" t="str">
        <f>RIGHT(TEXT(MAX(AE2:AE10000),"###"),3)</f>
        <v>013</v>
      </c>
      <c r="AF1" s="76" t="str">
        <f>RIGHT("000"&amp;AC1,2)&amp;"-"&amp;RIGHT("000"&amp;AE1,3)</f>
        <v>96-013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96-014-</v>
      </c>
      <c r="AI1" s="78" t="s">
        <v>582</v>
      </c>
      <c r="AJ1" s="142" t="s">
        <v>884</v>
      </c>
      <c r="AK1" s="78" t="s">
        <v>850</v>
      </c>
      <c r="AL1" s="143">
        <v>0</v>
      </c>
    </row>
    <row r="2" spans="1:38">
      <c r="A2" s="81" t="str">
        <f>IF(G2&amp;Q2&lt;&gt;"",W2&amp;Q2,"")</f>
        <v>10531954</v>
      </c>
      <c r="B2" s="81" t="str">
        <f>IF(C2&lt;&gt;"",LEFT(C2,9),"")</f>
        <v>96-001-</v>
      </c>
      <c r="C2" s="103" t="s">
        <v>885</v>
      </c>
      <c r="G2" s="104" t="s">
        <v>897</v>
      </c>
      <c r="V2" s="81" t="str">
        <f>W2&amp;H2</f>
        <v>10531954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10531954</v>
      </c>
      <c r="X2" s="81" t="str">
        <f>IF(A2&lt;&gt;"",IFERROR(IF(FIND(" ",G2)&gt;=1,MID(G2,FIND(" ",G2)+1,LEN(G2)),""),""),"")</f>
        <v/>
      </c>
      <c r="AC2" s="60">
        <f>IFERROR(VALUE(MID($C2,1,2)),0)</f>
        <v>96</v>
      </c>
      <c r="AD2" s="49">
        <f t="shared" ref="AD2:AD66" si="1">IFERROR(VALUE(MID($C2,4,3)),0)</f>
        <v>1</v>
      </c>
      <c r="AE2" s="60">
        <f>VALUE(RIGHT("00"&amp;AC2,2)&amp;RIGHT("000"&amp;AD2,3))</f>
        <v>96001</v>
      </c>
    </row>
    <row r="3" spans="1:38">
      <c r="A3" s="81" t="str">
        <f t="shared" ref="A3:A66" si="2">IF(G3&amp;Q3&lt;&gt;"",W3&amp;Q3,"")</f>
        <v>60222282</v>
      </c>
      <c r="B3" s="81" t="str">
        <f t="shared" ref="B3:B66" si="3">IF(C3&lt;&gt;"",LEFT(C3,9),"")</f>
        <v>96-002-</v>
      </c>
      <c r="C3" s="103" t="s">
        <v>916</v>
      </c>
      <c r="G3" s="104" t="s">
        <v>898</v>
      </c>
      <c r="V3" s="81" t="str">
        <f t="shared" ref="V3:V66" si="4">W3&amp;H3</f>
        <v>60222282</v>
      </c>
      <c r="W3" s="81" t="str">
        <f t="shared" si="0"/>
        <v>60222282</v>
      </c>
      <c r="X3" s="81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96</v>
      </c>
      <c r="AD3" s="49">
        <f t="shared" si="1"/>
        <v>2</v>
      </c>
      <c r="AE3" s="60">
        <f t="shared" ref="AE3:AE66" si="7">VALUE(RIGHT("00"&amp;AC3,2)&amp;RIGHT("000"&amp;AD3,3))</f>
        <v>96002</v>
      </c>
    </row>
    <row r="4" spans="1:38">
      <c r="A4" s="81" t="str">
        <f t="shared" si="2"/>
        <v>60222321</v>
      </c>
      <c r="B4" s="81" t="str">
        <f t="shared" si="3"/>
        <v>96-003-</v>
      </c>
      <c r="C4" s="103" t="s">
        <v>917</v>
      </c>
      <c r="G4" s="104" t="s">
        <v>899</v>
      </c>
      <c r="V4" s="81" t="str">
        <f t="shared" si="4"/>
        <v>60222321</v>
      </c>
      <c r="W4" s="81" t="str">
        <f t="shared" si="0"/>
        <v>60222321</v>
      </c>
      <c r="X4" s="81" t="str">
        <f t="shared" si="5"/>
        <v/>
      </c>
      <c r="AC4" s="60">
        <f t="shared" si="6"/>
        <v>96</v>
      </c>
      <c r="AD4" s="49">
        <f t="shared" si="1"/>
        <v>3</v>
      </c>
      <c r="AE4" s="60">
        <f t="shared" si="7"/>
        <v>96003</v>
      </c>
    </row>
    <row r="5" spans="1:38">
      <c r="A5" s="81" t="str">
        <f t="shared" si="2"/>
        <v>60222348</v>
      </c>
      <c r="B5" s="81" t="str">
        <f t="shared" si="3"/>
        <v>96-004-</v>
      </c>
      <c r="C5" s="103" t="s">
        <v>918</v>
      </c>
      <c r="G5" s="104" t="s">
        <v>900</v>
      </c>
      <c r="V5" s="81" t="str">
        <f t="shared" si="4"/>
        <v>60222348</v>
      </c>
      <c r="W5" s="81" t="str">
        <f t="shared" si="0"/>
        <v>60222348</v>
      </c>
      <c r="X5" s="81" t="str">
        <f t="shared" si="5"/>
        <v/>
      </c>
      <c r="AC5" s="60">
        <f t="shared" si="6"/>
        <v>96</v>
      </c>
      <c r="AD5" s="49">
        <f t="shared" si="1"/>
        <v>4</v>
      </c>
      <c r="AE5" s="60">
        <f t="shared" si="7"/>
        <v>96004</v>
      </c>
    </row>
    <row r="6" spans="1:38">
      <c r="A6" s="81" t="str">
        <f t="shared" si="2"/>
        <v>60222351</v>
      </c>
      <c r="B6" s="81" t="str">
        <f t="shared" si="3"/>
        <v>96-005-</v>
      </c>
      <c r="C6" s="103" t="s">
        <v>919</v>
      </c>
      <c r="G6" s="104" t="s">
        <v>901</v>
      </c>
      <c r="V6" s="81" t="str">
        <f t="shared" si="4"/>
        <v>60222351</v>
      </c>
      <c r="W6" s="81" t="str">
        <f t="shared" si="0"/>
        <v>60222351</v>
      </c>
      <c r="X6" s="81" t="str">
        <f t="shared" si="5"/>
        <v/>
      </c>
      <c r="AC6" s="60">
        <f t="shared" si="6"/>
        <v>96</v>
      </c>
      <c r="AD6" s="49">
        <f t="shared" si="1"/>
        <v>5</v>
      </c>
      <c r="AE6" s="60">
        <f t="shared" si="7"/>
        <v>96005</v>
      </c>
    </row>
    <row r="7" spans="1:38">
      <c r="A7" s="81" t="str">
        <f t="shared" si="2"/>
        <v>60222444</v>
      </c>
      <c r="B7" s="81" t="str">
        <f t="shared" si="3"/>
        <v>96-006-</v>
      </c>
      <c r="C7" s="103" t="s">
        <v>920</v>
      </c>
      <c r="G7" s="104" t="s">
        <v>902</v>
      </c>
      <c r="V7" s="81" t="str">
        <f t="shared" si="4"/>
        <v>60222444</v>
      </c>
      <c r="W7" s="81" t="str">
        <f t="shared" si="0"/>
        <v>60222444</v>
      </c>
      <c r="X7" s="81" t="str">
        <f t="shared" si="5"/>
        <v/>
      </c>
      <c r="AC7" s="60">
        <f t="shared" si="6"/>
        <v>96</v>
      </c>
      <c r="AD7" s="49">
        <f t="shared" si="1"/>
        <v>6</v>
      </c>
      <c r="AE7" s="60">
        <f t="shared" si="7"/>
        <v>96006</v>
      </c>
    </row>
    <row r="8" spans="1:38">
      <c r="A8" s="81" t="str">
        <f t="shared" si="2"/>
        <v>60222456</v>
      </c>
      <c r="B8" s="81" t="str">
        <f t="shared" si="3"/>
        <v>96-007-</v>
      </c>
      <c r="C8" s="103" t="s">
        <v>921</v>
      </c>
      <c r="G8" s="104" t="s">
        <v>903</v>
      </c>
      <c r="V8" s="81" t="str">
        <f t="shared" si="4"/>
        <v>60222456</v>
      </c>
      <c r="W8" s="81" t="str">
        <f t="shared" si="0"/>
        <v>60222456</v>
      </c>
      <c r="X8" s="81" t="str">
        <f t="shared" si="5"/>
        <v/>
      </c>
      <c r="AC8" s="60">
        <f t="shared" si="6"/>
        <v>96</v>
      </c>
      <c r="AD8" s="49">
        <f t="shared" si="1"/>
        <v>7</v>
      </c>
      <c r="AE8" s="60">
        <f t="shared" si="7"/>
        <v>96007</v>
      </c>
    </row>
    <row r="9" spans="1:38">
      <c r="A9" s="81" t="str">
        <f t="shared" si="2"/>
        <v>60222457</v>
      </c>
      <c r="B9" s="81" t="str">
        <f t="shared" si="3"/>
        <v>96-008-</v>
      </c>
      <c r="C9" s="103" t="s">
        <v>922</v>
      </c>
      <c r="G9" s="104" t="s">
        <v>904</v>
      </c>
      <c r="V9" s="81" t="str">
        <f t="shared" si="4"/>
        <v>60222457</v>
      </c>
      <c r="W9" s="81" t="str">
        <f t="shared" si="0"/>
        <v>60222457</v>
      </c>
      <c r="X9" s="81" t="str">
        <f t="shared" si="5"/>
        <v/>
      </c>
      <c r="AC9" s="60">
        <f t="shared" si="6"/>
        <v>96</v>
      </c>
      <c r="AD9" s="49">
        <f t="shared" si="1"/>
        <v>8</v>
      </c>
      <c r="AE9" s="60">
        <f t="shared" si="7"/>
        <v>96008</v>
      </c>
    </row>
    <row r="10" spans="1:38">
      <c r="A10" s="81" t="str">
        <f t="shared" si="2"/>
        <v>60222523</v>
      </c>
      <c r="B10" s="81" t="str">
        <f t="shared" si="3"/>
        <v>96-009-</v>
      </c>
      <c r="C10" s="103" t="s">
        <v>923</v>
      </c>
      <c r="G10" s="104" t="s">
        <v>905</v>
      </c>
      <c r="V10" s="81" t="str">
        <f t="shared" si="4"/>
        <v>60222523</v>
      </c>
      <c r="W10" s="81" t="str">
        <f t="shared" si="0"/>
        <v>60222523</v>
      </c>
      <c r="X10" s="81" t="str">
        <f t="shared" si="5"/>
        <v/>
      </c>
      <c r="AC10" s="60">
        <f t="shared" si="6"/>
        <v>96</v>
      </c>
      <c r="AD10" s="49">
        <f t="shared" si="1"/>
        <v>9</v>
      </c>
      <c r="AE10" s="60">
        <f t="shared" si="7"/>
        <v>96009</v>
      </c>
    </row>
    <row r="11" spans="1:38">
      <c r="A11" s="81" t="str">
        <f t="shared" si="2"/>
        <v>60222525</v>
      </c>
      <c r="B11" s="81" t="str">
        <f t="shared" si="3"/>
        <v>96-010-</v>
      </c>
      <c r="C11" s="103" t="s">
        <v>924</v>
      </c>
      <c r="G11" s="104" t="s">
        <v>906</v>
      </c>
      <c r="V11" s="81" t="str">
        <f t="shared" si="4"/>
        <v>60222525</v>
      </c>
      <c r="W11" s="81" t="str">
        <f t="shared" si="0"/>
        <v>60222525</v>
      </c>
      <c r="X11" s="81" t="str">
        <f t="shared" si="5"/>
        <v/>
      </c>
      <c r="AC11" s="60">
        <f t="shared" si="6"/>
        <v>96</v>
      </c>
      <c r="AD11" s="49">
        <f t="shared" si="1"/>
        <v>10</v>
      </c>
      <c r="AE11" s="60">
        <f t="shared" si="7"/>
        <v>96010</v>
      </c>
    </row>
    <row r="12" spans="1:38">
      <c r="A12" s="81" t="str">
        <f t="shared" si="2"/>
        <v>60222546</v>
      </c>
      <c r="B12" s="81" t="str">
        <f t="shared" si="3"/>
        <v>96-011-</v>
      </c>
      <c r="C12" s="103" t="s">
        <v>925</v>
      </c>
      <c r="G12" s="104" t="s">
        <v>907</v>
      </c>
      <c r="V12" s="81" t="str">
        <f t="shared" si="4"/>
        <v>60222546</v>
      </c>
      <c r="W12" s="81" t="str">
        <f t="shared" si="0"/>
        <v>60222546</v>
      </c>
      <c r="X12" s="81" t="str">
        <f t="shared" si="5"/>
        <v/>
      </c>
      <c r="AC12" s="60">
        <f t="shared" si="6"/>
        <v>96</v>
      </c>
      <c r="AD12" s="49">
        <f t="shared" si="1"/>
        <v>11</v>
      </c>
      <c r="AE12" s="60">
        <f t="shared" si="7"/>
        <v>96011</v>
      </c>
    </row>
    <row r="13" spans="1:38">
      <c r="A13" s="81" t="str">
        <f t="shared" si="2"/>
        <v>80489231</v>
      </c>
      <c r="B13" s="81" t="str">
        <f t="shared" si="3"/>
        <v>96-012-</v>
      </c>
      <c r="C13" s="103" t="s">
        <v>926</v>
      </c>
      <c r="G13" s="104" t="s">
        <v>908</v>
      </c>
      <c r="V13" s="81" t="str">
        <f t="shared" si="4"/>
        <v>80489231</v>
      </c>
      <c r="W13" s="81" t="str">
        <f t="shared" si="0"/>
        <v>80489231</v>
      </c>
      <c r="X13" s="81" t="str">
        <f t="shared" si="5"/>
        <v/>
      </c>
      <c r="AC13" s="60">
        <f t="shared" si="6"/>
        <v>96</v>
      </c>
      <c r="AD13" s="49">
        <f t="shared" si="1"/>
        <v>12</v>
      </c>
      <c r="AE13" s="60">
        <f t="shared" si="7"/>
        <v>96012</v>
      </c>
    </row>
    <row r="14" spans="1:38">
      <c r="A14" s="81" t="str">
        <f t="shared" si="2"/>
        <v>60112610</v>
      </c>
      <c r="B14" s="81" t="str">
        <f t="shared" si="3"/>
        <v>96-013-</v>
      </c>
      <c r="C14" s="103" t="s">
        <v>927</v>
      </c>
      <c r="G14" s="104" t="s">
        <v>909</v>
      </c>
      <c r="V14" s="81" t="str">
        <f t="shared" si="4"/>
        <v>60112610</v>
      </c>
      <c r="W14" s="81" t="str">
        <f t="shared" si="0"/>
        <v>60112610</v>
      </c>
      <c r="X14" s="81" t="str">
        <f t="shared" si="5"/>
        <v/>
      </c>
      <c r="AC14" s="60">
        <f t="shared" si="6"/>
        <v>96</v>
      </c>
      <c r="AD14" s="49">
        <f t="shared" si="1"/>
        <v>13</v>
      </c>
      <c r="AE14" s="60">
        <f t="shared" si="7"/>
        <v>96013</v>
      </c>
    </row>
    <row r="15" spans="1:38">
      <c r="A15" s="81" t="str">
        <f t="shared" si="2"/>
        <v/>
      </c>
      <c r="B15" s="81" t="str">
        <f t="shared" si="3"/>
        <v/>
      </c>
      <c r="G15" s="104"/>
      <c r="V15" s="81" t="str">
        <f t="shared" si="4"/>
        <v/>
      </c>
      <c r="W15" s="81" t="str">
        <f t="shared" si="0"/>
        <v/>
      </c>
      <c r="X15" s="81" t="str">
        <f t="shared" si="5"/>
        <v/>
      </c>
      <c r="AC15" s="60">
        <f t="shared" si="6"/>
        <v>0</v>
      </c>
      <c r="AD15" s="49">
        <f t="shared" si="1"/>
        <v>0</v>
      </c>
      <c r="AE15" s="60">
        <f t="shared" si="7"/>
        <v>0</v>
      </c>
    </row>
    <row r="16" spans="1:38">
      <c r="A16" s="81" t="str">
        <f t="shared" si="2"/>
        <v/>
      </c>
      <c r="B16" s="81" t="str">
        <f t="shared" si="3"/>
        <v/>
      </c>
      <c r="G16" s="104"/>
      <c r="V16" s="81" t="str">
        <f t="shared" si="4"/>
        <v/>
      </c>
      <c r="W16" s="81" t="str">
        <f t="shared" si="0"/>
        <v/>
      </c>
      <c r="X16" s="81" t="str">
        <f t="shared" si="5"/>
        <v/>
      </c>
      <c r="AC16" s="60">
        <f t="shared" si="6"/>
        <v>0</v>
      </c>
      <c r="AD16" s="49">
        <f t="shared" si="1"/>
        <v>0</v>
      </c>
      <c r="AE16" s="60">
        <f t="shared" si="7"/>
        <v>0</v>
      </c>
    </row>
    <row r="17" spans="1:31">
      <c r="A17" s="81" t="str">
        <f t="shared" si="2"/>
        <v/>
      </c>
      <c r="B17" s="81" t="str">
        <f t="shared" si="3"/>
        <v/>
      </c>
      <c r="G17" s="104"/>
      <c r="V17" s="81" t="str">
        <f t="shared" si="4"/>
        <v/>
      </c>
      <c r="W17" s="81" t="str">
        <f t="shared" si="0"/>
        <v/>
      </c>
      <c r="X17" s="81" t="str">
        <f t="shared" si="5"/>
        <v/>
      </c>
      <c r="AC17" s="60">
        <f t="shared" si="6"/>
        <v>0</v>
      </c>
      <c r="AD17" s="49">
        <f t="shared" si="1"/>
        <v>0</v>
      </c>
      <c r="AE17" s="60">
        <f t="shared" si="7"/>
        <v>0</v>
      </c>
    </row>
    <row r="18" spans="1:31">
      <c r="A18" s="81" t="str">
        <f t="shared" si="2"/>
        <v/>
      </c>
      <c r="B18" s="81" t="str">
        <f t="shared" si="3"/>
        <v/>
      </c>
      <c r="G18" s="104"/>
      <c r="V18" s="81" t="str">
        <f t="shared" si="4"/>
        <v/>
      </c>
      <c r="W18" s="81" t="str">
        <f t="shared" si="0"/>
        <v/>
      </c>
      <c r="X18" s="81" t="str">
        <f t="shared" si="5"/>
        <v/>
      </c>
      <c r="AC18" s="60">
        <f t="shared" si="6"/>
        <v>0</v>
      </c>
      <c r="AD18" s="49">
        <f t="shared" si="1"/>
        <v>0</v>
      </c>
      <c r="AE18" s="60">
        <f t="shared" si="7"/>
        <v>0</v>
      </c>
    </row>
    <row r="19" spans="1:31">
      <c r="A19" s="81" t="str">
        <f t="shared" si="2"/>
        <v/>
      </c>
      <c r="B19" s="81" t="str">
        <f t="shared" si="3"/>
        <v/>
      </c>
      <c r="G19" s="104"/>
      <c r="V19" s="81" t="str">
        <f t="shared" si="4"/>
        <v/>
      </c>
      <c r="W19" s="81" t="str">
        <f t="shared" si="0"/>
        <v/>
      </c>
      <c r="X19" s="81" t="str">
        <f t="shared" si="5"/>
        <v/>
      </c>
      <c r="AC19" s="60">
        <f t="shared" si="6"/>
        <v>0</v>
      </c>
      <c r="AD19" s="49">
        <f t="shared" si="1"/>
        <v>0</v>
      </c>
      <c r="AE19" s="60">
        <f t="shared" si="7"/>
        <v>0</v>
      </c>
    </row>
    <row r="20" spans="1:31">
      <c r="A20" s="81" t="str">
        <f t="shared" si="2"/>
        <v/>
      </c>
      <c r="B20" s="81" t="str">
        <f t="shared" si="3"/>
        <v/>
      </c>
      <c r="G20" s="104"/>
      <c r="V20" s="81" t="str">
        <f t="shared" si="4"/>
        <v/>
      </c>
      <c r="W20" s="81" t="str">
        <f t="shared" si="0"/>
        <v/>
      </c>
      <c r="X20" s="81" t="str">
        <f t="shared" si="5"/>
        <v/>
      </c>
      <c r="AC20" s="60">
        <f t="shared" si="6"/>
        <v>0</v>
      </c>
      <c r="AD20" s="49">
        <f t="shared" si="1"/>
        <v>0</v>
      </c>
      <c r="AE20" s="60">
        <f t="shared" si="7"/>
        <v>0</v>
      </c>
    </row>
    <row r="21" spans="1:31">
      <c r="A21" s="81" t="str">
        <f t="shared" si="2"/>
        <v/>
      </c>
      <c r="B21" s="81" t="str">
        <f t="shared" si="3"/>
        <v/>
      </c>
      <c r="G21" s="104"/>
      <c r="V21" s="81" t="str">
        <f t="shared" si="4"/>
        <v/>
      </c>
      <c r="W21" s="81" t="str">
        <f t="shared" si="0"/>
        <v/>
      </c>
      <c r="X21" s="81" t="str">
        <f t="shared" si="5"/>
        <v/>
      </c>
      <c r="AC21" s="60">
        <f t="shared" si="6"/>
        <v>0</v>
      </c>
      <c r="AD21" s="49">
        <f t="shared" si="1"/>
        <v>0</v>
      </c>
      <c r="AE21" s="60">
        <f t="shared" si="7"/>
        <v>0</v>
      </c>
    </row>
    <row r="22" spans="1:31">
      <c r="A22" s="81" t="str">
        <f t="shared" si="2"/>
        <v/>
      </c>
      <c r="B22" s="81" t="str">
        <f t="shared" si="3"/>
        <v/>
      </c>
      <c r="G22" s="104"/>
      <c r="V22" s="81" t="str">
        <f t="shared" si="4"/>
        <v/>
      </c>
      <c r="W22" s="81" t="str">
        <f t="shared" si="0"/>
        <v/>
      </c>
      <c r="X22" s="81" t="str">
        <f t="shared" si="5"/>
        <v/>
      </c>
      <c r="AC22" s="60">
        <f t="shared" si="6"/>
        <v>0</v>
      </c>
      <c r="AD22" s="49">
        <f t="shared" si="1"/>
        <v>0</v>
      </c>
      <c r="AE22" s="60">
        <f t="shared" si="7"/>
        <v>0</v>
      </c>
    </row>
    <row r="23" spans="1:31">
      <c r="A23" s="81" t="str">
        <f t="shared" si="2"/>
        <v/>
      </c>
      <c r="B23" s="81" t="str">
        <f t="shared" si="3"/>
        <v/>
      </c>
      <c r="G23" s="104"/>
      <c r="V23" s="81" t="str">
        <f t="shared" si="4"/>
        <v/>
      </c>
      <c r="W23" s="81" t="str">
        <f t="shared" si="0"/>
        <v/>
      </c>
      <c r="X23" s="81" t="str">
        <f t="shared" si="5"/>
        <v/>
      </c>
      <c r="AC23" s="60">
        <f t="shared" si="6"/>
        <v>0</v>
      </c>
      <c r="AD23" s="49">
        <f t="shared" si="1"/>
        <v>0</v>
      </c>
      <c r="AE23" s="60">
        <f t="shared" si="7"/>
        <v>0</v>
      </c>
    </row>
    <row r="24" spans="1:31">
      <c r="A24" s="81" t="str">
        <f t="shared" si="2"/>
        <v/>
      </c>
      <c r="B24" s="81" t="str">
        <f t="shared" si="3"/>
        <v/>
      </c>
      <c r="G24" s="104"/>
      <c r="V24" s="81" t="str">
        <f t="shared" si="4"/>
        <v/>
      </c>
      <c r="W24" s="81" t="str">
        <f t="shared" si="0"/>
        <v/>
      </c>
      <c r="X24" s="81" t="str">
        <f t="shared" si="5"/>
        <v/>
      </c>
      <c r="AC24" s="60">
        <f t="shared" si="6"/>
        <v>0</v>
      </c>
      <c r="AD24" s="49">
        <f t="shared" si="1"/>
        <v>0</v>
      </c>
      <c r="AE24" s="60">
        <f t="shared" si="7"/>
        <v>0</v>
      </c>
    </row>
    <row r="25" spans="1:31">
      <c r="A25" s="81" t="str">
        <f t="shared" si="2"/>
        <v/>
      </c>
      <c r="B25" s="81" t="str">
        <f t="shared" si="3"/>
        <v/>
      </c>
      <c r="G25" s="104"/>
      <c r="V25" s="81" t="str">
        <f t="shared" si="4"/>
        <v/>
      </c>
      <c r="W25" s="81" t="str">
        <f t="shared" si="0"/>
        <v/>
      </c>
      <c r="X25" s="81" t="str">
        <f t="shared" si="5"/>
        <v/>
      </c>
      <c r="AC25" s="60">
        <f t="shared" si="6"/>
        <v>0</v>
      </c>
      <c r="AD25" s="49">
        <f t="shared" si="1"/>
        <v>0</v>
      </c>
      <c r="AE25" s="60">
        <f t="shared" si="7"/>
        <v>0</v>
      </c>
    </row>
    <row r="26" spans="1:31">
      <c r="A26" s="81" t="str">
        <f t="shared" si="2"/>
        <v/>
      </c>
      <c r="B26" s="81" t="str">
        <f t="shared" si="3"/>
        <v/>
      </c>
      <c r="G26" s="104"/>
      <c r="V26" s="81" t="str">
        <f t="shared" si="4"/>
        <v/>
      </c>
      <c r="W26" s="81" t="str">
        <f t="shared" si="0"/>
        <v/>
      </c>
      <c r="X26" s="81" t="str">
        <f t="shared" si="5"/>
        <v/>
      </c>
      <c r="AC26" s="60">
        <f t="shared" si="6"/>
        <v>0</v>
      </c>
      <c r="AD26" s="49">
        <f t="shared" si="1"/>
        <v>0</v>
      </c>
      <c r="AE26" s="60">
        <f t="shared" si="7"/>
        <v>0</v>
      </c>
    </row>
    <row r="27" spans="1:31">
      <c r="A27" s="81" t="str">
        <f t="shared" si="2"/>
        <v/>
      </c>
      <c r="B27" s="81" t="str">
        <f t="shared" si="3"/>
        <v/>
      </c>
      <c r="G27" s="104"/>
      <c r="V27" s="81" t="str">
        <f t="shared" si="4"/>
        <v/>
      </c>
      <c r="W27" s="81" t="str">
        <f t="shared" si="0"/>
        <v/>
      </c>
      <c r="X27" s="81" t="str">
        <f t="shared" si="5"/>
        <v/>
      </c>
      <c r="AC27" s="60">
        <f t="shared" si="6"/>
        <v>0</v>
      </c>
      <c r="AD27" s="49">
        <f t="shared" si="1"/>
        <v>0</v>
      </c>
      <c r="AE27" s="60">
        <f t="shared" si="7"/>
        <v>0</v>
      </c>
    </row>
    <row r="28" spans="1:31">
      <c r="A28" s="81" t="str">
        <f t="shared" si="2"/>
        <v/>
      </c>
      <c r="B28" s="81" t="str">
        <f t="shared" si="3"/>
        <v/>
      </c>
      <c r="G28" s="104"/>
      <c r="V28" s="81" t="str">
        <f t="shared" si="4"/>
        <v/>
      </c>
      <c r="W28" s="81" t="str">
        <f t="shared" si="0"/>
        <v/>
      </c>
      <c r="X28" s="81" t="str">
        <f t="shared" si="5"/>
        <v/>
      </c>
      <c r="AC28" s="60">
        <f t="shared" si="6"/>
        <v>0</v>
      </c>
      <c r="AD28" s="49">
        <f t="shared" si="1"/>
        <v>0</v>
      </c>
      <c r="AE28" s="60">
        <f t="shared" si="7"/>
        <v>0</v>
      </c>
    </row>
    <row r="29" spans="1:31">
      <c r="A29" s="81" t="str">
        <f t="shared" si="2"/>
        <v/>
      </c>
      <c r="B29" s="81" t="str">
        <f t="shared" si="3"/>
        <v/>
      </c>
      <c r="G29" s="104"/>
      <c r="V29" s="81" t="str">
        <f t="shared" si="4"/>
        <v/>
      </c>
      <c r="W29" s="81" t="str">
        <f t="shared" si="0"/>
        <v/>
      </c>
      <c r="X29" s="81" t="str">
        <f t="shared" si="5"/>
        <v/>
      </c>
      <c r="AC29" s="60">
        <f t="shared" si="6"/>
        <v>0</v>
      </c>
      <c r="AD29" s="49">
        <f t="shared" si="1"/>
        <v>0</v>
      </c>
      <c r="AE29" s="60">
        <f t="shared" si="7"/>
        <v>0</v>
      </c>
    </row>
    <row r="30" spans="1:31">
      <c r="A30" s="81" t="str">
        <f t="shared" si="2"/>
        <v/>
      </c>
      <c r="B30" s="81" t="str">
        <f t="shared" si="3"/>
        <v/>
      </c>
      <c r="G30" s="104"/>
      <c r="V30" s="81" t="str">
        <f t="shared" si="4"/>
        <v/>
      </c>
      <c r="W30" s="81" t="str">
        <f t="shared" si="0"/>
        <v/>
      </c>
      <c r="X30" s="81" t="str">
        <f t="shared" si="5"/>
        <v/>
      </c>
      <c r="AC30" s="60">
        <f t="shared" si="6"/>
        <v>0</v>
      </c>
      <c r="AD30" s="49">
        <f t="shared" si="1"/>
        <v>0</v>
      </c>
      <c r="AE30" s="60">
        <f t="shared" si="7"/>
        <v>0</v>
      </c>
    </row>
    <row r="31" spans="1:31">
      <c r="A31" s="81" t="str">
        <f t="shared" si="2"/>
        <v/>
      </c>
      <c r="B31" s="81" t="str">
        <f t="shared" si="3"/>
        <v/>
      </c>
      <c r="G31" s="104"/>
      <c r="V31" s="81" t="str">
        <f t="shared" si="4"/>
        <v/>
      </c>
      <c r="W31" s="81" t="str">
        <f t="shared" si="0"/>
        <v/>
      </c>
      <c r="X31" s="81" t="str">
        <f t="shared" si="5"/>
        <v/>
      </c>
      <c r="AC31" s="60">
        <f t="shared" si="6"/>
        <v>0</v>
      </c>
      <c r="AD31" s="49">
        <f t="shared" si="1"/>
        <v>0</v>
      </c>
      <c r="AE31" s="60">
        <f t="shared" si="7"/>
        <v>0</v>
      </c>
    </row>
    <row r="32" spans="1:31">
      <c r="A32" s="81" t="str">
        <f t="shared" si="2"/>
        <v/>
      </c>
      <c r="B32" s="81" t="str">
        <f t="shared" si="3"/>
        <v/>
      </c>
      <c r="G32" s="104"/>
      <c r="V32" s="81" t="str">
        <f t="shared" si="4"/>
        <v/>
      </c>
      <c r="W32" s="81" t="str">
        <f t="shared" si="0"/>
        <v/>
      </c>
      <c r="X32" s="81" t="str">
        <f t="shared" si="5"/>
        <v/>
      </c>
      <c r="AC32" s="60">
        <f t="shared" si="6"/>
        <v>0</v>
      </c>
      <c r="AD32" s="49">
        <f t="shared" si="1"/>
        <v>0</v>
      </c>
      <c r="AE32" s="60">
        <f t="shared" si="7"/>
        <v>0</v>
      </c>
    </row>
    <row r="33" spans="1:31">
      <c r="A33" s="81" t="str">
        <f t="shared" si="2"/>
        <v/>
      </c>
      <c r="B33" s="81" t="str">
        <f t="shared" si="3"/>
        <v/>
      </c>
      <c r="G33" s="104"/>
      <c r="V33" s="81" t="str">
        <f t="shared" si="4"/>
        <v/>
      </c>
      <c r="W33" s="81" t="str">
        <f t="shared" si="0"/>
        <v/>
      </c>
      <c r="X33" s="81" t="str">
        <f t="shared" si="5"/>
        <v/>
      </c>
      <c r="AC33" s="60">
        <f t="shared" si="6"/>
        <v>0</v>
      </c>
      <c r="AD33" s="49">
        <f t="shared" si="1"/>
        <v>0</v>
      </c>
      <c r="AE33" s="60">
        <f t="shared" si="7"/>
        <v>0</v>
      </c>
    </row>
    <row r="34" spans="1:31">
      <c r="A34" s="81" t="str">
        <f t="shared" si="2"/>
        <v/>
      </c>
      <c r="B34" s="81" t="str">
        <f t="shared" si="3"/>
        <v/>
      </c>
      <c r="G34" s="104"/>
      <c r="V34" s="81" t="str">
        <f t="shared" si="4"/>
        <v/>
      </c>
      <c r="W34" s="81" t="str">
        <f t="shared" si="0"/>
        <v/>
      </c>
      <c r="X34" s="81" t="str">
        <f t="shared" si="5"/>
        <v/>
      </c>
      <c r="AC34" s="60">
        <f t="shared" si="6"/>
        <v>0</v>
      </c>
      <c r="AD34" s="49">
        <f t="shared" si="1"/>
        <v>0</v>
      </c>
      <c r="AE34" s="60">
        <f t="shared" si="7"/>
        <v>0</v>
      </c>
    </row>
    <row r="35" spans="1:31">
      <c r="A35" s="81" t="str">
        <f t="shared" si="2"/>
        <v/>
      </c>
      <c r="B35" s="81" t="str">
        <f t="shared" si="3"/>
        <v/>
      </c>
      <c r="G35" s="104"/>
      <c r="V35" s="81" t="str">
        <f t="shared" si="4"/>
        <v/>
      </c>
      <c r="W35" s="81" t="str">
        <f t="shared" si="0"/>
        <v/>
      </c>
      <c r="X35" s="81" t="str">
        <f t="shared" si="5"/>
        <v/>
      </c>
      <c r="AC35" s="60">
        <f t="shared" si="6"/>
        <v>0</v>
      </c>
      <c r="AD35" s="49">
        <f t="shared" si="1"/>
        <v>0</v>
      </c>
      <c r="AE35" s="60">
        <f t="shared" si="7"/>
        <v>0</v>
      </c>
    </row>
    <row r="36" spans="1:31">
      <c r="A36" s="81" t="str">
        <f t="shared" si="2"/>
        <v/>
      </c>
      <c r="B36" s="81" t="str">
        <f t="shared" si="3"/>
        <v/>
      </c>
      <c r="G36" s="104"/>
      <c r="V36" s="81" t="str">
        <f t="shared" si="4"/>
        <v/>
      </c>
      <c r="W36" s="81" t="str">
        <f t="shared" si="0"/>
        <v/>
      </c>
      <c r="X36" s="81" t="str">
        <f t="shared" si="5"/>
        <v/>
      </c>
      <c r="AC36" s="60">
        <f t="shared" si="6"/>
        <v>0</v>
      </c>
      <c r="AD36" s="49">
        <f t="shared" si="1"/>
        <v>0</v>
      </c>
      <c r="AE36" s="60">
        <f t="shared" si="7"/>
        <v>0</v>
      </c>
    </row>
    <row r="37" spans="1:31">
      <c r="A37" s="81" t="str">
        <f t="shared" si="2"/>
        <v/>
      </c>
      <c r="B37" s="81" t="str">
        <f t="shared" si="3"/>
        <v/>
      </c>
      <c r="G37" s="104"/>
      <c r="V37" s="81" t="str">
        <f t="shared" si="4"/>
        <v/>
      </c>
      <c r="W37" s="81" t="str">
        <f t="shared" si="0"/>
        <v/>
      </c>
      <c r="X37" s="81" t="str">
        <f t="shared" si="5"/>
        <v/>
      </c>
      <c r="AC37" s="60">
        <f t="shared" si="6"/>
        <v>0</v>
      </c>
      <c r="AD37" s="49">
        <f t="shared" si="1"/>
        <v>0</v>
      </c>
      <c r="AE37" s="60">
        <f t="shared" si="7"/>
        <v>0</v>
      </c>
    </row>
    <row r="38" spans="1:31">
      <c r="A38" s="81" t="str">
        <f t="shared" si="2"/>
        <v/>
      </c>
      <c r="B38" s="81" t="str">
        <f t="shared" si="3"/>
        <v/>
      </c>
      <c r="G38" s="104"/>
      <c r="V38" s="81" t="str">
        <f t="shared" si="4"/>
        <v/>
      </c>
      <c r="W38" s="81" t="str">
        <f t="shared" si="0"/>
        <v/>
      </c>
      <c r="X38" s="81" t="str">
        <f t="shared" si="5"/>
        <v/>
      </c>
      <c r="AC38" s="60">
        <f t="shared" si="6"/>
        <v>0</v>
      </c>
      <c r="AD38" s="49">
        <f t="shared" si="1"/>
        <v>0</v>
      </c>
      <c r="AE38" s="60">
        <f t="shared" si="7"/>
        <v>0</v>
      </c>
    </row>
    <row r="39" spans="1:31">
      <c r="A39" s="81" t="str">
        <f t="shared" si="2"/>
        <v/>
      </c>
      <c r="B39" s="81" t="str">
        <f t="shared" si="3"/>
        <v/>
      </c>
      <c r="G39" s="104"/>
      <c r="V39" s="81" t="str">
        <f t="shared" si="4"/>
        <v/>
      </c>
      <c r="W39" s="81" t="str">
        <f t="shared" si="0"/>
        <v/>
      </c>
      <c r="X39" s="81" t="str">
        <f t="shared" si="5"/>
        <v/>
      </c>
      <c r="AC39" s="60">
        <f t="shared" si="6"/>
        <v>0</v>
      </c>
      <c r="AD39" s="49">
        <f t="shared" si="1"/>
        <v>0</v>
      </c>
      <c r="AE39" s="60">
        <f t="shared" si="7"/>
        <v>0</v>
      </c>
    </row>
    <row r="40" spans="1:31">
      <c r="A40" s="81" t="str">
        <f t="shared" si="2"/>
        <v/>
      </c>
      <c r="B40" s="81" t="str">
        <f t="shared" si="3"/>
        <v/>
      </c>
      <c r="G40" s="104"/>
      <c r="V40" s="81" t="str">
        <f t="shared" si="4"/>
        <v/>
      </c>
      <c r="W40" s="81" t="str">
        <f t="shared" si="0"/>
        <v/>
      </c>
      <c r="X40" s="81" t="str">
        <f t="shared" si="5"/>
        <v/>
      </c>
      <c r="AC40" s="60">
        <f t="shared" si="6"/>
        <v>0</v>
      </c>
      <c r="AD40" s="49">
        <f t="shared" si="1"/>
        <v>0</v>
      </c>
      <c r="AE40" s="60">
        <f t="shared" si="7"/>
        <v>0</v>
      </c>
    </row>
    <row r="41" spans="1:31">
      <c r="A41" s="81" t="str">
        <f t="shared" si="2"/>
        <v/>
      </c>
      <c r="B41" s="81" t="str">
        <f t="shared" si="3"/>
        <v/>
      </c>
      <c r="G41" s="104"/>
      <c r="V41" s="81" t="str">
        <f t="shared" si="4"/>
        <v/>
      </c>
      <c r="W41" s="81" t="str">
        <f t="shared" si="0"/>
        <v/>
      </c>
      <c r="X41" s="81" t="str">
        <f t="shared" si="5"/>
        <v/>
      </c>
      <c r="AC41" s="60">
        <f t="shared" si="6"/>
        <v>0</v>
      </c>
      <c r="AD41" s="49">
        <f t="shared" si="1"/>
        <v>0</v>
      </c>
      <c r="AE41" s="60">
        <f t="shared" si="7"/>
        <v>0</v>
      </c>
    </row>
    <row r="42" spans="1:31">
      <c r="A42" s="81" t="str">
        <f t="shared" si="2"/>
        <v/>
      </c>
      <c r="B42" s="81" t="str">
        <f t="shared" si="3"/>
        <v/>
      </c>
      <c r="G42" s="104"/>
      <c r="V42" s="81" t="str">
        <f t="shared" si="4"/>
        <v/>
      </c>
      <c r="W42" s="81" t="str">
        <f t="shared" si="0"/>
        <v/>
      </c>
      <c r="X42" s="81" t="str">
        <f t="shared" si="5"/>
        <v/>
      </c>
      <c r="AC42" s="60">
        <f t="shared" si="6"/>
        <v>0</v>
      </c>
      <c r="AD42" s="49">
        <f t="shared" si="1"/>
        <v>0</v>
      </c>
      <c r="AE42" s="60">
        <f t="shared" si="7"/>
        <v>0</v>
      </c>
    </row>
    <row r="43" spans="1:31">
      <c r="A43" s="81" t="str">
        <f t="shared" si="2"/>
        <v/>
      </c>
      <c r="B43" s="81" t="str">
        <f t="shared" si="3"/>
        <v/>
      </c>
      <c r="G43" s="104"/>
      <c r="V43" s="81" t="str">
        <f t="shared" si="4"/>
        <v/>
      </c>
      <c r="W43" s="81" t="str">
        <f t="shared" si="0"/>
        <v/>
      </c>
      <c r="X43" s="81" t="str">
        <f t="shared" si="5"/>
        <v/>
      </c>
      <c r="AC43" s="60">
        <f t="shared" si="6"/>
        <v>0</v>
      </c>
      <c r="AD43" s="49">
        <f t="shared" si="1"/>
        <v>0</v>
      </c>
      <c r="AE43" s="60">
        <f t="shared" si="7"/>
        <v>0</v>
      </c>
    </row>
    <row r="44" spans="1:31">
      <c r="A44" s="81" t="str">
        <f t="shared" si="2"/>
        <v/>
      </c>
      <c r="B44" s="81" t="str">
        <f t="shared" si="3"/>
        <v/>
      </c>
      <c r="G44" s="104"/>
      <c r="V44" s="81" t="str">
        <f t="shared" si="4"/>
        <v/>
      </c>
      <c r="W44" s="81" t="str">
        <f t="shared" si="0"/>
        <v/>
      </c>
      <c r="X44" s="81" t="str">
        <f t="shared" si="5"/>
        <v/>
      </c>
      <c r="AC44" s="60">
        <f t="shared" si="6"/>
        <v>0</v>
      </c>
      <c r="AD44" s="49">
        <f t="shared" si="1"/>
        <v>0</v>
      </c>
      <c r="AE44" s="60">
        <f t="shared" si="7"/>
        <v>0</v>
      </c>
    </row>
    <row r="45" spans="1:31">
      <c r="A45" s="81" t="str">
        <f t="shared" si="2"/>
        <v/>
      </c>
      <c r="B45" s="81" t="str">
        <f t="shared" si="3"/>
        <v/>
      </c>
      <c r="G45" s="104"/>
      <c r="V45" s="81" t="str">
        <f t="shared" si="4"/>
        <v/>
      </c>
      <c r="W45" s="81" t="str">
        <f t="shared" si="0"/>
        <v/>
      </c>
      <c r="X45" s="81" t="str">
        <f t="shared" si="5"/>
        <v/>
      </c>
      <c r="AC45" s="60">
        <f t="shared" si="6"/>
        <v>0</v>
      </c>
      <c r="AD45" s="49">
        <f t="shared" si="1"/>
        <v>0</v>
      </c>
      <c r="AE45" s="60">
        <f t="shared" si="7"/>
        <v>0</v>
      </c>
    </row>
    <row r="46" spans="1:31">
      <c r="A46" s="81" t="str">
        <f t="shared" si="2"/>
        <v/>
      </c>
      <c r="B46" s="81" t="str">
        <f t="shared" si="3"/>
        <v/>
      </c>
      <c r="G46" s="104"/>
      <c r="V46" s="81" t="str">
        <f t="shared" si="4"/>
        <v/>
      </c>
      <c r="W46" s="81" t="str">
        <f t="shared" si="0"/>
        <v/>
      </c>
      <c r="X46" s="81" t="str">
        <f t="shared" si="5"/>
        <v/>
      </c>
      <c r="AC46" s="60">
        <f t="shared" si="6"/>
        <v>0</v>
      </c>
      <c r="AD46" s="49">
        <f t="shared" si="1"/>
        <v>0</v>
      </c>
      <c r="AE46" s="60">
        <f t="shared" si="7"/>
        <v>0</v>
      </c>
    </row>
    <row r="47" spans="1:31">
      <c r="A47" s="81" t="str">
        <f t="shared" si="2"/>
        <v/>
      </c>
      <c r="B47" s="81" t="str">
        <f t="shared" si="3"/>
        <v/>
      </c>
      <c r="G47" s="104"/>
      <c r="V47" s="81" t="str">
        <f t="shared" si="4"/>
        <v/>
      </c>
      <c r="W47" s="81" t="str">
        <f t="shared" si="0"/>
        <v/>
      </c>
      <c r="X47" s="81" t="str">
        <f t="shared" si="5"/>
        <v/>
      </c>
      <c r="AC47" s="60">
        <f t="shared" si="6"/>
        <v>0</v>
      </c>
      <c r="AD47" s="49">
        <f t="shared" si="1"/>
        <v>0</v>
      </c>
      <c r="AE47" s="60">
        <f t="shared" si="7"/>
        <v>0</v>
      </c>
    </row>
    <row r="48" spans="1:31">
      <c r="A48" s="81" t="str">
        <f t="shared" si="2"/>
        <v/>
      </c>
      <c r="B48" s="81" t="str">
        <f t="shared" si="3"/>
        <v/>
      </c>
      <c r="G48" s="104"/>
      <c r="V48" s="81" t="str">
        <f t="shared" si="4"/>
        <v/>
      </c>
      <c r="W48" s="81" t="str">
        <f t="shared" si="0"/>
        <v/>
      </c>
      <c r="X48" s="81" t="str">
        <f t="shared" si="5"/>
        <v/>
      </c>
      <c r="AC48" s="60">
        <f t="shared" si="6"/>
        <v>0</v>
      </c>
      <c r="AD48" s="49">
        <f t="shared" si="1"/>
        <v>0</v>
      </c>
      <c r="AE48" s="60">
        <f t="shared" si="7"/>
        <v>0</v>
      </c>
    </row>
    <row r="49" spans="1:31">
      <c r="A49" s="81" t="str">
        <f t="shared" si="2"/>
        <v/>
      </c>
      <c r="B49" s="81" t="str">
        <f t="shared" si="3"/>
        <v/>
      </c>
      <c r="G49" s="104"/>
      <c r="V49" s="81" t="str">
        <f t="shared" si="4"/>
        <v/>
      </c>
      <c r="W49" s="81" t="str">
        <f t="shared" si="0"/>
        <v/>
      </c>
      <c r="X49" s="81" t="str">
        <f t="shared" si="5"/>
        <v/>
      </c>
      <c r="AC49" s="60">
        <f t="shared" si="6"/>
        <v>0</v>
      </c>
      <c r="AD49" s="49">
        <f t="shared" si="1"/>
        <v>0</v>
      </c>
      <c r="AE49" s="60">
        <f t="shared" si="7"/>
        <v>0</v>
      </c>
    </row>
    <row r="50" spans="1:31">
      <c r="A50" s="81" t="str">
        <f t="shared" si="2"/>
        <v/>
      </c>
      <c r="B50" s="81" t="str">
        <f t="shared" si="3"/>
        <v/>
      </c>
      <c r="G50" s="104"/>
      <c r="V50" s="81" t="str">
        <f t="shared" si="4"/>
        <v/>
      </c>
      <c r="W50" s="81" t="str">
        <f t="shared" si="0"/>
        <v/>
      </c>
      <c r="X50" s="81" t="str">
        <f t="shared" si="5"/>
        <v/>
      </c>
      <c r="AC50" s="60">
        <f t="shared" si="6"/>
        <v>0</v>
      </c>
      <c r="AD50" s="49">
        <f t="shared" si="1"/>
        <v>0</v>
      </c>
      <c r="AE50" s="60">
        <f t="shared" si="7"/>
        <v>0</v>
      </c>
    </row>
    <row r="51" spans="1:31">
      <c r="A51" s="81" t="str">
        <f t="shared" si="2"/>
        <v/>
      </c>
      <c r="B51" s="81" t="str">
        <f t="shared" si="3"/>
        <v/>
      </c>
      <c r="G51" s="104"/>
      <c r="V51" s="81" t="str">
        <f t="shared" si="4"/>
        <v/>
      </c>
      <c r="W51" s="81" t="str">
        <f t="shared" si="0"/>
        <v/>
      </c>
      <c r="X51" s="81" t="str">
        <f t="shared" si="5"/>
        <v/>
      </c>
      <c r="AC51" s="60">
        <f t="shared" si="6"/>
        <v>0</v>
      </c>
      <c r="AD51" s="49">
        <f t="shared" si="1"/>
        <v>0</v>
      </c>
      <c r="AE51" s="60">
        <f t="shared" si="7"/>
        <v>0</v>
      </c>
    </row>
    <row r="52" spans="1:31">
      <c r="A52" s="81" t="str">
        <f t="shared" si="2"/>
        <v/>
      </c>
      <c r="B52" s="81" t="str">
        <f t="shared" si="3"/>
        <v/>
      </c>
      <c r="G52" s="104"/>
      <c r="V52" s="81" t="str">
        <f t="shared" si="4"/>
        <v/>
      </c>
      <c r="W52" s="81" t="str">
        <f t="shared" si="0"/>
        <v/>
      </c>
      <c r="X52" s="81" t="str">
        <f t="shared" si="5"/>
        <v/>
      </c>
      <c r="AC52" s="60">
        <f t="shared" si="6"/>
        <v>0</v>
      </c>
      <c r="AD52" s="49">
        <f t="shared" si="1"/>
        <v>0</v>
      </c>
      <c r="AE52" s="60">
        <f t="shared" si="7"/>
        <v>0</v>
      </c>
    </row>
    <row r="53" spans="1:31">
      <c r="A53" s="81" t="str">
        <f t="shared" si="2"/>
        <v/>
      </c>
      <c r="B53" s="81" t="str">
        <f t="shared" si="3"/>
        <v/>
      </c>
      <c r="G53" s="104"/>
      <c r="V53" s="81" t="str">
        <f t="shared" si="4"/>
        <v/>
      </c>
      <c r="W53" s="81" t="str">
        <f t="shared" si="0"/>
        <v/>
      </c>
      <c r="X53" s="81" t="str">
        <f t="shared" si="5"/>
        <v/>
      </c>
      <c r="AC53" s="60">
        <f t="shared" si="6"/>
        <v>0</v>
      </c>
      <c r="AD53" s="49">
        <f t="shared" si="1"/>
        <v>0</v>
      </c>
      <c r="AE53" s="60">
        <f t="shared" si="7"/>
        <v>0</v>
      </c>
    </row>
    <row r="54" spans="1:31">
      <c r="A54" s="81" t="str">
        <f t="shared" si="2"/>
        <v/>
      </c>
      <c r="B54" s="81" t="str">
        <f t="shared" si="3"/>
        <v/>
      </c>
      <c r="G54" s="104"/>
      <c r="V54" s="81" t="str">
        <f t="shared" si="4"/>
        <v/>
      </c>
      <c r="W54" s="81" t="str">
        <f t="shared" si="0"/>
        <v/>
      </c>
      <c r="X54" s="81" t="str">
        <f t="shared" si="5"/>
        <v/>
      </c>
      <c r="AC54" s="60">
        <f t="shared" si="6"/>
        <v>0</v>
      </c>
      <c r="AD54" s="49">
        <f t="shared" si="1"/>
        <v>0</v>
      </c>
      <c r="AE54" s="60">
        <f t="shared" si="7"/>
        <v>0</v>
      </c>
    </row>
    <row r="55" spans="1:31">
      <c r="A55" s="81" t="str">
        <f t="shared" si="2"/>
        <v/>
      </c>
      <c r="B55" s="81" t="str">
        <f t="shared" si="3"/>
        <v/>
      </c>
      <c r="G55" s="104"/>
      <c r="V55" s="81" t="str">
        <f t="shared" si="4"/>
        <v/>
      </c>
      <c r="W55" s="81" t="str">
        <f t="shared" si="0"/>
        <v/>
      </c>
      <c r="X55" s="81" t="str">
        <f t="shared" si="5"/>
        <v/>
      </c>
      <c r="AC55" s="60">
        <f t="shared" si="6"/>
        <v>0</v>
      </c>
      <c r="AD55" s="49">
        <f t="shared" si="1"/>
        <v>0</v>
      </c>
      <c r="AE55" s="60">
        <f t="shared" si="7"/>
        <v>0</v>
      </c>
    </row>
    <row r="56" spans="1:31">
      <c r="A56" s="81" t="str">
        <f t="shared" si="2"/>
        <v/>
      </c>
      <c r="B56" s="81" t="str">
        <f t="shared" si="3"/>
        <v/>
      </c>
      <c r="G56" s="104"/>
      <c r="V56" s="81" t="str">
        <f t="shared" si="4"/>
        <v/>
      </c>
      <c r="W56" s="81" t="str">
        <f t="shared" si="0"/>
        <v/>
      </c>
      <c r="X56" s="81" t="str">
        <f t="shared" si="5"/>
        <v/>
      </c>
      <c r="AC56" s="60">
        <f t="shared" si="6"/>
        <v>0</v>
      </c>
      <c r="AD56" s="49">
        <f t="shared" si="1"/>
        <v>0</v>
      </c>
      <c r="AE56" s="60">
        <f t="shared" si="7"/>
        <v>0</v>
      </c>
    </row>
    <row r="57" spans="1:31">
      <c r="A57" s="81" t="str">
        <f t="shared" si="2"/>
        <v/>
      </c>
      <c r="B57" s="81" t="str">
        <f t="shared" si="3"/>
        <v/>
      </c>
      <c r="G57" s="104"/>
      <c r="V57" s="81" t="str">
        <f t="shared" si="4"/>
        <v/>
      </c>
      <c r="W57" s="81" t="str">
        <f t="shared" si="0"/>
        <v/>
      </c>
      <c r="X57" s="81" t="str">
        <f t="shared" si="5"/>
        <v/>
      </c>
      <c r="AC57" s="60">
        <f t="shared" si="6"/>
        <v>0</v>
      </c>
      <c r="AD57" s="49">
        <f t="shared" si="1"/>
        <v>0</v>
      </c>
      <c r="AE57" s="60">
        <f t="shared" si="7"/>
        <v>0</v>
      </c>
    </row>
    <row r="58" spans="1:31">
      <c r="A58" s="81" t="str">
        <f t="shared" si="2"/>
        <v/>
      </c>
      <c r="B58" s="81" t="str">
        <f t="shared" si="3"/>
        <v/>
      </c>
      <c r="G58" s="104"/>
      <c r="V58" s="81" t="str">
        <f t="shared" si="4"/>
        <v/>
      </c>
      <c r="W58" s="81" t="str">
        <f t="shared" si="0"/>
        <v/>
      </c>
      <c r="X58" s="81" t="str">
        <f t="shared" si="5"/>
        <v/>
      </c>
      <c r="AC58" s="60">
        <f t="shared" si="6"/>
        <v>0</v>
      </c>
      <c r="AD58" s="49">
        <f t="shared" si="1"/>
        <v>0</v>
      </c>
      <c r="AE58" s="60">
        <f t="shared" si="7"/>
        <v>0</v>
      </c>
    </row>
    <row r="59" spans="1:31">
      <c r="A59" s="81" t="str">
        <f t="shared" si="2"/>
        <v/>
      </c>
      <c r="B59" s="81" t="str">
        <f t="shared" si="3"/>
        <v/>
      </c>
      <c r="G59" s="104"/>
      <c r="V59" s="81" t="str">
        <f t="shared" si="4"/>
        <v/>
      </c>
      <c r="W59" s="81" t="str">
        <f t="shared" si="0"/>
        <v/>
      </c>
      <c r="X59" s="81" t="str">
        <f t="shared" si="5"/>
        <v/>
      </c>
      <c r="AC59" s="60">
        <f t="shared" si="6"/>
        <v>0</v>
      </c>
      <c r="AD59" s="49">
        <f t="shared" si="1"/>
        <v>0</v>
      </c>
      <c r="AE59" s="60">
        <f t="shared" si="7"/>
        <v>0</v>
      </c>
    </row>
    <row r="60" spans="1:31">
      <c r="A60" s="81" t="str">
        <f t="shared" si="2"/>
        <v/>
      </c>
      <c r="B60" s="81" t="str">
        <f t="shared" si="3"/>
        <v/>
      </c>
      <c r="G60" s="104"/>
      <c r="V60" s="81" t="str">
        <f t="shared" si="4"/>
        <v/>
      </c>
      <c r="W60" s="81" t="str">
        <f t="shared" si="0"/>
        <v/>
      </c>
      <c r="X60" s="81" t="str">
        <f t="shared" si="5"/>
        <v/>
      </c>
      <c r="AC60" s="60">
        <f t="shared" si="6"/>
        <v>0</v>
      </c>
      <c r="AD60" s="49">
        <f t="shared" si="1"/>
        <v>0</v>
      </c>
      <c r="AE60" s="60">
        <f t="shared" si="7"/>
        <v>0</v>
      </c>
    </row>
    <row r="61" spans="1:31">
      <c r="A61" s="81" t="str">
        <f t="shared" si="2"/>
        <v/>
      </c>
      <c r="B61" s="81" t="str">
        <f t="shared" si="3"/>
        <v/>
      </c>
      <c r="G61" s="104"/>
      <c r="V61" s="81" t="str">
        <f t="shared" si="4"/>
        <v/>
      </c>
      <c r="W61" s="81" t="str">
        <f t="shared" si="0"/>
        <v/>
      </c>
      <c r="X61" s="81" t="str">
        <f t="shared" si="5"/>
        <v/>
      </c>
      <c r="AC61" s="60">
        <f t="shared" si="6"/>
        <v>0</v>
      </c>
      <c r="AD61" s="49">
        <f t="shared" si="1"/>
        <v>0</v>
      </c>
      <c r="AE61" s="60">
        <f t="shared" si="7"/>
        <v>0</v>
      </c>
    </row>
    <row r="62" spans="1:31">
      <c r="A62" s="81" t="str">
        <f t="shared" si="2"/>
        <v/>
      </c>
      <c r="B62" s="81" t="str">
        <f t="shared" si="3"/>
        <v/>
      </c>
      <c r="G62" s="104"/>
      <c r="V62" s="81" t="str">
        <f t="shared" si="4"/>
        <v/>
      </c>
      <c r="W62" s="81" t="str">
        <f t="shared" si="0"/>
        <v/>
      </c>
      <c r="X62" s="81" t="str">
        <f t="shared" si="5"/>
        <v/>
      </c>
      <c r="AC62" s="60">
        <f t="shared" si="6"/>
        <v>0</v>
      </c>
      <c r="AD62" s="49">
        <f t="shared" si="1"/>
        <v>0</v>
      </c>
      <c r="AE62" s="60">
        <f t="shared" si="7"/>
        <v>0</v>
      </c>
    </row>
    <row r="63" spans="1:31">
      <c r="A63" s="81" t="str">
        <f t="shared" si="2"/>
        <v/>
      </c>
      <c r="B63" s="81" t="str">
        <f t="shared" si="3"/>
        <v/>
      </c>
      <c r="G63" s="104"/>
      <c r="V63" s="81" t="str">
        <f t="shared" si="4"/>
        <v/>
      </c>
      <c r="W63" s="81" t="str">
        <f t="shared" si="0"/>
        <v/>
      </c>
      <c r="X63" s="81" t="str">
        <f t="shared" si="5"/>
        <v/>
      </c>
      <c r="AC63" s="60">
        <f t="shared" si="6"/>
        <v>0</v>
      </c>
      <c r="AD63" s="49">
        <f t="shared" si="1"/>
        <v>0</v>
      </c>
      <c r="AE63" s="60">
        <f t="shared" si="7"/>
        <v>0</v>
      </c>
    </row>
    <row r="64" spans="1:31">
      <c r="A64" s="81" t="str">
        <f t="shared" si="2"/>
        <v/>
      </c>
      <c r="B64" s="81" t="str">
        <f t="shared" si="3"/>
        <v/>
      </c>
      <c r="G64" s="104"/>
      <c r="V64" s="81" t="str">
        <f t="shared" si="4"/>
        <v/>
      </c>
      <c r="W64" s="81" t="str">
        <f t="shared" si="0"/>
        <v/>
      </c>
      <c r="X64" s="81" t="str">
        <f t="shared" si="5"/>
        <v/>
      </c>
      <c r="AC64" s="60">
        <f t="shared" si="6"/>
        <v>0</v>
      </c>
      <c r="AD64" s="49">
        <f t="shared" si="1"/>
        <v>0</v>
      </c>
      <c r="AE64" s="60">
        <f t="shared" si="7"/>
        <v>0</v>
      </c>
    </row>
    <row r="65" spans="1:31">
      <c r="A65" s="81" t="str">
        <f t="shared" si="2"/>
        <v/>
      </c>
      <c r="B65" s="81" t="str">
        <f t="shared" si="3"/>
        <v/>
      </c>
      <c r="G65" s="104"/>
      <c r="V65" s="81" t="str">
        <f t="shared" si="4"/>
        <v/>
      </c>
      <c r="W65" s="81" t="str">
        <f t="shared" si="0"/>
        <v/>
      </c>
      <c r="X65" s="81" t="str">
        <f t="shared" si="5"/>
        <v/>
      </c>
      <c r="AC65" s="60">
        <f t="shared" si="6"/>
        <v>0</v>
      </c>
      <c r="AD65" s="49">
        <f t="shared" si="1"/>
        <v>0</v>
      </c>
      <c r="AE65" s="60">
        <f t="shared" si="7"/>
        <v>0</v>
      </c>
    </row>
    <row r="66" spans="1:31">
      <c r="A66" s="81" t="str">
        <f t="shared" si="2"/>
        <v/>
      </c>
      <c r="B66" s="81" t="str">
        <f t="shared" si="3"/>
        <v/>
      </c>
      <c r="G66" s="104"/>
      <c r="V66" s="81" t="str">
        <f t="shared" si="4"/>
        <v/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81" t="str">
        <f t="shared" si="5"/>
        <v/>
      </c>
      <c r="AC66" s="60">
        <f t="shared" si="6"/>
        <v>0</v>
      </c>
      <c r="AD66" s="49">
        <f t="shared" si="1"/>
        <v>0</v>
      </c>
      <c r="AE66" s="60">
        <f t="shared" si="7"/>
        <v>0</v>
      </c>
    </row>
    <row r="67" spans="1:31">
      <c r="A67" s="81" t="str">
        <f t="shared" ref="A67:A130" si="9">IF(G67&amp;Q67&lt;&gt;"",W67&amp;Q67,"")</f>
        <v/>
      </c>
      <c r="B67" s="81" t="str">
        <f t="shared" ref="B67:B130" si="10">IF(C67&lt;&gt;"",LEFT(C67,9),"")</f>
        <v/>
      </c>
      <c r="G67" s="104"/>
      <c r="V67" s="81" t="str">
        <f t="shared" ref="V67:V130" si="11">W67&amp;H67</f>
        <v/>
      </c>
      <c r="W67" s="81" t="str">
        <f t="shared" si="8"/>
        <v/>
      </c>
      <c r="X67" s="81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1" t="str">
        <f t="shared" si="9"/>
        <v/>
      </c>
      <c r="B68" s="81" t="str">
        <f t="shared" si="10"/>
        <v/>
      </c>
      <c r="G68" s="104"/>
      <c r="V68" s="81" t="str">
        <f t="shared" si="11"/>
        <v/>
      </c>
      <c r="W68" s="81" t="str">
        <f t="shared" si="8"/>
        <v/>
      </c>
      <c r="X68" s="81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1" t="str">
        <f t="shared" si="9"/>
        <v/>
      </c>
      <c r="B69" s="81" t="str">
        <f t="shared" si="10"/>
        <v/>
      </c>
      <c r="G69" s="104"/>
      <c r="V69" s="81" t="str">
        <f t="shared" si="11"/>
        <v/>
      </c>
      <c r="W69" s="81" t="str">
        <f t="shared" si="8"/>
        <v/>
      </c>
      <c r="X69" s="81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1" t="str">
        <f t="shared" si="9"/>
        <v/>
      </c>
      <c r="B70" s="81" t="str">
        <f t="shared" si="10"/>
        <v/>
      </c>
      <c r="G70" s="104"/>
      <c r="V70" s="81" t="str">
        <f t="shared" si="11"/>
        <v/>
      </c>
      <c r="W70" s="81" t="str">
        <f t="shared" si="8"/>
        <v/>
      </c>
      <c r="X70" s="81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1" t="str">
        <f t="shared" si="9"/>
        <v/>
      </c>
      <c r="B71" s="81" t="str">
        <f t="shared" si="10"/>
        <v/>
      </c>
      <c r="G71" s="104"/>
      <c r="V71" s="81" t="str">
        <f t="shared" si="11"/>
        <v/>
      </c>
      <c r="W71" s="81" t="str">
        <f t="shared" si="8"/>
        <v/>
      </c>
      <c r="X71" s="81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1" t="str">
        <f t="shared" si="9"/>
        <v/>
      </c>
      <c r="B72" s="81" t="str">
        <f t="shared" si="10"/>
        <v/>
      </c>
      <c r="G72" s="104"/>
      <c r="V72" s="81" t="str">
        <f t="shared" si="11"/>
        <v/>
      </c>
      <c r="W72" s="81" t="str">
        <f t="shared" si="8"/>
        <v/>
      </c>
      <c r="X72" s="81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1" t="str">
        <f t="shared" si="9"/>
        <v/>
      </c>
      <c r="B73" s="81" t="str">
        <f t="shared" si="10"/>
        <v/>
      </c>
      <c r="G73" s="104"/>
      <c r="V73" s="81" t="str">
        <f t="shared" si="11"/>
        <v/>
      </c>
      <c r="W73" s="81" t="str">
        <f t="shared" si="8"/>
        <v/>
      </c>
      <c r="X73" s="81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1" t="str">
        <f t="shared" si="9"/>
        <v/>
      </c>
      <c r="B74" s="81" t="str">
        <f t="shared" si="10"/>
        <v/>
      </c>
      <c r="G74" s="104"/>
      <c r="V74" s="81" t="str">
        <f t="shared" si="11"/>
        <v/>
      </c>
      <c r="W74" s="81" t="str">
        <f t="shared" si="8"/>
        <v/>
      </c>
      <c r="X74" s="81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1" t="str">
        <f t="shared" si="9"/>
        <v/>
      </c>
      <c r="B75" s="81" t="str">
        <f t="shared" si="10"/>
        <v/>
      </c>
      <c r="G75" s="104"/>
      <c r="V75" s="81" t="str">
        <f t="shared" si="11"/>
        <v/>
      </c>
      <c r="W75" s="81" t="str">
        <f t="shared" si="8"/>
        <v/>
      </c>
      <c r="X75" s="81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75</vt:i4>
      </vt:variant>
    </vt:vector>
  </HeadingPairs>
  <TitlesOfParts>
    <vt:vector size="8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2022-03-31T11:06:06Z</dcterms:modified>
</cp:coreProperties>
</file>